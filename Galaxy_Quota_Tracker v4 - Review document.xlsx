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chpayai-my.sharepoint.com/personal/shiv_kumar_techpay_ai/Documents/Documents/Office Related/Galaxy Target Letter/"/>
    </mc:Choice>
  </mc:AlternateContent>
  <xr:revisionPtr revIDLastSave="91" documentId="8_{B2953869-BD3A-4C87-A111-A530F7A7B323}" xr6:coauthVersionLast="47" xr6:coauthVersionMax="47" xr10:uidLastSave="{5D45BA4B-6FA5-469E-99DF-A329AB8D8B4F}"/>
  <bookViews>
    <workbookView xWindow="-108" yWindow="-108" windowWidth="23256" windowHeight="12576" tabRatio="500" xr2:uid="{00000000-000D-0000-FFFF-FFFF00000000}"/>
  </bookViews>
  <sheets>
    <sheet name="V1 · Individual" sheetId="2" r:id="rId1"/>
    <sheet name="V2 · Leaders" sheetId="9" state="hidden" r:id="rId2"/>
    <sheet name="V2 · Team Quota" sheetId="3" state="hidden" r:id="rId3"/>
    <sheet name="V3 · RTM Division level" sheetId="4" r:id="rId4"/>
    <sheet name="V4 · BU Level" sheetId="5" state="hidden" r:id="rId5"/>
    <sheet name="V5 · DCG" sheetId="6" r:id="rId6"/>
    <sheet name="V6 · CSN" sheetId="7" r:id="rId7"/>
    <sheet name="V7 · PS" sheetId="8" r:id="rId8"/>
    <sheet name="V8 · CSG" sheetId="1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6" l="1"/>
  <c r="J8" i="6"/>
  <c r="M8" i="6"/>
  <c r="P8" i="6"/>
  <c r="M51" i="2"/>
  <c r="G17" i="2"/>
  <c r="G16" i="2"/>
  <c r="G15" i="2"/>
  <c r="G27" i="2" l="1"/>
  <c r="M50" i="2"/>
  <c r="M43" i="2"/>
  <c r="M42" i="2"/>
  <c r="M41" i="2"/>
  <c r="M37" i="2"/>
  <c r="M36" i="2"/>
  <c r="M35" i="2"/>
  <c r="M34" i="2"/>
  <c r="M33" i="2"/>
  <c r="M32" i="2"/>
  <c r="M31" i="2"/>
  <c r="M30" i="2"/>
  <c r="M22" i="2"/>
  <c r="G43" i="2"/>
  <c r="G42" i="2"/>
  <c r="G41" i="2"/>
  <c r="G37" i="2"/>
  <c r="G36" i="2"/>
  <c r="G35" i="2"/>
  <c r="G34" i="2"/>
  <c r="G33" i="2"/>
  <c r="G32" i="2"/>
  <c r="G31" i="2"/>
  <c r="G30" i="2"/>
  <c r="G25" i="2"/>
  <c r="G22" i="2"/>
  <c r="M55" i="2"/>
  <c r="M25" i="2" l="1"/>
  <c r="G24" i="2"/>
  <c r="G23" i="2"/>
  <c r="G18" i="2"/>
  <c r="M18" i="2" s="1"/>
  <c r="S18" i="2" s="1"/>
  <c r="G14" i="2"/>
  <c r="G13" i="2"/>
  <c r="J26" i="2"/>
  <c r="K26" i="2"/>
  <c r="P26" i="2"/>
  <c r="Q26" i="2"/>
  <c r="J19" i="2"/>
  <c r="P19" i="2"/>
  <c r="R19" i="2"/>
  <c r="V19" i="2"/>
  <c r="W19" i="2"/>
  <c r="X19" i="2"/>
  <c r="Y19" i="2"/>
  <c r="M15" i="2"/>
  <c r="S15" i="2" s="1"/>
  <c r="M16" i="2"/>
  <c r="S16" i="2" s="1"/>
  <c r="M17" i="2"/>
  <c r="S17" i="2" s="1"/>
  <c r="J9" i="2"/>
  <c r="P9" i="2"/>
  <c r="G8" i="2"/>
  <c r="G7" i="2"/>
  <c r="G6" i="2"/>
  <c r="G5" i="2"/>
  <c r="M5" i="2" s="1"/>
  <c r="S5" i="2" s="1"/>
  <c r="G4" i="2"/>
  <c r="AI44" i="4"/>
  <c r="O6" i="9"/>
  <c r="L6" i="9"/>
  <c r="F6" i="9" s="1"/>
  <c r="M8" i="2" l="1"/>
  <c r="S8" i="2" s="1"/>
  <c r="M23" i="2"/>
  <c r="M6" i="2"/>
  <c r="S6" i="2" s="1"/>
  <c r="M13" i="2"/>
  <c r="S13" i="2" s="1"/>
  <c r="M24" i="2"/>
  <c r="M7" i="2"/>
  <c r="S7" i="2" s="1"/>
  <c r="M14" i="2"/>
  <c r="S14" i="2" s="1"/>
  <c r="G9" i="2"/>
  <c r="G19" i="2"/>
  <c r="G26" i="2"/>
  <c r="M4" i="2"/>
  <c r="R6" i="9"/>
  <c r="I6" i="9"/>
  <c r="O5" i="9"/>
  <c r="L5" i="9"/>
  <c r="M26" i="2" l="1"/>
  <c r="M19" i="2"/>
  <c r="S19" i="2"/>
  <c r="T19" i="2" s="1"/>
  <c r="S4" i="2"/>
  <c r="S9" i="2" s="1"/>
  <c r="M9" i="2"/>
  <c r="R5" i="9"/>
  <c r="F5" i="9"/>
  <c r="I5" i="9"/>
  <c r="O4" i="9"/>
  <c r="L4" i="9"/>
  <c r="F4" i="9" s="1"/>
  <c r="I4" i="9" l="1"/>
  <c r="R4" i="9"/>
  <c r="O43" i="2" l="1"/>
  <c r="L43" i="2"/>
  <c r="F43" i="2" s="1"/>
  <c r="I43" i="2" l="1"/>
  <c r="R43" i="2"/>
  <c r="O42" i="2"/>
  <c r="L42" i="2"/>
  <c r="I42" i="2" l="1"/>
  <c r="F42" i="2"/>
  <c r="R42" i="2"/>
  <c r="O41" i="2"/>
  <c r="O44" i="2" s="1"/>
  <c r="V42" i="4" s="1"/>
  <c r="L41" i="2"/>
  <c r="F41" i="2" l="1"/>
  <c r="F44" i="2" s="1"/>
  <c r="I41" i="2"/>
  <c r="R41" i="2"/>
  <c r="U35" i="2"/>
  <c r="O35" i="2"/>
  <c r="L35" i="2"/>
  <c r="I35" i="2" s="1"/>
  <c r="F35" i="2" l="1"/>
  <c r="R35" i="2"/>
  <c r="O33" i="2"/>
  <c r="L33" i="2"/>
  <c r="F33" i="2" s="1"/>
  <c r="O37" i="2"/>
  <c r="L37" i="2"/>
  <c r="F37" i="2" l="1"/>
  <c r="I37" i="2"/>
  <c r="R33" i="2"/>
  <c r="R37" i="2"/>
  <c r="I33" i="2"/>
  <c r="O31" i="2"/>
  <c r="L31" i="2"/>
  <c r="R31" i="2" l="1"/>
  <c r="I31" i="2"/>
  <c r="F31" i="2"/>
  <c r="O34" i="2"/>
  <c r="L34" i="2"/>
  <c r="I34" i="2" s="1"/>
  <c r="F34" i="2" l="1"/>
  <c r="R34" i="2"/>
  <c r="O32" i="2"/>
  <c r="L32" i="2"/>
  <c r="I32" i="2" s="1"/>
  <c r="O30" i="2"/>
  <c r="L30" i="2"/>
  <c r="F30" i="2" s="1"/>
  <c r="R30" i="2" l="1"/>
  <c r="F32" i="2"/>
  <c r="R32" i="2"/>
  <c r="I30" i="2"/>
  <c r="O36" i="2"/>
  <c r="O38" i="2" s="1"/>
  <c r="V41" i="4" s="1"/>
  <c r="L36" i="2"/>
  <c r="R36" i="2" l="1"/>
  <c r="I36" i="2"/>
  <c r="F36" i="2"/>
  <c r="O27" i="2"/>
  <c r="L27" i="2"/>
  <c r="R27" i="2" l="1"/>
  <c r="F27" i="2"/>
  <c r="I27" i="2"/>
  <c r="O23" i="2"/>
  <c r="L23" i="2"/>
  <c r="R23" i="2" l="1"/>
  <c r="F23" i="2"/>
  <c r="I23" i="2"/>
  <c r="O24" i="2"/>
  <c r="L24" i="2"/>
  <c r="O25" i="2"/>
  <c r="L25" i="2"/>
  <c r="L26" i="2" l="1"/>
  <c r="O26" i="2"/>
  <c r="V40" i="4" s="1"/>
  <c r="R24" i="2"/>
  <c r="F24" i="2"/>
  <c r="I24" i="2"/>
  <c r="F25" i="2"/>
  <c r="R25" i="2"/>
  <c r="I25" i="2"/>
  <c r="Q20" i="2"/>
  <c r="Q17" i="2"/>
  <c r="Q16" i="2"/>
  <c r="Q15" i="2"/>
  <c r="O18" i="2"/>
  <c r="Q18" i="2" s="1"/>
  <c r="L18" i="2"/>
  <c r="F18" i="2" s="1"/>
  <c r="I26" i="2" l="1"/>
  <c r="R26" i="2"/>
  <c r="F26" i="2"/>
  <c r="I18" i="2"/>
  <c r="O14" i="2"/>
  <c r="Q14" i="2" s="1"/>
  <c r="L14" i="2"/>
  <c r="I14" i="2" l="1"/>
  <c r="F14" i="2"/>
  <c r="O13" i="2"/>
  <c r="O19" i="2" s="1"/>
  <c r="L13" i="2"/>
  <c r="L19" i="2" s="1"/>
  <c r="N19" i="2" s="1"/>
  <c r="F13" i="2" l="1"/>
  <c r="F19" i="2" s="1"/>
  <c r="H19" i="2" s="1"/>
  <c r="I13" i="2"/>
  <c r="I19" i="2" s="1"/>
  <c r="Q13" i="2"/>
  <c r="Q19" i="2" s="1"/>
  <c r="V39" i="4" l="1"/>
  <c r="O6" i="2"/>
  <c r="L6" i="2"/>
  <c r="I6" i="2" s="1"/>
  <c r="R6" i="2" l="1"/>
  <c r="T6" i="2" s="1"/>
  <c r="F6" i="2"/>
  <c r="Q6" i="2"/>
  <c r="O10" i="2"/>
  <c r="Q10" i="2" s="1"/>
  <c r="L10" i="2"/>
  <c r="R10" i="2" l="1"/>
  <c r="I10" i="2"/>
  <c r="F10" i="2"/>
  <c r="O8" i="2"/>
  <c r="L8" i="2"/>
  <c r="F8" i="2" l="1"/>
  <c r="I8" i="2"/>
  <c r="R8" i="2"/>
  <c r="T8" i="2" s="1"/>
  <c r="Q8" i="2"/>
  <c r="O7" i="2"/>
  <c r="L7" i="2"/>
  <c r="I7" i="2" l="1"/>
  <c r="F7" i="2"/>
  <c r="R7" i="2"/>
  <c r="T7" i="2" s="1"/>
  <c r="Q7" i="2"/>
  <c r="O5" i="2"/>
  <c r="L5" i="2"/>
  <c r="O4" i="2"/>
  <c r="L4" i="2"/>
  <c r="P3" i="8"/>
  <c r="L9" i="10"/>
  <c r="L9" i="8"/>
  <c r="L9" i="7"/>
  <c r="L9" i="6"/>
  <c r="M4" i="7"/>
  <c r="M5" i="7"/>
  <c r="M6" i="7"/>
  <c r="M7" i="7"/>
  <c r="M8" i="7"/>
  <c r="M9" i="7"/>
  <c r="M3" i="7"/>
  <c r="J4" i="7"/>
  <c r="J5" i="7"/>
  <c r="J6" i="7"/>
  <c r="J7" i="7"/>
  <c r="J8" i="7"/>
  <c r="J9" i="7"/>
  <c r="J3" i="7"/>
  <c r="G4" i="7"/>
  <c r="G5" i="7"/>
  <c r="G6" i="7"/>
  <c r="G7" i="7"/>
  <c r="G8" i="7"/>
  <c r="G9" i="7"/>
  <c r="G3" i="7"/>
  <c r="G4" i="6"/>
  <c r="G5" i="6"/>
  <c r="G6" i="6"/>
  <c r="G7" i="6"/>
  <c r="G9" i="6"/>
  <c r="G3" i="6"/>
  <c r="J4" i="6"/>
  <c r="J5" i="6"/>
  <c r="J6" i="6"/>
  <c r="J7" i="6"/>
  <c r="J9" i="6"/>
  <c r="J3" i="6"/>
  <c r="M4" i="6"/>
  <c r="M5" i="6"/>
  <c r="M6" i="6"/>
  <c r="M7" i="6"/>
  <c r="M9" i="6"/>
  <c r="M3" i="6"/>
  <c r="H27" i="2"/>
  <c r="K14" i="2"/>
  <c r="K18" i="2"/>
  <c r="K13" i="2"/>
  <c r="K6" i="2"/>
  <c r="K7" i="2"/>
  <c r="K8" i="2"/>
  <c r="K10" i="2"/>
  <c r="T3" i="9"/>
  <c r="N27" i="2"/>
  <c r="M3" i="9"/>
  <c r="L3" i="9"/>
  <c r="Q9" i="10"/>
  <c r="O9" i="10"/>
  <c r="N9" i="10"/>
  <c r="Q9" i="8"/>
  <c r="O9" i="8"/>
  <c r="N9" i="8"/>
  <c r="Q9" i="7"/>
  <c r="O9" i="7"/>
  <c r="N9" i="7"/>
  <c r="Q9" i="6"/>
  <c r="O9" i="6"/>
  <c r="N9" i="6"/>
  <c r="F9" i="10"/>
  <c r="P8" i="10"/>
  <c r="P7" i="10"/>
  <c r="P6" i="10"/>
  <c r="P5" i="10"/>
  <c r="P4" i="10"/>
  <c r="P3" i="10"/>
  <c r="F9" i="8"/>
  <c r="P8" i="8"/>
  <c r="P7" i="8"/>
  <c r="P6" i="8"/>
  <c r="P5" i="8"/>
  <c r="P4" i="8"/>
  <c r="F9" i="7"/>
  <c r="P8" i="7"/>
  <c r="P7" i="7"/>
  <c r="P6" i="7"/>
  <c r="P5" i="7"/>
  <c r="P4" i="7"/>
  <c r="P3" i="7"/>
  <c r="P3" i="6"/>
  <c r="P5" i="6"/>
  <c r="P6" i="6"/>
  <c r="P7" i="6"/>
  <c r="P4" i="6"/>
  <c r="F9" i="6"/>
  <c r="L9" i="2" l="1"/>
  <c r="N9" i="2" s="1"/>
  <c r="K19" i="2"/>
  <c r="O9" i="2"/>
  <c r="I4" i="2"/>
  <c r="F4" i="2"/>
  <c r="F5" i="2"/>
  <c r="I5" i="2"/>
  <c r="K5" i="2" s="1"/>
  <c r="R5" i="2"/>
  <c r="T5" i="2" s="1"/>
  <c r="Q5" i="2"/>
  <c r="R4" i="2"/>
  <c r="Q4" i="2"/>
  <c r="P9" i="6"/>
  <c r="P9" i="10"/>
  <c r="P9" i="8"/>
  <c r="P9" i="7"/>
  <c r="I44" i="2"/>
  <c r="I42" i="4" s="1"/>
  <c r="I38" i="2"/>
  <c r="I41" i="4" s="1"/>
  <c r="I40" i="4"/>
  <c r="C42" i="4"/>
  <c r="F38" i="2"/>
  <c r="C41" i="4" s="1"/>
  <c r="H43" i="2"/>
  <c r="H42" i="2"/>
  <c r="H41" i="2"/>
  <c r="H37" i="2"/>
  <c r="H36" i="2"/>
  <c r="H35" i="2"/>
  <c r="H34" i="2"/>
  <c r="H33" i="2"/>
  <c r="H32" i="2"/>
  <c r="H31" i="2"/>
  <c r="H30" i="2"/>
  <c r="H25" i="2"/>
  <c r="H24" i="2"/>
  <c r="H23" i="2"/>
  <c r="C39" i="4"/>
  <c r="H18" i="2"/>
  <c r="H17" i="2"/>
  <c r="H16" i="2"/>
  <c r="H15" i="2"/>
  <c r="H14" i="2"/>
  <c r="H13" i="2"/>
  <c r="H8" i="2"/>
  <c r="H7" i="2"/>
  <c r="H6" i="2"/>
  <c r="R9" i="2" l="1"/>
  <c r="T9" i="2" s="1"/>
  <c r="Q9" i="2"/>
  <c r="H4" i="2"/>
  <c r="F9" i="2"/>
  <c r="H9" i="2" s="1"/>
  <c r="K4" i="2"/>
  <c r="K9" i="2" s="1"/>
  <c r="I9" i="2"/>
  <c r="I38" i="4" s="1"/>
  <c r="H26" i="2"/>
  <c r="H5" i="2"/>
  <c r="O41" i="4"/>
  <c r="AC41" i="4" s="1"/>
  <c r="G10" i="2"/>
  <c r="O42" i="4"/>
  <c r="AC42" i="4" s="1"/>
  <c r="G38" i="2"/>
  <c r="H38" i="2" s="1"/>
  <c r="G44" i="2"/>
  <c r="H10" i="2" l="1"/>
  <c r="M10" i="2"/>
  <c r="D40" i="4"/>
  <c r="D42" i="4"/>
  <c r="E42" i="4" s="1"/>
  <c r="H44" i="2"/>
  <c r="D39" i="4"/>
  <c r="E39" i="4" s="1"/>
  <c r="D38" i="4"/>
  <c r="G47" i="2"/>
  <c r="D41" i="4"/>
  <c r="E41" i="4" s="1"/>
  <c r="N10" i="2" l="1"/>
  <c r="S10" i="2"/>
  <c r="T10" i="2" s="1"/>
  <c r="D44" i="4"/>
  <c r="P44" i="4" l="1"/>
  <c r="M6" i="5" l="1"/>
  <c r="M7" i="5"/>
  <c r="M8" i="5"/>
  <c r="M9" i="5"/>
  <c r="M10" i="5"/>
  <c r="M5" i="5"/>
  <c r="K10" i="5"/>
  <c r="K9" i="5"/>
  <c r="K8" i="5"/>
  <c r="K7" i="5"/>
  <c r="K6" i="5"/>
  <c r="K5" i="5"/>
  <c r="S51" i="2"/>
  <c r="U51" i="2"/>
  <c r="U50" i="2"/>
  <c r="S50" i="2"/>
  <c r="U43" i="2"/>
  <c r="U42" i="2"/>
  <c r="U41" i="2"/>
  <c r="S43" i="2"/>
  <c r="S42" i="2"/>
  <c r="S41" i="2"/>
  <c r="R44" i="2"/>
  <c r="L44" i="2"/>
  <c r="N43" i="2"/>
  <c r="N42" i="2"/>
  <c r="N41" i="2"/>
  <c r="R38" i="2"/>
  <c r="L38" i="2"/>
  <c r="U37" i="2"/>
  <c r="U36" i="2"/>
  <c r="U34" i="2"/>
  <c r="U33" i="2"/>
  <c r="U32" i="2"/>
  <c r="U31" i="2"/>
  <c r="U30" i="2"/>
  <c r="S37" i="2"/>
  <c r="S36" i="2"/>
  <c r="S35" i="2"/>
  <c r="S34" i="2"/>
  <c r="S33" i="2"/>
  <c r="S32" i="2"/>
  <c r="S31" i="2"/>
  <c r="S30" i="2"/>
  <c r="N37" i="2"/>
  <c r="N36" i="2"/>
  <c r="N35" i="2"/>
  <c r="N34" i="2"/>
  <c r="N33" i="2"/>
  <c r="N32" i="2"/>
  <c r="N31" i="2"/>
  <c r="N30" i="2"/>
  <c r="U23" i="2"/>
  <c r="U24" i="2"/>
  <c r="U25" i="2"/>
  <c r="U22" i="2"/>
  <c r="S25" i="2"/>
  <c r="S24" i="2"/>
  <c r="S23" i="2"/>
  <c r="S22" i="2"/>
  <c r="N25" i="2"/>
  <c r="N24" i="2"/>
  <c r="N23" i="2"/>
  <c r="U18" i="2"/>
  <c r="U17" i="2"/>
  <c r="U16" i="2"/>
  <c r="U15" i="2"/>
  <c r="U14" i="2"/>
  <c r="U13" i="2"/>
  <c r="N18" i="2"/>
  <c r="N14" i="2"/>
  <c r="N13" i="2"/>
  <c r="V38" i="4"/>
  <c r="V44" i="4" s="1"/>
  <c r="U19" i="2" l="1"/>
  <c r="S26" i="2"/>
  <c r="U26" i="2"/>
  <c r="N26" i="2"/>
  <c r="S52" i="2"/>
  <c r="M52" i="2"/>
  <c r="U52" i="2"/>
  <c r="M44" i="2"/>
  <c r="U39" i="4"/>
  <c r="M38" i="2"/>
  <c r="S38" i="2"/>
  <c r="AD41" i="4" s="1"/>
  <c r="S44" i="2"/>
  <c r="AD42" i="4" s="1"/>
  <c r="AD39" i="4"/>
  <c r="P41" i="4" l="1"/>
  <c r="N38" i="2"/>
  <c r="P39" i="4"/>
  <c r="P42" i="4"/>
  <c r="N44" i="2"/>
  <c r="U5" i="2"/>
  <c r="U6" i="2"/>
  <c r="U7" i="2"/>
  <c r="U8" i="2"/>
  <c r="U4" i="2"/>
  <c r="N8" i="2"/>
  <c r="N7" i="2"/>
  <c r="N6" i="2"/>
  <c r="N5" i="2"/>
  <c r="N4" i="2"/>
  <c r="U9" i="2" l="1"/>
  <c r="U38" i="4" s="1"/>
  <c r="T4" i="2"/>
  <c r="AD38" i="4" l="1"/>
  <c r="P38" i="4"/>
  <c r="H5" i="5"/>
  <c r="L10" i="5" l="1"/>
  <c r="H10" i="5"/>
  <c r="E10" i="5"/>
  <c r="L9" i="5"/>
  <c r="H9" i="5"/>
  <c r="E9" i="5"/>
  <c r="L8" i="5"/>
  <c r="H8" i="5"/>
  <c r="E8" i="5"/>
  <c r="L7" i="5"/>
  <c r="H7" i="5"/>
  <c r="E7" i="5"/>
  <c r="L6" i="5"/>
  <c r="H6" i="5"/>
  <c r="E6" i="5"/>
  <c r="L5" i="5"/>
  <c r="E5" i="5"/>
  <c r="AH44" i="4"/>
  <c r="AE42" i="4"/>
  <c r="AE41" i="4"/>
  <c r="K13" i="5"/>
  <c r="J13" i="5"/>
  <c r="I13" i="5"/>
  <c r="G13" i="5"/>
  <c r="F13" i="5"/>
  <c r="D13" i="5"/>
  <c r="C13" i="5"/>
  <c r="Q42" i="4"/>
  <c r="Q41" i="4"/>
  <c r="AA36" i="4"/>
  <c r="X36" i="4"/>
  <c r="T36" i="4"/>
  <c r="Q36" i="4"/>
  <c r="AA35" i="4"/>
  <c r="X35" i="4"/>
  <c r="T35" i="4"/>
  <c r="Q35" i="4"/>
  <c r="AA34" i="4"/>
  <c r="X34" i="4"/>
  <c r="T34" i="4"/>
  <c r="Q34" i="4"/>
  <c r="AA32" i="4"/>
  <c r="X32" i="4"/>
  <c r="T32" i="4"/>
  <c r="Q32" i="4"/>
  <c r="AA31" i="4"/>
  <c r="X31" i="4"/>
  <c r="T31" i="4"/>
  <c r="Q31" i="4"/>
  <c r="AA30" i="4"/>
  <c r="X30" i="4"/>
  <c r="T30" i="4"/>
  <c r="Q30" i="4"/>
  <c r="AA29" i="4"/>
  <c r="X29" i="4"/>
  <c r="T29" i="4"/>
  <c r="Q29" i="4"/>
  <c r="AA28" i="4"/>
  <c r="X28" i="4"/>
  <c r="T28" i="4"/>
  <c r="Q28" i="4"/>
  <c r="AA27" i="4"/>
  <c r="X27" i="4"/>
  <c r="T27" i="4"/>
  <c r="Q27" i="4"/>
  <c r="AA26" i="4"/>
  <c r="X26" i="4"/>
  <c r="T26" i="4"/>
  <c r="Q26" i="4"/>
  <c r="AA25" i="4"/>
  <c r="X25" i="4"/>
  <c r="T25" i="4"/>
  <c r="Q25" i="4"/>
  <c r="AA24" i="4"/>
  <c r="X24" i="4"/>
  <c r="T24" i="4"/>
  <c r="Q24" i="4"/>
  <c r="AA23" i="4"/>
  <c r="X23" i="4"/>
  <c r="T23" i="4"/>
  <c r="Q23" i="4"/>
  <c r="AA22" i="4"/>
  <c r="X22" i="4"/>
  <c r="T22" i="4"/>
  <c r="Q22" i="4"/>
  <c r="AA21" i="4"/>
  <c r="X21" i="4"/>
  <c r="T21" i="4"/>
  <c r="Q21" i="4"/>
  <c r="AA20" i="4"/>
  <c r="X20" i="4"/>
  <c r="T20" i="4"/>
  <c r="Q20" i="4"/>
  <c r="AA19" i="4"/>
  <c r="X19" i="4"/>
  <c r="T19" i="4"/>
  <c r="Q19" i="4"/>
  <c r="AA18" i="4"/>
  <c r="X18" i="4"/>
  <c r="T18" i="4"/>
  <c r="Q18" i="4"/>
  <c r="AA17" i="4"/>
  <c r="X17" i="4"/>
  <c r="T17" i="4"/>
  <c r="Q17" i="4"/>
  <c r="AA16" i="4"/>
  <c r="X16" i="4"/>
  <c r="T16" i="4"/>
  <c r="Q16" i="4"/>
  <c r="AA15" i="4"/>
  <c r="X15" i="4"/>
  <c r="T15" i="4"/>
  <c r="Q15" i="4"/>
  <c r="AA14" i="4"/>
  <c r="X14" i="4"/>
  <c r="T14" i="4"/>
  <c r="Q14" i="4"/>
  <c r="AA13" i="4"/>
  <c r="X13" i="4"/>
  <c r="T13" i="4"/>
  <c r="Q13" i="4"/>
  <c r="AA12" i="4"/>
  <c r="X12" i="4"/>
  <c r="T12" i="4"/>
  <c r="Q12" i="4"/>
  <c r="AA11" i="4"/>
  <c r="X11" i="4"/>
  <c r="T11" i="4"/>
  <c r="Q11" i="4"/>
  <c r="AA10" i="4"/>
  <c r="X10" i="4"/>
  <c r="T10" i="4"/>
  <c r="Q10" i="4"/>
  <c r="AA9" i="4"/>
  <c r="X9" i="4"/>
  <c r="T9" i="4"/>
  <c r="Q9" i="4"/>
  <c r="AA8" i="4"/>
  <c r="X8" i="4"/>
  <c r="T8" i="4"/>
  <c r="Q8" i="4"/>
  <c r="AA7" i="4"/>
  <c r="X7" i="4"/>
  <c r="T7" i="4"/>
  <c r="Q7" i="4"/>
  <c r="AA6" i="4"/>
  <c r="X6" i="4"/>
  <c r="T6" i="4"/>
  <c r="Q6" i="4"/>
  <c r="AA5" i="4"/>
  <c r="X5" i="4"/>
  <c r="T5" i="4"/>
  <c r="Q5" i="4"/>
  <c r="K6" i="3"/>
  <c r="J6" i="3"/>
  <c r="G6" i="3"/>
  <c r="F6" i="3"/>
  <c r="K5" i="3"/>
  <c r="J5" i="3"/>
  <c r="G5" i="3"/>
  <c r="F5" i="3"/>
  <c r="K4" i="3"/>
  <c r="J4" i="3"/>
  <c r="G4" i="3"/>
  <c r="F4" i="3"/>
  <c r="Y44" i="2"/>
  <c r="X44" i="2"/>
  <c r="W44" i="2"/>
  <c r="V44" i="2"/>
  <c r="U44" i="2"/>
  <c r="U42" i="4" s="1"/>
  <c r="T44" i="2"/>
  <c r="T43" i="2"/>
  <c r="T42" i="2"/>
  <c r="T41" i="2"/>
  <c r="Y38" i="2"/>
  <c r="X38" i="2"/>
  <c r="W38" i="2"/>
  <c r="V38" i="2"/>
  <c r="U38" i="2"/>
  <c r="U41" i="4" s="1"/>
  <c r="T38" i="2"/>
  <c r="T37" i="2"/>
  <c r="T36" i="2"/>
  <c r="T35" i="2"/>
  <c r="T34" i="2"/>
  <c r="T33" i="2"/>
  <c r="T32" i="2"/>
  <c r="T31" i="2"/>
  <c r="T30" i="2"/>
  <c r="Y26" i="2"/>
  <c r="X26" i="2"/>
  <c r="W26" i="2"/>
  <c r="V26" i="2"/>
  <c r="U40" i="4"/>
  <c r="AD40" i="4"/>
  <c r="T25" i="2"/>
  <c r="T24" i="2"/>
  <c r="T23" i="2"/>
  <c r="T18" i="2"/>
  <c r="T17" i="2"/>
  <c r="T16" i="2"/>
  <c r="T15" i="2"/>
  <c r="T14" i="2"/>
  <c r="T13" i="2"/>
  <c r="Y9" i="2"/>
  <c r="X9" i="2"/>
  <c r="W9" i="2"/>
  <c r="V9" i="2"/>
  <c r="T26" i="2" l="1"/>
  <c r="P40" i="4"/>
  <c r="U44" i="4"/>
  <c r="AD44" i="4"/>
  <c r="L13" i="5"/>
  <c r="U47" i="2"/>
  <c r="S47" i="2"/>
  <c r="Z23" i="2" s="1"/>
  <c r="M47" i="2"/>
  <c r="Z17" i="2" l="1"/>
  <c r="Z24" i="2"/>
  <c r="Z4" i="2"/>
  <c r="Z37" i="2"/>
  <c r="Z14" i="2"/>
  <c r="Z13" i="2"/>
  <c r="Z34" i="2"/>
  <c r="Z32" i="2"/>
  <c r="Z35" i="2"/>
  <c r="Z43" i="2"/>
  <c r="Z15" i="2"/>
  <c r="Z36" i="2"/>
  <c r="Z30" i="2"/>
  <c r="Z5" i="2"/>
  <c r="Z42" i="2"/>
  <c r="Z16" i="2"/>
  <c r="Z18" i="2"/>
  <c r="Z8" i="2"/>
  <c r="Z33" i="2"/>
  <c r="Z31" i="2"/>
  <c r="Z41" i="2"/>
  <c r="Z7" i="2"/>
  <c r="Z6" i="2"/>
  <c r="Z22" i="2"/>
  <c r="Z25" i="2"/>
  <c r="M13" i="5"/>
  <c r="Z19" i="2" l="1"/>
  <c r="C38" i="4"/>
  <c r="E38" i="4" s="1"/>
  <c r="O38" i="4" l="1"/>
  <c r="Q38" i="4"/>
  <c r="AC38" i="4"/>
  <c r="I39" i="4"/>
  <c r="O39" i="4" s="1"/>
  <c r="I47" i="2"/>
  <c r="K17" i="2"/>
  <c r="K16" i="2"/>
  <c r="L17" i="2"/>
  <c r="N17" i="2" s="1"/>
  <c r="L16" i="2"/>
  <c r="N16" i="2" s="1"/>
  <c r="AE38" i="4" l="1"/>
  <c r="Q39" i="4"/>
  <c r="AC39" i="4"/>
  <c r="AE39" i="4" s="1"/>
  <c r="I44" i="4"/>
  <c r="C40" i="4" l="1"/>
  <c r="H22" i="2"/>
  <c r="L22" i="2"/>
  <c r="N22" i="2" l="1"/>
  <c r="R22" i="2"/>
  <c r="T22" i="2" s="1"/>
  <c r="C44" i="4"/>
  <c r="E40" i="4"/>
  <c r="O40" i="4"/>
  <c r="F47" i="2"/>
  <c r="H47" i="2" s="1"/>
  <c r="R47" i="2" l="1"/>
  <c r="T47" i="2" s="1"/>
  <c r="Q40" i="4"/>
  <c r="AC40" i="4"/>
  <c r="L47" i="2"/>
  <c r="N47" i="2" s="1"/>
  <c r="E44" i="4"/>
  <c r="O44" i="4"/>
  <c r="Q44" i="4" s="1"/>
  <c r="AE40" i="4" l="1"/>
  <c r="AC44" i="4"/>
  <c r="AE44" i="4" s="1"/>
  <c r="K15" i="2"/>
  <c r="L15" i="2"/>
  <c r="N15" i="2" s="1"/>
</calcChain>
</file>

<file path=xl/sharedStrings.xml><?xml version="1.0" encoding="utf-8"?>
<sst xmlns="http://schemas.openxmlformats.org/spreadsheetml/2006/main" count="1018" uniqueCount="210">
  <si>
    <t>#</t>
  </si>
  <si>
    <t>VIEW 1 — INDIVIDUAL CONTRIBUTION   |   Booking (Revenue)   |   H1 &amp; Annual</t>
  </si>
  <si>
    <t>Employee Name</t>
  </si>
  <si>
    <t>Division</t>
  </si>
  <si>
    <t>FY</t>
  </si>
  <si>
    <t>Type / Notes</t>
  </si>
  <si>
    <t>H1 Quota
(₹ Cr)</t>
  </si>
  <si>
    <t>H1 Actuals
(₹ Cr)</t>
  </si>
  <si>
    <t>Annual Quota
(₹ Cr)</t>
  </si>
  <si>
    <t>Annual Actuals
(₹ Cr)</t>
  </si>
  <si>
    <t>Attainment %
(Annual)</t>
  </si>
  <si>
    <t># Deals
(Total)</t>
  </si>
  <si>
    <t>Led-By Deals
(count)</t>
  </si>
  <si>
    <t>Led-By Rev
(₹ Cr)</t>
  </si>
  <si>
    <t>Contributed
Deals (count)</t>
  </si>
  <si>
    <t>Contributed
Rev (₹ Cr)</t>
  </si>
  <si>
    <t>Rank
(Div.)</t>
  </si>
  <si>
    <t xml:space="preserve">  S1 Division</t>
  </si>
  <si>
    <t>S1</t>
  </si>
  <si>
    <t>FY 25-26</t>
  </si>
  <si>
    <t>IC</t>
  </si>
  <si>
    <t>Riya Roshyara</t>
  </si>
  <si>
    <t>Richa Tiwari</t>
  </si>
  <si>
    <t>IC Subtotal — S1</t>
  </si>
  <si>
    <t xml:space="preserve">  S2 Division</t>
  </si>
  <si>
    <t>S2</t>
  </si>
  <si>
    <t>Sankeerth</t>
  </si>
  <si>
    <t>IC Subtotal — S2</t>
  </si>
  <si>
    <t xml:space="preserve">  CB Division</t>
  </si>
  <si>
    <t>Darshana Patil</t>
  </si>
  <si>
    <t>CB</t>
  </si>
  <si>
    <t>FY 26-27</t>
  </si>
  <si>
    <t>Prachi Mayekar</t>
  </si>
  <si>
    <t>Shilpa Kavde</t>
  </si>
  <si>
    <t>Vidula Chavan</t>
  </si>
  <si>
    <t>IC Subtotal — CB</t>
  </si>
  <si>
    <t xml:space="preserve">  GB Division</t>
  </si>
  <si>
    <t>GB</t>
  </si>
  <si>
    <t>Generalist</t>
  </si>
  <si>
    <t>Jay Rushi</t>
  </si>
  <si>
    <t>Ayushaman</t>
  </si>
  <si>
    <t>Specialist</t>
  </si>
  <si>
    <t>Shubhangi</t>
  </si>
  <si>
    <t>Bhumi</t>
  </si>
  <si>
    <t>PS ISR/OSR</t>
  </si>
  <si>
    <t>Suyesh</t>
  </si>
  <si>
    <t>Cloud/PS</t>
  </si>
  <si>
    <t>Rizwana</t>
  </si>
  <si>
    <t>IC Subtotal — GB</t>
  </si>
  <si>
    <t xml:space="preserve">  South Division</t>
  </si>
  <si>
    <t>South</t>
  </si>
  <si>
    <t>Sagar TR</t>
  </si>
  <si>
    <t>Shahbaz Khan</t>
  </si>
  <si>
    <t>IC Subtotal — South</t>
  </si>
  <si>
    <t>GeoX</t>
  </si>
  <si>
    <t>GRAND TOTAL — All IC (Revenue, excl. GeoX BL)</t>
  </si>
  <si>
    <t>VIEW 2 — TEAM QUOTA   |   Team Lead vs Company Target   |   H1 &amp; Annual</t>
  </si>
  <si>
    <t>TL quotas are AGGREGATES — do not add to IC subtotals. Actuals placeholders in yellow.</t>
  </si>
  <si>
    <t>Team Lead Name</t>
  </si>
  <si>
    <t>H1 Team
Quota (₹ Cr)</t>
  </si>
  <si>
    <t>H1 Team
Actuals (₹ Cr)</t>
  </si>
  <si>
    <t>H1 vs Co.
Target</t>
  </si>
  <si>
    <t>H1 Flag</t>
  </si>
  <si>
    <t>Annual Team
Quota (₹ Cr)</t>
  </si>
  <si>
    <t>Annual Team
Actuals (₹ Cr)</t>
  </si>
  <si>
    <t>Annual vs Co.
Target</t>
  </si>
  <si>
    <t>Annual Flag</t>
  </si>
  <si>
    <t># Deals
(Team)</t>
  </si>
  <si>
    <t>TL Notes</t>
  </si>
  <si>
    <t>Prashant Ramchandra Dudugu</t>
  </si>
  <si>
    <t>Covers Chirag &amp; Richa (excl. TBH)</t>
  </si>
  <si>
    <t>Jimesh Shah</t>
  </si>
  <si>
    <t>Incl. own (40.5 Cr) + Vidula Chavan (9.5 Cr)</t>
  </si>
  <si>
    <t>Sanjeev Kohli</t>
  </si>
  <si>
    <t>Covers Hrushikesh Bagade only (excl. TBH)</t>
  </si>
  <si>
    <t xml:space="preserve">  Company Target Reference (all ICs, revenue basis, GeoX excl.)</t>
  </si>
  <si>
    <t>Company H1 Target</t>
  </si>
  <si>
    <t>—</t>
  </si>
  <si>
    <t>Grand total all IC quota</t>
  </si>
  <si>
    <t>VIEW 3 — SUMMARY OUTLOOK   |   BU Roll-up   |   Revenue + Bottomline (BL)   |   H1 &amp; Annual</t>
  </si>
  <si>
    <t>Level / Name</t>
  </si>
  <si>
    <t>H1 — Revenue (₹ Cr)</t>
  </si>
  <si>
    <t>H1 — Bottomline (₹ Cr)</t>
  </si>
  <si>
    <t>H1 # Deals</t>
  </si>
  <si>
    <t>Annual — Revenue (₹ Cr)</t>
  </si>
  <si>
    <t>Annual — Bottomline (₹ Cr)</t>
  </si>
  <si>
    <t>Ann # Deals</t>
  </si>
  <si>
    <t>Level</t>
  </si>
  <si>
    <t>Div.</t>
  </si>
  <si>
    <t>Quota</t>
  </si>
  <si>
    <t>Actuals</t>
  </si>
  <si>
    <t>Att%</t>
  </si>
  <si>
    <t>Count</t>
  </si>
  <si>
    <t xml:space="preserve">  (i) Individual — IC Level</t>
  </si>
  <si>
    <t xml:space="preserve">  Tasneem Mohammed Atif Ansari</t>
  </si>
  <si>
    <t xml:space="preserve">  Riya Roshyara</t>
  </si>
  <si>
    <t xml:space="preserve">  Chirag Sudhir Palande</t>
  </si>
  <si>
    <t xml:space="preserve">  Richa Tiwari</t>
  </si>
  <si>
    <t xml:space="preserve">  Pratik Vilas Kadam</t>
  </si>
  <si>
    <t xml:space="preserve">  Rohit</t>
  </si>
  <si>
    <t xml:space="preserve">  Chetna</t>
  </si>
  <si>
    <t xml:space="preserve">  Varsha</t>
  </si>
  <si>
    <t xml:space="preserve">  Arpit</t>
  </si>
  <si>
    <t xml:space="preserve">  Dennis</t>
  </si>
  <si>
    <t xml:space="preserve">  Sankeerth</t>
  </si>
  <si>
    <t xml:space="preserve">  Darshana Patil</t>
  </si>
  <si>
    <t xml:space="preserve">  Prachi Mayekar</t>
  </si>
  <si>
    <t xml:space="preserve">  Shilpa Kavde</t>
  </si>
  <si>
    <t xml:space="preserve">  Vidula Chavan</t>
  </si>
  <si>
    <t xml:space="preserve">  Atharva Kapre</t>
  </si>
  <si>
    <t xml:space="preserve">  Jay Rushi</t>
  </si>
  <si>
    <t xml:space="preserve">  Ayushaman</t>
  </si>
  <si>
    <t xml:space="preserve">  Shubhangi</t>
  </si>
  <si>
    <t xml:space="preserve">  Bhumi</t>
  </si>
  <si>
    <t xml:space="preserve">  Suyesh</t>
  </si>
  <si>
    <t xml:space="preserve">  Ashish</t>
  </si>
  <si>
    <t xml:space="preserve">  Rizwana</t>
  </si>
  <si>
    <t xml:space="preserve">  Abrar Altaf Menon</t>
  </si>
  <si>
    <t xml:space="preserve">  Sagar TR</t>
  </si>
  <si>
    <t xml:space="preserve">  Shaikh Kadar</t>
  </si>
  <si>
    <t xml:space="preserve">  Shahbaz Khan</t>
  </si>
  <si>
    <t xml:space="preserve">  Hrushikesh Bagade</t>
  </si>
  <si>
    <t xml:space="preserve">  (ii) Team Lead (RTM) Level</t>
  </si>
  <si>
    <t xml:space="preserve">  Prashant Ramchandra Dudugu</t>
  </si>
  <si>
    <t xml:space="preserve">  Jimesh Shah</t>
  </si>
  <si>
    <t xml:space="preserve">  Sanjeev Kohli</t>
  </si>
  <si>
    <t>S1 Division Total</t>
  </si>
  <si>
    <t>S2 Division Total</t>
  </si>
  <si>
    <t>CB Division Total</t>
  </si>
  <si>
    <t>GB Division Total</t>
  </si>
  <si>
    <t>South Division Total</t>
  </si>
  <si>
    <t>GeoX Division Total</t>
  </si>
  <si>
    <t xml:space="preserve">  (iv) Company — Grand Total</t>
  </si>
  <si>
    <t>COMPANY TOTAL (Revenue IC, excl. GeoX BL)</t>
  </si>
  <si>
    <t>VIEW 4 — SERVICE LEVEL CONTRIBUTION   |   Revenue + Bottomline   |   H1 &amp; Annual</t>
  </si>
  <si>
    <t>Service / Sub-category</t>
  </si>
  <si>
    <t>BU</t>
  </si>
  <si>
    <t>H1
Deals</t>
  </si>
  <si>
    <t>Annual
Deals</t>
  </si>
  <si>
    <t>Service</t>
  </si>
  <si>
    <t>DCG</t>
  </si>
  <si>
    <t>CSN</t>
  </si>
  <si>
    <t>CSG</t>
  </si>
  <si>
    <t>PS</t>
  </si>
  <si>
    <t>Cloud</t>
  </si>
  <si>
    <t xml:space="preserve">  TOTAL — All Services</t>
  </si>
  <si>
    <t>Grand Total</t>
  </si>
  <si>
    <t>Tasneem K</t>
  </si>
  <si>
    <t>Ajay Patodia</t>
  </si>
  <si>
    <t>Chetna Sharma</t>
  </si>
  <si>
    <t>Rohit Deshmukh</t>
  </si>
  <si>
    <t>Ashish Singh</t>
  </si>
  <si>
    <t>Atharva Karpe</t>
  </si>
  <si>
    <t>Pratik Kadam</t>
  </si>
  <si>
    <t>Abrar Memon</t>
  </si>
  <si>
    <t>Yusufali Petiwala</t>
  </si>
  <si>
    <t>DCG BU HEAD</t>
  </si>
  <si>
    <t xml:space="preserve">  Employee Name</t>
  </si>
  <si>
    <t>Total</t>
  </si>
  <si>
    <t xml:space="preserve">Total Opportunity </t>
  </si>
  <si>
    <t>Data Centre</t>
  </si>
  <si>
    <t>Cyber Security &amp; Networking</t>
  </si>
  <si>
    <t>Professional Services</t>
  </si>
  <si>
    <t>AI</t>
  </si>
  <si>
    <t>CSG (EndPoint)</t>
  </si>
  <si>
    <t xml:space="preserve">Cloud </t>
  </si>
  <si>
    <t>Prashant Ddugu</t>
  </si>
  <si>
    <t>TL</t>
  </si>
  <si>
    <t>Q1 Quota
(₹ Cr)</t>
  </si>
  <si>
    <t>Q1 Actuals
(₹ Cr)</t>
  </si>
  <si>
    <t>Q2 Quota
(₹ Cr)</t>
  </si>
  <si>
    <t>Q2 Actuals
(₹ Cr)</t>
  </si>
  <si>
    <t>-</t>
  </si>
  <si>
    <t>Self</t>
  </si>
  <si>
    <t>Q1 — Revenue (₹ Cr)</t>
  </si>
  <si>
    <t>Q1 — Bottomline (₹ Cr)</t>
  </si>
  <si>
    <t>Q2 — Revenue (₹ Cr)</t>
  </si>
  <si>
    <t>Q2 — Bottomline (₹ Cr)</t>
  </si>
  <si>
    <t xml:space="preserve">  (iii) RTM Division Level</t>
  </si>
  <si>
    <t>RTM Total</t>
  </si>
  <si>
    <t>RTM Name</t>
  </si>
  <si>
    <t>VIEW 8 — RTM CONTRIBUTION | CSG  |   Booking (Revenue)   |   H1 &amp; Annual</t>
  </si>
  <si>
    <t>VIEW 7 — RTM CONTRIBUTION | PS  |   Booking (Revenue)   |   H1 &amp; Annual</t>
  </si>
  <si>
    <t>VIEW 6 — RTM CONTRIBUTION | CSN  |   Booking (Revenue)   |   H1 &amp; Annual</t>
  </si>
  <si>
    <t>VIEW 5 — RTM CONTRIBUTION | DCG  |   Booking (Revenue)   |   H1 &amp; Annual</t>
  </si>
  <si>
    <t>VIEW 2 — LEADERSHIP CONTRIBUTION   |   Booking (Revenue)   |   H1 &amp; Annual</t>
  </si>
  <si>
    <t xml:space="preserve">DCG </t>
  </si>
  <si>
    <t>BU HEAD</t>
  </si>
  <si>
    <t>Attainment %
(Q1)</t>
  </si>
  <si>
    <t>Attainment %
(Q2)</t>
  </si>
  <si>
    <t>Attainment %
(H1)</t>
  </si>
  <si>
    <t>Attainment 
%
(Q2)</t>
  </si>
  <si>
    <t>Attainment
 %
(Q1)</t>
  </si>
  <si>
    <t>H2 Quota
(₹ Cr)</t>
  </si>
  <si>
    <t>H2 Actuals
(₹ Cr)</t>
  </si>
  <si>
    <t>Attainment %
(H2)</t>
  </si>
  <si>
    <t xml:space="preserve"> Team Lead</t>
  </si>
  <si>
    <t>Rima Kamalakar Ingle</t>
  </si>
  <si>
    <t>Manager - Sales and Business Development - Cloud/PS - Specialist</t>
  </si>
  <si>
    <t>Sana Rashid Bhatkar</t>
  </si>
  <si>
    <t>Team Lead</t>
  </si>
  <si>
    <t>H2 — Revenue (₹ Cr)</t>
  </si>
  <si>
    <t>H2 — Bottomline (₹ Cr)</t>
  </si>
  <si>
    <t>H2 # Deals</t>
  </si>
  <si>
    <t>Chirag Palande</t>
  </si>
  <si>
    <t>TBH (Varsha)</t>
  </si>
  <si>
    <t>TBH (Arpit)</t>
  </si>
  <si>
    <t>TBH (Dennis)</t>
  </si>
  <si>
    <t>GB, CS</t>
  </si>
  <si>
    <t>GB, Cloud &amp;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</si>
</sst>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#,##0.0000"/>
    <numFmt numFmtId="166" formatCode="_(* #,##0.00_);_(* \(#,##0.00\);_(* &quot;-&quot;??_);_(@_)"/>
  </numFmts>
  <fonts count="3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0"/>
      <color rgb="FF2E5FA3"/>
      <name val="Arial"/>
      <family val="2"/>
    </font>
    <font>
      <b/>
      <sz val="10"/>
      <color rgb="FF000000"/>
      <name val="Arial"/>
      <family val="2"/>
    </font>
    <font>
      <sz val="10"/>
      <color rgb="FF5A6272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5A6272"/>
      <name val="Arial"/>
      <family val="2"/>
    </font>
    <font>
      <sz val="10"/>
      <color rgb="FF2E5FA3"/>
      <name val="Arial"/>
      <family val="2"/>
    </font>
    <font>
      <i/>
      <sz val="10"/>
      <color rgb="FF5A6272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i/>
      <sz val="10"/>
      <color rgb="FF5A6272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2E5FA3"/>
      <name val="Arial"/>
      <family val="2"/>
    </font>
    <font>
      <b/>
      <sz val="10"/>
      <color rgb="FFFFFFFF"/>
      <name val="Arial"/>
      <family val="2"/>
    </font>
    <font>
      <b/>
      <sz val="10"/>
      <color rgb="FF5A6272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D7874"/>
        <bgColor rgb="FF008080"/>
      </patternFill>
    </fill>
    <fill>
      <patternFill patternType="solid">
        <fgColor rgb="FFF2F4F7"/>
        <bgColor rgb="FFE8ECF1"/>
      </patternFill>
    </fill>
    <fill>
      <patternFill patternType="solid">
        <fgColor rgb="FFFFFFFF"/>
        <bgColor rgb="FFF2F4F7"/>
      </patternFill>
    </fill>
    <fill>
      <patternFill patternType="solid">
        <fgColor rgb="FF2E5FA3"/>
        <bgColor rgb="FF1D7874"/>
      </patternFill>
    </fill>
    <fill>
      <patternFill patternType="solid">
        <fgColor rgb="FFFFF3CD"/>
        <bgColor rgb="FFF2F4F7"/>
      </patternFill>
    </fill>
    <fill>
      <patternFill patternType="solid">
        <fgColor rgb="FFE8ECF1"/>
        <bgColor rgb="FFF2F4F7"/>
      </patternFill>
    </fill>
    <fill>
      <patternFill patternType="solid">
        <fgColor rgb="FFCBD0D8"/>
        <bgColor rgb="FFC0C0C0"/>
      </patternFill>
    </fill>
    <fill>
      <patternFill patternType="solid">
        <fgColor rgb="FFD6E4F7"/>
        <bgColor rgb="FFD4EDEA"/>
      </patternFill>
    </fill>
    <fill>
      <patternFill patternType="solid">
        <fgColor rgb="FFD4EDEA"/>
        <bgColor rgb="FFD6E4F7"/>
      </patternFill>
    </fill>
    <fill>
      <patternFill patternType="solid">
        <fgColor rgb="FFB8860B"/>
        <bgColor rgb="FFFF9900"/>
      </patternFill>
    </fill>
    <fill>
      <patternFill patternType="solid">
        <fgColor rgb="FFD4EDDA"/>
        <bgColor rgb="FFD4EDEA"/>
      </patternFill>
    </fill>
    <fill>
      <patternFill patternType="solid">
        <fgColor rgb="FFD4EDEA"/>
        <bgColor rgb="FFD4EDDA"/>
      </patternFill>
    </fill>
    <fill>
      <patternFill patternType="solid">
        <fgColor theme="5" tint="0.79998168889431442"/>
        <bgColor rgb="FFF2F4F7"/>
      </patternFill>
    </fill>
    <fill>
      <patternFill patternType="solid">
        <fgColor rgb="FFF2F4F7"/>
        <bgColor rgb="FFF2F4F7"/>
      </patternFill>
    </fill>
    <fill>
      <patternFill patternType="solid">
        <fgColor rgb="FFF2F4F7"/>
        <bgColor rgb="FFD4EDEA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1D7874"/>
      </left>
      <right style="thin">
        <color rgb="FF1D7874"/>
      </right>
      <top style="thin">
        <color rgb="FF1D7874"/>
      </top>
      <bottom style="thin">
        <color rgb="FF1D7874"/>
      </bottom>
      <diagonal/>
    </border>
    <border>
      <left style="thin">
        <color rgb="FFCBD0D8"/>
      </left>
      <right style="thin">
        <color rgb="FFCBD0D8"/>
      </right>
      <top style="thin">
        <color rgb="FFCBD0D8"/>
      </top>
      <bottom style="thin">
        <color rgb="FFCBD0D8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medium">
        <color rgb="FFCBD0D8"/>
      </left>
      <right/>
      <top style="medium">
        <color rgb="FFCBD0D8"/>
      </top>
      <bottom style="medium">
        <color rgb="FFCBD0D8"/>
      </bottom>
      <diagonal/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medium">
        <color rgb="FF1D7874"/>
      </left>
      <right/>
      <top style="medium">
        <color rgb="FF1D7874"/>
      </top>
      <bottom style="medium">
        <color rgb="FF1D787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E8ECF1"/>
      </left>
      <right style="thin">
        <color rgb="FFE8ECF1"/>
      </right>
      <top style="thin">
        <color rgb="FFE8ECF1"/>
      </top>
      <bottom style="thin">
        <color rgb="FFE8ECF1"/>
      </bottom>
      <diagonal/>
    </border>
    <border>
      <left style="medium">
        <color rgb="FF2E5FA3"/>
      </left>
      <right/>
      <top style="medium">
        <color rgb="FF2E5FA3"/>
      </top>
      <bottom/>
      <diagonal/>
    </border>
    <border>
      <left/>
      <right/>
      <top style="medium">
        <color rgb="FF2E5FA3"/>
      </top>
      <bottom/>
      <diagonal/>
    </border>
    <border>
      <left style="thin">
        <color rgb="FF1F3864"/>
      </left>
      <right/>
      <top style="thin">
        <color rgb="FF1F3864"/>
      </top>
      <bottom/>
      <diagonal/>
    </border>
    <border>
      <left/>
      <right style="thin">
        <color rgb="FFCBD0D8"/>
      </right>
      <top style="thin">
        <color rgb="FFCBD0D8"/>
      </top>
      <bottom style="thin">
        <color rgb="FFCBD0D8"/>
      </bottom>
      <diagonal/>
    </border>
    <border>
      <left style="thin">
        <color rgb="FFCBD0D8"/>
      </left>
      <right style="thin">
        <color rgb="FFCBD0D8"/>
      </right>
      <top style="thin">
        <color rgb="FFCBD0D8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rgb="FF2E5FA3"/>
      </left>
      <right/>
      <top style="thin">
        <color rgb="FF1D7874"/>
      </top>
      <bottom style="thin">
        <color rgb="FF1D7874"/>
      </bottom>
      <diagonal/>
    </border>
    <border>
      <left/>
      <right/>
      <top style="thin">
        <color rgb="FF1D7874"/>
      </top>
      <bottom style="thin">
        <color rgb="FF1D7874"/>
      </bottom>
      <diagonal/>
    </border>
    <border>
      <left/>
      <right style="thin">
        <color rgb="FF1F3864"/>
      </right>
      <top style="thin">
        <color rgb="FF1D7874"/>
      </top>
      <bottom style="thin">
        <color rgb="FF1D7874"/>
      </bottom>
      <diagonal/>
    </border>
    <border>
      <left style="thin">
        <color rgb="FF2E5FA3"/>
      </left>
      <right/>
      <top style="thin">
        <color rgb="FF2E5FA3"/>
      </top>
      <bottom style="thin">
        <color rgb="FF2E5FA3"/>
      </bottom>
      <diagonal/>
    </border>
    <border>
      <left/>
      <right/>
      <top style="thin">
        <color rgb="FF2E5FA3"/>
      </top>
      <bottom style="thin">
        <color rgb="FF2E5FA3"/>
      </bottom>
      <diagonal/>
    </border>
    <border>
      <left/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medium">
        <color rgb="FFB8860B"/>
      </left>
      <right/>
      <top/>
      <bottom/>
      <diagonal/>
    </border>
    <border>
      <left style="medium">
        <color rgb="FF1F3864"/>
      </left>
      <right/>
      <top/>
      <bottom/>
      <diagonal/>
    </border>
  </borders>
  <cellStyleXfs count="7">
    <xf numFmtId="0" fontId="0" fillId="0" borderId="0"/>
    <xf numFmtId="9" fontId="15" fillId="0" borderId="0" applyFont="0" applyFill="0" applyBorder="0" applyAlignment="0" applyProtection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</cellStyleXfs>
  <cellXfs count="19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4" fontId="12" fillId="7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3" fontId="12" fillId="7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4" fontId="13" fillId="8" borderId="2" xfId="0" applyNumberFormat="1" applyFont="1" applyFill="1" applyBorder="1" applyAlignment="1">
      <alignment horizontal="left" vertical="center"/>
    </xf>
    <xf numFmtId="3" fontId="13" fillId="8" borderId="2" xfId="0" applyNumberFormat="1" applyFont="1" applyFill="1" applyBorder="1" applyAlignment="1">
      <alignment horizontal="left" vertical="center"/>
    </xf>
    <xf numFmtId="4" fontId="14" fillId="2" borderId="3" xfId="0" applyNumberFormat="1" applyFont="1" applyFill="1" applyBorder="1" applyAlignment="1">
      <alignment horizontal="right" vertical="center"/>
    </xf>
    <xf numFmtId="3" fontId="14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/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4" fontId="6" fillId="10" borderId="2" xfId="0" applyNumberFormat="1" applyFont="1" applyFill="1" applyBorder="1" applyAlignment="1">
      <alignment horizontal="right" vertical="center"/>
    </xf>
    <xf numFmtId="0" fontId="11" fillId="10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164" fontId="6" fillId="11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65" fontId="12" fillId="13" borderId="2" xfId="0" applyNumberFormat="1" applyFont="1" applyFill="1" applyBorder="1" applyAlignment="1">
      <alignment horizontal="right" vertical="center"/>
    </xf>
    <xf numFmtId="165" fontId="12" fillId="7" borderId="2" xfId="0" applyNumberFormat="1" applyFont="1" applyFill="1" applyBorder="1" applyAlignment="1">
      <alignment horizontal="right" vertical="center"/>
    </xf>
    <xf numFmtId="3" fontId="12" fillId="13" borderId="2" xfId="0" applyNumberFormat="1" applyFont="1" applyFill="1" applyBorder="1" applyAlignment="1">
      <alignment horizontal="center" vertical="center"/>
    </xf>
    <xf numFmtId="164" fontId="6" fillId="14" borderId="2" xfId="0" applyNumberFormat="1" applyFont="1" applyFill="1" applyBorder="1" applyAlignment="1">
      <alignment horizontal="right" vertical="center"/>
    </xf>
    <xf numFmtId="4" fontId="12" fillId="13" borderId="2" xfId="0" applyNumberFormat="1" applyFont="1" applyFill="1" applyBorder="1" applyAlignment="1">
      <alignment horizontal="right" vertical="center"/>
    </xf>
    <xf numFmtId="0" fontId="0" fillId="0" borderId="10" xfId="0" applyBorder="1"/>
    <xf numFmtId="0" fontId="19" fillId="8" borderId="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20" fillId="0" borderId="0" xfId="0" applyFont="1"/>
    <xf numFmtId="0" fontId="10" fillId="5" borderId="1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left" vertical="center"/>
    </xf>
    <xf numFmtId="0" fontId="20" fillId="0" borderId="10" xfId="0" applyFont="1" applyBorder="1"/>
    <xf numFmtId="4" fontId="12" fillId="7" borderId="2" xfId="0" applyNumberFormat="1" applyFont="1" applyFill="1" applyBorder="1" applyAlignment="1">
      <alignment vertical="center"/>
    </xf>
    <xf numFmtId="4" fontId="12" fillId="13" borderId="2" xfId="0" applyNumberFormat="1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vertical="center"/>
    </xf>
    <xf numFmtId="3" fontId="12" fillId="13" borderId="2" xfId="0" applyNumberFormat="1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vertical="center"/>
    </xf>
    <xf numFmtId="4" fontId="14" fillId="2" borderId="3" xfId="0" applyNumberFormat="1" applyFont="1" applyFill="1" applyBorder="1" applyAlignment="1">
      <alignment vertical="center"/>
    </xf>
    <xf numFmtId="9" fontId="14" fillId="2" borderId="3" xfId="1" applyFont="1" applyFill="1" applyBorder="1" applyAlignment="1">
      <alignment vertical="center"/>
    </xf>
    <xf numFmtId="3" fontId="14" fillId="2" borderId="3" xfId="0" applyNumberFormat="1" applyFont="1" applyFill="1" applyBorder="1" applyAlignment="1">
      <alignment vertical="center"/>
    </xf>
    <xf numFmtId="4" fontId="6" fillId="4" borderId="2" xfId="0" applyNumberFormat="1" applyFont="1" applyFill="1" applyBorder="1" applyAlignment="1">
      <alignment vertical="center"/>
    </xf>
    <xf numFmtId="4" fontId="13" fillId="8" borderId="2" xfId="0" applyNumberFormat="1" applyFont="1" applyFill="1" applyBorder="1" applyAlignment="1">
      <alignment vertical="center"/>
    </xf>
    <xf numFmtId="164" fontId="13" fillId="8" borderId="2" xfId="0" applyNumberFormat="1" applyFont="1" applyFill="1" applyBorder="1" applyAlignment="1">
      <alignment vertical="center"/>
    </xf>
    <xf numFmtId="3" fontId="13" fillId="8" borderId="2" xfId="0" applyNumberFormat="1" applyFont="1" applyFill="1" applyBorder="1" applyAlignment="1">
      <alignment vertical="center"/>
    </xf>
    <xf numFmtId="164" fontId="14" fillId="2" borderId="3" xfId="0" applyNumberFormat="1" applyFont="1" applyFill="1" applyBorder="1" applyAlignment="1">
      <alignment vertical="center"/>
    </xf>
    <xf numFmtId="2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2" fontId="13" fillId="8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right" vertical="center"/>
    </xf>
    <xf numFmtId="4" fontId="16" fillId="0" borderId="10" xfId="0" applyNumberFormat="1" applyFont="1" applyBorder="1" applyAlignment="1">
      <alignment horizontal="right"/>
    </xf>
    <xf numFmtId="0" fontId="8" fillId="2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left" vertical="center"/>
    </xf>
    <xf numFmtId="4" fontId="13" fillId="8" borderId="0" xfId="0" applyNumberFormat="1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4" fontId="13" fillId="8" borderId="2" xfId="0" applyNumberFormat="1" applyFont="1" applyFill="1" applyBorder="1" applyAlignment="1">
      <alignment horizontal="right" vertical="center"/>
    </xf>
    <xf numFmtId="4" fontId="12" fillId="16" borderId="2" xfId="0" applyNumberFormat="1" applyFont="1" applyFill="1" applyBorder="1" applyAlignment="1">
      <alignment vertical="center"/>
    </xf>
    <xf numFmtId="3" fontId="12" fillId="17" borderId="2" xfId="0" applyNumberFormat="1" applyFont="1" applyFill="1" applyBorder="1" applyAlignment="1">
      <alignment vertical="center"/>
    </xf>
    <xf numFmtId="2" fontId="14" fillId="2" borderId="5" xfId="0" applyNumberFormat="1" applyFont="1" applyFill="1" applyBorder="1" applyAlignment="1">
      <alignment horizontal="left" vertical="center"/>
    </xf>
    <xf numFmtId="4" fontId="14" fillId="2" borderId="5" xfId="0" applyNumberFormat="1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4" fontId="6" fillId="0" borderId="2" xfId="0" applyNumberFormat="1" applyFont="1" applyBorder="1" applyAlignment="1">
      <alignment vertical="center"/>
    </xf>
    <xf numFmtId="4" fontId="12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vertical="center"/>
    </xf>
    <xf numFmtId="3" fontId="12" fillId="0" borderId="2" xfId="0" applyNumberFormat="1" applyFont="1" applyBorder="1" applyAlignment="1">
      <alignment vertical="center"/>
    </xf>
    <xf numFmtId="3" fontId="12" fillId="0" borderId="2" xfId="0" applyNumberFormat="1" applyFont="1" applyBorder="1" applyAlignment="1">
      <alignment horizontal="center" vertical="center"/>
    </xf>
    <xf numFmtId="4" fontId="12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vertical="center"/>
    </xf>
    <xf numFmtId="0" fontId="24" fillId="8" borderId="2" xfId="0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5" fontId="6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19" borderId="0" xfId="0" applyFill="1"/>
    <xf numFmtId="0" fontId="6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6" xfId="0" applyBorder="1"/>
    <xf numFmtId="2" fontId="0" fillId="0" borderId="16" xfId="0" applyNumberFormat="1" applyBorder="1"/>
    <xf numFmtId="0" fontId="6" fillId="19" borderId="16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left" vertical="center"/>
    </xf>
    <xf numFmtId="0" fontId="10" fillId="15" borderId="16" xfId="0" applyFont="1" applyFill="1" applyBorder="1" applyAlignment="1">
      <alignment horizontal="center" vertical="center"/>
    </xf>
    <xf numFmtId="0" fontId="11" fillId="19" borderId="16" xfId="0" applyFont="1" applyFill="1" applyBorder="1" applyAlignment="1">
      <alignment horizontal="center" vertical="center"/>
    </xf>
    <xf numFmtId="0" fontId="0" fillId="19" borderId="16" xfId="0" applyFill="1" applyBorder="1"/>
    <xf numFmtId="2" fontId="0" fillId="19" borderId="16" xfId="0" applyNumberFormat="1" applyFill="1" applyBorder="1"/>
    <xf numFmtId="0" fontId="13" fillId="0" borderId="2" xfId="0" applyFont="1" applyBorder="1" applyAlignment="1">
      <alignment horizontal="left" vertical="center"/>
    </xf>
    <xf numFmtId="1" fontId="13" fillId="8" borderId="2" xfId="1" applyNumberFormat="1" applyFont="1" applyFill="1" applyBorder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6" fillId="2" borderId="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0" fontId="0" fillId="19" borderId="16" xfId="0" applyFill="1" applyBorder="1" applyAlignment="1">
      <alignment horizontal="right"/>
    </xf>
    <xf numFmtId="0" fontId="2" fillId="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right"/>
    </xf>
    <xf numFmtId="0" fontId="23" fillId="18" borderId="16" xfId="6" applyNumberFormat="1" applyFont="1" applyFill="1" applyBorder="1" applyAlignment="1">
      <alignment horizontal="right"/>
    </xf>
    <xf numFmtId="0" fontId="23" fillId="18" borderId="16" xfId="3" applyFont="1" applyFill="1" applyBorder="1" applyAlignment="1">
      <alignment horizontal="right"/>
    </xf>
    <xf numFmtId="0" fontId="25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4" fontId="6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left" vertical="center"/>
    </xf>
    <xf numFmtId="4" fontId="13" fillId="0" borderId="0" xfId="0" applyNumberFormat="1" applyFont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right"/>
    </xf>
    <xf numFmtId="0" fontId="11" fillId="0" borderId="16" xfId="0" applyFont="1" applyBorder="1" applyAlignment="1">
      <alignment horizontal="left" vertical="center"/>
    </xf>
    <xf numFmtId="4" fontId="0" fillId="0" borderId="16" xfId="0" applyNumberFormat="1" applyBorder="1" applyAlignment="1">
      <alignment horizontal="right"/>
    </xf>
    <xf numFmtId="0" fontId="17" fillId="4" borderId="2" xfId="0" applyFont="1" applyFill="1" applyBorder="1" applyAlignment="1">
      <alignment horizontal="right" vertical="center"/>
    </xf>
    <xf numFmtId="0" fontId="28" fillId="0" borderId="16" xfId="0" applyFont="1" applyBorder="1" applyAlignment="1">
      <alignment horizontal="center" vertical="center"/>
    </xf>
    <xf numFmtId="4" fontId="6" fillId="0" borderId="16" xfId="0" applyNumberFormat="1" applyFont="1" applyBorder="1" applyAlignment="1">
      <alignment horizontal="right"/>
    </xf>
    <xf numFmtId="164" fontId="0" fillId="0" borderId="16" xfId="1" applyNumberFormat="1" applyFont="1" applyBorder="1" applyAlignment="1">
      <alignment horizontal="right"/>
    </xf>
    <xf numFmtId="2" fontId="0" fillId="19" borderId="16" xfId="0" applyNumberFormat="1" applyFill="1" applyBorder="1" applyAlignment="1">
      <alignment horizontal="right"/>
    </xf>
    <xf numFmtId="164" fontId="12" fillId="16" borderId="2" xfId="1" applyNumberFormat="1" applyFont="1" applyFill="1" applyBorder="1" applyAlignment="1">
      <alignment vertical="center"/>
    </xf>
    <xf numFmtId="164" fontId="12" fillId="0" borderId="2" xfId="1" applyNumberFormat="1" applyFont="1" applyBorder="1" applyAlignment="1">
      <alignment vertical="center"/>
    </xf>
    <xf numFmtId="9" fontId="11" fillId="0" borderId="2" xfId="1" applyFont="1" applyBorder="1" applyAlignment="1">
      <alignment horizontal="right" vertical="center"/>
    </xf>
    <xf numFmtId="9" fontId="17" fillId="4" borderId="2" xfId="1" applyFont="1" applyFill="1" applyBorder="1" applyAlignment="1">
      <alignment horizontal="right" vertical="center"/>
    </xf>
    <xf numFmtId="164" fontId="12" fillId="20" borderId="2" xfId="1" applyNumberFormat="1" applyFont="1" applyFill="1" applyBorder="1" applyAlignment="1">
      <alignment vertical="center"/>
    </xf>
    <xf numFmtId="164" fontId="13" fillId="8" borderId="2" xfId="1" applyNumberFormat="1" applyFont="1" applyFill="1" applyBorder="1" applyAlignment="1">
      <alignment vertical="center"/>
    </xf>
    <xf numFmtId="164" fontId="14" fillId="2" borderId="5" xfId="1" applyNumberFormat="1" applyFont="1" applyFill="1" applyBorder="1" applyAlignment="1">
      <alignment horizontal="left" vertical="center"/>
    </xf>
    <xf numFmtId="164" fontId="14" fillId="2" borderId="3" xfId="1" applyNumberFormat="1" applyFont="1" applyFill="1" applyBorder="1" applyAlignment="1">
      <alignment vertical="center"/>
    </xf>
    <xf numFmtId="0" fontId="29" fillId="2" borderId="5" xfId="0" applyFont="1" applyFill="1" applyBorder="1" applyAlignment="1">
      <alignment horizontal="right" vertical="center"/>
    </xf>
    <xf numFmtId="4" fontId="19" fillId="8" borderId="2" xfId="0" applyNumberFormat="1" applyFont="1" applyFill="1" applyBorder="1" applyAlignment="1">
      <alignment horizontal="right" vertical="center"/>
    </xf>
    <xf numFmtId="2" fontId="0" fillId="21" borderId="16" xfId="0" applyNumberFormat="1" applyFill="1" applyBorder="1" applyAlignment="1">
      <alignment horizontal="right"/>
    </xf>
    <xf numFmtId="0" fontId="0" fillId="21" borderId="16" xfId="0" applyFill="1" applyBorder="1" applyAlignment="1">
      <alignment horizontal="right"/>
    </xf>
    <xf numFmtId="4" fontId="27" fillId="10" borderId="2" xfId="0" applyNumberFormat="1" applyFont="1" applyFill="1" applyBorder="1" applyAlignment="1">
      <alignment horizontal="right" vertical="center"/>
    </xf>
    <xf numFmtId="164" fontId="27" fillId="10" borderId="2" xfId="0" applyNumberFormat="1" applyFont="1" applyFill="1" applyBorder="1" applyAlignment="1">
      <alignment horizontal="right" vertical="center"/>
    </xf>
    <xf numFmtId="4" fontId="30" fillId="10" borderId="2" xfId="0" applyNumberFormat="1" applyFont="1" applyFill="1" applyBorder="1" applyAlignment="1">
      <alignment horizontal="right" vertical="center"/>
    </xf>
    <xf numFmtId="164" fontId="30" fillId="10" borderId="2" xfId="0" applyNumberFormat="1" applyFont="1" applyFill="1" applyBorder="1" applyAlignment="1">
      <alignment horizontal="right" vertical="center"/>
    </xf>
    <xf numFmtId="0" fontId="30" fillId="10" borderId="2" xfId="0" applyFont="1" applyFill="1" applyBorder="1" applyAlignment="1">
      <alignment horizontal="right" vertical="center"/>
    </xf>
    <xf numFmtId="4" fontId="31" fillId="13" borderId="2" xfId="0" applyNumberFormat="1" applyFont="1" applyFill="1" applyBorder="1" applyAlignment="1">
      <alignment horizontal="right" vertical="center"/>
    </xf>
    <xf numFmtId="165" fontId="27" fillId="10" borderId="2" xfId="0" applyNumberFormat="1" applyFont="1" applyFill="1" applyBorder="1" applyAlignment="1">
      <alignment horizontal="right" vertical="center"/>
    </xf>
    <xf numFmtId="165" fontId="31" fillId="13" borderId="2" xfId="0" applyNumberFormat="1" applyFont="1" applyFill="1" applyBorder="1" applyAlignment="1">
      <alignment horizontal="right" vertical="center"/>
    </xf>
    <xf numFmtId="164" fontId="27" fillId="14" borderId="2" xfId="0" applyNumberFormat="1" applyFont="1" applyFill="1" applyBorder="1" applyAlignment="1">
      <alignment horizontal="right" vertical="center"/>
    </xf>
    <xf numFmtId="3" fontId="31" fillId="13" borderId="2" xfId="0" applyNumberFormat="1" applyFont="1" applyFill="1" applyBorder="1" applyAlignment="1">
      <alignment horizontal="right" vertical="center"/>
    </xf>
    <xf numFmtId="164" fontId="13" fillId="8" borderId="2" xfId="1" applyNumberFormat="1" applyFont="1" applyFill="1" applyBorder="1" applyAlignment="1">
      <alignment horizontal="right" vertical="center"/>
    </xf>
    <xf numFmtId="164" fontId="0" fillId="0" borderId="16" xfId="1" applyNumberFormat="1" applyFont="1" applyBorder="1"/>
    <xf numFmtId="164" fontId="0" fillId="19" borderId="16" xfId="1" applyNumberFormat="1" applyFont="1" applyFill="1" applyBorder="1"/>
    <xf numFmtId="2" fontId="12" fillId="0" borderId="2" xfId="1" applyNumberFormat="1" applyFont="1" applyBorder="1" applyAlignment="1">
      <alignment vertical="center"/>
    </xf>
    <xf numFmtId="0" fontId="32" fillId="22" borderId="2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9" fontId="13" fillId="8" borderId="2" xfId="1" applyFont="1" applyFill="1" applyBorder="1" applyAlignment="1">
      <alignment horizontal="right" vertical="center"/>
    </xf>
    <xf numFmtId="1" fontId="13" fillId="8" borderId="2" xfId="0" applyNumberFormat="1" applyFont="1" applyFill="1" applyBorder="1" applyAlignment="1">
      <alignment horizontal="right" vertical="center"/>
    </xf>
    <xf numFmtId="3" fontId="13" fillId="8" borderId="2" xfId="0" applyNumberFormat="1" applyFont="1" applyFill="1" applyBorder="1" applyAlignment="1">
      <alignment horizontal="right" vertical="center"/>
    </xf>
    <xf numFmtId="0" fontId="32" fillId="0" borderId="2" xfId="0" applyFont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8" fillId="6" borderId="11" xfId="0" applyFont="1" applyFill="1" applyBorder="1" applyAlignment="1">
      <alignment horizontal="left" vertical="center"/>
    </xf>
    <xf numFmtId="0" fontId="7" fillId="6" borderId="12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7" fillId="9" borderId="6" xfId="0" applyFont="1" applyFill="1" applyBorder="1" applyAlignment="1">
      <alignment horizontal="left" vertical="center"/>
    </xf>
    <xf numFmtId="0" fontId="7" fillId="12" borderId="25" xfId="0" applyFont="1" applyFill="1" applyBorder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</cellXfs>
  <cellStyles count="7">
    <cellStyle name="Comma 3" xfId="6" xr:uid="{AEF7C21C-0F2D-4165-A5F0-08D19799D3F5}"/>
    <cellStyle name="Comma 5 2" xfId="4" xr:uid="{6127F263-7F19-4F14-9779-FB9398B63F6C}"/>
    <cellStyle name="Normal" xfId="0" builtinId="0"/>
    <cellStyle name="Normal 2" xfId="2" xr:uid="{CC6C3616-AE25-498B-ADE4-A0CF1E99F09F}"/>
    <cellStyle name="Normal 3 2" xfId="3" xr:uid="{7FEA01C6-3D6B-4032-BDBE-F80D0DDE7A2E}"/>
    <cellStyle name="Normal 5 3" xfId="5" xr:uid="{B1464BFA-74AB-4D7E-AA12-8C0639246503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D7874"/>
      <rgbColor rgb="FFC0C0C0"/>
      <rgbColor rgb="FF808080"/>
      <rgbColor rgb="FF9999FF"/>
      <rgbColor rgb="FF993366"/>
      <rgbColor rgb="FFFFF3CD"/>
      <rgbColor rgb="FFD4EDEA"/>
      <rgbColor rgb="FF660066"/>
      <rgbColor rgb="FFFF8080"/>
      <rgbColor rgb="FF2E5FA3"/>
      <rgbColor rgb="FFCB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8ECF1"/>
      <rgbColor rgb="FFF2F4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ECF1"/>
      <color rgb="FFF2F4F7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v\OneDrive%20-%20Praveen%20Sahai\Documents\Office%20Related\Galaxy%20Target%20Letter\Opportunity%20Pipeline%201Apr%20to%2021Jun.csv" TargetMode="External"/><Relationship Id="rId1" Type="http://schemas.openxmlformats.org/officeDocument/2006/relationships/externalLinkPath" Target="file:///C:\Users\Shiv\OneDrive%20-%20Praveen%20Sahai\Documents\Office%20Related\Galaxy%20Target%20Letter\Opportunity%20Pipeline%201Apr%20to%2021Jun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Tasneem%20-%20Target%20Letter%20-%20FY%2026-27%20(H1%20%20H2)%20ver%201.1-%20Final..xlsx" TargetMode="External"/><Relationship Id="rId1" Type="http://schemas.openxmlformats.org/officeDocument/2006/relationships/externalLinkPath" Target="Strategic%20-%201/Tasneem%20-%20Target%20Letter%20-%20FY%2026-27%20(H1%20%20H2)%20ver%201.1-%20Final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Opportunity%20Pipeline.xlsx" TargetMode="External"/><Relationship Id="rId1" Type="http://schemas.openxmlformats.org/officeDocument/2006/relationships/externalLinkPath" Target="Opportunity%20Pipelin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RIYA%20-%20Target%20Letter%20-%20FY%2026-27%20(H1%20%20H2)%20ver%201.1-%20Final..xlsx" TargetMode="External"/><Relationship Id="rId1" Type="http://schemas.openxmlformats.org/officeDocument/2006/relationships/externalLinkPath" Target="Strategic%20-%201/RIYA%20-%20Target%20Letter%20-%20FY%2026-27%20(H1%20%20H2)%20ver%201.1-%20Final.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Chirag-%20Target%20Letter%20-%20FY%2026-27%20(H1%20%20H2)%20ver%201.1-%20Final.xlsx" TargetMode="External"/><Relationship Id="rId1" Type="http://schemas.openxmlformats.org/officeDocument/2006/relationships/externalLinkPath" Target="Strategic%20-%201/Chirag-%20Target%20Letter%20-%20FY%2026-27%20(H1%20%20H2)%20ver%201.1-%20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RICHA%20-%20Target%20Letter%20-%20FY%2026-27%20(H1%20%20H2)%20ver%201.1-%20Final..xlsx" TargetMode="External"/><Relationship Id="rId1" Type="http://schemas.openxmlformats.org/officeDocument/2006/relationships/externalLinkPath" Target="Strategic%20-%201/RICHA%20-%20Target%20Letter%20-%20FY%2026-27%20(H1%20%20H2)%20ver%201.1-%20Final.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Pratik-%20Target%20Letter%20-%20FY%2026-27%20(H1%20%20H2)%20ver%201.1-%20Final..xlsx" TargetMode="External"/><Relationship Id="rId1" Type="http://schemas.openxmlformats.org/officeDocument/2006/relationships/externalLinkPath" Target="Strategic%20-%201/Pratik-%20Target%20Letter%20-%20FY%2026-27%20(H1%20%20H2)%20ver%201.1-%20Final.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Prashant%20-%20Target%20Letter%20-%20FY%2026-27%20(H1%20%20H2)%20ver%201.1-%20Final.xlsx" TargetMode="External"/><Relationship Id="rId1" Type="http://schemas.openxmlformats.org/officeDocument/2006/relationships/externalLinkPath" Target="Strategic%20-%201/Prashant%20-%20Target%20Letter%20-%20FY%2026-27%20(H1%20%20H2)%20ver%201.1-%20Fina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Rohit-%20Target%20Letter%20-%20FY%2026-27%20(H1%20%20H2)%20ver%201.1-%20Final..xlsx" TargetMode="External"/><Relationship Id="rId1" Type="http://schemas.openxmlformats.org/officeDocument/2006/relationships/externalLinkPath" Target="Strategic%202/Rohit-%20Target%20Letter%20-%20FY%2026-27%20(H1%20%20H2)%20ver%201.1-%20Final.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Chetna-%20Target%20Letter%20-%20FY%2026-27%20(H1%20%20H2)%20ver%201.1-%20Final..xlsx" TargetMode="External"/><Relationship Id="rId1" Type="http://schemas.openxmlformats.org/officeDocument/2006/relationships/externalLinkPath" Target="Strategic%202/Chetna-%20Target%20Letter%20-%20FY%2026-27%20(H1%20%20H2)%20ver%201.1-%20Final.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Sankeerth-%20Target%20Letter%20-%20FY%2026-27%20(H1%20%20H2)%20ver%201.1-%20Final..xlsx" TargetMode="External"/><Relationship Id="rId1" Type="http://schemas.openxmlformats.org/officeDocument/2006/relationships/externalLinkPath" Target="Strategic%202/Sankeerth-%20Target%20Letter%20-%20FY%2026-27%20(H1%20%20H2)%20ver%201.1-%20Final.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Prachi-%20Commercial%20-%20Target%20Letter%20-%20FY%2026-27%20(H1%20%20H2)%20ver%202%20final.xlsx" TargetMode="External"/><Relationship Id="rId1" Type="http://schemas.openxmlformats.org/officeDocument/2006/relationships/externalLinkPath" Target="Commercial/Prachi-%20Commercial%20-%20Target%20Letter%20-%20FY%2026-27%20(H1%20%20H2)%20ver%202%20fina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Shilpa-%20Commercial%20-Target%20Letter%20-%20FY%2026-27%20(H1%20%20H2)%20ver%202-%20Final.xlsx" TargetMode="External"/><Relationship Id="rId1" Type="http://schemas.openxmlformats.org/officeDocument/2006/relationships/externalLinkPath" Target="Commercial/Shilpa-%20Commercial%20-Target%20Letter%20-%20FY%2026-27%20(H1%20%20H2)%20ver%202-%20Final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Vidula%20-%20Commercial%20-Target%20Letter%20-%20FY%2026-27%20(H1%20%20H2)%20ver%202-%20Final.xlsx" TargetMode="External"/><Relationship Id="rId1" Type="http://schemas.openxmlformats.org/officeDocument/2006/relationships/externalLinkPath" Target="Commercial/Vidula%20-%20Commercial%20-Target%20Letter%20-%20FY%2026-27%20(H1%20%20H2)%20ver%202-%20Fina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Jimesh%20-%20Commercial%20-%20Target%20Letter%20-%20FY%2026-27%20(H1%20%20H2)%20ver%202%20Final.xlsx" TargetMode="External"/><Relationship Id="rId1" Type="http://schemas.openxmlformats.org/officeDocument/2006/relationships/externalLinkPath" Target="Commercial/Jimesh%20-%20Commercial%20-%20Target%20Letter%20-%20FY%2026-27%20(H1%20%20H2)%20ver%202%20F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tharva%20Karpe%20-%20Growth-%20Target%20Letter%20-%20FY%2026-27%20(H1%20%20H2)%20ver%202%20final.xlsx" TargetMode="External"/><Relationship Id="rId1" Type="http://schemas.openxmlformats.org/officeDocument/2006/relationships/externalLinkPath" Target="Growth%20Business/Atharva%20Karpe%20-%20Growth-%20Target%20Letter%20-%20FY%2026-27%20(H1%20%20H2)%20ver%202%20final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Jay%20Rushi-%20Growth-%20Target%20Letter%20-%20FY%2026-27%20(H1%20%20H2)%20ver%202%20final.xlsx" TargetMode="External"/><Relationship Id="rId1" Type="http://schemas.openxmlformats.org/officeDocument/2006/relationships/externalLinkPath" Target="Growth%20Business/Jay%20Rushi-%20Growth-%20Target%20Letter%20-%20FY%2026-27%20(H1%20%20H2)%20ver%202%20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yushman%20-%20Growth-%20Target%20Letter%20-%20FY%2026-27%20(H1%20%20H2)%20ver%202%20final.xlsx" TargetMode="External"/><Relationship Id="rId1" Type="http://schemas.openxmlformats.org/officeDocument/2006/relationships/externalLinkPath" Target="Growth%20Business/Ayushman%20-%20Growth-%20Target%20Letter%20-%20FY%2026-27%20(H1%20%20H2)%20ver%202%20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echpayai-my.sharepoint.com/personal/shiv_kumar_techpay_ai/Documents/Documents/Office%20Related/Galaxy%20Target%20Letter/Growth%20Business/Shubhangi%20Srinivasan%20-%20Growth-%20Target%20Letter%20-%20FY%2026-27%20(H1%20%20H2)%20ver%202%20final.xlsx" TargetMode="External"/><Relationship Id="rId2" Type="http://schemas.microsoft.com/office/2019/04/relationships/externalLinkLongPath" Target="Growth%20Business/Shubhangi%20Srinivasan%20-%20Growth-%20Target%20Letter%20-%20FY%2026-27%20(H1%20%20H2)%20ver%202%20final.xlsx?7F1AE0D9" TargetMode="External"/><Relationship Id="rId1" Type="http://schemas.openxmlformats.org/officeDocument/2006/relationships/externalLinkPath" Target="file:///\\7F1AE0D9\Shubhangi%20Srinivasan%20-%20Growth-%20Target%20Letter%20-%20FY%2026-27%20(H1%20%20H2)%20ver%202%20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Bhumi%20Karelia-%20Growth-%20Target%20Letter%20-%20FY%2026-27%20(H1%20%20H2)%20ver%202%20final.xlsx" TargetMode="External"/><Relationship Id="rId1" Type="http://schemas.openxmlformats.org/officeDocument/2006/relationships/externalLinkPath" Target="Growth%20Business/Bhumi%20Karelia-%20Growth-%20Target%20Letter%20-%20FY%2026-27%20(H1%20%20H2)%20ver%202%20final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Suvesh%20Malkar-%20Growth-%20Target%20Letter%20-%20FY%2026-27%20(H1%20%20H2)%20ver%202%20final.xlsx" TargetMode="External"/><Relationship Id="rId1" Type="http://schemas.openxmlformats.org/officeDocument/2006/relationships/externalLinkPath" Target="Growth%20Business/Suvesh%20Malkar-%20Growth-%20Target%20Letter%20-%20FY%2026-27%20(H1%20%20H2)%20ver%202%20f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shish%20Singh-%20Growth-%20Target%20Letter%20-%20FY%2026-27%20(H1%20%20H2)%20ver%202%20final.xlsx" TargetMode="External"/><Relationship Id="rId1" Type="http://schemas.openxmlformats.org/officeDocument/2006/relationships/externalLinkPath" Target="Growth%20Business/Ashish%20Singh-%20Growth-%20Target%20Letter%20-%20FY%2026-27%20(H1%20%20H2)%20ver%202%20final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Rizwana%20Khan-%20Growth-%20Target%20Letter%20-%20FY%2026-27%20(H1%20%20H2)%20ver%202%20final.xlsx" TargetMode="External"/><Relationship Id="rId1" Type="http://schemas.openxmlformats.org/officeDocument/2006/relationships/externalLinkPath" Target="Growth%20Business/Rizwana%20Khan-%20Growth-%20Target%20Letter%20-%20FY%2026-27%20(H1%20%20H2)%20ver%202%20fina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Abrar%20Menon-%20South-Target%20Letter%20-%20FY%2026-27%20(H1%20%20H2)%20ver%202-%20Final.xlsx" TargetMode="External"/><Relationship Id="rId1" Type="http://schemas.openxmlformats.org/officeDocument/2006/relationships/externalLinkPath" Target="DCG-%20South%20Sales/Abrar%20Menon-%20South-Target%20Letter%20-%20FY%2026-27%20(H1%20%20H2)%20ver%202-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agar%20TR-%20South-Target%20Letter%20-%20FY%2026-27%20(H1%20%20H2)%20ver%202-%20Final.xlsx" TargetMode="External"/><Relationship Id="rId1" Type="http://schemas.openxmlformats.org/officeDocument/2006/relationships/externalLinkPath" Target="DCG-%20South%20Sales/Sagar%20TR-%20South-Target%20Letter%20-%20FY%2026-27%20(H1%20%20H2)%20ver%202-%20Fin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hahbaz%20Khan-%20South-Target%20Letter%20-%20FY%2026-27%20(H1%20%20H2)%20ver%202-%20Final.xlsx" TargetMode="External"/><Relationship Id="rId1" Type="http://schemas.openxmlformats.org/officeDocument/2006/relationships/externalLinkPath" Target="DCG-%20South%20Sales/Shahbaz%20Khan-%20South-Target%20Letter%20-%20FY%2026-27%20(H1%20%20H2)%20ver%202-%20Final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Rima%20Ingle-%20Growth-%20Target%20Letter%20-%20FY%2026-27%20(H1%20%20H2)%20ver%202%20final.xlsx" TargetMode="External"/><Relationship Id="rId1" Type="http://schemas.openxmlformats.org/officeDocument/2006/relationships/externalLinkPath" Target="Growth%20Business/Rima%20Ingle-%20Growth-%20Target%20Letter%20-%20FY%2026-27%20(H1%20%20H2)%20ver%202%20final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Sana%20Bhatkar-%20Growth-%20Target%20Letter%20-%20FY%2026-27%20(H1%20%20H2)%20ver%202%20final.xlsx" TargetMode="External"/><Relationship Id="rId1" Type="http://schemas.openxmlformats.org/officeDocument/2006/relationships/externalLinkPath" Target="Growth%20Business/Sana%20Bhatkar-%20Growth-%20Target%20Letter%20-%20FY%2026-27%20(H1%20%20H2)%20ver%2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portunity Pipeline 1Apr to 21"/>
    </sheetNames>
    <sheetDataSet>
      <sheetData sheetId="0">
        <row r="1">
          <cell r="F1" t="str">
            <v>Opportunity Led By</v>
          </cell>
          <cell r="O1" t="str">
            <v>Amount</v>
          </cell>
        </row>
        <row r="2">
          <cell r="F2" t="str">
            <v>Abrar Memon</v>
          </cell>
          <cell r="O2">
            <v>16380</v>
          </cell>
        </row>
        <row r="3">
          <cell r="F3" t="str">
            <v>Abrar Memon</v>
          </cell>
          <cell r="O3">
            <v>4100</v>
          </cell>
        </row>
        <row r="4">
          <cell r="F4" t="str">
            <v>Abrar Memon</v>
          </cell>
          <cell r="O4">
            <v>263090.89</v>
          </cell>
        </row>
        <row r="5">
          <cell r="F5" t="str">
            <v>Ajay Patodia</v>
          </cell>
          <cell r="O5">
            <v>27839236</v>
          </cell>
        </row>
        <row r="6">
          <cell r="F6" t="str">
            <v>Ajay Patodia</v>
          </cell>
          <cell r="O6">
            <v>1555020</v>
          </cell>
        </row>
        <row r="7">
          <cell r="F7" t="str">
            <v>Ajay Patodia</v>
          </cell>
          <cell r="O7">
            <v>450000</v>
          </cell>
        </row>
        <row r="8">
          <cell r="F8" t="str">
            <v>Ajay Patodia</v>
          </cell>
          <cell r="O8">
            <v>3592913.74</v>
          </cell>
        </row>
        <row r="9">
          <cell r="F9" t="str">
            <v>Ajay Patodia</v>
          </cell>
          <cell r="O9">
            <v>40741531.43</v>
          </cell>
        </row>
        <row r="10">
          <cell r="F10" t="str">
            <v>Ajay Patodia</v>
          </cell>
          <cell r="O10">
            <v>76000</v>
          </cell>
        </row>
        <row r="11">
          <cell r="F11" t="str">
            <v>Ajay Patodia</v>
          </cell>
          <cell r="O11">
            <v>1272406.6599999999</v>
          </cell>
        </row>
        <row r="12">
          <cell r="F12" t="str">
            <v>Ajay Patodia</v>
          </cell>
          <cell r="O12">
            <v>446200</v>
          </cell>
        </row>
        <row r="13">
          <cell r="F13" t="str">
            <v>Ajay Patodia</v>
          </cell>
          <cell r="O13">
            <v>374193.55</v>
          </cell>
        </row>
        <row r="14">
          <cell r="F14" t="str">
            <v>Ajay Patodia</v>
          </cell>
          <cell r="O14">
            <v>678597.96</v>
          </cell>
        </row>
        <row r="15">
          <cell r="F15" t="str">
            <v>Ajay Patodia</v>
          </cell>
          <cell r="O15">
            <v>113278.2</v>
          </cell>
        </row>
        <row r="16">
          <cell r="F16" t="str">
            <v>Ajay Patodia</v>
          </cell>
          <cell r="O16">
            <v>259894.56</v>
          </cell>
        </row>
        <row r="17">
          <cell r="F17" t="str">
            <v>Ajay Patodia</v>
          </cell>
          <cell r="O17">
            <v>920221.56</v>
          </cell>
        </row>
        <row r="18">
          <cell r="F18" t="str">
            <v>Ajay Patodia</v>
          </cell>
          <cell r="O18">
            <v>1026669.24</v>
          </cell>
        </row>
        <row r="19">
          <cell r="F19" t="str">
            <v>Ajay Patodia</v>
          </cell>
          <cell r="O19">
            <v>161595.72</v>
          </cell>
        </row>
        <row r="20">
          <cell r="F20" t="str">
            <v>Ajay Patodia</v>
          </cell>
          <cell r="O20">
            <v>1514239.56</v>
          </cell>
        </row>
        <row r="21">
          <cell r="F21" t="str">
            <v>Ajay Patodia</v>
          </cell>
          <cell r="O21">
            <v>259894.56</v>
          </cell>
        </row>
        <row r="22">
          <cell r="F22" t="str">
            <v>Ajay Patodia</v>
          </cell>
          <cell r="O22">
            <v>259894.56</v>
          </cell>
        </row>
        <row r="23">
          <cell r="F23" t="str">
            <v>Ajay Patodia</v>
          </cell>
          <cell r="O23">
            <v>321296.15999999997</v>
          </cell>
        </row>
        <row r="24">
          <cell r="F24" t="str">
            <v>Ajay Patodia</v>
          </cell>
          <cell r="O24">
            <v>165424.44</v>
          </cell>
        </row>
        <row r="25">
          <cell r="F25" t="str">
            <v>Ajay Patodia</v>
          </cell>
          <cell r="O25">
            <v>165424.44</v>
          </cell>
        </row>
        <row r="26">
          <cell r="F26" t="str">
            <v>Ajay Patodia</v>
          </cell>
          <cell r="O26">
            <v>1715328.96</v>
          </cell>
        </row>
        <row r="27">
          <cell r="F27" t="str">
            <v>Ajay Patodia</v>
          </cell>
          <cell r="O27">
            <v>977213.64</v>
          </cell>
        </row>
        <row r="28">
          <cell r="F28" t="str">
            <v>Ajay Patodia</v>
          </cell>
          <cell r="O28">
            <v>5280824.88</v>
          </cell>
        </row>
        <row r="29">
          <cell r="F29" t="str">
            <v>Ajay Patodia</v>
          </cell>
          <cell r="O29">
            <v>1629069.48</v>
          </cell>
        </row>
        <row r="30">
          <cell r="F30" t="str">
            <v>Ajay Patodia</v>
          </cell>
          <cell r="O30">
            <v>1271186.44</v>
          </cell>
        </row>
        <row r="31">
          <cell r="F31" t="str">
            <v>Ajay Patodia</v>
          </cell>
          <cell r="O31">
            <v>464100</v>
          </cell>
        </row>
        <row r="32">
          <cell r="F32" t="str">
            <v>Ajay Patodia</v>
          </cell>
          <cell r="O32">
            <v>928749.96</v>
          </cell>
        </row>
        <row r="33">
          <cell r="F33" t="str">
            <v>Abrar Memon</v>
          </cell>
          <cell r="O33">
            <v>86000</v>
          </cell>
        </row>
        <row r="34">
          <cell r="F34" t="str">
            <v>Chetna Sharma</v>
          </cell>
          <cell r="O34">
            <v>5738727</v>
          </cell>
        </row>
        <row r="35">
          <cell r="F35" t="str">
            <v>Chetna Sharma</v>
          </cell>
          <cell r="O35">
            <v>13333340</v>
          </cell>
        </row>
        <row r="36">
          <cell r="F36" t="str">
            <v>Chetna Sharma</v>
          </cell>
          <cell r="O36">
            <v>27000000</v>
          </cell>
        </row>
        <row r="37">
          <cell r="F37" t="str">
            <v>Chirag Palande</v>
          </cell>
          <cell r="O37">
            <v>475574</v>
          </cell>
        </row>
        <row r="38">
          <cell r="F38" t="str">
            <v>Darshana Patil</v>
          </cell>
          <cell r="O38">
            <v>60566168</v>
          </cell>
        </row>
        <row r="39">
          <cell r="F39" t="str">
            <v>Darshana Patil</v>
          </cell>
          <cell r="O39">
            <v>523947.04</v>
          </cell>
        </row>
        <row r="40">
          <cell r="F40" t="str">
            <v>Darshana Patil</v>
          </cell>
          <cell r="O40">
            <v>306000</v>
          </cell>
        </row>
        <row r="41">
          <cell r="F41" t="str">
            <v>Ishwari Kadam</v>
          </cell>
          <cell r="O41">
            <v>59491500</v>
          </cell>
        </row>
        <row r="42">
          <cell r="F42" t="str">
            <v>Ishwari Kadam</v>
          </cell>
          <cell r="O42">
            <v>1506000</v>
          </cell>
        </row>
        <row r="43">
          <cell r="F43" t="str">
            <v>Ishwari Kadam</v>
          </cell>
          <cell r="O43">
            <v>55500</v>
          </cell>
        </row>
        <row r="44">
          <cell r="F44" t="str">
            <v>Ishwari Kadam</v>
          </cell>
          <cell r="O44">
            <v>1616400</v>
          </cell>
        </row>
        <row r="45">
          <cell r="F45" t="str">
            <v>Prachi Mayekar</v>
          </cell>
          <cell r="O45">
            <v>1890000</v>
          </cell>
        </row>
        <row r="46">
          <cell r="F46" t="str">
            <v>Prachi Mayekar</v>
          </cell>
          <cell r="O46">
            <v>78738048</v>
          </cell>
        </row>
        <row r="47">
          <cell r="F47" t="str">
            <v>Prachi Mayekar</v>
          </cell>
          <cell r="O47">
            <v>630000</v>
          </cell>
        </row>
        <row r="48">
          <cell r="F48" t="str">
            <v>Richa Tiwari</v>
          </cell>
          <cell r="O48">
            <v>670400</v>
          </cell>
        </row>
        <row r="49">
          <cell r="F49" t="str">
            <v>Richa Tiwari</v>
          </cell>
          <cell r="O49">
            <v>158000</v>
          </cell>
        </row>
        <row r="50">
          <cell r="F50" t="str">
            <v>Richa Tiwari</v>
          </cell>
          <cell r="O50">
            <v>609000</v>
          </cell>
        </row>
        <row r="51">
          <cell r="F51" t="str">
            <v>Richa Tiwari</v>
          </cell>
          <cell r="O51">
            <v>350000</v>
          </cell>
        </row>
        <row r="52">
          <cell r="F52" t="str">
            <v>Richa Tiwari</v>
          </cell>
          <cell r="O52">
            <v>12700000</v>
          </cell>
        </row>
        <row r="53">
          <cell r="F53" t="str">
            <v>Riya Bhatt</v>
          </cell>
          <cell r="O53">
            <v>1550000</v>
          </cell>
        </row>
        <row r="54">
          <cell r="F54" t="str">
            <v>Rohit Deshmukh</v>
          </cell>
          <cell r="O54">
            <v>12000000</v>
          </cell>
        </row>
        <row r="55">
          <cell r="F55" t="str">
            <v>Shahbaz Khan</v>
          </cell>
          <cell r="O55">
            <v>30776945</v>
          </cell>
        </row>
        <row r="56">
          <cell r="F56" t="str">
            <v>Shahbaz Khan</v>
          </cell>
          <cell r="O56">
            <v>1200000</v>
          </cell>
        </row>
        <row r="57">
          <cell r="F57" t="str">
            <v>Shaik Khadhar</v>
          </cell>
          <cell r="O57">
            <v>22880915</v>
          </cell>
        </row>
        <row r="58">
          <cell r="F58" t="str">
            <v>Tasneem K</v>
          </cell>
          <cell r="O58">
            <v>95900000</v>
          </cell>
        </row>
        <row r="59">
          <cell r="F59" t="str">
            <v>Tasneem K</v>
          </cell>
          <cell r="O59">
            <v>234518.79</v>
          </cell>
        </row>
        <row r="60">
          <cell r="F60" t="str">
            <v>Tasneem K</v>
          </cell>
          <cell r="O60">
            <v>17472000</v>
          </cell>
        </row>
        <row r="61">
          <cell r="F61" t="str">
            <v>Varsha Ray</v>
          </cell>
          <cell r="O61">
            <v>2264289.73</v>
          </cell>
        </row>
        <row r="62">
          <cell r="F62" t="str">
            <v>Atharva Karpe</v>
          </cell>
          <cell r="O62">
            <v>2210000</v>
          </cell>
        </row>
        <row r="63">
          <cell r="F63" t="str">
            <v>Jay Rushi</v>
          </cell>
          <cell r="O63">
            <v>3125000</v>
          </cell>
        </row>
        <row r="64">
          <cell r="F64" t="str">
            <v>Jay Rushi</v>
          </cell>
          <cell r="O64">
            <v>228000</v>
          </cell>
        </row>
        <row r="65">
          <cell r="F65" t="str">
            <v>Shahbaz Khan</v>
          </cell>
          <cell r="O65">
            <v>1093500</v>
          </cell>
        </row>
        <row r="66">
          <cell r="F66" t="str">
            <v>Shahbaz Khan</v>
          </cell>
          <cell r="O66">
            <v>713568</v>
          </cell>
        </row>
        <row r="67">
          <cell r="F67" t="str">
            <v>Chetna Sharma</v>
          </cell>
          <cell r="O67">
            <v>72034</v>
          </cell>
        </row>
        <row r="68">
          <cell r="F68" t="str">
            <v>Darshana Patil</v>
          </cell>
          <cell r="O68">
            <v>5500</v>
          </cell>
        </row>
        <row r="69">
          <cell r="F69" t="str">
            <v>Darshana Patil</v>
          </cell>
          <cell r="O69">
            <v>28500</v>
          </cell>
        </row>
        <row r="70">
          <cell r="F70" t="str">
            <v>Darshana Patil</v>
          </cell>
          <cell r="O70">
            <v>135000</v>
          </cell>
        </row>
        <row r="71">
          <cell r="F71" t="str">
            <v>Darshana Patil</v>
          </cell>
          <cell r="O71">
            <v>3500</v>
          </cell>
        </row>
        <row r="72">
          <cell r="F72" t="str">
            <v>Darshana Patil</v>
          </cell>
          <cell r="O72">
            <v>108000</v>
          </cell>
        </row>
        <row r="73">
          <cell r="F73" t="str">
            <v>Darshana Patil</v>
          </cell>
          <cell r="O73">
            <v>3500</v>
          </cell>
        </row>
        <row r="74">
          <cell r="F74" t="str">
            <v>Darshana Patil</v>
          </cell>
          <cell r="O74">
            <v>22500</v>
          </cell>
        </row>
        <row r="75">
          <cell r="F75" t="str">
            <v>Darshana Patil</v>
          </cell>
          <cell r="O75">
            <v>22500</v>
          </cell>
        </row>
        <row r="76">
          <cell r="F76" t="str">
            <v>Darshana Patil</v>
          </cell>
          <cell r="O76">
            <v>22500</v>
          </cell>
        </row>
        <row r="77">
          <cell r="F77" t="str">
            <v>Hrushikesh Bagade</v>
          </cell>
          <cell r="O77">
            <v>510249</v>
          </cell>
        </row>
        <row r="78">
          <cell r="F78" t="str">
            <v>Hrushikesh Bagade</v>
          </cell>
          <cell r="O78">
            <v>1974336</v>
          </cell>
        </row>
        <row r="79">
          <cell r="F79" t="str">
            <v>Hrushikesh Bagade</v>
          </cell>
          <cell r="O79">
            <v>1974336</v>
          </cell>
        </row>
        <row r="80">
          <cell r="F80" t="str">
            <v>Hrushikesh Bagade</v>
          </cell>
          <cell r="O80">
            <v>166860</v>
          </cell>
        </row>
        <row r="81">
          <cell r="F81" t="str">
            <v>Ashish Singh</v>
          </cell>
          <cell r="O81">
            <v>5800000</v>
          </cell>
        </row>
        <row r="82">
          <cell r="F82" t="str">
            <v>Ashish Singh</v>
          </cell>
          <cell r="O82">
            <v>5073971</v>
          </cell>
        </row>
        <row r="83">
          <cell r="F83" t="str">
            <v>Ashish Singh</v>
          </cell>
          <cell r="O83">
            <v>291810</v>
          </cell>
        </row>
        <row r="84">
          <cell r="F84" t="str">
            <v>Ashish Singh</v>
          </cell>
          <cell r="O84">
            <v>315000</v>
          </cell>
        </row>
        <row r="85">
          <cell r="F85" t="str">
            <v>Ashish Singh</v>
          </cell>
          <cell r="O85">
            <v>3150</v>
          </cell>
        </row>
        <row r="86">
          <cell r="F86" t="str">
            <v>Ashish Singh</v>
          </cell>
          <cell r="O86">
            <v>1486080</v>
          </cell>
        </row>
        <row r="87">
          <cell r="F87" t="str">
            <v>Ashish Singh</v>
          </cell>
          <cell r="O87">
            <v>51975</v>
          </cell>
        </row>
        <row r="88">
          <cell r="F88" t="str">
            <v>Chetna Sharma</v>
          </cell>
          <cell r="O88">
            <v>1600000</v>
          </cell>
        </row>
        <row r="89">
          <cell r="F89" t="str">
            <v>Chetna Sharma</v>
          </cell>
          <cell r="O89">
            <v>69441840</v>
          </cell>
        </row>
        <row r="90">
          <cell r="F90" t="str">
            <v>Hrushikesh Bagade</v>
          </cell>
          <cell r="O90">
            <v>1186225</v>
          </cell>
        </row>
        <row r="91">
          <cell r="F91" t="str">
            <v>Hrushikesh Bagade</v>
          </cell>
          <cell r="O91">
            <v>2289230</v>
          </cell>
        </row>
        <row r="92">
          <cell r="F92" t="str">
            <v>Hrushikesh Bagade</v>
          </cell>
          <cell r="O92">
            <v>929979</v>
          </cell>
        </row>
        <row r="93">
          <cell r="F93" t="str">
            <v>Hrushikesh Bagade</v>
          </cell>
          <cell r="O93">
            <v>929979</v>
          </cell>
        </row>
        <row r="94">
          <cell r="F94" t="str">
            <v>Hrushikesh Bagade</v>
          </cell>
          <cell r="O94">
            <v>929970</v>
          </cell>
        </row>
        <row r="95">
          <cell r="F95" t="str">
            <v>Pratik Kadam</v>
          </cell>
          <cell r="O95">
            <v>1319841</v>
          </cell>
        </row>
        <row r="96">
          <cell r="F96" t="str">
            <v>Richa Tiwari</v>
          </cell>
          <cell r="O96">
            <v>1300000</v>
          </cell>
        </row>
        <row r="97">
          <cell r="F97" t="str">
            <v>Richa Tiwari</v>
          </cell>
          <cell r="O97">
            <v>1260000</v>
          </cell>
        </row>
        <row r="98">
          <cell r="F98" t="str">
            <v>Richa Tiwari</v>
          </cell>
          <cell r="O98">
            <v>50000</v>
          </cell>
        </row>
        <row r="99">
          <cell r="F99" t="str">
            <v>Shilpa Kavde</v>
          </cell>
          <cell r="O99">
            <v>3278719.5</v>
          </cell>
        </row>
        <row r="100">
          <cell r="F100" t="str">
            <v>Shilpa Kavde</v>
          </cell>
          <cell r="O100">
            <v>1902647.6</v>
          </cell>
        </row>
        <row r="101">
          <cell r="F101" t="str">
            <v>Shilpa Kavde</v>
          </cell>
          <cell r="O101">
            <v>594203.80000000005</v>
          </cell>
        </row>
        <row r="102">
          <cell r="F102" t="str">
            <v>Shilpa Kavde</v>
          </cell>
          <cell r="O102">
            <v>131648.9</v>
          </cell>
        </row>
        <row r="103">
          <cell r="F103" t="str">
            <v>Shilpa Kavde</v>
          </cell>
          <cell r="O103">
            <v>151994.1</v>
          </cell>
        </row>
        <row r="104">
          <cell r="F104" t="str">
            <v>Shilpa Kavde</v>
          </cell>
          <cell r="O104">
            <v>136249</v>
          </cell>
        </row>
        <row r="105">
          <cell r="F105" t="str">
            <v>Shilpa Kavde</v>
          </cell>
          <cell r="O105">
            <v>911920</v>
          </cell>
        </row>
        <row r="106">
          <cell r="F106" t="str">
            <v>Shilpa Kavde</v>
          </cell>
          <cell r="O106">
            <v>686566.7</v>
          </cell>
        </row>
        <row r="107">
          <cell r="F107" t="str">
            <v>Shilpa Kavde</v>
          </cell>
          <cell r="O107">
            <v>39242.199999999997</v>
          </cell>
        </row>
        <row r="108">
          <cell r="F108" t="str">
            <v>Shilpa Kavde</v>
          </cell>
          <cell r="O108">
            <v>2272068.6</v>
          </cell>
        </row>
        <row r="109">
          <cell r="F109" t="str">
            <v>Shilpa Kavde</v>
          </cell>
          <cell r="O109">
            <v>194280.6</v>
          </cell>
        </row>
        <row r="110">
          <cell r="F110" t="str">
            <v>Shilpa Kavde</v>
          </cell>
          <cell r="O110">
            <v>1214303.1000000001</v>
          </cell>
        </row>
        <row r="111">
          <cell r="F111" t="str">
            <v>Shilpa Kavde</v>
          </cell>
          <cell r="O111">
            <v>602618.19999999995</v>
          </cell>
        </row>
        <row r="112">
          <cell r="F112" t="str">
            <v>Shilpa Kavde</v>
          </cell>
          <cell r="O112">
            <v>671806.9</v>
          </cell>
        </row>
        <row r="113">
          <cell r="F113" t="str">
            <v>Shilpa Kavde</v>
          </cell>
          <cell r="O113">
            <v>1205515.7</v>
          </cell>
        </row>
        <row r="114">
          <cell r="F114" t="str">
            <v>Shilpa Kavde</v>
          </cell>
          <cell r="O114">
            <v>664902.9</v>
          </cell>
        </row>
        <row r="115">
          <cell r="F115" t="str">
            <v>Shilpa Kavde</v>
          </cell>
          <cell r="O115">
            <v>730855.3</v>
          </cell>
        </row>
        <row r="116">
          <cell r="F116" t="str">
            <v>Shilpa Kavde</v>
          </cell>
          <cell r="O116">
            <v>46908.9</v>
          </cell>
        </row>
        <row r="117">
          <cell r="F117" t="str">
            <v>Shilpa Kavde</v>
          </cell>
          <cell r="O117">
            <v>60927.7</v>
          </cell>
        </row>
        <row r="118">
          <cell r="F118" t="str">
            <v>Shilpa Kavde</v>
          </cell>
          <cell r="O118">
            <v>23073.9</v>
          </cell>
        </row>
        <row r="119">
          <cell r="F119" t="str">
            <v>Tasneem K</v>
          </cell>
          <cell r="O119">
            <v>5800000</v>
          </cell>
        </row>
        <row r="120">
          <cell r="F120" t="str">
            <v>Varsha Ray</v>
          </cell>
          <cell r="O120">
            <v>300000</v>
          </cell>
        </row>
        <row r="121">
          <cell r="F121" t="str">
            <v>Atharva Karpe</v>
          </cell>
          <cell r="O121">
            <v>245000</v>
          </cell>
        </row>
        <row r="122">
          <cell r="F122" t="str">
            <v>Prachi Mayekar</v>
          </cell>
          <cell r="O122">
            <v>138300</v>
          </cell>
        </row>
        <row r="123">
          <cell r="F123" t="str">
            <v>Prachi Mayekar</v>
          </cell>
          <cell r="O123">
            <v>3500</v>
          </cell>
        </row>
        <row r="124">
          <cell r="F124" t="str">
            <v>Prachi Mayekar</v>
          </cell>
          <cell r="O124">
            <v>3800</v>
          </cell>
        </row>
        <row r="125">
          <cell r="F125" t="str">
            <v>Prachi Mayekar</v>
          </cell>
          <cell r="O125">
            <v>72000</v>
          </cell>
        </row>
        <row r="126">
          <cell r="F126" t="str">
            <v>Richa Tiwari</v>
          </cell>
          <cell r="O126">
            <v>13172000</v>
          </cell>
        </row>
        <row r="127">
          <cell r="F127" t="str">
            <v>Pratik Kadam</v>
          </cell>
          <cell r="O127">
            <v>6300000</v>
          </cell>
        </row>
        <row r="128">
          <cell r="F128" t="str">
            <v>Pratik Kadam</v>
          </cell>
          <cell r="O128">
            <v>362142</v>
          </cell>
        </row>
        <row r="129">
          <cell r="F129" t="str">
            <v>Pratik Kadam</v>
          </cell>
          <cell r="O129">
            <v>168000</v>
          </cell>
        </row>
        <row r="130">
          <cell r="F130" t="str">
            <v>Pratik Kadam</v>
          </cell>
          <cell r="O130">
            <v>192000</v>
          </cell>
        </row>
        <row r="131">
          <cell r="F131" t="str">
            <v>Pratik Kadam</v>
          </cell>
          <cell r="O131">
            <v>192000</v>
          </cell>
        </row>
        <row r="132">
          <cell r="F132" t="str">
            <v>Pratik Kadam</v>
          </cell>
          <cell r="O132">
            <v>192000</v>
          </cell>
        </row>
        <row r="133">
          <cell r="F133" t="str">
            <v>Pratik Kadam</v>
          </cell>
          <cell r="O133">
            <v>192000</v>
          </cell>
        </row>
        <row r="134">
          <cell r="F134" t="str">
            <v>Pratik Kadam</v>
          </cell>
          <cell r="O134">
            <v>192000</v>
          </cell>
        </row>
        <row r="135">
          <cell r="F135" t="str">
            <v>Pratik Kadam</v>
          </cell>
          <cell r="O135">
            <v>120000</v>
          </cell>
        </row>
        <row r="136">
          <cell r="F136" t="str">
            <v>Pratik Kadam</v>
          </cell>
          <cell r="O136">
            <v>177000</v>
          </cell>
        </row>
        <row r="137">
          <cell r="F137" t="str">
            <v>Pratik Kadam</v>
          </cell>
          <cell r="O137">
            <v>192000</v>
          </cell>
        </row>
        <row r="138">
          <cell r="F138" t="str">
            <v>Pratik Kadam</v>
          </cell>
          <cell r="O138">
            <v>192000</v>
          </cell>
        </row>
        <row r="139">
          <cell r="F139" t="str">
            <v>Pratik Kadam</v>
          </cell>
          <cell r="O139">
            <v>192000</v>
          </cell>
        </row>
        <row r="140">
          <cell r="F140" t="str">
            <v>Pratik Kadam</v>
          </cell>
          <cell r="O140">
            <v>192000</v>
          </cell>
        </row>
        <row r="141">
          <cell r="F141" t="str">
            <v>Pratik Kadam</v>
          </cell>
          <cell r="O141">
            <v>192000</v>
          </cell>
        </row>
        <row r="142">
          <cell r="F142" t="str">
            <v>Pratik Kadam</v>
          </cell>
          <cell r="O142">
            <v>144000</v>
          </cell>
        </row>
        <row r="143">
          <cell r="F143" t="str">
            <v>Pratik Kadam</v>
          </cell>
          <cell r="O143">
            <v>144000</v>
          </cell>
        </row>
        <row r="144">
          <cell r="F144" t="str">
            <v>Pratik Kadam</v>
          </cell>
          <cell r="O144">
            <v>96000</v>
          </cell>
        </row>
        <row r="145">
          <cell r="F145" t="str">
            <v>Pratik Kadam</v>
          </cell>
          <cell r="O145">
            <v>96000</v>
          </cell>
        </row>
        <row r="146">
          <cell r="F146" t="str">
            <v>Pratik Kadam</v>
          </cell>
          <cell r="O146">
            <v>96000</v>
          </cell>
        </row>
        <row r="147">
          <cell r="F147" t="str">
            <v>Pratik Kadam</v>
          </cell>
          <cell r="O147">
            <v>192000</v>
          </cell>
        </row>
        <row r="148">
          <cell r="F148" t="str">
            <v>Pratik Kadam</v>
          </cell>
          <cell r="O148">
            <v>192000</v>
          </cell>
        </row>
        <row r="149">
          <cell r="F149" t="str">
            <v>Pratik Kadam</v>
          </cell>
          <cell r="O149">
            <v>192000</v>
          </cell>
        </row>
        <row r="150">
          <cell r="F150" t="str">
            <v>Pratik Kadam</v>
          </cell>
          <cell r="O150">
            <v>96000</v>
          </cell>
        </row>
        <row r="151">
          <cell r="F151" t="str">
            <v>Pratik Kadam</v>
          </cell>
          <cell r="O151">
            <v>120000</v>
          </cell>
        </row>
        <row r="152">
          <cell r="F152" t="str">
            <v>Pratik Kadam</v>
          </cell>
          <cell r="O152">
            <v>192000</v>
          </cell>
        </row>
        <row r="153">
          <cell r="F153" t="str">
            <v>Pratik Kadam</v>
          </cell>
          <cell r="O153">
            <v>192000</v>
          </cell>
        </row>
        <row r="154">
          <cell r="F154" t="str">
            <v>Pratik Kadam</v>
          </cell>
          <cell r="O154">
            <v>192000</v>
          </cell>
        </row>
        <row r="155">
          <cell r="F155" t="str">
            <v>Pratik Kadam</v>
          </cell>
          <cell r="O155">
            <v>192000</v>
          </cell>
        </row>
        <row r="156">
          <cell r="F156" t="str">
            <v>Pratik Kadam</v>
          </cell>
          <cell r="O156">
            <v>192000</v>
          </cell>
        </row>
        <row r="157">
          <cell r="F157" t="str">
            <v>Pratik Kadam</v>
          </cell>
          <cell r="O157">
            <v>11440.67</v>
          </cell>
        </row>
        <row r="158">
          <cell r="F158" t="str">
            <v>Pratik Kadam</v>
          </cell>
          <cell r="O158">
            <v>3813</v>
          </cell>
        </row>
        <row r="159">
          <cell r="F159" t="str">
            <v>Pratik Kadam</v>
          </cell>
          <cell r="O159">
            <v>192000</v>
          </cell>
        </row>
        <row r="160">
          <cell r="F160" t="str">
            <v>Pratik Kadam</v>
          </cell>
          <cell r="O160">
            <v>155932</v>
          </cell>
        </row>
        <row r="161">
          <cell r="F161" t="str">
            <v>Pratik Kadam</v>
          </cell>
          <cell r="O161">
            <v>192000</v>
          </cell>
        </row>
        <row r="162">
          <cell r="F162" t="str">
            <v>Pratik Kadam</v>
          </cell>
          <cell r="O162">
            <v>79500</v>
          </cell>
        </row>
        <row r="163">
          <cell r="F163" t="str">
            <v>Richa Tiwari</v>
          </cell>
          <cell r="O163">
            <v>238000</v>
          </cell>
        </row>
        <row r="164">
          <cell r="F164" t="str">
            <v>Richa Tiwari</v>
          </cell>
          <cell r="O164">
            <v>12926</v>
          </cell>
        </row>
        <row r="165">
          <cell r="F165" t="str">
            <v>Richa Tiwari</v>
          </cell>
          <cell r="O165">
            <v>1089000</v>
          </cell>
        </row>
        <row r="166">
          <cell r="F166" t="str">
            <v>Richa Tiwari</v>
          </cell>
          <cell r="O166">
            <v>3570000</v>
          </cell>
        </row>
        <row r="167">
          <cell r="F167" t="str">
            <v>Richa Tiwari</v>
          </cell>
          <cell r="O167">
            <v>181050</v>
          </cell>
        </row>
        <row r="168">
          <cell r="F168" t="str">
            <v>Richa Tiwari</v>
          </cell>
          <cell r="O168">
            <v>419500</v>
          </cell>
        </row>
        <row r="169">
          <cell r="F169" t="str">
            <v>Richa Tiwari</v>
          </cell>
          <cell r="O169">
            <v>11067000</v>
          </cell>
        </row>
        <row r="170">
          <cell r="F170" t="str">
            <v>Richa Tiwari</v>
          </cell>
          <cell r="O170">
            <v>238000</v>
          </cell>
        </row>
        <row r="171">
          <cell r="F171" t="str">
            <v>Richa Tiwari</v>
          </cell>
          <cell r="O171">
            <v>2380000</v>
          </cell>
        </row>
        <row r="172">
          <cell r="F172" t="str">
            <v>Richa Tiwari</v>
          </cell>
          <cell r="O172">
            <v>201150</v>
          </cell>
        </row>
        <row r="173">
          <cell r="F173" t="str">
            <v>Richa Tiwari</v>
          </cell>
          <cell r="O173">
            <v>5843000</v>
          </cell>
        </row>
        <row r="174">
          <cell r="F174" t="str">
            <v>Richa Tiwari</v>
          </cell>
          <cell r="O174">
            <v>958000</v>
          </cell>
        </row>
        <row r="175">
          <cell r="F175" t="str">
            <v>Richa Tiwari</v>
          </cell>
          <cell r="O175">
            <v>11886500</v>
          </cell>
        </row>
        <row r="176">
          <cell r="F176" t="str">
            <v>Richa Tiwari</v>
          </cell>
          <cell r="O176">
            <v>1133500</v>
          </cell>
        </row>
        <row r="177">
          <cell r="F177" t="str">
            <v>Richa Tiwari</v>
          </cell>
          <cell r="O177">
            <v>119000</v>
          </cell>
        </row>
        <row r="178">
          <cell r="F178" t="str">
            <v>Richa Tiwari</v>
          </cell>
          <cell r="O178">
            <v>238000</v>
          </cell>
        </row>
        <row r="179">
          <cell r="F179" t="str">
            <v>Richa Tiwari</v>
          </cell>
          <cell r="O179">
            <v>119000</v>
          </cell>
        </row>
        <row r="180">
          <cell r="F180" t="str">
            <v>Richa Tiwari</v>
          </cell>
          <cell r="O180">
            <v>119000</v>
          </cell>
        </row>
        <row r="181">
          <cell r="F181" t="str">
            <v>Abrar Memon</v>
          </cell>
          <cell r="O181">
            <v>21350</v>
          </cell>
        </row>
        <row r="182">
          <cell r="F182" t="str">
            <v>Abrar Memon</v>
          </cell>
          <cell r="O182">
            <v>23650</v>
          </cell>
        </row>
        <row r="183">
          <cell r="F183" t="str">
            <v>Ayushman Singh</v>
          </cell>
          <cell r="O183">
            <v>73129</v>
          </cell>
        </row>
        <row r="184">
          <cell r="F184" t="str">
            <v>Chetna Sharma</v>
          </cell>
          <cell r="O184">
            <v>524744.72</v>
          </cell>
        </row>
        <row r="185">
          <cell r="F185" t="str">
            <v>Darshana Patil</v>
          </cell>
          <cell r="O185">
            <v>229000</v>
          </cell>
        </row>
        <row r="186">
          <cell r="F186" t="str">
            <v>Darshana Patil</v>
          </cell>
          <cell r="O186">
            <v>99000</v>
          </cell>
        </row>
        <row r="187">
          <cell r="F187" t="str">
            <v>Chirag Palande</v>
          </cell>
          <cell r="O187">
            <v>532500</v>
          </cell>
        </row>
        <row r="188">
          <cell r="F188" t="str">
            <v>Chirag Palande</v>
          </cell>
          <cell r="O188">
            <v>278600</v>
          </cell>
        </row>
        <row r="189">
          <cell r="F189" t="str">
            <v>Tasneem K</v>
          </cell>
          <cell r="O189">
            <v>999360</v>
          </cell>
        </row>
        <row r="190">
          <cell r="F190" t="str">
            <v>Varsha Ray</v>
          </cell>
          <cell r="O190">
            <v>800000</v>
          </cell>
        </row>
        <row r="191">
          <cell r="F191" t="str">
            <v>Varsha Ray</v>
          </cell>
          <cell r="O191">
            <v>7190400</v>
          </cell>
        </row>
        <row r="192">
          <cell r="F192" t="str">
            <v>Arpit Srivastava</v>
          </cell>
          <cell r="O192">
            <v>26160</v>
          </cell>
        </row>
        <row r="193">
          <cell r="F193" t="str">
            <v>Arpit Srivastava</v>
          </cell>
          <cell r="O193">
            <v>537798.32999999996</v>
          </cell>
        </row>
        <row r="194">
          <cell r="F194" t="str">
            <v>Richa Tiwari</v>
          </cell>
          <cell r="O194">
            <v>4000000</v>
          </cell>
        </row>
        <row r="195">
          <cell r="F195" t="str">
            <v>Richa Tiwari</v>
          </cell>
          <cell r="O195">
            <v>10947764.92</v>
          </cell>
        </row>
        <row r="196">
          <cell r="F196" t="str">
            <v>Richa Tiwari</v>
          </cell>
          <cell r="O196">
            <v>345000</v>
          </cell>
        </row>
        <row r="197">
          <cell r="F197" t="str">
            <v>Richa Tiwari</v>
          </cell>
          <cell r="O197">
            <v>7480583.8600000003</v>
          </cell>
        </row>
        <row r="198">
          <cell r="F198" t="str">
            <v>Rohit Deshmukh</v>
          </cell>
          <cell r="O198">
            <v>729877.5</v>
          </cell>
        </row>
        <row r="199">
          <cell r="F199" t="str">
            <v>Rohit Deshmukh</v>
          </cell>
          <cell r="O199">
            <v>8000</v>
          </cell>
        </row>
        <row r="200">
          <cell r="F200" t="str">
            <v>Rohit Deshmukh</v>
          </cell>
          <cell r="O200">
            <v>7508225</v>
          </cell>
        </row>
        <row r="201">
          <cell r="F201" t="str">
            <v>Rohit Deshmukh</v>
          </cell>
          <cell r="O201">
            <v>825000</v>
          </cell>
        </row>
        <row r="202">
          <cell r="F202" t="str">
            <v>Rohit Deshmukh</v>
          </cell>
          <cell r="O202">
            <v>797750</v>
          </cell>
        </row>
        <row r="203">
          <cell r="F203" t="str">
            <v>Rohit Deshmukh</v>
          </cell>
          <cell r="O203">
            <v>198465</v>
          </cell>
        </row>
        <row r="204">
          <cell r="F204" t="str">
            <v>Hrushikesh Bagade</v>
          </cell>
          <cell r="O204">
            <v>287600</v>
          </cell>
        </row>
        <row r="205">
          <cell r="F205" t="str">
            <v>Hrushikesh Bagade</v>
          </cell>
          <cell r="O205">
            <v>269272</v>
          </cell>
        </row>
        <row r="206">
          <cell r="F206" t="str">
            <v>Hrushikesh Bagade</v>
          </cell>
          <cell r="O206">
            <v>2566178</v>
          </cell>
        </row>
        <row r="207">
          <cell r="F207" t="str">
            <v>Hrushikesh Bagade</v>
          </cell>
          <cell r="O207">
            <v>1331348</v>
          </cell>
        </row>
        <row r="208">
          <cell r="F208" t="str">
            <v>Hrushikesh Bagade</v>
          </cell>
          <cell r="O208">
            <v>9325000</v>
          </cell>
        </row>
        <row r="209">
          <cell r="F209" t="str">
            <v>Hrushikesh Bagade</v>
          </cell>
          <cell r="O209">
            <v>1032784</v>
          </cell>
        </row>
        <row r="210">
          <cell r="F210" t="str">
            <v>Hrushikesh Bagade</v>
          </cell>
          <cell r="O210">
            <v>3029670</v>
          </cell>
        </row>
        <row r="211">
          <cell r="F211" t="str">
            <v>Prachi Mayekar</v>
          </cell>
          <cell r="O211">
            <v>43400000</v>
          </cell>
        </row>
        <row r="212">
          <cell r="F212" t="str">
            <v>Prachi Mayekar</v>
          </cell>
          <cell r="O212">
            <v>2546045</v>
          </cell>
        </row>
        <row r="213">
          <cell r="F213" t="str">
            <v>Prachi Mayekar</v>
          </cell>
          <cell r="O213">
            <v>1555151</v>
          </cell>
        </row>
        <row r="214">
          <cell r="F214" t="str">
            <v>Sanjeev Kohli</v>
          </cell>
          <cell r="O214">
            <v>21966500</v>
          </cell>
        </row>
        <row r="215">
          <cell r="F215" t="str">
            <v>Shubhangi Srinivasan</v>
          </cell>
          <cell r="O215">
            <v>210216.41</v>
          </cell>
        </row>
        <row r="216">
          <cell r="F216" t="str">
            <v>Shubhangi Srinivasan</v>
          </cell>
          <cell r="O216">
            <v>7200000</v>
          </cell>
        </row>
        <row r="217">
          <cell r="F217" t="str">
            <v>Richa Tiwari</v>
          </cell>
          <cell r="O217">
            <v>6750000</v>
          </cell>
        </row>
        <row r="218">
          <cell r="F218" t="str">
            <v>Riya Bhatt</v>
          </cell>
          <cell r="O218">
            <v>4248000</v>
          </cell>
        </row>
        <row r="219">
          <cell r="F219" t="str">
            <v>Sagar TR</v>
          </cell>
          <cell r="O219">
            <v>186653.1</v>
          </cell>
        </row>
        <row r="220">
          <cell r="F220" t="str">
            <v>Sagar TR</v>
          </cell>
          <cell r="O220">
            <v>80955</v>
          </cell>
        </row>
        <row r="221">
          <cell r="F221" t="str">
            <v>Sagar TR</v>
          </cell>
          <cell r="O221">
            <v>29635</v>
          </cell>
        </row>
        <row r="222">
          <cell r="F222" t="str">
            <v>Sagar TR</v>
          </cell>
          <cell r="O222">
            <v>839290</v>
          </cell>
        </row>
        <row r="223">
          <cell r="F223" t="str">
            <v>Sagar TR</v>
          </cell>
          <cell r="O223">
            <v>11130</v>
          </cell>
        </row>
        <row r="224">
          <cell r="F224" t="str">
            <v>Sagar TR</v>
          </cell>
          <cell r="O224">
            <v>32000</v>
          </cell>
        </row>
        <row r="225">
          <cell r="F225" t="str">
            <v>Sagar TR</v>
          </cell>
          <cell r="O225">
            <v>31000</v>
          </cell>
        </row>
        <row r="226">
          <cell r="F226" t="str">
            <v>Sagar TR</v>
          </cell>
          <cell r="O226">
            <v>162000</v>
          </cell>
        </row>
        <row r="227">
          <cell r="F227" t="str">
            <v>Shilpa Kavde</v>
          </cell>
          <cell r="O227">
            <v>800000</v>
          </cell>
        </row>
        <row r="228">
          <cell r="F228" t="str">
            <v>Shilpa Kavde</v>
          </cell>
          <cell r="O228">
            <v>10537500</v>
          </cell>
        </row>
        <row r="229">
          <cell r="F229" t="str">
            <v>Shubhangi Srinivasan</v>
          </cell>
          <cell r="O229">
            <v>659812.5</v>
          </cell>
        </row>
        <row r="230">
          <cell r="F230" t="str">
            <v>Shubhangi Srinivasan</v>
          </cell>
          <cell r="O230">
            <v>840000</v>
          </cell>
        </row>
        <row r="231">
          <cell r="F231" t="str">
            <v>Shubhangi Srinivasan</v>
          </cell>
          <cell r="O231">
            <v>659812.5</v>
          </cell>
        </row>
        <row r="232">
          <cell r="F232" t="str">
            <v>Shubhangi Srinivasan</v>
          </cell>
          <cell r="O232">
            <v>501000</v>
          </cell>
        </row>
        <row r="233">
          <cell r="F233" t="str">
            <v>Shubhangi Srinivasan</v>
          </cell>
          <cell r="O233">
            <v>286651</v>
          </cell>
        </row>
        <row r="234">
          <cell r="F234" t="str">
            <v>Shubhangi Srinivasan</v>
          </cell>
          <cell r="O234">
            <v>9750</v>
          </cell>
        </row>
        <row r="235">
          <cell r="F235" t="str">
            <v>Shubhangi Srinivasan</v>
          </cell>
          <cell r="O235">
            <v>371520</v>
          </cell>
        </row>
        <row r="236">
          <cell r="F236" t="str">
            <v>Shubhangi Srinivasan</v>
          </cell>
          <cell r="O236">
            <v>600000</v>
          </cell>
        </row>
        <row r="237">
          <cell r="F237" t="str">
            <v>Shubhangi Srinivasan</v>
          </cell>
          <cell r="O237">
            <v>20617402</v>
          </cell>
        </row>
        <row r="238">
          <cell r="F238" t="str">
            <v>Shubhangi Srinivasan</v>
          </cell>
          <cell r="O238">
            <v>2611609.2000000002</v>
          </cell>
        </row>
        <row r="239">
          <cell r="F239" t="str">
            <v>Shubhangi Srinivasan</v>
          </cell>
          <cell r="O239">
            <v>20617402</v>
          </cell>
        </row>
        <row r="240">
          <cell r="F240" t="str">
            <v>Tasneem K</v>
          </cell>
          <cell r="O240">
            <v>33000000</v>
          </cell>
        </row>
        <row r="241">
          <cell r="F241" t="str">
            <v>Jay Rushi</v>
          </cell>
          <cell r="O241">
            <v>150000</v>
          </cell>
        </row>
        <row r="242">
          <cell r="F242" t="str">
            <v>Jay Rushi</v>
          </cell>
          <cell r="O242">
            <v>127119</v>
          </cell>
        </row>
        <row r="243">
          <cell r="F243" t="str">
            <v>Jay Rushi</v>
          </cell>
          <cell r="O243">
            <v>11000</v>
          </cell>
        </row>
        <row r="244">
          <cell r="F244" t="str">
            <v>Jay Rushi</v>
          </cell>
          <cell r="O244">
            <v>38395</v>
          </cell>
        </row>
        <row r="245">
          <cell r="F245" t="str">
            <v>Rohit Deshmukh</v>
          </cell>
          <cell r="O245">
            <v>740000</v>
          </cell>
        </row>
        <row r="246">
          <cell r="F246" t="str">
            <v>Sagar TR</v>
          </cell>
          <cell r="O246">
            <v>30800</v>
          </cell>
        </row>
        <row r="247">
          <cell r="F247" t="str">
            <v>Sagar TR</v>
          </cell>
          <cell r="O247">
            <v>128200</v>
          </cell>
        </row>
        <row r="248">
          <cell r="F248" t="str">
            <v>Sagar TR</v>
          </cell>
          <cell r="O248">
            <v>147500</v>
          </cell>
        </row>
        <row r="249">
          <cell r="F249" t="str">
            <v>Sagar TR</v>
          </cell>
          <cell r="O249">
            <v>128200</v>
          </cell>
        </row>
        <row r="250">
          <cell r="F250" t="str">
            <v>Sagar TR</v>
          </cell>
          <cell r="O250">
            <v>6950</v>
          </cell>
        </row>
        <row r="251">
          <cell r="F251" t="str">
            <v>Sagar TR</v>
          </cell>
          <cell r="O251">
            <v>1717500</v>
          </cell>
        </row>
        <row r="252">
          <cell r="F252" t="str">
            <v>Sagar TR</v>
          </cell>
          <cell r="O252">
            <v>1717500</v>
          </cell>
        </row>
        <row r="253">
          <cell r="F253" t="str">
            <v>Sagar TR</v>
          </cell>
          <cell r="O253">
            <v>70000</v>
          </cell>
        </row>
        <row r="254">
          <cell r="F254" t="str">
            <v>Sagar TR</v>
          </cell>
          <cell r="O254">
            <v>230000</v>
          </cell>
        </row>
        <row r="255">
          <cell r="F255" t="str">
            <v>Sagar TR</v>
          </cell>
          <cell r="O255">
            <v>317678</v>
          </cell>
        </row>
        <row r="256">
          <cell r="F256" t="str">
            <v>Sagar TR</v>
          </cell>
          <cell r="O256">
            <v>101350</v>
          </cell>
        </row>
        <row r="257">
          <cell r="F257" t="str">
            <v>Sagar TR</v>
          </cell>
          <cell r="O257">
            <v>336000</v>
          </cell>
        </row>
        <row r="258">
          <cell r="F258" t="str">
            <v>Sagar TR</v>
          </cell>
          <cell r="O258">
            <v>84000</v>
          </cell>
        </row>
        <row r="259">
          <cell r="F259" t="str">
            <v>Sagar TR</v>
          </cell>
          <cell r="O259">
            <v>46000</v>
          </cell>
        </row>
        <row r="260">
          <cell r="F260" t="str">
            <v>Sagar TR</v>
          </cell>
          <cell r="O260">
            <v>36000</v>
          </cell>
        </row>
        <row r="261">
          <cell r="F261" t="str">
            <v>Sagar TR</v>
          </cell>
          <cell r="O261">
            <v>36000</v>
          </cell>
        </row>
        <row r="262">
          <cell r="F262" t="str">
            <v>Sagar TR</v>
          </cell>
          <cell r="O262">
            <v>321000</v>
          </cell>
        </row>
        <row r="263">
          <cell r="F263" t="str">
            <v>Sagar TR</v>
          </cell>
          <cell r="O263">
            <v>2112000</v>
          </cell>
        </row>
        <row r="264">
          <cell r="F264" t="str">
            <v>Sagar TR</v>
          </cell>
          <cell r="O264">
            <v>111300</v>
          </cell>
        </row>
        <row r="265">
          <cell r="F265" t="str">
            <v>Sagar TR</v>
          </cell>
          <cell r="O265">
            <v>30000</v>
          </cell>
        </row>
        <row r="266">
          <cell r="F266" t="str">
            <v>Sagar TR</v>
          </cell>
          <cell r="O266">
            <v>118800</v>
          </cell>
        </row>
        <row r="267">
          <cell r="F267" t="str">
            <v>Jitesh Rajput</v>
          </cell>
          <cell r="O267">
            <v>5250</v>
          </cell>
        </row>
        <row r="268">
          <cell r="F268" t="str">
            <v>Jitesh Rajput</v>
          </cell>
          <cell r="O268">
            <v>5400</v>
          </cell>
        </row>
        <row r="269">
          <cell r="F269" t="str">
            <v>Jitesh Rajput</v>
          </cell>
          <cell r="O269">
            <v>4830</v>
          </cell>
        </row>
        <row r="270">
          <cell r="F270" t="str">
            <v>Jimesh Shah</v>
          </cell>
          <cell r="O270">
            <v>32000</v>
          </cell>
        </row>
        <row r="271">
          <cell r="F271" t="str">
            <v>Hrushikesh Bagade</v>
          </cell>
          <cell r="O271">
            <v>846144</v>
          </cell>
        </row>
        <row r="272">
          <cell r="F272" t="str">
            <v>Hrushikesh Bagade</v>
          </cell>
          <cell r="O272">
            <v>846144</v>
          </cell>
        </row>
        <row r="273">
          <cell r="F273" t="str">
            <v>Hrushikesh Bagade</v>
          </cell>
          <cell r="O273">
            <v>634608</v>
          </cell>
        </row>
        <row r="274">
          <cell r="F274" t="str">
            <v>Hrushikesh Bagade</v>
          </cell>
          <cell r="O274">
            <v>282048</v>
          </cell>
        </row>
        <row r="275">
          <cell r="F275" t="str">
            <v>Hrushikesh Bagade</v>
          </cell>
          <cell r="O275">
            <v>211536</v>
          </cell>
        </row>
        <row r="276">
          <cell r="F276" t="str">
            <v>Hrushikesh Bagade</v>
          </cell>
          <cell r="O276">
            <v>70512</v>
          </cell>
        </row>
        <row r="277">
          <cell r="F277" t="str">
            <v>Hrushikesh Bagade</v>
          </cell>
          <cell r="O277">
            <v>282048</v>
          </cell>
        </row>
        <row r="278">
          <cell r="F278" t="str">
            <v>Hrushikesh Bagade</v>
          </cell>
          <cell r="O278">
            <v>141024</v>
          </cell>
        </row>
        <row r="279">
          <cell r="F279" t="str">
            <v>Hrushikesh Bagade</v>
          </cell>
          <cell r="O279">
            <v>70512</v>
          </cell>
        </row>
        <row r="280">
          <cell r="F280" t="str">
            <v>Hrushikesh Bagade</v>
          </cell>
          <cell r="O280">
            <v>70512</v>
          </cell>
        </row>
        <row r="281">
          <cell r="F281" t="str">
            <v>Hrushikesh Bagade</v>
          </cell>
          <cell r="O281">
            <v>141024</v>
          </cell>
        </row>
        <row r="282">
          <cell r="F282" t="str">
            <v>Hrushikesh Bagade</v>
          </cell>
          <cell r="O282">
            <v>70512</v>
          </cell>
        </row>
        <row r="283">
          <cell r="F283" t="str">
            <v>Hrushikesh Bagade</v>
          </cell>
          <cell r="O283">
            <v>141024</v>
          </cell>
        </row>
        <row r="284">
          <cell r="F284" t="str">
            <v>Hrushikesh Bagade</v>
          </cell>
          <cell r="O284">
            <v>141024</v>
          </cell>
        </row>
        <row r="285">
          <cell r="F285" t="str">
            <v>Hrushikesh Bagade</v>
          </cell>
          <cell r="O285">
            <v>211536</v>
          </cell>
        </row>
        <row r="286">
          <cell r="F286" t="str">
            <v>Hrushikesh Bagade</v>
          </cell>
          <cell r="O286">
            <v>493584</v>
          </cell>
        </row>
        <row r="287">
          <cell r="F287" t="str">
            <v>Hrushikesh Bagade</v>
          </cell>
          <cell r="O287">
            <v>141024</v>
          </cell>
        </row>
        <row r="288">
          <cell r="F288" t="str">
            <v>Hrushikesh Bagade</v>
          </cell>
          <cell r="O288">
            <v>70512</v>
          </cell>
        </row>
        <row r="289">
          <cell r="F289" t="str">
            <v>Hrushikesh Bagade</v>
          </cell>
          <cell r="O289">
            <v>352560</v>
          </cell>
        </row>
        <row r="290">
          <cell r="F290" t="str">
            <v>Hrushikesh Bagade</v>
          </cell>
          <cell r="O290">
            <v>70512</v>
          </cell>
        </row>
        <row r="291">
          <cell r="F291" t="str">
            <v>Hrushikesh Bagade</v>
          </cell>
          <cell r="O291">
            <v>70512</v>
          </cell>
        </row>
        <row r="292">
          <cell r="F292" t="str">
            <v>Hrushikesh Bagade</v>
          </cell>
          <cell r="O292">
            <v>705120</v>
          </cell>
        </row>
        <row r="293">
          <cell r="F293" t="str">
            <v>Hrushikesh Bagade</v>
          </cell>
          <cell r="O293">
            <v>141024</v>
          </cell>
        </row>
        <row r="294">
          <cell r="F294" t="str">
            <v>Hrushikesh Bagade</v>
          </cell>
          <cell r="O294">
            <v>70512</v>
          </cell>
        </row>
        <row r="295">
          <cell r="F295" t="str">
            <v>Hrushikesh Bagade</v>
          </cell>
          <cell r="O295">
            <v>217500</v>
          </cell>
        </row>
        <row r="296">
          <cell r="F296" t="str">
            <v>Hrushikesh Bagade</v>
          </cell>
          <cell r="O296">
            <v>72500</v>
          </cell>
        </row>
        <row r="297">
          <cell r="F297" t="str">
            <v>Hrushikesh Bagade</v>
          </cell>
          <cell r="O297">
            <v>145000</v>
          </cell>
        </row>
        <row r="298">
          <cell r="F298" t="str">
            <v>Hrushikesh Bagade</v>
          </cell>
          <cell r="O298">
            <v>72500</v>
          </cell>
        </row>
        <row r="299">
          <cell r="F299" t="str">
            <v>Hrushikesh Bagade</v>
          </cell>
          <cell r="O299">
            <v>652500</v>
          </cell>
        </row>
        <row r="300">
          <cell r="F300" t="str">
            <v>Hrushikesh Bagade</v>
          </cell>
          <cell r="O300">
            <v>580000</v>
          </cell>
        </row>
        <row r="301">
          <cell r="F301" t="str">
            <v>Hrushikesh Bagade</v>
          </cell>
          <cell r="O301">
            <v>72500</v>
          </cell>
        </row>
        <row r="302">
          <cell r="F302" t="str">
            <v>Hrushikesh Bagade</v>
          </cell>
          <cell r="O302">
            <v>145000</v>
          </cell>
        </row>
        <row r="303">
          <cell r="F303" t="str">
            <v>Hrushikesh Bagade</v>
          </cell>
          <cell r="O303">
            <v>725000</v>
          </cell>
        </row>
        <row r="304">
          <cell r="F304" t="str">
            <v>Hrushikesh Bagade</v>
          </cell>
          <cell r="O304">
            <v>72500</v>
          </cell>
        </row>
        <row r="305">
          <cell r="F305" t="str">
            <v>Hrushikesh Bagade</v>
          </cell>
          <cell r="O305">
            <v>72500</v>
          </cell>
        </row>
        <row r="306">
          <cell r="F306" t="str">
            <v>Shilpa Kavde</v>
          </cell>
          <cell r="O306">
            <v>230000</v>
          </cell>
        </row>
        <row r="307">
          <cell r="F307" t="str">
            <v>Shilpa Kavde</v>
          </cell>
          <cell r="O307">
            <v>6000</v>
          </cell>
        </row>
        <row r="308">
          <cell r="F308" t="str">
            <v>Shilpa Kavde</v>
          </cell>
          <cell r="O308">
            <v>847460</v>
          </cell>
        </row>
        <row r="309">
          <cell r="F309" t="str">
            <v>Vidula Chawan</v>
          </cell>
          <cell r="O309">
            <v>7600</v>
          </cell>
        </row>
        <row r="310">
          <cell r="F310" t="str">
            <v>Sankeerth Bhargav</v>
          </cell>
          <cell r="O310">
            <v>261350</v>
          </cell>
        </row>
        <row r="311">
          <cell r="F311" t="str">
            <v>Sankeerth Bhargav</v>
          </cell>
          <cell r="O311">
            <v>355850</v>
          </cell>
        </row>
        <row r="312">
          <cell r="F312" t="str">
            <v>Shahbaz Khan</v>
          </cell>
          <cell r="O312">
            <v>72542</v>
          </cell>
        </row>
        <row r="313">
          <cell r="F313" t="str">
            <v>Shahbaz Khan</v>
          </cell>
          <cell r="O313">
            <v>180250</v>
          </cell>
        </row>
        <row r="314">
          <cell r="F314" t="str">
            <v>Shahbaz Khan</v>
          </cell>
          <cell r="O314">
            <v>5180</v>
          </cell>
        </row>
        <row r="315">
          <cell r="F315" t="str">
            <v>Shahbaz Khan</v>
          </cell>
          <cell r="O315">
            <v>163315</v>
          </cell>
        </row>
        <row r="316">
          <cell r="F316" t="str">
            <v>Shahbaz Khan</v>
          </cell>
          <cell r="O316">
            <v>961984</v>
          </cell>
        </row>
        <row r="317">
          <cell r="F317" t="str">
            <v>Shahbaz Khan</v>
          </cell>
          <cell r="O317">
            <v>961984</v>
          </cell>
        </row>
        <row r="318">
          <cell r="F318" t="str">
            <v>Shahbaz Khan</v>
          </cell>
          <cell r="O318">
            <v>961984</v>
          </cell>
        </row>
        <row r="319">
          <cell r="F319" t="str">
            <v>Shahbaz Khan</v>
          </cell>
          <cell r="O319">
            <v>961984</v>
          </cell>
        </row>
        <row r="320">
          <cell r="F320" t="str">
            <v>Shaik Khadhar</v>
          </cell>
          <cell r="O320">
            <v>30480000</v>
          </cell>
        </row>
        <row r="321">
          <cell r="F321" t="str">
            <v>Shilpa Kavde</v>
          </cell>
          <cell r="O321">
            <v>230000</v>
          </cell>
        </row>
        <row r="322">
          <cell r="F322" t="str">
            <v>Vidula Chawan</v>
          </cell>
          <cell r="O322">
            <v>22000</v>
          </cell>
        </row>
        <row r="323">
          <cell r="F323" t="str">
            <v>Vidula Chawan</v>
          </cell>
          <cell r="O323">
            <v>8800</v>
          </cell>
        </row>
        <row r="324">
          <cell r="F324" t="str">
            <v>Atharva Karpe</v>
          </cell>
          <cell r="O324">
            <v>25340000</v>
          </cell>
        </row>
        <row r="325">
          <cell r="F325" t="str">
            <v>Atharva Karpe</v>
          </cell>
          <cell r="O325">
            <v>2484368</v>
          </cell>
        </row>
        <row r="326">
          <cell r="F326" t="str">
            <v>Atharva Karpe</v>
          </cell>
          <cell r="O326">
            <v>66529</v>
          </cell>
        </row>
        <row r="327">
          <cell r="F327" t="str">
            <v>Atharva Karpe</v>
          </cell>
          <cell r="O327">
            <v>169500</v>
          </cell>
        </row>
        <row r="328">
          <cell r="F328" t="str">
            <v>Atharva Karpe</v>
          </cell>
          <cell r="O328">
            <v>225000</v>
          </cell>
        </row>
        <row r="329">
          <cell r="F329" t="str">
            <v>Atharva Karpe</v>
          </cell>
          <cell r="O329">
            <v>5413000</v>
          </cell>
        </row>
        <row r="330">
          <cell r="F330" t="str">
            <v>Atharva Karpe</v>
          </cell>
          <cell r="O330">
            <v>10095000</v>
          </cell>
        </row>
        <row r="331">
          <cell r="F331" t="str">
            <v>Atharva Karpe</v>
          </cell>
          <cell r="O331">
            <v>87500</v>
          </cell>
        </row>
        <row r="332">
          <cell r="F332" t="str">
            <v>Atharva Karpe</v>
          </cell>
          <cell r="O332">
            <v>60800</v>
          </cell>
        </row>
        <row r="333">
          <cell r="F333" t="str">
            <v>Ayushman Singh</v>
          </cell>
          <cell r="O333">
            <v>2206500</v>
          </cell>
        </row>
        <row r="334">
          <cell r="F334" t="str">
            <v>Jay Rushi</v>
          </cell>
          <cell r="O334">
            <v>24350</v>
          </cell>
        </row>
        <row r="335">
          <cell r="F335" t="str">
            <v>Jay Rushi</v>
          </cell>
          <cell r="O335">
            <v>91100</v>
          </cell>
        </row>
        <row r="336">
          <cell r="F336" t="str">
            <v>Jay Rushi</v>
          </cell>
          <cell r="O336">
            <v>3200000</v>
          </cell>
        </row>
        <row r="337">
          <cell r="F337" t="str">
            <v>Jay Rushi</v>
          </cell>
          <cell r="O337">
            <v>62250</v>
          </cell>
        </row>
        <row r="338">
          <cell r="F338" t="str">
            <v>Jay Rushi</v>
          </cell>
          <cell r="O338">
            <v>43720</v>
          </cell>
        </row>
        <row r="339">
          <cell r="F339" t="str">
            <v>Jay Rushi</v>
          </cell>
          <cell r="O339">
            <v>7800000</v>
          </cell>
        </row>
        <row r="340">
          <cell r="F340" t="str">
            <v>Yusufali Petiwala</v>
          </cell>
          <cell r="O340">
            <v>549855.07999999996</v>
          </cell>
        </row>
        <row r="341">
          <cell r="F341" t="str">
            <v>Yusufali Petiwala</v>
          </cell>
          <cell r="O341">
            <v>7850</v>
          </cell>
        </row>
        <row r="342">
          <cell r="F342" t="str">
            <v>Yusufali Petiwala</v>
          </cell>
          <cell r="O342">
            <v>1826670</v>
          </cell>
        </row>
        <row r="343">
          <cell r="F343" t="str">
            <v>Yusufali Petiwala</v>
          </cell>
          <cell r="O343">
            <v>19000</v>
          </cell>
        </row>
        <row r="344">
          <cell r="F344" t="str">
            <v>Yusufali Petiwala</v>
          </cell>
          <cell r="O344">
            <v>124500</v>
          </cell>
        </row>
        <row r="345">
          <cell r="F345" t="str">
            <v>Yusufali Petiwala</v>
          </cell>
          <cell r="O345">
            <v>100000</v>
          </cell>
        </row>
        <row r="346">
          <cell r="F346" t="str">
            <v>Yusufali Petiwala</v>
          </cell>
          <cell r="O346">
            <v>316800</v>
          </cell>
        </row>
        <row r="347">
          <cell r="F347" t="str">
            <v>Yusufali Petiwala</v>
          </cell>
          <cell r="O347">
            <v>220000</v>
          </cell>
        </row>
        <row r="348">
          <cell r="F348" t="str">
            <v>Yusufali Petiwala</v>
          </cell>
          <cell r="O348">
            <v>1504800</v>
          </cell>
        </row>
        <row r="349">
          <cell r="F349" t="str">
            <v>Yusufali Petiwala</v>
          </cell>
          <cell r="O349">
            <v>211200</v>
          </cell>
        </row>
        <row r="350">
          <cell r="F350" t="str">
            <v>Yusufali Petiwala</v>
          </cell>
          <cell r="O350">
            <v>2800</v>
          </cell>
        </row>
        <row r="351">
          <cell r="F351" t="str">
            <v>Yusufali Petiwala</v>
          </cell>
          <cell r="O351">
            <v>877000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neem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1303500000</v>
          </cell>
        </row>
        <row r="16">
          <cell r="D16">
            <v>1296500000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"/>
      <sheetName val="Sheet1"/>
    </sheetNames>
    <sheetDataSet>
      <sheetData sheetId="0">
        <row r="1">
          <cell r="F1" t="str">
            <v>Opportunity Led By</v>
          </cell>
          <cell r="K1" t="str">
            <v>Category</v>
          </cell>
          <cell r="O1" t="str">
            <v>Amount</v>
          </cell>
        </row>
        <row r="2">
          <cell r="F2" t="str">
            <v>Ajay Patodia</v>
          </cell>
          <cell r="K2" t="str">
            <v>Data Centre</v>
          </cell>
          <cell r="O2">
            <v>374193.55</v>
          </cell>
        </row>
        <row r="3">
          <cell r="F3" t="str">
            <v>Chetna Sharma</v>
          </cell>
          <cell r="K3" t="str">
            <v>Data Centre</v>
          </cell>
          <cell r="O3">
            <v>27000000</v>
          </cell>
        </row>
        <row r="4">
          <cell r="F4" t="str">
            <v>Richa Tiwari</v>
          </cell>
          <cell r="K4" t="str">
            <v>Data Centre</v>
          </cell>
          <cell r="O4">
            <v>350000</v>
          </cell>
        </row>
        <row r="5">
          <cell r="F5" t="str">
            <v>Rohit Deshmukh</v>
          </cell>
          <cell r="K5" t="str">
            <v>Data Centre</v>
          </cell>
          <cell r="O5">
            <v>12000000</v>
          </cell>
        </row>
        <row r="6">
          <cell r="F6" t="str">
            <v>Shahbaz Khan</v>
          </cell>
          <cell r="K6" t="str">
            <v>Data Centre</v>
          </cell>
          <cell r="O6">
            <v>1200000</v>
          </cell>
        </row>
        <row r="7">
          <cell r="F7" t="str">
            <v>Jay Rushi</v>
          </cell>
          <cell r="K7" t="str">
            <v>CSG (EndPoint)</v>
          </cell>
          <cell r="O7">
            <v>3125000</v>
          </cell>
        </row>
        <row r="8">
          <cell r="F8" t="str">
            <v>Hrushikesh Bagade</v>
          </cell>
          <cell r="K8" t="str">
            <v>CSG (EndPoint)</v>
          </cell>
          <cell r="O8">
            <v>166860</v>
          </cell>
        </row>
        <row r="9">
          <cell r="F9" t="str">
            <v>Ashish Singh</v>
          </cell>
          <cell r="K9" t="str">
            <v>Professional Services</v>
          </cell>
          <cell r="O9">
            <v>1486080</v>
          </cell>
        </row>
        <row r="10">
          <cell r="F10" t="str">
            <v>Atharva Karpe</v>
          </cell>
          <cell r="K10" t="str">
            <v>Professional Services</v>
          </cell>
          <cell r="O10">
            <v>245000</v>
          </cell>
        </row>
        <row r="11">
          <cell r="F11" t="str">
            <v>Pratik Kadam</v>
          </cell>
          <cell r="K11" t="str">
            <v>CSG (EndPoint)</v>
          </cell>
          <cell r="O11">
            <v>79500</v>
          </cell>
        </row>
        <row r="12">
          <cell r="F12" t="str">
            <v>Richa Tiwari</v>
          </cell>
          <cell r="K12" t="str">
            <v>CSG (EndPoint)</v>
          </cell>
          <cell r="O12">
            <v>1089000</v>
          </cell>
        </row>
        <row r="13">
          <cell r="F13" t="str">
            <v>Richa Tiwari</v>
          </cell>
          <cell r="K13" t="str">
            <v>CSG (EndPoint)</v>
          </cell>
          <cell r="O13">
            <v>3570000</v>
          </cell>
        </row>
        <row r="14">
          <cell r="F14" t="str">
            <v>Richa Tiwari</v>
          </cell>
          <cell r="K14" t="str">
            <v>CSG (EndPoint)</v>
          </cell>
          <cell r="O14">
            <v>181050</v>
          </cell>
        </row>
        <row r="15">
          <cell r="F15" t="str">
            <v>Richa Tiwari</v>
          </cell>
          <cell r="K15" t="str">
            <v>CSG (EndPoint)</v>
          </cell>
          <cell r="O15">
            <v>419500</v>
          </cell>
        </row>
        <row r="16">
          <cell r="F16" t="str">
            <v>Richa Tiwari</v>
          </cell>
          <cell r="K16" t="str">
            <v>CSG (EndPoint)</v>
          </cell>
          <cell r="O16">
            <v>11067000</v>
          </cell>
        </row>
        <row r="17">
          <cell r="F17" t="str">
            <v>Richa Tiwari</v>
          </cell>
          <cell r="K17" t="str">
            <v>CSG (EndPoint)</v>
          </cell>
          <cell r="O17">
            <v>238000</v>
          </cell>
        </row>
        <row r="18">
          <cell r="F18" t="str">
            <v>Abrar Memon</v>
          </cell>
          <cell r="K18" t="str">
            <v>Cyber Security &amp; Networking</v>
          </cell>
          <cell r="O18">
            <v>21350</v>
          </cell>
        </row>
        <row r="19">
          <cell r="F19" t="str">
            <v>Richa Tiwari</v>
          </cell>
          <cell r="K19" t="str">
            <v>Cyber Security &amp; Networking</v>
          </cell>
          <cell r="O19">
            <v>7480583.8600000003</v>
          </cell>
        </row>
        <row r="20">
          <cell r="F20" t="str">
            <v>Sagar TR</v>
          </cell>
          <cell r="K20" t="str">
            <v>Cyber Security &amp; Networking</v>
          </cell>
          <cell r="O20">
            <v>576400</v>
          </cell>
        </row>
        <row r="21">
          <cell r="F21" t="str">
            <v>Tasneem K</v>
          </cell>
          <cell r="K21" t="str">
            <v>Cyber Security &amp; Networking</v>
          </cell>
          <cell r="O21">
            <v>33000000</v>
          </cell>
        </row>
        <row r="22">
          <cell r="F22" t="str">
            <v>Sagar TR</v>
          </cell>
          <cell r="K22" t="str">
            <v>CSG (EndPoint)</v>
          </cell>
          <cell r="O22">
            <v>336000</v>
          </cell>
        </row>
        <row r="23">
          <cell r="F23" t="str">
            <v>Sagar TR</v>
          </cell>
          <cell r="K23" t="str">
            <v>CSG (EndPoint)</v>
          </cell>
          <cell r="O23">
            <v>84000</v>
          </cell>
        </row>
        <row r="24">
          <cell r="F24" t="str">
            <v>Yusufali Petiwala</v>
          </cell>
          <cell r="K24" t="str">
            <v>CSG (EndPoint)</v>
          </cell>
          <cell r="O24">
            <v>124500</v>
          </cell>
        </row>
        <row r="25">
          <cell r="F25" t="str">
            <v>Yusufali Petiwala</v>
          </cell>
          <cell r="K25" t="str">
            <v>CSG (EndPoint)</v>
          </cell>
          <cell r="O25">
            <v>100000</v>
          </cell>
        </row>
        <row r="26">
          <cell r="F26" t="str">
            <v>Yusufali Petiwala</v>
          </cell>
          <cell r="K26" t="str">
            <v>CSG (EndPoint)</v>
          </cell>
          <cell r="O26">
            <v>211200</v>
          </cell>
        </row>
        <row r="27">
          <cell r="F27" t="str">
            <v>Yusufali Petiwala</v>
          </cell>
          <cell r="K27" t="str">
            <v>CSG (EndPoint)</v>
          </cell>
          <cell r="O27">
            <v>316800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Y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590000000</v>
          </cell>
        </row>
        <row r="15">
          <cell r="D15">
            <v>610000000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rag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275000000</v>
          </cell>
        </row>
        <row r="14">
          <cell r="D14">
            <v>325000000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ch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250000000</v>
          </cell>
        </row>
        <row r="12">
          <cell r="D12">
            <v>350000000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tik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shant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605000000</v>
          </cell>
        </row>
        <row r="13">
          <cell r="D13">
            <v>895000000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hit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760000000</v>
          </cell>
        </row>
        <row r="12">
          <cell r="D12">
            <v>590000000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tn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200000000</v>
          </cell>
        </row>
        <row r="17">
          <cell r="D17">
            <v>490000000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keerth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117500000</v>
          </cell>
        </row>
        <row r="15">
          <cell r="D15">
            <v>302500000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chi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0">
          <cell r="D10">
            <v>180000000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lpa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0">
          <cell r="D10">
            <v>250000000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ula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65000000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imesh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3">
          <cell r="D13">
            <v>300000000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harva -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40000000</v>
          </cell>
        </row>
        <row r="10">
          <cell r="D10">
            <v>40000000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y Rushi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yushman-TARGET LETTER - 26-27"/>
      <sheetName val="Terms &amp; Conditions"/>
      <sheetName val="NW service Pack"/>
      <sheetName val="CybSec Service Pack"/>
    </sheetNames>
    <sheetDataSet>
      <sheetData sheetId="0">
        <row r="9">
          <cell r="D9">
            <v>30000000</v>
          </cell>
        </row>
        <row r="10">
          <cell r="D10">
            <v>90000000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ubhangi-TARGET LETTER - 26-27"/>
      <sheetName val="Terms &amp; Conditions"/>
      <sheetName val="NW service Pack"/>
      <sheetName val="CybSec Service Pack"/>
    </sheetNames>
    <sheetDataSet>
      <sheetData sheetId="0">
        <row r="9">
          <cell r="D9">
            <v>50000000</v>
          </cell>
        </row>
        <row r="10">
          <cell r="D10">
            <v>100000000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humi Target Letter 26 27 "/>
      <sheetName val="Terms &amp; Conditions"/>
      <sheetName val="Cloud Service Pack"/>
    </sheetNames>
    <sheetDataSet>
      <sheetData sheetId="0">
        <row r="9">
          <cell r="D9">
            <v>6000000</v>
          </cell>
        </row>
        <row r="10">
          <cell r="D10">
            <v>14000000</v>
          </cell>
        </row>
      </sheetData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vesh- Target Letter 26 27 "/>
      <sheetName val="Terms &amp; Conditions"/>
      <sheetName val="Cloud Service Pack"/>
    </sheetNames>
    <sheetDataSet>
      <sheetData sheetId="0">
        <row r="9">
          <cell r="D9">
            <v>6000000</v>
          </cell>
        </row>
        <row r="10">
          <cell r="D10">
            <v>14000000</v>
          </cell>
        </row>
      </sheetData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hish  Target Letter 26 27 "/>
      <sheetName val="Terms &amp; Conditions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100000000</v>
          </cell>
        </row>
      </sheetData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zwana Target Letter 26 27 "/>
      <sheetName val="Terms &amp; Conditions"/>
      <sheetName val="Cloud Service Pack"/>
    </sheetNames>
    <sheetDataSet>
      <sheetData sheetId="0">
        <row r="9">
          <cell r="D9">
            <v>15000000</v>
          </cell>
        </row>
        <row r="10">
          <cell r="D10">
            <v>35000000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rar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40000000</v>
          </cell>
        </row>
        <row r="10">
          <cell r="D10">
            <v>40000000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gar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hbaz 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60000000</v>
          </cell>
        </row>
        <row r="10">
          <cell r="D10">
            <v>60000000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ma Target Letter 26 27 "/>
      <sheetName val="Terms &amp; Conditions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50000000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A -TARGET LETTER - 26-27"/>
      <sheetName val="Terms &amp; Conditions"/>
      <sheetName val="Cloud Service Pack"/>
    </sheetNames>
    <sheetDataSet>
      <sheetData sheetId="0">
        <row r="9">
          <cell r="D9">
            <v>32000000</v>
          </cell>
        </row>
        <row r="14">
          <cell r="D14">
            <v>68000000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5"/>
  <sheetViews>
    <sheetView showGridLines="0" tabSelected="1" zoomScale="85" zoomScaleNormal="85" workbookViewId="0">
      <pane ySplit="2" topLeftCell="A3" activePane="bottomLeft" state="frozen"/>
      <selection pane="bottomLeft" activeCell="L4" sqref="L4"/>
    </sheetView>
  </sheetViews>
  <sheetFormatPr defaultColWidth="8.6640625" defaultRowHeight="14.4" x14ac:dyDescent="0.3"/>
  <cols>
    <col min="1" max="1" width="4" customWidth="1"/>
    <col min="2" max="2" width="26" customWidth="1"/>
    <col min="3" max="3" width="14.21875" bestFit="1" customWidth="1"/>
    <col min="4" max="4" width="9" customWidth="1"/>
    <col min="5" max="5" width="11.21875" customWidth="1"/>
    <col min="6" max="6" width="11.109375" customWidth="1"/>
    <col min="7" max="7" width="11" customWidth="1"/>
    <col min="8" max="8" width="11.44140625" customWidth="1"/>
    <col min="9" max="10" width="11" customWidth="1"/>
    <col min="11" max="11" width="12.33203125" customWidth="1"/>
    <col min="12" max="12" width="11" customWidth="1"/>
    <col min="13" max="13" width="11.33203125" bestFit="1" customWidth="1"/>
    <col min="14" max="17" width="11.33203125" customWidth="1"/>
    <col min="18" max="19" width="11" customWidth="1"/>
    <col min="20" max="20" width="12" customWidth="1"/>
    <col min="21" max="21" width="9" customWidth="1"/>
    <col min="22" max="23" width="12" hidden="1" customWidth="1"/>
    <col min="24" max="25" width="14" hidden="1" customWidth="1"/>
    <col min="26" max="26" width="7" hidden="1" customWidth="1"/>
  </cols>
  <sheetData>
    <row r="1" spans="1:26" ht="27.75" customHeight="1" x14ac:dyDescent="0.3">
      <c r="A1" s="177" t="s">
        <v>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spans="1:26" ht="36" customHeight="1" thickBot="1" x14ac:dyDescent="0.35">
      <c r="A2" s="7" t="s">
        <v>0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168</v>
      </c>
      <c r="G2" s="7" t="s">
        <v>169</v>
      </c>
      <c r="H2" s="7" t="s">
        <v>188</v>
      </c>
      <c r="I2" s="7" t="s">
        <v>170</v>
      </c>
      <c r="J2" s="7" t="s">
        <v>171</v>
      </c>
      <c r="K2" s="7" t="s">
        <v>189</v>
      </c>
      <c r="L2" s="7" t="s">
        <v>6</v>
      </c>
      <c r="M2" s="7" t="s">
        <v>7</v>
      </c>
      <c r="N2" s="7" t="s">
        <v>190</v>
      </c>
      <c r="O2" s="7" t="s">
        <v>193</v>
      </c>
      <c r="P2" s="7" t="s">
        <v>194</v>
      </c>
      <c r="Q2" s="7" t="s">
        <v>195</v>
      </c>
      <c r="R2" s="7" t="s">
        <v>8</v>
      </c>
      <c r="S2" s="7" t="s">
        <v>9</v>
      </c>
      <c r="T2" s="7" t="s">
        <v>10</v>
      </c>
      <c r="U2" s="7" t="s">
        <v>11</v>
      </c>
      <c r="V2" s="7" t="s">
        <v>12</v>
      </c>
      <c r="W2" s="7" t="s">
        <v>13</v>
      </c>
      <c r="X2" s="7" t="s">
        <v>14</v>
      </c>
      <c r="Y2" s="7" t="s">
        <v>15</v>
      </c>
      <c r="Z2" s="7" t="s">
        <v>16</v>
      </c>
    </row>
    <row r="3" spans="1:26" ht="15" thickBot="1" x14ac:dyDescent="0.35">
      <c r="A3" s="175" t="s">
        <v>17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spans="1:26" x14ac:dyDescent="0.3">
      <c r="A4" s="80">
        <v>1</v>
      </c>
      <c r="B4" s="81" t="s">
        <v>147</v>
      </c>
      <c r="C4" s="82" t="s">
        <v>18</v>
      </c>
      <c r="D4" s="83" t="s">
        <v>19</v>
      </c>
      <c r="E4" s="84" t="s">
        <v>20</v>
      </c>
      <c r="F4" s="85">
        <f>L4/2</f>
        <v>65.174999999999997</v>
      </c>
      <c r="G4" s="86">
        <f>SUMIF('[1]Opportunity Pipeline 1Apr to 21'!$F:$F,"Tasneem K",'[1]Opportunity Pipeline 1Apr to 21'!$O:$O)/10^7</f>
        <v>15.340587879000003</v>
      </c>
      <c r="H4" s="143">
        <f>IFERROR(G4/F4,"-")</f>
        <v>0.23537534144994252</v>
      </c>
      <c r="I4" s="85">
        <f>L4/2</f>
        <v>65.174999999999997</v>
      </c>
      <c r="J4" s="87" t="s">
        <v>172</v>
      </c>
      <c r="K4" s="144" t="str">
        <f>IFERROR(J4/I4,"-")</f>
        <v>-</v>
      </c>
      <c r="L4" s="85">
        <f>'[2]Tasneem- TARGET LETTER - 26-27'!$D$9/10^7</f>
        <v>130.35</v>
      </c>
      <c r="M4" s="86">
        <f>SUM(G4,J4)</f>
        <v>15.340587879000003</v>
      </c>
      <c r="N4" s="143">
        <f>IFERROR(M4/L4,"-")</f>
        <v>0.11768767072497126</v>
      </c>
      <c r="O4" s="85">
        <f>'[2]Tasneem- TARGET LETTER - 26-27'!$D$16/10^7</f>
        <v>129.65</v>
      </c>
      <c r="P4" s="87" t="s">
        <v>172</v>
      </c>
      <c r="Q4" s="144" t="str">
        <f>IFERROR(P4/O4,"-")</f>
        <v>-</v>
      </c>
      <c r="R4" s="167">
        <f>SUM(L4,O4)</f>
        <v>260</v>
      </c>
      <c r="S4" s="86">
        <f>SUM(M4,P4)</f>
        <v>15.340587879000003</v>
      </c>
      <c r="T4" s="88">
        <f>IFERROR(S4/R4,"-")</f>
        <v>5.9002261073076934E-2</v>
      </c>
      <c r="U4" s="89" t="e">
        <f>COUNTIF([3]in!$F$1:$F$27,'V1 · Individual'!B4)</f>
        <v>#VALUE!</v>
      </c>
      <c r="V4" s="90"/>
      <c r="W4" s="91"/>
      <c r="X4" s="90"/>
      <c r="Y4" s="91"/>
      <c r="Z4" s="92" t="str">
        <f>IFERROR(RANK(S4,S4:S50,0),"-")</f>
        <v>-</v>
      </c>
    </row>
    <row r="5" spans="1:26" x14ac:dyDescent="0.3">
      <c r="A5" s="80">
        <v>2</v>
      </c>
      <c r="B5" s="81" t="s">
        <v>21</v>
      </c>
      <c r="C5" s="82" t="s">
        <v>18</v>
      </c>
      <c r="D5" s="83" t="s">
        <v>19</v>
      </c>
      <c r="E5" s="84" t="s">
        <v>20</v>
      </c>
      <c r="F5" s="85">
        <f t="shared" ref="F5:F8" si="0">L5/2</f>
        <v>29.5</v>
      </c>
      <c r="G5" s="86">
        <f>SUMIF('[1]Opportunity Pipeline 1Apr to 21'!$F:$F,"Riya Roshyara",'[1]Opportunity Pipeline 1Apr to 21'!$O:$O)/10^7</f>
        <v>0</v>
      </c>
      <c r="H5" s="143">
        <f t="shared" ref="H5:H8" si="1">IFERROR(G5/F5,"-")</f>
        <v>0</v>
      </c>
      <c r="I5" s="85">
        <f t="shared" ref="I5:I8" si="2">L5/2</f>
        <v>29.5</v>
      </c>
      <c r="J5" s="87" t="s">
        <v>172</v>
      </c>
      <c r="K5" s="144" t="str">
        <f t="shared" ref="K5:K10" si="3">IFERROR(J5/I5,"-")</f>
        <v>-</v>
      </c>
      <c r="L5" s="85">
        <f>'[4]RIYA- TARGET LETTER - 26-27'!$D$9/10^7</f>
        <v>59</v>
      </c>
      <c r="M5" s="86">
        <f t="shared" ref="M5:M10" si="4">SUM(G5,J5)</f>
        <v>0</v>
      </c>
      <c r="N5" s="143">
        <f t="shared" ref="N5:N8" si="5">IFERROR(M5/L5,"-")</f>
        <v>0</v>
      </c>
      <c r="O5" s="85">
        <f>'[4]RIYA- TARGET LETTER - 26-27'!$D$15/10^7</f>
        <v>61</v>
      </c>
      <c r="P5" s="87" t="s">
        <v>172</v>
      </c>
      <c r="Q5" s="144" t="str">
        <f t="shared" ref="Q5:Q10" si="6">IFERROR(P5/O5,"-")</f>
        <v>-</v>
      </c>
      <c r="R5" s="167">
        <f t="shared" ref="R5:R10" si="7">SUM(L5,O5)</f>
        <v>120</v>
      </c>
      <c r="S5" s="86">
        <f t="shared" ref="S5:S8" si="8">SUM(M5,P5)</f>
        <v>0</v>
      </c>
      <c r="T5" s="88">
        <f t="shared" ref="T5:T10" si="9">IFERROR(S5/R5,"-")</f>
        <v>0</v>
      </c>
      <c r="U5" s="89" t="e">
        <f>COUNTIF([3]in!$F$1:$F$27,'V1 · Individual'!B5)</f>
        <v>#VALUE!</v>
      </c>
      <c r="V5" s="90"/>
      <c r="W5" s="91"/>
      <c r="X5" s="90"/>
      <c r="Y5" s="91"/>
      <c r="Z5" s="92" t="str">
        <f>IFERROR(RANK(S5,S5:S51,0),"-")</f>
        <v>-</v>
      </c>
    </row>
    <row r="6" spans="1:26" x14ac:dyDescent="0.3">
      <c r="A6" s="80">
        <v>3</v>
      </c>
      <c r="B6" s="81" t="s">
        <v>204</v>
      </c>
      <c r="C6" s="82" t="s">
        <v>18</v>
      </c>
      <c r="D6" s="83" t="s">
        <v>19</v>
      </c>
      <c r="E6" s="84" t="s">
        <v>20</v>
      </c>
      <c r="F6" s="85">
        <f t="shared" si="0"/>
        <v>13.75</v>
      </c>
      <c r="G6" s="86">
        <f>SUMIF('[1]Opportunity Pipeline 1Apr to 21'!$F:$F,"Chirag Palande",'[1]Opportunity Pipeline 1Apr to 21'!$O:$O)/10^7</f>
        <v>0.12866739999999999</v>
      </c>
      <c r="H6" s="143">
        <f t="shared" si="1"/>
        <v>9.3576290909090903E-3</v>
      </c>
      <c r="I6" s="85">
        <f t="shared" si="2"/>
        <v>13.75</v>
      </c>
      <c r="J6" s="87" t="s">
        <v>172</v>
      </c>
      <c r="K6" s="144" t="str">
        <f t="shared" si="3"/>
        <v>-</v>
      </c>
      <c r="L6">
        <f>'[5]Chirag- TARGET LETTER - 26-27'!$D$9/10^7</f>
        <v>27.5</v>
      </c>
      <c r="M6" s="86">
        <f t="shared" si="4"/>
        <v>0.12866739999999999</v>
      </c>
      <c r="N6" s="143">
        <f>IFERROR(M6/L6,"-")</f>
        <v>4.6788145454545451E-3</v>
      </c>
      <c r="O6" s="85">
        <f>'[5]Chirag- TARGET LETTER - 26-27'!$D$14/10^7</f>
        <v>32.5</v>
      </c>
      <c r="P6" s="87" t="s">
        <v>172</v>
      </c>
      <c r="Q6" s="144" t="str">
        <f t="shared" si="6"/>
        <v>-</v>
      </c>
      <c r="R6" s="167">
        <f t="shared" si="7"/>
        <v>60</v>
      </c>
      <c r="S6" s="86">
        <f t="shared" si="8"/>
        <v>0.12866739999999999</v>
      </c>
      <c r="T6" s="88">
        <f t="shared" si="9"/>
        <v>2.1444566666666666E-3</v>
      </c>
      <c r="U6" s="89" t="e">
        <f>COUNTIF([3]in!$F$1:$F$27,'V1 · Individual'!B6)</f>
        <v>#VALUE!</v>
      </c>
      <c r="V6" s="90"/>
      <c r="W6" s="91"/>
      <c r="X6" s="90"/>
      <c r="Y6" s="91"/>
      <c r="Z6" s="92" t="str">
        <f>IFERROR(RANK(S6,S6:S52,0),"-")</f>
        <v>-</v>
      </c>
    </row>
    <row r="7" spans="1:26" x14ac:dyDescent="0.3">
      <c r="A7" s="80">
        <v>4</v>
      </c>
      <c r="B7" s="81" t="s">
        <v>22</v>
      </c>
      <c r="C7" s="82" t="s">
        <v>18</v>
      </c>
      <c r="D7" s="83" t="s">
        <v>19</v>
      </c>
      <c r="E7" s="84" t="s">
        <v>20</v>
      </c>
      <c r="F7" s="85">
        <f t="shared" si="0"/>
        <v>12.5</v>
      </c>
      <c r="G7" s="86">
        <f>SUMIF('[1]Opportunity Pipeline 1Apr to 21'!$F:$F,"Richa Tiwari",'[1]Opportunity Pipeline 1Apr to 21'!$O:$O)/10^7</f>
        <v>9.9605374780000009</v>
      </c>
      <c r="H7" s="143">
        <f t="shared" si="1"/>
        <v>0.79684299824000004</v>
      </c>
      <c r="I7" s="85">
        <f t="shared" si="2"/>
        <v>12.5</v>
      </c>
      <c r="J7" s="87" t="s">
        <v>172</v>
      </c>
      <c r="K7" s="144" t="str">
        <f t="shared" si="3"/>
        <v>-</v>
      </c>
      <c r="L7" s="85">
        <f>'[6]Richa- TARGET LETTER - 26-27'!$D$9/10^7</f>
        <v>25</v>
      </c>
      <c r="M7" s="86">
        <f t="shared" si="4"/>
        <v>9.9605374780000009</v>
      </c>
      <c r="N7" s="143">
        <f>IFERROR(M7/L7,"-")</f>
        <v>0.39842149912000002</v>
      </c>
      <c r="O7" s="85">
        <f>'[6]Richa- TARGET LETTER - 26-27'!$D$12/10^7</f>
        <v>35</v>
      </c>
      <c r="P7" s="87" t="s">
        <v>172</v>
      </c>
      <c r="Q7" s="144" t="str">
        <f t="shared" si="6"/>
        <v>-</v>
      </c>
      <c r="R7" s="167">
        <f t="shared" si="7"/>
        <v>60</v>
      </c>
      <c r="S7" s="86">
        <f t="shared" si="8"/>
        <v>9.9605374780000009</v>
      </c>
      <c r="T7" s="88">
        <f t="shared" si="9"/>
        <v>0.16600895796666668</v>
      </c>
      <c r="U7" s="89" t="e">
        <f>COUNTIF([3]in!$F$1:$F$27,'V1 · Individual'!B7)</f>
        <v>#VALUE!</v>
      </c>
      <c r="V7" s="90"/>
      <c r="W7" s="91"/>
      <c r="X7" s="90"/>
      <c r="Y7" s="91"/>
      <c r="Z7" s="92" t="str">
        <f>IFERROR(RANK(S7,S7:S54,0),"-")</f>
        <v>-</v>
      </c>
    </row>
    <row r="8" spans="1:26" x14ac:dyDescent="0.3">
      <c r="A8" s="80">
        <v>5</v>
      </c>
      <c r="B8" s="81" t="s">
        <v>153</v>
      </c>
      <c r="C8" s="82" t="s">
        <v>18</v>
      </c>
      <c r="D8" s="83" t="s">
        <v>19</v>
      </c>
      <c r="E8" s="84" t="s">
        <v>20</v>
      </c>
      <c r="F8" s="85">
        <f t="shared" si="0"/>
        <v>2.5</v>
      </c>
      <c r="G8" s="86">
        <f>SUMIF('[1]Opportunity Pipeline 1Apr to 21'!$F:$F,"Pratik Kadam",'[1]Opportunity Pipeline 1Apr to 21'!$O:$O)/10^7</f>
        <v>1.3329668669999999</v>
      </c>
      <c r="H8" s="143">
        <f t="shared" si="1"/>
        <v>0.5331867468</v>
      </c>
      <c r="I8" s="85">
        <f t="shared" si="2"/>
        <v>2.5</v>
      </c>
      <c r="J8" s="87" t="s">
        <v>172</v>
      </c>
      <c r="K8" s="144" t="str">
        <f t="shared" si="3"/>
        <v>-</v>
      </c>
      <c r="L8" s="85">
        <f>'[7]Pratik- TARGET LETTER - 26-27'!$D$9/10^7</f>
        <v>5</v>
      </c>
      <c r="M8" s="86">
        <f t="shared" si="4"/>
        <v>1.3329668669999999</v>
      </c>
      <c r="N8" s="143">
        <f t="shared" si="5"/>
        <v>0.2665933734</v>
      </c>
      <c r="O8" s="85">
        <f>'[7]Pratik- TARGET LETTER - 26-27'!$D$10/10^7</f>
        <v>5</v>
      </c>
      <c r="P8" s="87" t="s">
        <v>172</v>
      </c>
      <c r="Q8" s="144" t="str">
        <f t="shared" si="6"/>
        <v>-</v>
      </c>
      <c r="R8" s="167">
        <f t="shared" si="7"/>
        <v>10</v>
      </c>
      <c r="S8" s="86">
        <f t="shared" si="8"/>
        <v>1.3329668669999999</v>
      </c>
      <c r="T8" s="88">
        <f t="shared" si="9"/>
        <v>0.1332966867</v>
      </c>
      <c r="U8" s="89" t="e">
        <f>COUNTIF([3]in!$F$1:$F$27,'V1 · Individual'!B8)</f>
        <v>#VALUE!</v>
      </c>
      <c r="V8" s="90"/>
      <c r="W8" s="91"/>
      <c r="X8" s="90"/>
      <c r="Y8" s="91"/>
      <c r="Z8" s="92" t="str">
        <f>IFERROR(RANK(S8,S8:S55,0),"-")</f>
        <v>-</v>
      </c>
    </row>
    <row r="9" spans="1:26" x14ac:dyDescent="0.3">
      <c r="A9" s="19"/>
      <c r="B9" s="19" t="s">
        <v>23</v>
      </c>
      <c r="C9" s="19"/>
      <c r="D9" s="19"/>
      <c r="E9" s="19"/>
      <c r="F9" s="66">
        <f>SUM(F4,F5,F6,F7,F8)</f>
        <v>123.425</v>
      </c>
      <c r="G9" s="66">
        <f>SUM(G4,G5,G6,G7,G8)</f>
        <v>26.762759624000001</v>
      </c>
      <c r="H9" s="170">
        <f>IFERROR(G9/F9,"-")</f>
        <v>0.21683418775774763</v>
      </c>
      <c r="I9" s="66">
        <f>SUM(I4,I5,I6,I7,I8)</f>
        <v>123.425</v>
      </c>
      <c r="J9" s="66">
        <f>SUM(J4,J5,J6,J7,J8)</f>
        <v>0</v>
      </c>
      <c r="K9" s="170">
        <f>SUM(K4,K5,K6,K7,K8)</f>
        <v>0</v>
      </c>
      <c r="L9" s="66">
        <f>SUM(L4,L5,L6,L7,L8)</f>
        <v>246.85</v>
      </c>
      <c r="M9" s="66">
        <f>SUM(M4,M5,M6,M7,M8)</f>
        <v>26.762759624000001</v>
      </c>
      <c r="N9" s="170">
        <f>IFERROR(M9/L9,"-")</f>
        <v>0.10841709387887381</v>
      </c>
      <c r="O9" s="66">
        <f>SUM(O4,O5,O6,O7,O8)</f>
        <v>263.14999999999998</v>
      </c>
      <c r="P9" s="66">
        <f>SUM(P4,P5,P6,P7,P8)</f>
        <v>0</v>
      </c>
      <c r="Q9" s="170">
        <f>SUM(Q4,Q5,Q6,Q7,Q8)</f>
        <v>0</v>
      </c>
      <c r="R9" s="66">
        <f>SUM(R4,R5,R6,R7,R8)</f>
        <v>510</v>
      </c>
      <c r="S9" s="66">
        <f>SUM(S4,S5,S6,S7,S8)</f>
        <v>26.762759624000001</v>
      </c>
      <c r="T9" s="170">
        <f>IFERROR(S9/R9,"-")</f>
        <v>5.2475999262745099E-2</v>
      </c>
      <c r="U9" s="171" t="e">
        <f>SUM(U4,U5,U6,U7,U8)</f>
        <v>#VALUE!</v>
      </c>
      <c r="V9" s="21">
        <f>IFERROR(SUM(V4:V8),"—")</f>
        <v>0</v>
      </c>
      <c r="W9" s="20">
        <f>IFERROR(SUM(W4:W8),"—")</f>
        <v>0</v>
      </c>
      <c r="X9" s="21">
        <f>IFERROR(SUM(X4:X8),"—")</f>
        <v>0</v>
      </c>
      <c r="Y9" s="20">
        <f>IFERROR(SUM(Y4:Y8),"—")</f>
        <v>0</v>
      </c>
      <c r="Z9" s="19"/>
    </row>
    <row r="10" spans="1:26" x14ac:dyDescent="0.3">
      <c r="A10" s="73" t="s">
        <v>0</v>
      </c>
      <c r="B10" s="3" t="s">
        <v>166</v>
      </c>
      <c r="C10" s="14" t="s">
        <v>18</v>
      </c>
      <c r="D10" s="15" t="s">
        <v>19</v>
      </c>
      <c r="E10" s="16" t="s">
        <v>167</v>
      </c>
      <c r="F10" s="75">
        <f>L10/2</f>
        <v>30.25</v>
      </c>
      <c r="G10" s="75">
        <f>SUM(G6:G7)</f>
        <v>10.089204878</v>
      </c>
      <c r="H10" s="146">
        <f>IFERROR(G10/F10,"-")</f>
        <v>0.33352743398347107</v>
      </c>
      <c r="I10" s="59">
        <f>L10/2</f>
        <v>30.25</v>
      </c>
      <c r="J10" s="137" t="s">
        <v>172</v>
      </c>
      <c r="K10" s="145" t="str">
        <f t="shared" si="3"/>
        <v>-</v>
      </c>
      <c r="L10" s="59">
        <f>'[8]Prashant- TARGET LETTER - 26-27'!$D$9/10^7</f>
        <v>60.5</v>
      </c>
      <c r="M10" s="75">
        <f t="shared" si="4"/>
        <v>10.089204878</v>
      </c>
      <c r="N10" s="146">
        <f>IFERROR(M10/L10,"-")</f>
        <v>0.16676371699173553</v>
      </c>
      <c r="O10" s="59">
        <f>'[8]Prashant- TARGET LETTER - 26-27'!$D$13/10^7</f>
        <v>89.5</v>
      </c>
      <c r="P10" s="137" t="s">
        <v>172</v>
      </c>
      <c r="Q10" s="145" t="str">
        <f t="shared" si="6"/>
        <v>-</v>
      </c>
      <c r="R10" s="75">
        <f t="shared" si="7"/>
        <v>150</v>
      </c>
      <c r="S10" s="75">
        <f>M10</f>
        <v>10.089204878</v>
      </c>
      <c r="T10" s="142">
        <f t="shared" si="9"/>
        <v>6.7261365853333338E-2</v>
      </c>
      <c r="U10" s="76">
        <v>8</v>
      </c>
      <c r="V10" s="71"/>
      <c r="W10" s="72"/>
      <c r="X10" s="71"/>
      <c r="Y10" s="72"/>
      <c r="Z10" s="70"/>
    </row>
    <row r="11" spans="1:26" ht="15" thickBot="1" x14ac:dyDescent="0.35"/>
    <row r="12" spans="1:26" ht="15" thickBot="1" x14ac:dyDescent="0.35">
      <c r="A12" s="175" t="s">
        <v>24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spans="1:26" x14ac:dyDescent="0.3">
      <c r="A13" s="80">
        <v>1</v>
      </c>
      <c r="B13" s="81" t="s">
        <v>150</v>
      </c>
      <c r="C13" s="82" t="s">
        <v>25</v>
      </c>
      <c r="D13" s="83" t="s">
        <v>19</v>
      </c>
      <c r="E13" s="84" t="s">
        <v>20</v>
      </c>
      <c r="F13" s="85">
        <f>L13/2</f>
        <v>38</v>
      </c>
      <c r="G13" s="86">
        <f>SUMIF('[1]Opportunity Pipeline 1Apr to 21'!$F:$F,"Rohit Deshmukh",'[1]Opportunity Pipeline 1Apr to 21'!$O:$O)/10^7</f>
        <v>2.2807317500000002</v>
      </c>
      <c r="H13" s="143">
        <f>IFERROR(G13/F13,"-")</f>
        <v>6.0019256578947376E-2</v>
      </c>
      <c r="I13" s="85">
        <f>L13/2</f>
        <v>38</v>
      </c>
      <c r="J13" s="87" t="s">
        <v>172</v>
      </c>
      <c r="K13" s="87" t="str">
        <f>IFERROR(J13/I13,"-")</f>
        <v>-</v>
      </c>
      <c r="L13" s="85">
        <f>'[9]Rohit- TARGET LETTER - 26-27'!$D$9/10^7</f>
        <v>76</v>
      </c>
      <c r="M13" s="86">
        <f>SUM(G13,J13)</f>
        <v>2.2807317500000002</v>
      </c>
      <c r="N13" s="143">
        <f>IFERROR(M13/L13,"-")</f>
        <v>3.0009628289473688E-2</v>
      </c>
      <c r="O13" s="85">
        <f>'[9]Rohit- TARGET LETTER - 26-27'!$D$12/10^7</f>
        <v>59</v>
      </c>
      <c r="P13" s="87" t="s">
        <v>172</v>
      </c>
      <c r="Q13" s="144" t="str">
        <f>IFERROR(P13/O13,"-")</f>
        <v>-</v>
      </c>
      <c r="R13" s="85">
        <v>135</v>
      </c>
      <c r="S13" s="86">
        <f>SUM(M13,P13)</f>
        <v>2.2807317500000002</v>
      </c>
      <c r="T13" s="88">
        <f t="shared" ref="T13:T18" si="10">IFERROR(S13/R13,"-")</f>
        <v>1.689430925925926E-2</v>
      </c>
      <c r="U13" s="89" t="e">
        <f>COUNTIF([3]in!$F$1:$F$27,'V1 · Individual'!B13)</f>
        <v>#VALUE!</v>
      </c>
      <c r="V13" s="90"/>
      <c r="W13" s="91"/>
      <c r="X13" s="90"/>
      <c r="Y13" s="91"/>
      <c r="Z13" s="92" t="str">
        <f t="shared" ref="Z13:Z18" si="11">IFERROR(RANK(S13,S13:S57,0),"-")</f>
        <v>-</v>
      </c>
    </row>
    <row r="14" spans="1:26" x14ac:dyDescent="0.3">
      <c r="A14" s="80">
        <v>2</v>
      </c>
      <c r="B14" s="81" t="s">
        <v>149</v>
      </c>
      <c r="C14" s="82" t="s">
        <v>25</v>
      </c>
      <c r="D14" s="83" t="s">
        <v>19</v>
      </c>
      <c r="E14" s="84" t="s">
        <v>20</v>
      </c>
      <c r="F14" s="85">
        <f>L14/2</f>
        <v>10</v>
      </c>
      <c r="G14" s="86">
        <f>SUMIF('[1]Opportunity Pipeline 1Apr to 21'!$F:$F,"Chetna Sharma",'[1]Opportunity Pipeline 1Apr to 21'!$O:$O)/10^7</f>
        <v>11.771068571999999</v>
      </c>
      <c r="H14" s="143">
        <f t="shared" ref="H14:H18" si="12">IFERROR(G14/F14,"-")</f>
        <v>1.1771068571999999</v>
      </c>
      <c r="I14" s="85">
        <f>L14/2</f>
        <v>10</v>
      </c>
      <c r="J14" s="87" t="s">
        <v>172</v>
      </c>
      <c r="K14" s="87" t="str">
        <f t="shared" ref="K14:K18" si="13">IFERROR(J14/I14,"-")</f>
        <v>-</v>
      </c>
      <c r="L14" s="85">
        <f>'[10]Chetna- TARGET LETTER - 26-27'!$D$9/10^7</f>
        <v>20</v>
      </c>
      <c r="M14" s="86">
        <f t="shared" ref="M14:M18" si="14">SUM(G14,J14)</f>
        <v>11.771068571999999</v>
      </c>
      <c r="N14" s="143">
        <f t="shared" ref="N14:N18" si="15">IFERROR(M14/L14,"-")</f>
        <v>0.58855342859999993</v>
      </c>
      <c r="O14" s="85">
        <f>'[10]Chetna- TARGET LETTER - 26-27'!$D$17/10^7</f>
        <v>49</v>
      </c>
      <c r="P14" s="87" t="s">
        <v>172</v>
      </c>
      <c r="Q14" s="144" t="str">
        <f t="shared" ref="Q14:Q20" si="16">IFERROR(P14/O14,"-")</f>
        <v>-</v>
      </c>
      <c r="R14" s="85">
        <v>69</v>
      </c>
      <c r="S14" s="86">
        <f t="shared" ref="S14:S18" si="17">SUM(M14,P14)</f>
        <v>11.771068571999999</v>
      </c>
      <c r="T14" s="88">
        <f t="shared" si="10"/>
        <v>0.17059519669565215</v>
      </c>
      <c r="U14" s="89" t="e">
        <f>COUNTIF([3]in!$F$1:$F$27,'V1 · Individual'!B14)</f>
        <v>#VALUE!</v>
      </c>
      <c r="V14" s="90"/>
      <c r="W14" s="91"/>
      <c r="X14" s="90"/>
      <c r="Y14" s="91"/>
      <c r="Z14" s="92" t="str">
        <f t="shared" si="11"/>
        <v>-</v>
      </c>
    </row>
    <row r="15" spans="1:26" x14ac:dyDescent="0.3">
      <c r="A15" s="80">
        <v>3</v>
      </c>
      <c r="B15" s="173" t="s">
        <v>205</v>
      </c>
      <c r="C15" s="82" t="s">
        <v>25</v>
      </c>
      <c r="D15" s="83" t="s">
        <v>19</v>
      </c>
      <c r="E15" s="84" t="s">
        <v>20</v>
      </c>
      <c r="F15" s="85">
        <v>7.3</v>
      </c>
      <c r="G15" s="86">
        <f>SUMIF('[1]Opportunity Pipeline 1Apr to 21'!$F:$F,"Varsha",'[1]Opportunity Pipeline 1Apr to 21'!$O:$O)/10^7</f>
        <v>0</v>
      </c>
      <c r="H15" s="143">
        <f t="shared" si="12"/>
        <v>0</v>
      </c>
      <c r="I15" s="85">
        <v>9.8000000000000007</v>
      </c>
      <c r="J15" s="87" t="s">
        <v>172</v>
      </c>
      <c r="K15" s="87" t="str">
        <f t="shared" si="13"/>
        <v>-</v>
      </c>
      <c r="L15" s="85">
        <f>SUM(F15,I15)</f>
        <v>17.100000000000001</v>
      </c>
      <c r="M15" s="86">
        <f t="shared" si="14"/>
        <v>0</v>
      </c>
      <c r="N15" s="143">
        <f t="shared" si="15"/>
        <v>0</v>
      </c>
      <c r="O15" s="87" t="s">
        <v>172</v>
      </c>
      <c r="P15" s="87" t="s">
        <v>172</v>
      </c>
      <c r="Q15" s="144" t="str">
        <f t="shared" si="16"/>
        <v>-</v>
      </c>
      <c r="R15" s="85">
        <v>40.5</v>
      </c>
      <c r="S15" s="86">
        <f t="shared" si="17"/>
        <v>0</v>
      </c>
      <c r="T15" s="88">
        <f t="shared" si="10"/>
        <v>0</v>
      </c>
      <c r="U15" s="89" t="e">
        <f>COUNTIF([3]in!$F$1:$F$27,'V1 · Individual'!B15)</f>
        <v>#VALUE!</v>
      </c>
      <c r="V15" s="90"/>
      <c r="W15" s="91"/>
      <c r="X15" s="90"/>
      <c r="Y15" s="91"/>
      <c r="Z15" s="92" t="str">
        <f t="shared" si="11"/>
        <v>-</v>
      </c>
    </row>
    <row r="16" spans="1:26" x14ac:dyDescent="0.3">
      <c r="A16" s="80">
        <v>4</v>
      </c>
      <c r="B16" s="173" t="s">
        <v>206</v>
      </c>
      <c r="C16" s="82" t="s">
        <v>25</v>
      </c>
      <c r="D16" s="83" t="s">
        <v>19</v>
      </c>
      <c r="E16" s="84" t="s">
        <v>20</v>
      </c>
      <c r="F16" s="85">
        <v>6.75</v>
      </c>
      <c r="G16" s="86">
        <f>SUMIF('[1]Opportunity Pipeline 1Apr to 21'!$F:$F,"Arpit",'[1]Opportunity Pipeline 1Apr to 21'!$O:$O)/10^7</f>
        <v>0</v>
      </c>
      <c r="H16" s="143">
        <f t="shared" si="12"/>
        <v>0</v>
      </c>
      <c r="I16" s="85">
        <v>6.75</v>
      </c>
      <c r="J16" s="87" t="s">
        <v>172</v>
      </c>
      <c r="K16" s="87" t="str">
        <f t="shared" si="13"/>
        <v>-</v>
      </c>
      <c r="L16" s="85">
        <f>SUM(F16,I16)</f>
        <v>13.5</v>
      </c>
      <c r="M16" s="86">
        <f t="shared" si="14"/>
        <v>0</v>
      </c>
      <c r="N16" s="143">
        <f t="shared" si="15"/>
        <v>0</v>
      </c>
      <c r="O16" s="87" t="s">
        <v>172</v>
      </c>
      <c r="P16" s="87" t="s">
        <v>172</v>
      </c>
      <c r="Q16" s="144" t="str">
        <f t="shared" si="16"/>
        <v>-</v>
      </c>
      <c r="R16" s="85">
        <v>32.5</v>
      </c>
      <c r="S16" s="86">
        <f t="shared" si="17"/>
        <v>0</v>
      </c>
      <c r="T16" s="88">
        <f t="shared" si="10"/>
        <v>0</v>
      </c>
      <c r="U16" s="89" t="e">
        <f>COUNTIF([3]in!$F$1:$F$27,'V1 · Individual'!B16)</f>
        <v>#VALUE!</v>
      </c>
      <c r="V16" s="90"/>
      <c r="W16" s="91"/>
      <c r="X16" s="90"/>
      <c r="Y16" s="91"/>
      <c r="Z16" s="92" t="str">
        <f t="shared" si="11"/>
        <v>-</v>
      </c>
    </row>
    <row r="17" spans="1:26" x14ac:dyDescent="0.3">
      <c r="A17" s="80">
        <v>5</v>
      </c>
      <c r="B17" s="173" t="s">
        <v>207</v>
      </c>
      <c r="C17" s="82" t="s">
        <v>25</v>
      </c>
      <c r="D17" s="83" t="s">
        <v>19</v>
      </c>
      <c r="E17" s="84" t="s">
        <v>20</v>
      </c>
      <c r="F17" s="85">
        <v>1.05</v>
      </c>
      <c r="G17" s="86">
        <f>SUMIF('[1]Opportunity Pipeline 1Apr to 21'!$F:$F,"Dennis",'[1]Opportunity Pipeline 1Apr to 21'!$O:$O)/10^7</f>
        <v>0</v>
      </c>
      <c r="H17" s="143">
        <f t="shared" si="12"/>
        <v>0</v>
      </c>
      <c r="I17" s="85">
        <v>1.85</v>
      </c>
      <c r="J17" s="87" t="s">
        <v>172</v>
      </c>
      <c r="K17" s="87" t="str">
        <f t="shared" si="13"/>
        <v>-</v>
      </c>
      <c r="L17" s="85">
        <f>SUM(F17,I17)</f>
        <v>2.9000000000000004</v>
      </c>
      <c r="M17" s="86">
        <f t="shared" si="14"/>
        <v>0</v>
      </c>
      <c r="N17" s="143">
        <f t="shared" si="15"/>
        <v>0</v>
      </c>
      <c r="O17" s="87" t="s">
        <v>172</v>
      </c>
      <c r="P17" s="87" t="s">
        <v>172</v>
      </c>
      <c r="Q17" s="144" t="str">
        <f t="shared" si="16"/>
        <v>-</v>
      </c>
      <c r="R17" s="85">
        <v>6</v>
      </c>
      <c r="S17" s="86">
        <f t="shared" si="17"/>
        <v>0</v>
      </c>
      <c r="T17" s="88">
        <f t="shared" si="10"/>
        <v>0</v>
      </c>
      <c r="U17" s="89" t="e">
        <f>COUNTIF([3]in!$F$1:$F$27,'V1 · Individual'!B17)</f>
        <v>#VALUE!</v>
      </c>
      <c r="V17" s="90"/>
      <c r="W17" s="91"/>
      <c r="X17" s="90"/>
      <c r="Y17" s="91"/>
      <c r="Z17" s="92" t="str">
        <f t="shared" si="11"/>
        <v>-</v>
      </c>
    </row>
    <row r="18" spans="1:26" x14ac:dyDescent="0.3">
      <c r="A18" s="80">
        <v>6</v>
      </c>
      <c r="B18" s="81" t="s">
        <v>26</v>
      </c>
      <c r="C18" s="82" t="s">
        <v>25</v>
      </c>
      <c r="D18" s="83" t="s">
        <v>19</v>
      </c>
      <c r="E18" s="84" t="s">
        <v>20</v>
      </c>
      <c r="F18" s="85">
        <f>L18/2</f>
        <v>5.875</v>
      </c>
      <c r="G18" s="86">
        <f>SUMIF('[1]Opportunity Pipeline 1Apr to 21'!$F:$F,"Sankeerth",'[1]Opportunity Pipeline 1Apr to 21'!$O:$O)/10^7</f>
        <v>0</v>
      </c>
      <c r="H18" s="143">
        <f t="shared" si="12"/>
        <v>0</v>
      </c>
      <c r="I18" s="85">
        <f>L18/2</f>
        <v>5.875</v>
      </c>
      <c r="J18" s="87" t="s">
        <v>172</v>
      </c>
      <c r="K18" s="87" t="str">
        <f t="shared" si="13"/>
        <v>-</v>
      </c>
      <c r="L18" s="85">
        <f>'[11]Sankeerth TARGET LETTER - 26-27'!$D$9/10^7</f>
        <v>11.75</v>
      </c>
      <c r="M18" s="86">
        <f t="shared" si="14"/>
        <v>0</v>
      </c>
      <c r="N18" s="143">
        <f t="shared" si="15"/>
        <v>0</v>
      </c>
      <c r="O18" s="85">
        <f>'[11]Sankeerth TARGET LETTER - 26-27'!$D$15/10^7</f>
        <v>30.25</v>
      </c>
      <c r="P18" s="87" t="s">
        <v>172</v>
      </c>
      <c r="Q18" s="144" t="str">
        <f t="shared" si="16"/>
        <v>-</v>
      </c>
      <c r="R18" s="85">
        <v>17</v>
      </c>
      <c r="S18" s="86">
        <f t="shared" si="17"/>
        <v>0</v>
      </c>
      <c r="T18" s="88">
        <f t="shared" si="10"/>
        <v>0</v>
      </c>
      <c r="U18" s="89" t="e">
        <f>COUNTIF([3]in!$F$1:$F$27,'V1 · Individual'!B18)</f>
        <v>#VALUE!</v>
      </c>
      <c r="V18" s="90"/>
      <c r="W18" s="91"/>
      <c r="X18" s="90"/>
      <c r="Y18" s="91"/>
      <c r="Z18" s="92" t="str">
        <f t="shared" si="11"/>
        <v>-</v>
      </c>
    </row>
    <row r="19" spans="1:26" x14ac:dyDescent="0.3">
      <c r="A19" s="19"/>
      <c r="B19" s="19" t="s">
        <v>27</v>
      </c>
      <c r="C19" s="19"/>
      <c r="D19" s="19"/>
      <c r="E19" s="19"/>
      <c r="F19" s="74">
        <f>SUM(F13,F14,F18)</f>
        <v>53.875</v>
      </c>
      <c r="G19" s="74">
        <f t="shared" ref="G19:Z19" si="18">SUM(G13,G14,G18)</f>
        <v>14.051800321999998</v>
      </c>
      <c r="H19" s="170">
        <f>IFERROR(G19/F19,"-")</f>
        <v>0.26082227975870065</v>
      </c>
      <c r="I19" s="74">
        <f t="shared" si="18"/>
        <v>53.875</v>
      </c>
      <c r="J19" s="74">
        <f t="shared" si="18"/>
        <v>0</v>
      </c>
      <c r="K19" s="170">
        <f t="shared" si="18"/>
        <v>0</v>
      </c>
      <c r="L19" s="74">
        <f t="shared" si="18"/>
        <v>107.75</v>
      </c>
      <c r="M19" s="74">
        <f t="shared" si="18"/>
        <v>14.051800321999998</v>
      </c>
      <c r="N19" s="170">
        <f>IFERROR(M19/L19,"-")</f>
        <v>0.13041113987935032</v>
      </c>
      <c r="O19" s="74">
        <f t="shared" si="18"/>
        <v>138.25</v>
      </c>
      <c r="P19" s="74">
        <f t="shared" si="18"/>
        <v>0</v>
      </c>
      <c r="Q19" s="170">
        <f t="shared" si="18"/>
        <v>0</v>
      </c>
      <c r="R19" s="74">
        <f t="shared" si="18"/>
        <v>221</v>
      </c>
      <c r="S19" s="74">
        <f t="shared" si="18"/>
        <v>14.051800321999998</v>
      </c>
      <c r="T19" s="170">
        <f>IFERROR(S19/R19,"-")</f>
        <v>6.3582806886877827E-2</v>
      </c>
      <c r="U19" s="172" t="e">
        <f t="shared" si="18"/>
        <v>#VALUE!</v>
      </c>
      <c r="V19" s="74">
        <f t="shared" si="18"/>
        <v>0</v>
      </c>
      <c r="W19" s="74">
        <f t="shared" si="18"/>
        <v>0</v>
      </c>
      <c r="X19" s="74">
        <f t="shared" si="18"/>
        <v>0</v>
      </c>
      <c r="Y19" s="74">
        <f t="shared" si="18"/>
        <v>0</v>
      </c>
      <c r="Z19" s="74">
        <f t="shared" si="18"/>
        <v>0</v>
      </c>
    </row>
    <row r="20" spans="1:26" ht="15" thickBot="1" x14ac:dyDescent="0.35">
      <c r="P20" s="137" t="s">
        <v>172</v>
      </c>
      <c r="Q20" s="145" t="str">
        <f t="shared" si="16"/>
        <v>-</v>
      </c>
    </row>
    <row r="21" spans="1:26" ht="15" thickBot="1" x14ac:dyDescent="0.35">
      <c r="A21" s="175" t="s">
        <v>28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spans="1:26" hidden="1" x14ac:dyDescent="0.3">
      <c r="A22" s="80">
        <v>1</v>
      </c>
      <c r="B22" s="168" t="s">
        <v>29</v>
      </c>
      <c r="C22" s="82" t="s">
        <v>30</v>
      </c>
      <c r="D22" s="83" t="s">
        <v>31</v>
      </c>
      <c r="E22" s="84" t="s">
        <v>20</v>
      </c>
      <c r="F22" s="85">
        <v>3</v>
      </c>
      <c r="G22" s="86">
        <f>SUMIF('[1]Opportunity Pipeline 1Apr to 21'!$F:$F,"Darshana Patil",'[1]Opportunity Pipeline 1Apr to 21'!$O:$O)/10^7</f>
        <v>6.2075615040000001</v>
      </c>
      <c r="H22" s="143">
        <f>IFERROR(G22/F22,"-")</f>
        <v>2.069187168</v>
      </c>
      <c r="I22" s="85">
        <v>4</v>
      </c>
      <c r="J22" s="87" t="s">
        <v>172</v>
      </c>
      <c r="K22" s="87" t="s">
        <v>172</v>
      </c>
      <c r="L22" s="85">
        <f>SUM(F22,I22)</f>
        <v>7</v>
      </c>
      <c r="M22" s="86">
        <f>SUMIF('[1]Opportunity Pipeline 1Apr to 21'!$F:$F,"Darshana Patil",'[1]Opportunity Pipeline 1Apr to 21'!$O:$O)/10^7</f>
        <v>6.2075615040000001</v>
      </c>
      <c r="N22" s="143">
        <f>IFERROR(M22/L22,"-")</f>
        <v>0.88679450057142861</v>
      </c>
      <c r="O22" s="85"/>
      <c r="P22" s="143" t="s">
        <v>172</v>
      </c>
      <c r="Q22" s="143" t="s">
        <v>172</v>
      </c>
      <c r="R22" s="85">
        <f>L22+O22</f>
        <v>7</v>
      </c>
      <c r="S22" s="86" t="e">
        <f>SUMIF([3]in!$F$1:$F$27,"Darshana Patil",[3]in!$O$1:$O$27)/10^7</f>
        <v>#VALUE!</v>
      </c>
      <c r="T22" s="88" t="str">
        <f>IFERROR(S22/R22,"-")</f>
        <v>-</v>
      </c>
      <c r="U22" s="89" t="e">
        <f>COUNTIF([3]in!$F$1:$F$27,'V1 · Individual'!B22)</f>
        <v>#VALUE!</v>
      </c>
      <c r="V22" s="90"/>
      <c r="W22" s="91"/>
      <c r="X22" s="90"/>
      <c r="Y22" s="91"/>
      <c r="Z22" s="92" t="str">
        <f>IFERROR(RANK(S22,S22:S66,0),"-")</f>
        <v>-</v>
      </c>
    </row>
    <row r="23" spans="1:26" x14ac:dyDescent="0.3">
      <c r="A23" s="80">
        <v>2</v>
      </c>
      <c r="B23" s="81" t="s">
        <v>32</v>
      </c>
      <c r="C23" s="82" t="s">
        <v>30</v>
      </c>
      <c r="D23" s="83" t="s">
        <v>31</v>
      </c>
      <c r="E23" s="84" t="s">
        <v>20</v>
      </c>
      <c r="F23" s="85">
        <f>L23/2</f>
        <v>7.5</v>
      </c>
      <c r="G23" s="86">
        <f>SUMIF('[1]Opportunity Pipeline 1Apr to 21'!$F:$F,"Prachi Mayekar",'[1]Opportunity Pipeline 1Apr to 21'!$O:$O)/10^7</f>
        <v>12.897684399999999</v>
      </c>
      <c r="H23" s="143">
        <f t="shared" ref="H23:H27" si="19">IFERROR(G23/F23,"-")</f>
        <v>1.7196912533333333</v>
      </c>
      <c r="I23" s="85">
        <f>L23/2</f>
        <v>7.5</v>
      </c>
      <c r="J23" s="87" t="s">
        <v>172</v>
      </c>
      <c r="K23" s="87" t="s">
        <v>172</v>
      </c>
      <c r="L23" s="85">
        <f>'[12]Prachi TARGET LETTER - 26-27'!$D$9/10^7</f>
        <v>15</v>
      </c>
      <c r="M23" s="86">
        <f>SUM(G23,J23)</f>
        <v>12.897684399999999</v>
      </c>
      <c r="N23" s="143">
        <f t="shared" ref="N23:N27" si="20">IFERROR(M23/L23,"-")</f>
        <v>0.85984562666666664</v>
      </c>
      <c r="O23" s="85">
        <f>'[12]Prachi TARGET LETTER - 26-27'!$D$10/10^7</f>
        <v>18</v>
      </c>
      <c r="P23" s="143" t="s">
        <v>172</v>
      </c>
      <c r="Q23" s="143" t="s">
        <v>172</v>
      </c>
      <c r="R23" s="85">
        <f t="shared" ref="R23:R27" si="21">L23+O23</f>
        <v>33</v>
      </c>
      <c r="S23" s="86" t="e">
        <f>SUMIF([3]in!$F$1:$F$27,"Prachi Mayekar",[3]in!$O$1:$O$27)/10^7</f>
        <v>#VALUE!</v>
      </c>
      <c r="T23" s="88" t="str">
        <f>IFERROR(S23/R23,"-")</f>
        <v>-</v>
      </c>
      <c r="U23" s="89" t="e">
        <f>COUNTIF([3]in!$F$1:$F$27,'V1 · Individual'!B23)</f>
        <v>#VALUE!</v>
      </c>
      <c r="V23" s="90"/>
      <c r="W23" s="91"/>
      <c r="X23" s="90"/>
      <c r="Y23" s="91"/>
      <c r="Z23" s="92" t="str">
        <f>IFERROR(RANK(S23,S23:S67,0),"-")</f>
        <v>-</v>
      </c>
    </row>
    <row r="24" spans="1:26" x14ac:dyDescent="0.3">
      <c r="A24" s="80">
        <v>3</v>
      </c>
      <c r="B24" s="81" t="s">
        <v>33</v>
      </c>
      <c r="C24" s="82" t="s">
        <v>30</v>
      </c>
      <c r="D24" s="83" t="s">
        <v>31</v>
      </c>
      <c r="E24" s="84" t="s">
        <v>20</v>
      </c>
      <c r="F24" s="85">
        <f>L24/2</f>
        <v>7.5</v>
      </c>
      <c r="G24" s="86">
        <f>SUMIF('[1]Opportunity Pipeline 1Apr to 21'!$F:$F,"Shilpa Kavde",'[1]Opportunity Pipeline 1Apr to 21'!$O:$O)/10^7</f>
        <v>2.8171413599999999</v>
      </c>
      <c r="H24" s="143">
        <f t="shared" si="19"/>
        <v>0.37561884800000001</v>
      </c>
      <c r="I24" s="85">
        <f>L24/2</f>
        <v>7.5</v>
      </c>
      <c r="J24" s="87" t="s">
        <v>172</v>
      </c>
      <c r="K24" s="87" t="s">
        <v>172</v>
      </c>
      <c r="L24" s="85">
        <f>'[13]Shilpa TARGET LETTER - 26-27'!$D$9/10^7</f>
        <v>15</v>
      </c>
      <c r="M24" s="86">
        <f t="shared" ref="M24:M25" si="22">SUM(G24,J24)</f>
        <v>2.8171413599999999</v>
      </c>
      <c r="N24" s="143">
        <f t="shared" si="20"/>
        <v>0.187809424</v>
      </c>
      <c r="O24" s="85">
        <f>'[13]Shilpa TARGET LETTER - 26-27'!$D$10/10^7</f>
        <v>25</v>
      </c>
      <c r="P24" s="143" t="s">
        <v>172</v>
      </c>
      <c r="Q24" s="143" t="s">
        <v>172</v>
      </c>
      <c r="R24" s="85">
        <f t="shared" si="21"/>
        <v>40</v>
      </c>
      <c r="S24" s="86" t="e">
        <f>SUMIF([3]in!$F$1:$F$27,"Shilpa Kavde",[3]in!$O$1:$O$27)/10^7</f>
        <v>#VALUE!</v>
      </c>
      <c r="T24" s="88" t="str">
        <f>IFERROR(S24/R24,"-")</f>
        <v>-</v>
      </c>
      <c r="U24" s="89" t="e">
        <f>COUNTIF([3]in!$F$1:$F$27,'V1 · Individual'!B24)</f>
        <v>#VALUE!</v>
      </c>
      <c r="V24" s="90"/>
      <c r="W24" s="91"/>
      <c r="X24" s="90"/>
      <c r="Y24" s="91"/>
      <c r="Z24" s="92" t="str">
        <f>IFERROR(RANK(S24,S24:S68,0),"-")</f>
        <v>-</v>
      </c>
    </row>
    <row r="25" spans="1:26" x14ac:dyDescent="0.3">
      <c r="A25" s="80">
        <v>4</v>
      </c>
      <c r="B25" s="81" t="s">
        <v>34</v>
      </c>
      <c r="C25" s="82" t="s">
        <v>30</v>
      </c>
      <c r="D25" s="83" t="s">
        <v>31</v>
      </c>
      <c r="E25" s="84" t="s">
        <v>20</v>
      </c>
      <c r="F25" s="85">
        <f>L25/2</f>
        <v>1.5</v>
      </c>
      <c r="G25" s="86">
        <f>SUMIF('[1]Opportunity Pipeline 1Apr to 21'!$F:$F,"Vidula Chavan",'[1]Opportunity Pipeline 1Apr to 21'!$O:$O)/10^7</f>
        <v>0</v>
      </c>
      <c r="H25" s="143">
        <f t="shared" si="19"/>
        <v>0</v>
      </c>
      <c r="I25" s="85">
        <f>L25/2</f>
        <v>1.5</v>
      </c>
      <c r="J25" s="87" t="s">
        <v>172</v>
      </c>
      <c r="K25" s="87" t="s">
        <v>172</v>
      </c>
      <c r="L25" s="85">
        <f>'[14]Vidula TARGET LETTER - 26-27'!$D$9/10^7</f>
        <v>3</v>
      </c>
      <c r="M25" s="86">
        <f t="shared" si="22"/>
        <v>0</v>
      </c>
      <c r="N25" s="143">
        <f t="shared" si="20"/>
        <v>0</v>
      </c>
      <c r="O25" s="85">
        <f>'[14]Vidula TARGET LETTER - 26-27'!$D$10/10^7</f>
        <v>6.5</v>
      </c>
      <c r="P25" s="143" t="s">
        <v>172</v>
      </c>
      <c r="Q25" s="143" t="s">
        <v>172</v>
      </c>
      <c r="R25" s="85">
        <f t="shared" si="21"/>
        <v>9.5</v>
      </c>
      <c r="S25" s="86" t="e">
        <f>SUMIF([3]in!$F$1:$F$27,"Vidula Chavan",[3]in!$O$1:$O$27)/10^7</f>
        <v>#VALUE!</v>
      </c>
      <c r="T25" s="88" t="str">
        <f>IFERROR(S25/R25,"-")</f>
        <v>-</v>
      </c>
      <c r="U25" s="89" t="e">
        <f>COUNTIF([3]in!$F$1:$F$27,'V1 · Individual'!B25)</f>
        <v>#VALUE!</v>
      </c>
      <c r="V25" s="90"/>
      <c r="W25" s="91"/>
      <c r="X25" s="90"/>
      <c r="Y25" s="91"/>
      <c r="Z25" s="92" t="str">
        <f>IFERROR(RANK(S25,S25:S69,0),"-")</f>
        <v>-</v>
      </c>
    </row>
    <row r="26" spans="1:26" x14ac:dyDescent="0.3">
      <c r="A26" s="19"/>
      <c r="B26" s="19" t="s">
        <v>35</v>
      </c>
      <c r="C26" s="19"/>
      <c r="D26" s="19"/>
      <c r="E26" s="19"/>
      <c r="F26" s="74">
        <f>SUM(F23,F24,F25)</f>
        <v>16.5</v>
      </c>
      <c r="G26" s="74">
        <f t="shared" ref="G26:U26" si="23">SUM(G23,G24,G25)</f>
        <v>15.71482576</v>
      </c>
      <c r="H26" s="170">
        <f t="shared" si="23"/>
        <v>2.0953101013333333</v>
      </c>
      <c r="I26" s="74">
        <f t="shared" si="23"/>
        <v>16.5</v>
      </c>
      <c r="J26" s="74">
        <f t="shared" si="23"/>
        <v>0</v>
      </c>
      <c r="K26" s="170">
        <f t="shared" si="23"/>
        <v>0</v>
      </c>
      <c r="L26" s="74">
        <f t="shared" si="23"/>
        <v>33</v>
      </c>
      <c r="M26" s="74">
        <f t="shared" si="23"/>
        <v>15.71482576</v>
      </c>
      <c r="N26" s="170">
        <f t="shared" si="23"/>
        <v>1.0476550506666666</v>
      </c>
      <c r="O26" s="74">
        <f t="shared" si="23"/>
        <v>49.5</v>
      </c>
      <c r="P26" s="74">
        <f t="shared" si="23"/>
        <v>0</v>
      </c>
      <c r="Q26" s="170">
        <f t="shared" si="23"/>
        <v>0</v>
      </c>
      <c r="R26" s="74">
        <f t="shared" si="23"/>
        <v>82.5</v>
      </c>
      <c r="S26" s="74" t="e">
        <f t="shared" si="23"/>
        <v>#VALUE!</v>
      </c>
      <c r="T26" s="170">
        <f t="shared" si="23"/>
        <v>0</v>
      </c>
      <c r="U26" s="172" t="e">
        <f t="shared" si="23"/>
        <v>#VALUE!</v>
      </c>
      <c r="V26" s="21">
        <f>IFERROR(SUM(V22:V25),"—")</f>
        <v>0</v>
      </c>
      <c r="W26" s="20">
        <f>IFERROR(SUM(W22:W25),"—")</f>
        <v>0</v>
      </c>
      <c r="X26" s="21">
        <f>IFERROR(SUM(X22:X25),"—")</f>
        <v>0</v>
      </c>
      <c r="Y26" s="20">
        <f>IFERROR(SUM(Y22:Y25),"—")</f>
        <v>0</v>
      </c>
      <c r="Z26" s="19"/>
    </row>
    <row r="27" spans="1:26" x14ac:dyDescent="0.3">
      <c r="A27" s="73" t="s">
        <v>0</v>
      </c>
      <c r="B27" s="132" t="s">
        <v>71</v>
      </c>
      <c r="C27" s="133" t="s">
        <v>30</v>
      </c>
      <c r="D27" s="15" t="s">
        <v>19</v>
      </c>
      <c r="E27" s="16" t="s">
        <v>167</v>
      </c>
      <c r="F27" s="59">
        <f>L27/2</f>
        <v>7.5</v>
      </c>
      <c r="G27" s="86">
        <f>SUMIF('[1]Opportunity Pipeline 1Apr to 21'!$F:$F,B27,'[1]Opportunity Pipeline 1Apr to 21'!$O:$O)/10^7</f>
        <v>3.2000000000000002E-3</v>
      </c>
      <c r="H27" s="146">
        <f t="shared" si="19"/>
        <v>4.2666666666666667E-4</v>
      </c>
      <c r="I27" s="59">
        <f>L27/2</f>
        <v>7.5</v>
      </c>
      <c r="J27" s="137" t="s">
        <v>172</v>
      </c>
      <c r="K27" s="137" t="s">
        <v>172</v>
      </c>
      <c r="L27" s="75">
        <f>'[15]Jimesh TARGET LETTER - 26-27'!$D$9/10^7</f>
        <v>15</v>
      </c>
      <c r="M27" s="75">
        <v>0</v>
      </c>
      <c r="N27" s="75">
        <f t="shared" si="20"/>
        <v>0</v>
      </c>
      <c r="O27" s="75">
        <f>'[15]Jimesh TARGET LETTER - 26-27'!$D$13/10^7</f>
        <v>30</v>
      </c>
      <c r="P27" s="146" t="s">
        <v>172</v>
      </c>
      <c r="Q27" s="146" t="s">
        <v>172</v>
      </c>
      <c r="R27" s="75">
        <f t="shared" si="21"/>
        <v>45</v>
      </c>
      <c r="S27" s="75">
        <v>0</v>
      </c>
      <c r="T27" s="53">
        <v>0</v>
      </c>
      <c r="U27" s="76">
        <v>0</v>
      </c>
      <c r="V27" s="71"/>
      <c r="W27" s="72"/>
      <c r="X27" s="71"/>
      <c r="Y27" s="72"/>
      <c r="Z27" s="70"/>
    </row>
    <row r="28" spans="1:26" ht="15" thickBot="1" x14ac:dyDescent="0.35">
      <c r="A28" s="45"/>
      <c r="B28" s="98"/>
      <c r="C28" s="99"/>
      <c r="D28" s="100"/>
      <c r="E28" s="125"/>
      <c r="F28" s="126"/>
      <c r="G28" s="127"/>
      <c r="H28" s="127"/>
      <c r="I28" s="125"/>
      <c r="J28" s="125"/>
      <c r="K28" s="125"/>
      <c r="L28" s="126"/>
      <c r="M28" s="127"/>
      <c r="N28" s="127"/>
      <c r="O28" s="127"/>
      <c r="P28" s="127"/>
      <c r="Q28" s="127"/>
      <c r="R28" s="126"/>
      <c r="S28" s="127"/>
      <c r="T28" s="128"/>
      <c r="U28" s="129"/>
      <c r="V28" s="130"/>
      <c r="W28" s="131"/>
      <c r="X28" s="130"/>
      <c r="Y28" s="131"/>
      <c r="Z28" s="44"/>
    </row>
    <row r="29" spans="1:26" ht="15" thickBot="1" x14ac:dyDescent="0.35">
      <c r="A29" s="175" t="s">
        <v>36</v>
      </c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spans="1:26" x14ac:dyDescent="0.3">
      <c r="A30" s="80">
        <v>1</v>
      </c>
      <c r="B30" s="81" t="s">
        <v>152</v>
      </c>
      <c r="C30" s="82" t="s">
        <v>37</v>
      </c>
      <c r="D30" s="83" t="s">
        <v>31</v>
      </c>
      <c r="E30" s="84" t="s">
        <v>38</v>
      </c>
      <c r="F30" s="85">
        <f t="shared" ref="F30:F37" si="24">L30/2</f>
        <v>2</v>
      </c>
      <c r="G30" s="86">
        <f>SUMIF('[1]Opportunity Pipeline 1Apr to 21'!$F:$F,"Atharva Karpe",'[1]Opportunity Pipeline 1Apr to 21'!$O:$O)/10^7</f>
        <v>4.6396696999999998</v>
      </c>
      <c r="H30" s="143">
        <f>IFERROR(G30/F30,"-")</f>
        <v>2.3198348499999999</v>
      </c>
      <c r="I30" s="85">
        <f t="shared" ref="I30:I37" si="25">L30/2</f>
        <v>2</v>
      </c>
      <c r="J30" s="87" t="s">
        <v>172</v>
      </c>
      <c r="K30" s="87" t="s">
        <v>172</v>
      </c>
      <c r="L30" s="85">
        <f>'[16]Atharva -TARGET LETTER - 26-27'!$D$9/10^7</f>
        <v>4</v>
      </c>
      <c r="M30" s="86">
        <f>SUMIF('[1]Opportunity Pipeline 1Apr to 21'!$F:$F,"Atharva Karpe",'[1]Opportunity Pipeline 1Apr to 21'!$O:$O)/10^7</f>
        <v>4.6396696999999998</v>
      </c>
      <c r="N30" s="143">
        <f>IFERROR(M30/L30,"-")</f>
        <v>1.1599174249999999</v>
      </c>
      <c r="O30" s="85">
        <f>'[16]Atharva -TARGET LETTER - 26-27'!$D$10/10^7</f>
        <v>4</v>
      </c>
      <c r="P30" s="143" t="s">
        <v>172</v>
      </c>
      <c r="Q30" s="143" t="s">
        <v>172</v>
      </c>
      <c r="R30" s="85">
        <f t="shared" ref="R30:R37" si="26">L30+O30</f>
        <v>8</v>
      </c>
      <c r="S30" s="86" t="e">
        <f>SUMIF([3]in!$F$1:$F$27,"Atharva Karpe",[3]in!$O$1:$O$27)/10^7</f>
        <v>#VALUE!</v>
      </c>
      <c r="T30" s="88" t="str">
        <f t="shared" ref="T30:T38" si="27">IFERROR(S30/R30,"-")</f>
        <v>-</v>
      </c>
      <c r="U30" s="89" t="e">
        <f>COUNTIF([3]in!$F$1:$F$27,'V1 · Individual'!B30)</f>
        <v>#VALUE!</v>
      </c>
      <c r="V30" s="90"/>
      <c r="W30" s="91"/>
      <c r="X30" s="90"/>
      <c r="Y30" s="91"/>
      <c r="Z30" s="92" t="str">
        <f t="shared" ref="Z30:Z37" si="28">IFERROR(RANK(S30,S30:S73,0),"-")</f>
        <v>-</v>
      </c>
    </row>
    <row r="31" spans="1:26" x14ac:dyDescent="0.3">
      <c r="A31" s="80">
        <v>2</v>
      </c>
      <c r="B31" s="81" t="s">
        <v>39</v>
      </c>
      <c r="C31" s="82" t="s">
        <v>37</v>
      </c>
      <c r="D31" s="83" t="s">
        <v>31</v>
      </c>
      <c r="E31" s="84" t="s">
        <v>38</v>
      </c>
      <c r="F31" s="85">
        <f t="shared" si="24"/>
        <v>1.5</v>
      </c>
      <c r="G31" s="86">
        <f>SUMIF('[1]Opportunity Pipeline 1Apr to 21'!$F:$F,"Jay Rushi",'[1]Opportunity Pipeline 1Apr to 21'!$O:$O)/10^7</f>
        <v>1.4900933999999999</v>
      </c>
      <c r="H31" s="143">
        <f t="shared" ref="H31:H38" si="29">IFERROR(G31/F31,"-")</f>
        <v>0.99339559999999993</v>
      </c>
      <c r="I31" s="85">
        <f t="shared" si="25"/>
        <v>1.5</v>
      </c>
      <c r="J31" s="87" t="s">
        <v>172</v>
      </c>
      <c r="K31" s="87" t="s">
        <v>172</v>
      </c>
      <c r="L31" s="85">
        <f>'[17]Jay Rushi TARGET LETTER - 26-27'!$D$9/10^7</f>
        <v>3</v>
      </c>
      <c r="M31" s="86">
        <f>SUMIF('[1]Opportunity Pipeline 1Apr to 21'!$F:$F,"Jay Rushi",'[1]Opportunity Pipeline 1Apr to 21'!$O:$O)/10^7</f>
        <v>1.4900933999999999</v>
      </c>
      <c r="N31" s="143">
        <f t="shared" ref="N31:N38" si="30">IFERROR(M31/L31,"-")</f>
        <v>0.49669779999999997</v>
      </c>
      <c r="O31" s="85">
        <f>'[17]Jay Rushi TARGET LETTER - 26-27'!$D$10/10^7</f>
        <v>5</v>
      </c>
      <c r="P31" s="143" t="s">
        <v>172</v>
      </c>
      <c r="Q31" s="143" t="s">
        <v>172</v>
      </c>
      <c r="R31" s="85">
        <f t="shared" si="26"/>
        <v>8</v>
      </c>
      <c r="S31" s="86" t="e">
        <f>SUMIF([3]in!$F$1:$F$27,"Jay Rushi",[3]in!$O$1:$O$27)/10^7</f>
        <v>#VALUE!</v>
      </c>
      <c r="T31" s="88" t="str">
        <f t="shared" si="27"/>
        <v>-</v>
      </c>
      <c r="U31" s="89" t="e">
        <f>COUNTIF([3]in!$F$1:$F$27,'V1 · Individual'!B31)</f>
        <v>#VALUE!</v>
      </c>
      <c r="V31" s="90"/>
      <c r="W31" s="91"/>
      <c r="X31" s="90"/>
      <c r="Y31" s="91"/>
      <c r="Z31" s="92" t="str">
        <f t="shared" si="28"/>
        <v>-</v>
      </c>
    </row>
    <row r="32" spans="1:26" x14ac:dyDescent="0.3">
      <c r="A32" s="80">
        <v>3</v>
      </c>
      <c r="B32" s="81" t="s">
        <v>40</v>
      </c>
      <c r="C32" s="82" t="s">
        <v>208</v>
      </c>
      <c r="D32" s="83" t="s">
        <v>31</v>
      </c>
      <c r="E32" s="84" t="s">
        <v>41</v>
      </c>
      <c r="F32" s="85">
        <f t="shared" si="24"/>
        <v>1.5</v>
      </c>
      <c r="G32" s="86">
        <f>SUMIF('[1]Opportunity Pipeline 1Apr to 21'!$F:$F,"Ayushaman",'[1]Opportunity Pipeline 1Apr to 21'!$O:$O)/10^7</f>
        <v>0</v>
      </c>
      <c r="H32" s="143">
        <f t="shared" si="29"/>
        <v>0</v>
      </c>
      <c r="I32" s="85">
        <f t="shared" si="25"/>
        <v>1.5</v>
      </c>
      <c r="J32" s="87" t="s">
        <v>172</v>
      </c>
      <c r="K32" s="87" t="s">
        <v>172</v>
      </c>
      <c r="L32" s="85">
        <f>'[18]Ayushman-TARGET LETTER - 26-27'!$D$9/10^7</f>
        <v>3</v>
      </c>
      <c r="M32" s="86">
        <f>SUMIF('[1]Opportunity Pipeline 1Apr to 21'!$F:$F,"Ayushaman",'[1]Opportunity Pipeline 1Apr to 21'!$O:$O)/10^7</f>
        <v>0</v>
      </c>
      <c r="N32" s="143">
        <f t="shared" si="30"/>
        <v>0</v>
      </c>
      <c r="O32" s="85">
        <f>'[18]Ayushman-TARGET LETTER - 26-27'!$D$10/10^7</f>
        <v>9</v>
      </c>
      <c r="P32" s="143" t="s">
        <v>172</v>
      </c>
      <c r="Q32" s="143" t="s">
        <v>172</v>
      </c>
      <c r="R32" s="85">
        <f t="shared" si="26"/>
        <v>12</v>
      </c>
      <c r="S32" s="86" t="e">
        <f>SUMIF([3]in!$F$1:$F$27,"Ayushaman",[3]in!$O$1:$O$27)/10^7</f>
        <v>#VALUE!</v>
      </c>
      <c r="T32" s="88" t="str">
        <f t="shared" si="27"/>
        <v>-</v>
      </c>
      <c r="U32" s="89" t="e">
        <f>COUNTIF([3]in!$F$1:$F$27,'V1 · Individual'!B32)</f>
        <v>#VALUE!</v>
      </c>
      <c r="V32" s="90"/>
      <c r="W32" s="91"/>
      <c r="X32" s="90"/>
      <c r="Y32" s="91"/>
      <c r="Z32" s="92" t="str">
        <f t="shared" si="28"/>
        <v>-</v>
      </c>
    </row>
    <row r="33" spans="1:26" x14ac:dyDescent="0.3">
      <c r="A33" s="80">
        <v>4</v>
      </c>
      <c r="B33" s="81" t="s">
        <v>42</v>
      </c>
      <c r="C33" s="82" t="s">
        <v>208</v>
      </c>
      <c r="D33" s="83" t="s">
        <v>31</v>
      </c>
      <c r="E33" s="84" t="s">
        <v>41</v>
      </c>
      <c r="F33" s="85">
        <f t="shared" si="24"/>
        <v>2.5</v>
      </c>
      <c r="G33" s="86">
        <f>SUMIF('[1]Opportunity Pipeline 1Apr to 21'!$F:$F,"Shubhangi",'[1]Opportunity Pipeline 1Apr to 21'!$O:$O)/10^7</f>
        <v>0</v>
      </c>
      <c r="H33" s="143">
        <f t="shared" si="29"/>
        <v>0</v>
      </c>
      <c r="I33" s="85">
        <f t="shared" si="25"/>
        <v>2.5</v>
      </c>
      <c r="J33" s="87" t="s">
        <v>172</v>
      </c>
      <c r="K33" s="87" t="s">
        <v>172</v>
      </c>
      <c r="L33" s="85">
        <f>'[19]Shubhangi-TARGET LETTER - 26-27'!$D$9/10^7</f>
        <v>5</v>
      </c>
      <c r="M33" s="86">
        <f>SUMIF('[1]Opportunity Pipeline 1Apr to 21'!$F:$F,"Shubhangi",'[1]Opportunity Pipeline 1Apr to 21'!$O:$O)/10^7</f>
        <v>0</v>
      </c>
      <c r="N33" s="143">
        <f t="shared" si="30"/>
        <v>0</v>
      </c>
      <c r="O33" s="85">
        <f>'[19]Shubhangi-TARGET LETTER - 26-27'!$D$10/10^7</f>
        <v>10</v>
      </c>
      <c r="P33" s="143" t="s">
        <v>172</v>
      </c>
      <c r="Q33" s="143" t="s">
        <v>172</v>
      </c>
      <c r="R33" s="85">
        <f t="shared" si="26"/>
        <v>15</v>
      </c>
      <c r="S33" s="86" t="e">
        <f>SUMIF([3]in!$F$1:$F$27,"Shubhangi",[3]in!$O$1:$O$27)/10^7</f>
        <v>#VALUE!</v>
      </c>
      <c r="T33" s="88" t="str">
        <f t="shared" si="27"/>
        <v>-</v>
      </c>
      <c r="U33" s="89" t="e">
        <f>COUNTIF([3]in!$F$1:$F$27,'V1 · Individual'!B33)</f>
        <v>#VALUE!</v>
      </c>
      <c r="V33" s="90"/>
      <c r="W33" s="91"/>
      <c r="X33" s="90"/>
      <c r="Y33" s="91"/>
      <c r="Z33" s="92" t="str">
        <f t="shared" si="28"/>
        <v>-</v>
      </c>
    </row>
    <row r="34" spans="1:26" x14ac:dyDescent="0.3">
      <c r="A34" s="80">
        <v>5</v>
      </c>
      <c r="B34" s="81" t="s">
        <v>43</v>
      </c>
      <c r="C34" s="82" t="s">
        <v>37</v>
      </c>
      <c r="D34" s="83" t="s">
        <v>31</v>
      </c>
      <c r="E34" s="84" t="s">
        <v>44</v>
      </c>
      <c r="F34" s="85">
        <f t="shared" si="24"/>
        <v>0.3</v>
      </c>
      <c r="G34" s="86">
        <f>SUMIF('[1]Opportunity Pipeline 1Apr to 21'!$F:$F,"Bhumi",'[1]Opportunity Pipeline 1Apr to 21'!$O:$O)/10^7</f>
        <v>0</v>
      </c>
      <c r="H34" s="143">
        <f t="shared" si="29"/>
        <v>0</v>
      </c>
      <c r="I34" s="85">
        <f t="shared" si="25"/>
        <v>0.3</v>
      </c>
      <c r="J34" s="87" t="s">
        <v>172</v>
      </c>
      <c r="K34" s="87" t="s">
        <v>172</v>
      </c>
      <c r="L34" s="85">
        <f>'[20]Bhumi Target Letter 26 27 '!$D$9/10^7</f>
        <v>0.6</v>
      </c>
      <c r="M34" s="86">
        <f>SUMIF('[1]Opportunity Pipeline 1Apr to 21'!$F:$F,"Bhumi",'[1]Opportunity Pipeline 1Apr to 21'!$O:$O)/10^7</f>
        <v>0</v>
      </c>
      <c r="N34" s="143">
        <f t="shared" si="30"/>
        <v>0</v>
      </c>
      <c r="O34" s="85">
        <f>'[20]Bhumi Target Letter 26 27 '!$D$10/10^7</f>
        <v>1.4</v>
      </c>
      <c r="P34" s="143" t="s">
        <v>172</v>
      </c>
      <c r="Q34" s="143" t="s">
        <v>172</v>
      </c>
      <c r="R34" s="85">
        <f t="shared" si="26"/>
        <v>2</v>
      </c>
      <c r="S34" s="86" t="e">
        <f>SUMIF([3]in!$F$1:$F$27,"Bhumi",[3]in!$O$1:$O$27)/10^7</f>
        <v>#VALUE!</v>
      </c>
      <c r="T34" s="88" t="str">
        <f t="shared" si="27"/>
        <v>-</v>
      </c>
      <c r="U34" s="89" t="e">
        <f>COUNTIF([3]in!$F$1:$F$27,'V1 · Individual'!B34)</f>
        <v>#VALUE!</v>
      </c>
      <c r="V34" s="90"/>
      <c r="W34" s="91"/>
      <c r="X34" s="90"/>
      <c r="Y34" s="91"/>
      <c r="Z34" s="92" t="str">
        <f t="shared" si="28"/>
        <v>-</v>
      </c>
    </row>
    <row r="35" spans="1:26" x14ac:dyDescent="0.3">
      <c r="A35" s="80">
        <v>6</v>
      </c>
      <c r="B35" s="81" t="s">
        <v>45</v>
      </c>
      <c r="C35" s="82" t="s">
        <v>37</v>
      </c>
      <c r="D35" s="83" t="s">
        <v>31</v>
      </c>
      <c r="E35" s="84" t="s">
        <v>44</v>
      </c>
      <c r="F35" s="85">
        <f t="shared" si="24"/>
        <v>0.3</v>
      </c>
      <c r="G35" s="86">
        <f>SUMIF('[1]Opportunity Pipeline 1Apr to 21'!$F:$F,"Suyesh",'[1]Opportunity Pipeline 1Apr to 21'!$O:$O)/10^7</f>
        <v>0</v>
      </c>
      <c r="H35" s="143">
        <f t="shared" si="29"/>
        <v>0</v>
      </c>
      <c r="I35" s="85">
        <f t="shared" si="25"/>
        <v>0.3</v>
      </c>
      <c r="J35" s="87" t="s">
        <v>172</v>
      </c>
      <c r="K35" s="87" t="s">
        <v>172</v>
      </c>
      <c r="L35" s="85">
        <f>'[21]Suvesh- Target Letter 26 27 '!$D$9/10^7</f>
        <v>0.6</v>
      </c>
      <c r="M35" s="86">
        <f>SUMIF('[1]Opportunity Pipeline 1Apr to 21'!$F:$F,"Suyesh",'[1]Opportunity Pipeline 1Apr to 21'!$O:$O)/10^7</f>
        <v>0</v>
      </c>
      <c r="N35" s="143">
        <f t="shared" si="30"/>
        <v>0</v>
      </c>
      <c r="O35" s="85">
        <f>'[21]Suvesh- Target Letter 26 27 '!$D$10/10^7</f>
        <v>1.4</v>
      </c>
      <c r="P35" s="143" t="s">
        <v>172</v>
      </c>
      <c r="Q35" s="143" t="s">
        <v>172</v>
      </c>
      <c r="R35" s="85">
        <f t="shared" si="26"/>
        <v>2</v>
      </c>
      <c r="S35" s="86" t="e">
        <f>SUMIF([3]in!$F$1:$F$27,"Suyesh",[3]in!$O$1:$O$27)/10^7</f>
        <v>#VALUE!</v>
      </c>
      <c r="T35" s="88" t="str">
        <f t="shared" si="27"/>
        <v>-</v>
      </c>
      <c r="U35" s="89" t="e">
        <f>COUNTIF([3]in!$F$1:$F$27,'V1 · Individual'!B35)</f>
        <v>#VALUE!</v>
      </c>
      <c r="V35" s="90"/>
      <c r="W35" s="91"/>
      <c r="X35" s="90"/>
      <c r="Y35" s="91"/>
      <c r="Z35" s="92" t="str">
        <f t="shared" si="28"/>
        <v>-</v>
      </c>
    </row>
    <row r="36" spans="1:26" x14ac:dyDescent="0.3">
      <c r="A36" s="80">
        <v>7</v>
      </c>
      <c r="B36" s="81" t="s">
        <v>151</v>
      </c>
      <c r="C36" s="82" t="s">
        <v>209</v>
      </c>
      <c r="D36" s="83" t="s">
        <v>31</v>
      </c>
      <c r="E36" s="84" t="s">
        <v>46</v>
      </c>
      <c r="F36" s="85">
        <f t="shared" si="24"/>
        <v>2.5</v>
      </c>
      <c r="G36" s="86">
        <f>SUMIF('[1]Opportunity Pipeline 1Apr to 21'!$F:$F,"Ashish Singh",'[1]Opportunity Pipeline 1Apr to 21'!$O:$O)/10^7</f>
        <v>1.3021986000000001</v>
      </c>
      <c r="H36" s="143">
        <f t="shared" si="29"/>
        <v>0.52087944000000008</v>
      </c>
      <c r="I36" s="85">
        <f t="shared" si="25"/>
        <v>2.5</v>
      </c>
      <c r="J36" s="87" t="s">
        <v>172</v>
      </c>
      <c r="K36" s="87" t="s">
        <v>172</v>
      </c>
      <c r="L36" s="85">
        <f>'[22]Ashish  Target Letter 26 27 '!$D$9/10^7</f>
        <v>5</v>
      </c>
      <c r="M36" s="86">
        <f>SUMIF('[1]Opportunity Pipeline 1Apr to 21'!$F:$F,"Ashish Singh",'[1]Opportunity Pipeline 1Apr to 21'!$O:$O)/10^7</f>
        <v>1.3021986000000001</v>
      </c>
      <c r="N36" s="143">
        <f t="shared" si="30"/>
        <v>0.26043972000000004</v>
      </c>
      <c r="O36" s="85">
        <f>'[22]Ashish  Target Letter 26 27 '!$D$10/10^7</f>
        <v>10</v>
      </c>
      <c r="P36" s="143" t="s">
        <v>172</v>
      </c>
      <c r="Q36" s="143" t="s">
        <v>172</v>
      </c>
      <c r="R36" s="85">
        <f t="shared" si="26"/>
        <v>15</v>
      </c>
      <c r="S36" s="86" t="e">
        <f>SUMIF([3]in!$F$1:$F$27,"Ashish Singh",[3]in!$O$1:$O$27)/10^7</f>
        <v>#VALUE!</v>
      </c>
      <c r="T36" s="88" t="str">
        <f t="shared" si="27"/>
        <v>-</v>
      </c>
      <c r="U36" s="89" t="e">
        <f>COUNTIF([3]in!$F$1:$F$27,'V1 · Individual'!B36)</f>
        <v>#VALUE!</v>
      </c>
      <c r="V36" s="90"/>
      <c r="W36" s="91"/>
      <c r="X36" s="90"/>
      <c r="Y36" s="91"/>
      <c r="Z36" s="92" t="str">
        <f t="shared" si="28"/>
        <v>-</v>
      </c>
    </row>
    <row r="37" spans="1:26" x14ac:dyDescent="0.3">
      <c r="A37" s="80">
        <v>8</v>
      </c>
      <c r="B37" s="81" t="s">
        <v>47</v>
      </c>
      <c r="C37" s="82" t="s">
        <v>37</v>
      </c>
      <c r="D37" s="83" t="s">
        <v>31</v>
      </c>
      <c r="E37" s="84" t="s">
        <v>46</v>
      </c>
      <c r="F37" s="85">
        <f t="shared" si="24"/>
        <v>0.75</v>
      </c>
      <c r="G37" s="86">
        <f>SUMIF('[1]Opportunity Pipeline 1Apr to 21'!$F:$F,"Rizwana",'[1]Opportunity Pipeline 1Apr to 21'!$O:$O)/10^7</f>
        <v>0</v>
      </c>
      <c r="H37" s="143">
        <f t="shared" si="29"/>
        <v>0</v>
      </c>
      <c r="I37" s="85">
        <f t="shared" si="25"/>
        <v>0.75</v>
      </c>
      <c r="J37" s="87" t="s">
        <v>172</v>
      </c>
      <c r="K37" s="87" t="s">
        <v>172</v>
      </c>
      <c r="L37" s="85">
        <f>'[23]Rizwana Target Letter 26 27 '!$D$9/10^7</f>
        <v>1.5</v>
      </c>
      <c r="M37" s="86">
        <f>SUMIF('[1]Opportunity Pipeline 1Apr to 21'!$F:$F,"Rizwana",'[1]Opportunity Pipeline 1Apr to 21'!$O:$O)/10^7</f>
        <v>0</v>
      </c>
      <c r="N37" s="143">
        <f t="shared" si="30"/>
        <v>0</v>
      </c>
      <c r="O37" s="85">
        <f>'[23]Rizwana Target Letter 26 27 '!$D$10/10^7</f>
        <v>3.5</v>
      </c>
      <c r="P37" s="143" t="s">
        <v>172</v>
      </c>
      <c r="Q37" s="143" t="s">
        <v>172</v>
      </c>
      <c r="R37" s="85">
        <f t="shared" si="26"/>
        <v>5</v>
      </c>
      <c r="S37" s="86" t="e">
        <f>SUMIF([3]in!$F$1:$F$27,"Rizwana",[3]in!$O$1:$O$27)/10^7</f>
        <v>#VALUE!</v>
      </c>
      <c r="T37" s="88" t="str">
        <f t="shared" si="27"/>
        <v>-</v>
      </c>
      <c r="U37" s="89" t="e">
        <f>COUNTIF([3]in!$F$1:$F$27,'V1 · Individual'!B37)</f>
        <v>#VALUE!</v>
      </c>
      <c r="V37" s="90"/>
      <c r="W37" s="91"/>
      <c r="X37" s="90"/>
      <c r="Y37" s="91"/>
      <c r="Z37" s="92" t="str">
        <f t="shared" si="28"/>
        <v>-</v>
      </c>
    </row>
    <row r="38" spans="1:26" x14ac:dyDescent="0.3">
      <c r="A38" s="19"/>
      <c r="B38" s="19" t="s">
        <v>48</v>
      </c>
      <c r="C38" s="19"/>
      <c r="D38" s="19"/>
      <c r="E38" s="19"/>
      <c r="F38" s="60">
        <f>SUM(F30:F37)</f>
        <v>11.35</v>
      </c>
      <c r="G38" s="60">
        <f>SUM(G30:G37)</f>
        <v>7.4319617000000004</v>
      </c>
      <c r="H38" s="147">
        <f t="shared" si="29"/>
        <v>0.65479838766519827</v>
      </c>
      <c r="I38" s="74">
        <f>SUM(I30:I37)</f>
        <v>11.35</v>
      </c>
      <c r="J38" s="79" t="s">
        <v>172</v>
      </c>
      <c r="K38" s="79" t="s">
        <v>172</v>
      </c>
      <c r="L38" s="60">
        <f>SUM(L30:L37)</f>
        <v>22.7</v>
      </c>
      <c r="M38" s="60">
        <f>SUM(M30:M37)</f>
        <v>7.4319617000000004</v>
      </c>
      <c r="N38" s="61">
        <f t="shared" si="30"/>
        <v>0.32739919383259913</v>
      </c>
      <c r="O38" s="60">
        <f>SUM(O30:O37)</f>
        <v>44.3</v>
      </c>
      <c r="P38" s="147" t="s">
        <v>172</v>
      </c>
      <c r="Q38" s="147" t="s">
        <v>172</v>
      </c>
      <c r="R38" s="60">
        <f>SUM(R30:R37)</f>
        <v>67</v>
      </c>
      <c r="S38" s="60" t="e">
        <f>SUM(S30:S37)</f>
        <v>#VALUE!</v>
      </c>
      <c r="T38" s="61" t="str">
        <f t="shared" si="27"/>
        <v>-</v>
      </c>
      <c r="U38" s="62" t="str">
        <f>IFERROR(SUM(U30:U37),"—")</f>
        <v>—</v>
      </c>
      <c r="V38" s="21">
        <f>IFERROR(SUM(V30:V37),"—")</f>
        <v>0</v>
      </c>
      <c r="W38" s="20">
        <f>IFERROR(SUM(W30:W37),"—")</f>
        <v>0</v>
      </c>
      <c r="X38" s="21">
        <f>IFERROR(SUM(X30:X37),"—")</f>
        <v>0</v>
      </c>
      <c r="Y38" s="20">
        <f>IFERROR(SUM(Y30:Y37),"—")</f>
        <v>0</v>
      </c>
      <c r="Z38" s="19"/>
    </row>
    <row r="39" spans="1:26" ht="15" thickBot="1" x14ac:dyDescent="0.35"/>
    <row r="40" spans="1:26" ht="15" thickBot="1" x14ac:dyDescent="0.35">
      <c r="A40" s="175" t="s">
        <v>49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spans="1:26" x14ac:dyDescent="0.3">
      <c r="A41" s="80">
        <v>1</v>
      </c>
      <c r="B41" s="81" t="s">
        <v>154</v>
      </c>
      <c r="C41" s="82" t="s">
        <v>50</v>
      </c>
      <c r="D41" s="83" t="s">
        <v>31</v>
      </c>
      <c r="E41" s="84" t="s">
        <v>20</v>
      </c>
      <c r="F41" s="85">
        <f>L41/2</f>
        <v>2</v>
      </c>
      <c r="G41" s="93">
        <f>SUMIF('[1]Opportunity Pipeline 1Apr to 21'!$F:$F,"Abrar Memon",'[1]Opportunity Pipeline 1Apr to 21'!$O:$O)/10^7</f>
        <v>4.1457089000000003E-2</v>
      </c>
      <c r="H41" s="143">
        <f>IFERROR(G41/F41,"-")</f>
        <v>2.0728544500000001E-2</v>
      </c>
      <c r="I41" s="85">
        <f>L41/2</f>
        <v>2</v>
      </c>
      <c r="J41" s="87" t="s">
        <v>172</v>
      </c>
      <c r="K41" s="87" t="s">
        <v>172</v>
      </c>
      <c r="L41" s="85">
        <f>'[24]Abrar TARGET LETTER - 26-27'!$D$9/10^7</f>
        <v>4</v>
      </c>
      <c r="M41" s="93">
        <f>SUMIF('[1]Opportunity Pipeline 1Apr to 21'!$F:$F,"Abrar Memon",'[1]Opportunity Pipeline 1Apr to 21'!$O:$O)/10^7</f>
        <v>4.1457089000000003E-2</v>
      </c>
      <c r="N41" s="143">
        <f>IFERROR(M41/L41,"-")</f>
        <v>1.0364272250000001E-2</v>
      </c>
      <c r="O41" s="85">
        <f>'[24]Abrar TARGET LETTER - 26-27'!$D$10/10^7</f>
        <v>4</v>
      </c>
      <c r="P41" s="143" t="s">
        <v>172</v>
      </c>
      <c r="Q41" s="143" t="s">
        <v>172</v>
      </c>
      <c r="R41" s="85">
        <f>L41+O41</f>
        <v>8</v>
      </c>
      <c r="S41" s="93" t="e">
        <f>SUMIF([3]in!$F$1:$F$27,"Abrar Memon",[3]in!$O$1:$O$27)/10^7</f>
        <v>#VALUE!</v>
      </c>
      <c r="T41" s="88" t="str">
        <f>IFERROR(S41/R41,"-")</f>
        <v>-</v>
      </c>
      <c r="U41" s="89" t="e">
        <f>COUNTIF([3]in!$F$1:$F$27,'V1 · Individual'!B41)</f>
        <v>#VALUE!</v>
      </c>
      <c r="V41" s="90"/>
      <c r="W41" s="91"/>
      <c r="X41" s="90"/>
      <c r="Y41" s="91"/>
      <c r="Z41" s="92" t="str">
        <f>IFERROR(RANK(S41,S41:S84,0),"-")</f>
        <v>-</v>
      </c>
    </row>
    <row r="42" spans="1:26" x14ac:dyDescent="0.3">
      <c r="A42" s="80">
        <v>2</v>
      </c>
      <c r="B42" s="81" t="s">
        <v>51</v>
      </c>
      <c r="C42" s="82" t="s">
        <v>50</v>
      </c>
      <c r="D42" s="83" t="s">
        <v>31</v>
      </c>
      <c r="E42" s="84" t="s">
        <v>20</v>
      </c>
      <c r="F42" s="85">
        <f>L42/2</f>
        <v>2.5</v>
      </c>
      <c r="G42" s="86">
        <f>SUMIF('[1]Opportunity Pipeline 1Apr to 21'!$F:$F,"Sagar TR",'[1]Opportunity Pipeline 1Apr to 21'!$O:$O)/10^7</f>
        <v>0.91994410999999998</v>
      </c>
      <c r="H42" s="143">
        <f t="shared" ref="H42:H44" si="31">IFERROR(G42/F42,"-")</f>
        <v>0.36797764399999999</v>
      </c>
      <c r="I42" s="85">
        <f>L42/2</f>
        <v>2.5</v>
      </c>
      <c r="J42" s="87" t="s">
        <v>172</v>
      </c>
      <c r="K42" s="87" t="s">
        <v>172</v>
      </c>
      <c r="L42" s="85">
        <f>'[25]Sagar- TARGET LETTER - 26-27'!$D$9/10^7</f>
        <v>5</v>
      </c>
      <c r="M42" s="86">
        <f>SUMIF('[1]Opportunity Pipeline 1Apr to 21'!$F:$F,"Sagar TR",'[1]Opportunity Pipeline 1Apr to 21'!$O:$O)/10^7</f>
        <v>0.91994410999999998</v>
      </c>
      <c r="N42" s="143">
        <f t="shared" ref="N42:N44" si="32">IFERROR(M42/L42,"-")</f>
        <v>0.183988822</v>
      </c>
      <c r="O42" s="85">
        <f>'[25]Sagar- TARGET LETTER - 26-27'!$D$10/10^7</f>
        <v>5</v>
      </c>
      <c r="P42" s="143" t="s">
        <v>172</v>
      </c>
      <c r="Q42" s="143" t="s">
        <v>172</v>
      </c>
      <c r="R42" s="85">
        <f t="shared" ref="R42:R43" si="33">L42+O42</f>
        <v>10</v>
      </c>
      <c r="S42" s="86" t="e">
        <f>SUMIF([3]in!$F$1:$F$27,"Sagar TR",[3]in!$O$1:$O$27)/10^7</f>
        <v>#VALUE!</v>
      </c>
      <c r="T42" s="88" t="str">
        <f>IFERROR(S42/R42,"-")</f>
        <v>-</v>
      </c>
      <c r="U42" s="89" t="e">
        <f>COUNTIF([3]in!$F$1:$F$27,'V1 · Individual'!B42)</f>
        <v>#VALUE!</v>
      </c>
      <c r="V42" s="90"/>
      <c r="W42" s="91"/>
      <c r="X42" s="90"/>
      <c r="Y42" s="91"/>
      <c r="Z42" s="92" t="str">
        <f>IFERROR(RANK(S42,S42:S85,0),"-")</f>
        <v>-</v>
      </c>
    </row>
    <row r="43" spans="1:26" x14ac:dyDescent="0.3">
      <c r="A43" s="80">
        <v>3</v>
      </c>
      <c r="B43" s="81" t="s">
        <v>52</v>
      </c>
      <c r="C43" s="82" t="s">
        <v>50</v>
      </c>
      <c r="D43" s="83" t="s">
        <v>31</v>
      </c>
      <c r="E43" s="84" t="s">
        <v>20</v>
      </c>
      <c r="F43" s="85">
        <f>L43/2</f>
        <v>3</v>
      </c>
      <c r="G43" s="86">
        <f>SUMIF('[1]Opportunity Pipeline 1Apr to 21'!$F:$F,"Shahbaz Khan",'[1]Opportunity Pipeline 1Apr to 21'!$O:$O)/10^7</f>
        <v>3.8053235999999999</v>
      </c>
      <c r="H43" s="143">
        <f t="shared" si="31"/>
        <v>1.2684412</v>
      </c>
      <c r="I43" s="85">
        <f>L43/2</f>
        <v>3</v>
      </c>
      <c r="J43" s="87" t="s">
        <v>172</v>
      </c>
      <c r="K43" s="87" t="s">
        <v>172</v>
      </c>
      <c r="L43" s="85">
        <f>'[26]Shahbaz - TARGET LETTER - 26-27'!$D$9/10^7</f>
        <v>6</v>
      </c>
      <c r="M43" s="86">
        <f>SUMIF('[1]Opportunity Pipeline 1Apr to 21'!$F:$F,"Shahbaz Khan",'[1]Opportunity Pipeline 1Apr to 21'!$O:$O)/10^7</f>
        <v>3.8053235999999999</v>
      </c>
      <c r="N43" s="143">
        <f t="shared" si="32"/>
        <v>0.63422060000000002</v>
      </c>
      <c r="O43" s="85">
        <f>'[26]Shahbaz - TARGET LETTER - 26-27'!$D$10/10^7</f>
        <v>6</v>
      </c>
      <c r="P43" s="143" t="s">
        <v>172</v>
      </c>
      <c r="Q43" s="143" t="s">
        <v>172</v>
      </c>
      <c r="R43" s="85">
        <f t="shared" si="33"/>
        <v>12</v>
      </c>
      <c r="S43" s="86" t="e">
        <f>SUMIF([3]in!$F$1:$F$27,"Shahbaz Khan",[3]in!$O$1:$O$27)/10^7</f>
        <v>#VALUE!</v>
      </c>
      <c r="T43" s="88" t="str">
        <f>IFERROR(S43/R43,"-")</f>
        <v>-</v>
      </c>
      <c r="U43" s="89" t="e">
        <f>COUNTIF([3]in!$F$1:$F$27,'V1 · Individual'!B43)</f>
        <v>#VALUE!</v>
      </c>
      <c r="V43" s="90"/>
      <c r="W43" s="91"/>
      <c r="X43" s="90"/>
      <c r="Y43" s="91"/>
      <c r="Z43" s="92" t="str">
        <f>IFERROR(RANK(S43,S43:S87,0),"-")</f>
        <v>-</v>
      </c>
    </row>
    <row r="44" spans="1:26" x14ac:dyDescent="0.3">
      <c r="A44" s="19"/>
      <c r="B44" s="19" t="s">
        <v>53</v>
      </c>
      <c r="C44" s="19"/>
      <c r="D44" s="19"/>
      <c r="E44" s="19"/>
      <c r="F44" s="60">
        <f>SUM(F41:F43)</f>
        <v>7.5</v>
      </c>
      <c r="G44" s="60">
        <f>SUM(G41:G43)</f>
        <v>4.7667247990000003</v>
      </c>
      <c r="H44" s="147">
        <f t="shared" si="31"/>
        <v>0.63556330653333337</v>
      </c>
      <c r="I44" s="74">
        <f>SUM(I41:I43)</f>
        <v>7.5</v>
      </c>
      <c r="J44" s="67" t="s">
        <v>172</v>
      </c>
      <c r="K44" s="67" t="s">
        <v>172</v>
      </c>
      <c r="L44" s="60">
        <f>SUM(L41:L43)</f>
        <v>15</v>
      </c>
      <c r="M44" s="60">
        <f>SUM(M41:M43)</f>
        <v>4.7667247990000003</v>
      </c>
      <c r="N44" s="147">
        <f t="shared" si="32"/>
        <v>0.31778165326666669</v>
      </c>
      <c r="O44" s="60">
        <f>SUM(O41:O43)</f>
        <v>15</v>
      </c>
      <c r="P44" s="147" t="s">
        <v>172</v>
      </c>
      <c r="Q44" s="147" t="s">
        <v>172</v>
      </c>
      <c r="R44" s="60">
        <f>SUM(R41:R43)</f>
        <v>30</v>
      </c>
      <c r="S44" s="60" t="e">
        <f>SUM(S41:S43)</f>
        <v>#VALUE!</v>
      </c>
      <c r="T44" s="61" t="str">
        <f>IFERROR(S44/R44,"-")</f>
        <v>-</v>
      </c>
      <c r="U44" s="62" t="str">
        <f>IFERROR(SUM(U41:U43),"—")</f>
        <v>—</v>
      </c>
      <c r="V44" s="21">
        <f>IFERROR(SUM(V41:V43),"—")</f>
        <v>0</v>
      </c>
      <c r="W44" s="20">
        <f>IFERROR(SUM(W41:W43),"—")</f>
        <v>0</v>
      </c>
      <c r="X44" s="21">
        <f>IFERROR(SUM(X41:X43),"—")</f>
        <v>0</v>
      </c>
      <c r="Y44" s="20">
        <f>IFERROR(SUM(Y41:Y43),"—")</f>
        <v>0</v>
      </c>
      <c r="Z44" s="19"/>
    </row>
    <row r="47" spans="1:26" x14ac:dyDescent="0.3">
      <c r="A47" s="176" t="s">
        <v>55</v>
      </c>
      <c r="B47" s="176"/>
      <c r="C47" s="176"/>
      <c r="D47" s="176"/>
      <c r="E47" s="176"/>
      <c r="F47" s="77">
        <f>SUM(F9,F19,F26,F38,F44)</f>
        <v>212.65</v>
      </c>
      <c r="G47" s="78">
        <f>SUM(G9,G19,G26,G38,G44)</f>
        <v>68.728072205000004</v>
      </c>
      <c r="H47" s="148">
        <f>IFERROR(G47/F47,"-")</f>
        <v>0.3231980823183635</v>
      </c>
      <c r="I47" s="78">
        <f>SUM(I9,I19,I26,I38,I44)</f>
        <v>212.65</v>
      </c>
      <c r="J47" s="150" t="s">
        <v>172</v>
      </c>
      <c r="K47" s="150" t="s">
        <v>172</v>
      </c>
      <c r="L47" s="56">
        <f>SUM(L44,L38,L26,L19,L9)</f>
        <v>425.29999999999995</v>
      </c>
      <c r="M47" s="56">
        <f>SUM(M9,M19,M26,M38,M44)</f>
        <v>68.728072205000004</v>
      </c>
      <c r="N47" s="149">
        <f>IFERROR(M47/L47,"-")</f>
        <v>0.16159904115918178</v>
      </c>
      <c r="O47" s="149"/>
      <c r="P47" s="149"/>
      <c r="Q47" s="149"/>
      <c r="R47" s="56">
        <f>SUM(R44,R38,R26,R19,O9)</f>
        <v>663.65</v>
      </c>
      <c r="S47" s="56">
        <f>SUM(M9,M19,M26,M38,M44)</f>
        <v>68.728072205000004</v>
      </c>
      <c r="T47" s="63">
        <f>IFERROR(S47/R47,"-")</f>
        <v>0.10356072056807053</v>
      </c>
      <c r="U47" s="58" t="e">
        <f>SUM(U9,U19,U26,U38,U44)</f>
        <v>#VALUE!</v>
      </c>
      <c r="V47" s="24"/>
      <c r="W47" s="24"/>
      <c r="X47" s="24"/>
      <c r="Y47" s="24"/>
      <c r="Z47" s="24"/>
    </row>
    <row r="49" spans="1:22" hidden="1" x14ac:dyDescent="0.3">
      <c r="A49" s="178" t="s">
        <v>157</v>
      </c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</row>
    <row r="50" spans="1:22" hidden="1" x14ac:dyDescent="0.3">
      <c r="A50" s="41">
        <v>1</v>
      </c>
      <c r="B50" s="41" t="s">
        <v>148</v>
      </c>
      <c r="C50" s="41" t="s">
        <v>140</v>
      </c>
      <c r="D50" s="41" t="s">
        <v>31</v>
      </c>
      <c r="E50" s="41" t="s">
        <v>156</v>
      </c>
      <c r="F50" s="41"/>
      <c r="G50" s="41"/>
      <c r="H50" s="41"/>
      <c r="I50" s="41"/>
      <c r="J50" s="41"/>
      <c r="K50" s="41"/>
      <c r="L50" s="41"/>
      <c r="M50" s="64">
        <f>SUMIF('[1]Opportunity Pipeline 1Apr to 21'!$F:$F,"Ajay Patodia",'[1]Opportunity Pipeline 1Apr to 21'!$O:$O)/10^7</f>
        <v>9.4460405699999974</v>
      </c>
      <c r="N50" s="64"/>
      <c r="O50" s="64"/>
      <c r="P50" s="64"/>
      <c r="Q50" s="64"/>
      <c r="R50" s="65"/>
      <c r="S50" s="64" t="e">
        <f>SUMIF([3]in!$F$1:$F$27,"Ajay Patodia",[3]in!$O$1:$O$27)/10^7</f>
        <v>#VALUE!</v>
      </c>
      <c r="T50" s="65"/>
      <c r="U50" s="65" t="e">
        <f>COUNTIF([3]in!$F$1:$F$27,'V1 · Individual'!B50)</f>
        <v>#VALUE!</v>
      </c>
    </row>
    <row r="51" spans="1:22" hidden="1" x14ac:dyDescent="0.3">
      <c r="A51" s="41">
        <v>2</v>
      </c>
      <c r="B51" s="41" t="s">
        <v>155</v>
      </c>
      <c r="C51" s="41" t="s">
        <v>164</v>
      </c>
      <c r="D51" s="41" t="s">
        <v>31</v>
      </c>
      <c r="E51" s="41" t="s">
        <v>173</v>
      </c>
      <c r="F51" s="41"/>
      <c r="G51" s="41"/>
      <c r="H51" s="41"/>
      <c r="I51" s="41"/>
      <c r="J51" s="41"/>
      <c r="K51" s="41"/>
      <c r="L51" s="41"/>
      <c r="M51" s="64">
        <f>SUMIF('[1]Opportunity Pipeline 1Apr to 21'!$F:$F,"Yusufali Petiwala",'[1]Opportunity Pipeline 1Apr to 21'!$O:$O)/10^7</f>
        <v>0.57604750800000004</v>
      </c>
      <c r="N51" s="64"/>
      <c r="O51" s="64"/>
      <c r="P51" s="64"/>
      <c r="Q51" s="64"/>
      <c r="R51" s="65"/>
      <c r="S51" s="64" t="e">
        <f>SUMIF([3]in!$F$1:$F$27,"Yusufali Petiwala",[3]in!$O$1:$O$27)/10^7</f>
        <v>#VALUE!</v>
      </c>
      <c r="T51" s="65"/>
      <c r="U51" s="65" t="e">
        <f>COUNTIF([3]in!$F$1:$F$27,'V1 · Individual'!B51)</f>
        <v>#VALUE!</v>
      </c>
    </row>
    <row r="52" spans="1:22" hidden="1" x14ac:dyDescent="0.3">
      <c r="A52" s="19"/>
      <c r="B52" s="42" t="s">
        <v>158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66">
        <f>SUM(M50:M51)</f>
        <v>10.022088077999998</v>
      </c>
      <c r="N52" s="66"/>
      <c r="O52" s="66"/>
      <c r="P52" s="66"/>
      <c r="Q52" s="66"/>
      <c r="R52" s="67"/>
      <c r="S52" s="66" t="e">
        <f>SUM(S50:S51)</f>
        <v>#VALUE!</v>
      </c>
      <c r="T52" s="67"/>
      <c r="U52" s="67" t="e">
        <f>SUM(U50:U51)</f>
        <v>#VALUE!</v>
      </c>
    </row>
    <row r="53" spans="1:22" x14ac:dyDescent="0.3">
      <c r="A53" s="44"/>
      <c r="B53" s="45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6"/>
      <c r="N53" s="46"/>
      <c r="O53" s="46"/>
      <c r="P53" s="46"/>
      <c r="Q53" s="46"/>
      <c r="R53" s="44"/>
      <c r="S53" s="46"/>
      <c r="T53" s="44"/>
      <c r="U53" s="44"/>
    </row>
    <row r="54" spans="1:22" x14ac:dyDescent="0.3">
      <c r="A54" s="174"/>
      <c r="B54" s="174"/>
      <c r="C54" s="174"/>
      <c r="D54" s="174"/>
      <c r="E54" s="174"/>
      <c r="F54" s="43"/>
      <c r="G54" s="43"/>
      <c r="H54" s="43"/>
      <c r="I54" s="43"/>
      <c r="J54" s="43"/>
      <c r="K54" s="43"/>
      <c r="L54" s="174"/>
      <c r="M54" s="174"/>
      <c r="N54" s="174"/>
      <c r="O54" s="174"/>
      <c r="P54" s="174"/>
      <c r="Q54" s="174"/>
      <c r="R54" s="174"/>
      <c r="S54" s="174"/>
      <c r="T54" s="174"/>
      <c r="U54" s="43"/>
    </row>
    <row r="55" spans="1:22" x14ac:dyDescent="0.3">
      <c r="A55" s="41">
        <v>1</v>
      </c>
      <c r="B55" s="41" t="s">
        <v>159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68">
        <f>SUM('[1]Opportunity Pipeline 1Apr to 21'!$O:$O)/10^7</f>
        <v>110.04946495400002</v>
      </c>
      <c r="N55" s="68"/>
      <c r="O55" s="68"/>
      <c r="P55" s="68"/>
      <c r="Q55" s="68"/>
      <c r="R55" s="41"/>
      <c r="S55" s="41"/>
      <c r="T55" s="41"/>
      <c r="U55" s="41"/>
      <c r="V55">
        <v>26</v>
      </c>
    </row>
  </sheetData>
  <mergeCells count="10">
    <mergeCell ref="A1:Z1"/>
    <mergeCell ref="A3:Z3"/>
    <mergeCell ref="A12:Z12"/>
    <mergeCell ref="A21:Z21"/>
    <mergeCell ref="A49:U49"/>
    <mergeCell ref="A54:E54"/>
    <mergeCell ref="L54:T54"/>
    <mergeCell ref="A29:Z29"/>
    <mergeCell ref="A40:Z40"/>
    <mergeCell ref="A47:E47"/>
  </mergeCells>
  <pageMargins left="0.75" right="0.75" top="1" bottom="1" header="0.511811023622047" footer="0.511811023622047"/>
  <pageSetup paperSize="9" orientation="portrait" horizontalDpi="300" verticalDpi="300"/>
  <ignoredErrors>
    <ignoredError sqref="T38 T44 M47 H38 N38 H44 N44 L32 L36 L34 G5 F9:G9 H9:M9 N9:S9 T9:U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A9EB-BE33-4897-9345-7F0E9F4A3601}">
  <dimension ref="A1:Z6"/>
  <sheetViews>
    <sheetView workbookViewId="0">
      <selection activeCell="F8" sqref="F8"/>
    </sheetView>
  </sheetViews>
  <sheetFormatPr defaultRowHeight="14.4" x14ac:dyDescent="0.3"/>
  <cols>
    <col min="2" max="2" width="14.21875" bestFit="1" customWidth="1"/>
    <col min="3" max="3" width="13.6640625" bestFit="1" customWidth="1"/>
    <col min="7" max="7" width="9.5546875" bestFit="1" customWidth="1"/>
    <col min="8" max="8" width="10.77734375" customWidth="1"/>
    <col min="11" max="11" width="11.77734375" customWidth="1"/>
    <col min="12" max="12" width="11.44140625" bestFit="1" customWidth="1"/>
    <col min="14" max="17" width="12.21875" customWidth="1"/>
    <col min="19" max="20" width="9.5546875" bestFit="1" customWidth="1"/>
    <col min="22" max="26" width="0" hidden="1" customWidth="1"/>
  </cols>
  <sheetData>
    <row r="1" spans="1:26" ht="27.75" customHeight="1" x14ac:dyDescent="0.3">
      <c r="A1" s="116" t="s">
        <v>185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36" customHeight="1" x14ac:dyDescent="0.3">
      <c r="A2" s="120" t="s">
        <v>0</v>
      </c>
      <c r="B2" s="120" t="s">
        <v>2</v>
      </c>
      <c r="C2" s="120" t="s">
        <v>3</v>
      </c>
      <c r="D2" s="120" t="s">
        <v>4</v>
      </c>
      <c r="E2" s="120" t="s">
        <v>5</v>
      </c>
      <c r="F2" s="120" t="s">
        <v>168</v>
      </c>
      <c r="G2" s="120" t="s">
        <v>169</v>
      </c>
      <c r="H2" s="120" t="s">
        <v>188</v>
      </c>
      <c r="I2" s="120" t="s">
        <v>170</v>
      </c>
      <c r="J2" s="120" t="s">
        <v>171</v>
      </c>
      <c r="K2" s="120" t="s">
        <v>189</v>
      </c>
      <c r="L2" s="120" t="s">
        <v>6</v>
      </c>
      <c r="M2" s="120" t="s">
        <v>7</v>
      </c>
      <c r="N2" s="120" t="s">
        <v>190</v>
      </c>
      <c r="O2" s="7" t="s">
        <v>193</v>
      </c>
      <c r="P2" s="7" t="s">
        <v>194</v>
      </c>
      <c r="Q2" s="7" t="s">
        <v>195</v>
      </c>
      <c r="R2" s="120" t="s">
        <v>8</v>
      </c>
      <c r="S2" s="120" t="s">
        <v>9</v>
      </c>
      <c r="T2" s="120" t="s">
        <v>10</v>
      </c>
      <c r="U2" s="120" t="s">
        <v>11</v>
      </c>
      <c r="V2" s="7" t="s">
        <v>12</v>
      </c>
      <c r="W2" s="7" t="s">
        <v>13</v>
      </c>
      <c r="X2" s="7" t="s">
        <v>14</v>
      </c>
      <c r="Y2" s="7" t="s">
        <v>15</v>
      </c>
      <c r="Z2" s="7" t="s">
        <v>16</v>
      </c>
    </row>
    <row r="3" spans="1:26" x14ac:dyDescent="0.3">
      <c r="A3" s="106">
        <v>1</v>
      </c>
      <c r="B3" s="106" t="s">
        <v>148</v>
      </c>
      <c r="C3" s="138" t="s">
        <v>186</v>
      </c>
      <c r="D3" s="105" t="s">
        <v>31</v>
      </c>
      <c r="E3" s="135" t="s">
        <v>187</v>
      </c>
      <c r="F3" s="118" t="s">
        <v>172</v>
      </c>
      <c r="G3" s="134">
        <v>3.7419355000000001E-2</v>
      </c>
      <c r="H3" s="134" t="s">
        <v>172</v>
      </c>
      <c r="I3" s="118" t="s">
        <v>172</v>
      </c>
      <c r="J3" s="118" t="s">
        <v>172</v>
      </c>
      <c r="K3" s="118" t="s">
        <v>172</v>
      </c>
      <c r="L3" s="118">
        <f>SUM(F3,I3)</f>
        <v>0</v>
      </c>
      <c r="M3" s="134">
        <f>SUM(G3,J3)</f>
        <v>3.7419355000000001E-2</v>
      </c>
      <c r="N3" s="134" t="s">
        <v>172</v>
      </c>
      <c r="O3" s="134" t="s">
        <v>172</v>
      </c>
      <c r="P3" s="134" t="s">
        <v>172</v>
      </c>
      <c r="Q3" s="134" t="s">
        <v>172</v>
      </c>
      <c r="R3" s="118" t="s">
        <v>172</v>
      </c>
      <c r="S3" s="134">
        <v>3.7419355000000001E-2</v>
      </c>
      <c r="T3" s="118" t="str">
        <f>IFERROR(S3/R3,"-")</f>
        <v>-</v>
      </c>
      <c r="U3" s="118">
        <v>1</v>
      </c>
    </row>
    <row r="4" spans="1:26" x14ac:dyDescent="0.3">
      <c r="A4" s="106">
        <v>2</v>
      </c>
      <c r="B4" s="169" t="s">
        <v>71</v>
      </c>
      <c r="C4" s="104" t="s">
        <v>30</v>
      </c>
      <c r="D4" s="105" t="s">
        <v>31</v>
      </c>
      <c r="E4" s="135" t="s">
        <v>196</v>
      </c>
      <c r="F4" s="139">
        <f>L4/2</f>
        <v>7.5</v>
      </c>
      <c r="G4" s="134" t="s">
        <v>172</v>
      </c>
      <c r="H4" s="134" t="s">
        <v>172</v>
      </c>
      <c r="I4" s="118">
        <f>L4/2</f>
        <v>7.5</v>
      </c>
      <c r="J4" s="134" t="s">
        <v>172</v>
      </c>
      <c r="K4" s="134" t="s">
        <v>172</v>
      </c>
      <c r="L4" s="136">
        <f>'[15]Jimesh TARGET LETTER - 26-27'!$D$9/10^7</f>
        <v>15</v>
      </c>
      <c r="M4" s="134" t="s">
        <v>172</v>
      </c>
      <c r="N4" s="134" t="s">
        <v>172</v>
      </c>
      <c r="O4" s="134">
        <f>'[15]Jimesh TARGET LETTER - 26-27'!$D$13/10^7</f>
        <v>30</v>
      </c>
      <c r="P4" s="134" t="s">
        <v>172</v>
      </c>
      <c r="Q4" s="134" t="s">
        <v>172</v>
      </c>
      <c r="R4" s="136">
        <f>L4+O4</f>
        <v>45</v>
      </c>
      <c r="S4" s="134" t="s">
        <v>172</v>
      </c>
      <c r="T4" s="134" t="s">
        <v>172</v>
      </c>
      <c r="U4" s="118">
        <v>0</v>
      </c>
    </row>
    <row r="5" spans="1:26" x14ac:dyDescent="0.3">
      <c r="A5" s="106">
        <v>3</v>
      </c>
      <c r="B5" s="106" t="s">
        <v>197</v>
      </c>
      <c r="C5" s="104" t="s">
        <v>37</v>
      </c>
      <c r="D5" s="105" t="s">
        <v>31</v>
      </c>
      <c r="E5" s="135" t="s">
        <v>198</v>
      </c>
      <c r="F5" s="118">
        <f>L5/2</f>
        <v>1.5</v>
      </c>
      <c r="G5" s="134" t="s">
        <v>172</v>
      </c>
      <c r="H5" s="134" t="s">
        <v>172</v>
      </c>
      <c r="I5" s="118">
        <f>L5/2</f>
        <v>1.5</v>
      </c>
      <c r="J5" s="134" t="s">
        <v>172</v>
      </c>
      <c r="K5" s="134" t="s">
        <v>172</v>
      </c>
      <c r="L5" s="136">
        <f>'[27]Rima Target Letter 26 27 '!$D$9/10^7</f>
        <v>3</v>
      </c>
      <c r="M5" s="134" t="s">
        <v>172</v>
      </c>
      <c r="N5" s="134" t="s">
        <v>172</v>
      </c>
      <c r="O5" s="134">
        <f>'[27]Rima Target Letter 26 27 '!$D$10/10^7</f>
        <v>5</v>
      </c>
      <c r="P5" s="134" t="s">
        <v>172</v>
      </c>
      <c r="Q5" s="134" t="s">
        <v>172</v>
      </c>
      <c r="R5" s="136">
        <f>L5+O5</f>
        <v>8</v>
      </c>
      <c r="S5" s="134" t="s">
        <v>172</v>
      </c>
      <c r="T5" s="134" t="s">
        <v>172</v>
      </c>
      <c r="U5" s="118">
        <v>0</v>
      </c>
    </row>
    <row r="6" spans="1:26" x14ac:dyDescent="0.3">
      <c r="A6">
        <v>4</v>
      </c>
      <c r="B6" t="s">
        <v>199</v>
      </c>
      <c r="C6" s="104" t="s">
        <v>37</v>
      </c>
      <c r="D6" s="105" t="s">
        <v>31</v>
      </c>
      <c r="E6" s="135" t="s">
        <v>200</v>
      </c>
      <c r="F6">
        <f>L6/2</f>
        <v>1.6</v>
      </c>
      <c r="G6" s="134" t="s">
        <v>172</v>
      </c>
      <c r="H6" s="134" t="s">
        <v>172</v>
      </c>
      <c r="I6">
        <f>L6/2</f>
        <v>1.6</v>
      </c>
      <c r="J6" s="134" t="s">
        <v>172</v>
      </c>
      <c r="K6" s="134" t="s">
        <v>172</v>
      </c>
      <c r="L6">
        <f>'[28]SANA -TARGET LETTER - 26-27'!$D$9/10^7</f>
        <v>3.2</v>
      </c>
      <c r="M6" s="134" t="s">
        <v>172</v>
      </c>
      <c r="N6" s="134" t="s">
        <v>172</v>
      </c>
      <c r="O6">
        <f>'[28]SANA -TARGET LETTER - 26-27'!$D$14/10^7</f>
        <v>6.8</v>
      </c>
      <c r="P6" s="134" t="s">
        <v>172</v>
      </c>
      <c r="Q6" s="134" t="s">
        <v>172</v>
      </c>
      <c r="R6">
        <f>L6+O6</f>
        <v>10</v>
      </c>
      <c r="S6" s="134" t="s">
        <v>172</v>
      </c>
      <c r="T6" s="134" t="s">
        <v>172</v>
      </c>
      <c r="U6" s="1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showGridLines="0" zoomScaleNormal="100" workbookViewId="0">
      <pane ySplit="3" topLeftCell="A4" activePane="bottomLeft" state="frozen"/>
      <selection pane="bottomLeft" sqref="A1:M1"/>
    </sheetView>
  </sheetViews>
  <sheetFormatPr defaultColWidth="8.6640625" defaultRowHeight="14.4" x14ac:dyDescent="0.3"/>
  <cols>
    <col min="1" max="1" width="4" customWidth="1"/>
    <col min="2" max="2" width="28" customWidth="1"/>
    <col min="3" max="3" width="9" customWidth="1"/>
    <col min="4" max="6" width="13" customWidth="1"/>
    <col min="7" max="7" width="10" customWidth="1"/>
    <col min="8" max="10" width="14" customWidth="1"/>
    <col min="11" max="11" width="12" customWidth="1"/>
    <col min="12" max="12" width="10" customWidth="1"/>
    <col min="13" max="13" width="36" customWidth="1"/>
  </cols>
  <sheetData>
    <row r="1" spans="1:13" ht="27.75" customHeight="1" x14ac:dyDescent="0.3">
      <c r="A1" s="177" t="s">
        <v>56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3" ht="15.75" customHeight="1" x14ac:dyDescent="0.3">
      <c r="A2" s="180" t="s">
        <v>57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3" ht="36" customHeight="1" x14ac:dyDescent="0.3">
      <c r="A3" s="1" t="s">
        <v>0</v>
      </c>
      <c r="B3" s="1" t="s">
        <v>58</v>
      </c>
      <c r="C3" s="1" t="s">
        <v>3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</row>
    <row r="4" spans="1:13" x14ac:dyDescent="0.3">
      <c r="A4" s="6">
        <v>1</v>
      </c>
      <c r="B4" s="5" t="s">
        <v>69</v>
      </c>
      <c r="C4" s="8" t="s">
        <v>18</v>
      </c>
      <c r="D4" s="10">
        <v>48.25</v>
      </c>
      <c r="E4" s="11"/>
      <c r="F4" s="12">
        <f>IFERROR(E4/459.35,"-")</f>
        <v>0</v>
      </c>
      <c r="G4" s="25" t="str">
        <f>IF(ISNUMBER(E4),IF(E4&gt;=D4,"✅ Hit","🔴 Behind"),"—")</f>
        <v>—</v>
      </c>
      <c r="H4" s="10">
        <v>120</v>
      </c>
      <c r="I4" s="11"/>
      <c r="J4" s="12">
        <f>IFERROR(I4/1017.5,"-")</f>
        <v>0</v>
      </c>
      <c r="K4" s="25" t="str">
        <f>IF(ISNUMBER(I4),IF(I4&gt;=H4,"✅ Hit","🔴 Behind"),"—")</f>
        <v>—</v>
      </c>
      <c r="L4" s="13"/>
      <c r="M4" s="9" t="s">
        <v>70</v>
      </c>
    </row>
    <row r="5" spans="1:13" x14ac:dyDescent="0.3">
      <c r="A5" s="4">
        <v>2</v>
      </c>
      <c r="B5" s="3" t="s">
        <v>71</v>
      </c>
      <c r="C5" s="14" t="s">
        <v>30</v>
      </c>
      <c r="D5" s="17">
        <v>16.670000000000002</v>
      </c>
      <c r="E5" s="11"/>
      <c r="F5" s="18">
        <f>IFERROR(E5/459.35,"-")</f>
        <v>0</v>
      </c>
      <c r="G5" s="26" t="str">
        <f>IF(ISNUMBER(E5),IF(E5&gt;=D5,"✅ Hit","🔴 Behind"),"—")</f>
        <v>—</v>
      </c>
      <c r="H5" s="17">
        <v>50</v>
      </c>
      <c r="I5" s="11"/>
      <c r="J5" s="18">
        <f>IFERROR(I5/1017.5,"-")</f>
        <v>0</v>
      </c>
      <c r="K5" s="26" t="str">
        <f>IF(ISNUMBER(I5),IF(I5&gt;=H5,"✅ Hit","🔴 Behind"),"—")</f>
        <v>—</v>
      </c>
      <c r="L5" s="13"/>
      <c r="M5" s="16" t="s">
        <v>72</v>
      </c>
    </row>
    <row r="6" spans="1:13" x14ac:dyDescent="0.3">
      <c r="A6" s="6">
        <v>3</v>
      </c>
      <c r="B6" s="5" t="s">
        <v>73</v>
      </c>
      <c r="C6" s="8" t="s">
        <v>54</v>
      </c>
      <c r="D6" s="10">
        <v>7.5</v>
      </c>
      <c r="E6" s="11"/>
      <c r="F6" s="12">
        <f>IFERROR(E6/459.35,"-")</f>
        <v>0</v>
      </c>
      <c r="G6" s="25" t="str">
        <f>IF(ISNUMBER(E6),IF(E6&gt;=D6,"✅ Hit","🔴 Behind"),"—")</f>
        <v>—</v>
      </c>
      <c r="H6" s="10">
        <v>20</v>
      </c>
      <c r="I6" s="11"/>
      <c r="J6" s="12">
        <f>IFERROR(I6/1017.5,"-")</f>
        <v>0</v>
      </c>
      <c r="K6" s="25" t="str">
        <f>IF(ISNUMBER(I6),IF(I6&gt;=H6,"✅ Hit","🔴 Behind"),"—")</f>
        <v>—</v>
      </c>
      <c r="L6" s="13"/>
      <c r="M6" s="9" t="s">
        <v>74</v>
      </c>
    </row>
    <row r="8" spans="1:13" x14ac:dyDescent="0.3">
      <c r="A8" s="181" t="s">
        <v>75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</row>
    <row r="9" spans="1:13" x14ac:dyDescent="0.3">
      <c r="A9" s="27">
        <v>1</v>
      </c>
      <c r="B9" s="28" t="s">
        <v>76</v>
      </c>
      <c r="C9" s="27" t="s">
        <v>77</v>
      </c>
      <c r="D9" s="29">
        <v>459.35</v>
      </c>
      <c r="E9" s="27" t="s">
        <v>77</v>
      </c>
      <c r="F9" s="27" t="s">
        <v>77</v>
      </c>
      <c r="G9" s="27" t="s">
        <v>77</v>
      </c>
      <c r="H9" s="29">
        <v>1017.5</v>
      </c>
      <c r="I9" s="27" t="s">
        <v>77</v>
      </c>
      <c r="J9" s="27" t="s">
        <v>77</v>
      </c>
      <c r="K9" s="27" t="s">
        <v>77</v>
      </c>
      <c r="L9" s="27" t="s">
        <v>77</v>
      </c>
      <c r="M9" s="30" t="s">
        <v>78</v>
      </c>
    </row>
  </sheetData>
  <mergeCells count="3">
    <mergeCell ref="A1:M1"/>
    <mergeCell ref="A2:M2"/>
    <mergeCell ref="A8:M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Normal="100" workbookViewId="0">
      <pane ySplit="3" topLeftCell="A37" activePane="bottomLeft" state="frozen"/>
      <selection pane="bottomLeft" activeCell="G40" sqref="G40"/>
    </sheetView>
  </sheetViews>
  <sheetFormatPr defaultColWidth="8.6640625" defaultRowHeight="14.4" x14ac:dyDescent="0.3"/>
  <cols>
    <col min="1" max="1" width="42.44140625" customWidth="1"/>
    <col min="2" max="2" width="7" customWidth="1"/>
    <col min="3" max="16" width="10" customWidth="1"/>
    <col min="17" max="17" width="9" customWidth="1"/>
    <col min="18" max="19" width="10" customWidth="1"/>
    <col min="20" max="20" width="9" customWidth="1"/>
    <col min="21" max="21" width="8" customWidth="1"/>
    <col min="22" max="23" width="11" customWidth="1"/>
    <col min="24" max="24" width="9" customWidth="1"/>
    <col min="25" max="26" width="11" customWidth="1"/>
    <col min="27" max="28" width="9" customWidth="1"/>
    <col min="29" max="29" width="8" customWidth="1"/>
  </cols>
  <sheetData>
    <row r="1" spans="1:35" ht="27.75" customHeight="1" x14ac:dyDescent="0.3">
      <c r="A1" s="95" t="s">
        <v>79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7"/>
      <c r="W1" s="7"/>
      <c r="X1" s="7"/>
      <c r="Y1" s="7"/>
      <c r="Z1" s="7"/>
      <c r="AA1" s="7"/>
      <c r="AB1" s="96"/>
      <c r="AC1" s="95"/>
      <c r="AD1" s="95"/>
      <c r="AE1" s="95"/>
      <c r="AF1" s="95"/>
      <c r="AG1" s="95"/>
      <c r="AH1" s="95"/>
      <c r="AI1" s="95"/>
    </row>
    <row r="2" spans="1:35" ht="19.5" customHeight="1" x14ac:dyDescent="0.3">
      <c r="A2" s="7" t="s">
        <v>80</v>
      </c>
      <c r="B2" s="7" t="s">
        <v>3</v>
      </c>
      <c r="C2" s="193" t="s">
        <v>174</v>
      </c>
      <c r="D2" s="193"/>
      <c r="E2" s="193"/>
      <c r="F2" s="190" t="s">
        <v>175</v>
      </c>
      <c r="G2" s="191"/>
      <c r="H2" s="192"/>
      <c r="I2" s="193" t="s">
        <v>176</v>
      </c>
      <c r="J2" s="193"/>
      <c r="K2" s="193"/>
      <c r="L2" s="190" t="s">
        <v>177</v>
      </c>
      <c r="M2" s="191"/>
      <c r="N2" s="192"/>
      <c r="O2" s="187" t="s">
        <v>81</v>
      </c>
      <c r="P2" s="188"/>
      <c r="Q2" s="189"/>
      <c r="R2" s="190" t="s">
        <v>82</v>
      </c>
      <c r="S2" s="191"/>
      <c r="T2" s="192"/>
      <c r="U2" s="7" t="s">
        <v>83</v>
      </c>
      <c r="V2" s="187" t="s">
        <v>201</v>
      </c>
      <c r="W2" s="188"/>
      <c r="X2" s="189"/>
      <c r="Y2" s="190" t="s">
        <v>202</v>
      </c>
      <c r="Z2" s="191"/>
      <c r="AA2" s="192"/>
      <c r="AB2" s="7" t="s">
        <v>203</v>
      </c>
      <c r="AC2" s="193" t="s">
        <v>84</v>
      </c>
      <c r="AD2" s="193"/>
      <c r="AE2" s="193"/>
      <c r="AF2" s="194" t="s">
        <v>85</v>
      </c>
      <c r="AG2" s="194"/>
      <c r="AH2" s="194"/>
      <c r="AI2" s="7" t="s">
        <v>86</v>
      </c>
    </row>
    <row r="3" spans="1:35" ht="19.5" customHeight="1" x14ac:dyDescent="0.3">
      <c r="A3" s="7" t="s">
        <v>87</v>
      </c>
      <c r="B3" s="7" t="s">
        <v>88</v>
      </c>
      <c r="C3" s="2" t="s">
        <v>89</v>
      </c>
      <c r="D3" s="2" t="s">
        <v>90</v>
      </c>
      <c r="E3" s="2" t="s">
        <v>91</v>
      </c>
      <c r="F3" s="1" t="s">
        <v>89</v>
      </c>
      <c r="G3" s="1" t="s">
        <v>90</v>
      </c>
      <c r="H3" s="1" t="s">
        <v>91</v>
      </c>
      <c r="I3" s="2" t="s">
        <v>89</v>
      </c>
      <c r="J3" s="2" t="s">
        <v>90</v>
      </c>
      <c r="K3" s="2" t="s">
        <v>91</v>
      </c>
      <c r="L3" s="1" t="s">
        <v>89</v>
      </c>
      <c r="M3" s="1" t="s">
        <v>90</v>
      </c>
      <c r="N3" s="1" t="s">
        <v>91</v>
      </c>
      <c r="O3" s="2" t="s">
        <v>89</v>
      </c>
      <c r="P3" s="2" t="s">
        <v>90</v>
      </c>
      <c r="Q3" s="2" t="s">
        <v>91</v>
      </c>
      <c r="R3" s="1" t="s">
        <v>89</v>
      </c>
      <c r="S3" s="1" t="s">
        <v>90</v>
      </c>
      <c r="T3" s="1" t="s">
        <v>91</v>
      </c>
      <c r="U3" s="7" t="s">
        <v>92</v>
      </c>
      <c r="V3" s="2" t="s">
        <v>89</v>
      </c>
      <c r="W3" s="2" t="s">
        <v>90</v>
      </c>
      <c r="X3" s="2" t="s">
        <v>91</v>
      </c>
      <c r="Y3" s="1" t="s">
        <v>89</v>
      </c>
      <c r="Z3" s="1" t="s">
        <v>90</v>
      </c>
      <c r="AA3" s="1" t="s">
        <v>91</v>
      </c>
      <c r="AB3" s="7" t="s">
        <v>92</v>
      </c>
      <c r="AC3" s="2" t="s">
        <v>89</v>
      </c>
      <c r="AD3" s="2" t="s">
        <v>90</v>
      </c>
      <c r="AE3" s="2" t="s">
        <v>91</v>
      </c>
      <c r="AF3" s="1" t="s">
        <v>89</v>
      </c>
      <c r="AG3" s="1" t="s">
        <v>90</v>
      </c>
      <c r="AH3" s="1" t="s">
        <v>91</v>
      </c>
      <c r="AI3" s="7" t="s">
        <v>92</v>
      </c>
    </row>
    <row r="4" spans="1:35" ht="15" hidden="1" thickBot="1" x14ac:dyDescent="0.35">
      <c r="A4" s="175" t="s">
        <v>93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</row>
    <row r="5" spans="1:35" hidden="1" x14ac:dyDescent="0.3">
      <c r="A5" s="31" t="s">
        <v>94</v>
      </c>
      <c r="B5" s="14" t="s">
        <v>18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7">
        <v>130.35</v>
      </c>
      <c r="P5" s="11"/>
      <c r="Q5" s="18">
        <f t="shared" ref="Q5:Q32" si="0">IFERROR(P5/O5,"-")</f>
        <v>0</v>
      </c>
      <c r="R5" s="17"/>
      <c r="S5" s="11"/>
      <c r="T5" s="32" t="str">
        <f t="shared" ref="T5:T32" si="1">IFERROR(S5/R5,"-")</f>
        <v>-</v>
      </c>
      <c r="U5" s="13"/>
      <c r="V5" s="17">
        <v>260</v>
      </c>
      <c r="W5" s="11"/>
      <c r="X5" s="18">
        <f t="shared" ref="X5:X32" si="2">IFERROR(W5/V5,"-")</f>
        <v>0</v>
      </c>
      <c r="Y5" s="17"/>
      <c r="Z5" s="11"/>
      <c r="AA5" s="32" t="str">
        <f t="shared" ref="AA5:AA32" si="3">IFERROR(Z5/Y5,"-")</f>
        <v>-</v>
      </c>
      <c r="AB5" s="32"/>
      <c r="AC5" s="13"/>
    </row>
    <row r="6" spans="1:35" hidden="1" x14ac:dyDescent="0.3">
      <c r="A6" s="33" t="s">
        <v>95</v>
      </c>
      <c r="B6" s="8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0">
        <v>58</v>
      </c>
      <c r="P6" s="11"/>
      <c r="Q6" s="12">
        <f t="shared" si="0"/>
        <v>0</v>
      </c>
      <c r="R6" s="10"/>
      <c r="S6" s="11"/>
      <c r="T6" s="32" t="str">
        <f t="shared" si="1"/>
        <v>-</v>
      </c>
      <c r="U6" s="13"/>
      <c r="V6" s="10">
        <v>120</v>
      </c>
      <c r="W6" s="11"/>
      <c r="X6" s="12">
        <f t="shared" si="2"/>
        <v>0</v>
      </c>
      <c r="Y6" s="10"/>
      <c r="Z6" s="11"/>
      <c r="AA6" s="32" t="str">
        <f t="shared" si="3"/>
        <v>-</v>
      </c>
      <c r="AB6" s="32"/>
      <c r="AC6" s="13"/>
    </row>
    <row r="7" spans="1:35" hidden="1" x14ac:dyDescent="0.3">
      <c r="A7" s="31" t="s">
        <v>96</v>
      </c>
      <c r="B7" s="14" t="s">
        <v>18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7">
        <v>23</v>
      </c>
      <c r="P7" s="11"/>
      <c r="Q7" s="18">
        <f t="shared" si="0"/>
        <v>0</v>
      </c>
      <c r="R7" s="17"/>
      <c r="S7" s="11"/>
      <c r="T7" s="32" t="str">
        <f t="shared" si="1"/>
        <v>-</v>
      </c>
      <c r="U7" s="13"/>
      <c r="V7" s="17">
        <v>60</v>
      </c>
      <c r="W7" s="11"/>
      <c r="X7" s="18">
        <f t="shared" si="2"/>
        <v>0</v>
      </c>
      <c r="Y7" s="17"/>
      <c r="Z7" s="11"/>
      <c r="AA7" s="32" t="str">
        <f t="shared" si="3"/>
        <v>-</v>
      </c>
      <c r="AB7" s="32"/>
      <c r="AC7" s="13"/>
    </row>
    <row r="8" spans="1:35" hidden="1" x14ac:dyDescent="0.3">
      <c r="A8" s="33" t="s">
        <v>97</v>
      </c>
      <c r="B8" s="8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0">
        <v>25.25</v>
      </c>
      <c r="P8" s="11"/>
      <c r="Q8" s="12">
        <f t="shared" si="0"/>
        <v>0</v>
      </c>
      <c r="R8" s="10"/>
      <c r="S8" s="11"/>
      <c r="T8" s="32" t="str">
        <f t="shared" si="1"/>
        <v>-</v>
      </c>
      <c r="U8" s="13"/>
      <c r="V8" s="10">
        <v>60</v>
      </c>
      <c r="W8" s="11"/>
      <c r="X8" s="12">
        <f t="shared" si="2"/>
        <v>0</v>
      </c>
      <c r="Y8" s="10"/>
      <c r="Z8" s="11"/>
      <c r="AA8" s="32" t="str">
        <f t="shared" si="3"/>
        <v>-</v>
      </c>
      <c r="AB8" s="32"/>
      <c r="AC8" s="13"/>
    </row>
    <row r="9" spans="1:35" hidden="1" x14ac:dyDescent="0.3">
      <c r="A9" s="31" t="s">
        <v>98</v>
      </c>
      <c r="B9" s="14" t="s">
        <v>18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7">
        <v>5</v>
      </c>
      <c r="P9" s="11"/>
      <c r="Q9" s="18">
        <f t="shared" si="0"/>
        <v>0</v>
      </c>
      <c r="R9" s="17"/>
      <c r="S9" s="11"/>
      <c r="T9" s="32" t="str">
        <f t="shared" si="1"/>
        <v>-</v>
      </c>
      <c r="U9" s="13"/>
      <c r="V9" s="17">
        <v>10</v>
      </c>
      <c r="W9" s="11"/>
      <c r="X9" s="18">
        <f t="shared" si="2"/>
        <v>0</v>
      </c>
      <c r="Y9" s="17"/>
      <c r="Z9" s="11"/>
      <c r="AA9" s="32" t="str">
        <f t="shared" si="3"/>
        <v>-</v>
      </c>
      <c r="AB9" s="32"/>
      <c r="AC9" s="13"/>
    </row>
    <row r="10" spans="1:35" hidden="1" x14ac:dyDescent="0.3">
      <c r="A10" s="33" t="s">
        <v>99</v>
      </c>
      <c r="B10" s="8" t="s">
        <v>25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0">
        <v>76</v>
      </c>
      <c r="P10" s="11"/>
      <c r="Q10" s="12">
        <f t="shared" si="0"/>
        <v>0</v>
      </c>
      <c r="R10" s="10"/>
      <c r="S10" s="11"/>
      <c r="T10" s="32" t="str">
        <f t="shared" si="1"/>
        <v>-</v>
      </c>
      <c r="U10" s="13"/>
      <c r="V10" s="10">
        <v>135</v>
      </c>
      <c r="W10" s="11"/>
      <c r="X10" s="12">
        <f t="shared" si="2"/>
        <v>0</v>
      </c>
      <c r="Y10" s="10"/>
      <c r="Z10" s="11"/>
      <c r="AA10" s="32" t="str">
        <f t="shared" si="3"/>
        <v>-</v>
      </c>
      <c r="AB10" s="32"/>
      <c r="AC10" s="13"/>
    </row>
    <row r="11" spans="1:35" hidden="1" x14ac:dyDescent="0.3">
      <c r="A11" s="31" t="s">
        <v>100</v>
      </c>
      <c r="B11" s="14" t="s">
        <v>25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7">
        <v>20</v>
      </c>
      <c r="P11" s="11"/>
      <c r="Q11" s="18">
        <f t="shared" si="0"/>
        <v>0</v>
      </c>
      <c r="R11" s="17"/>
      <c r="S11" s="11"/>
      <c r="T11" s="32" t="str">
        <f t="shared" si="1"/>
        <v>-</v>
      </c>
      <c r="U11" s="13"/>
      <c r="V11" s="17">
        <v>69</v>
      </c>
      <c r="W11" s="11"/>
      <c r="X11" s="18">
        <f t="shared" si="2"/>
        <v>0</v>
      </c>
      <c r="Y11" s="17"/>
      <c r="Z11" s="11"/>
      <c r="AA11" s="32" t="str">
        <f t="shared" si="3"/>
        <v>-</v>
      </c>
      <c r="AB11" s="32"/>
      <c r="AC11" s="13"/>
    </row>
    <row r="12" spans="1:35" hidden="1" x14ac:dyDescent="0.3">
      <c r="A12" s="33" t="s">
        <v>101</v>
      </c>
      <c r="B12" s="8" t="s">
        <v>25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0">
        <v>20.3</v>
      </c>
      <c r="P12" s="11"/>
      <c r="Q12" s="12">
        <f t="shared" si="0"/>
        <v>0</v>
      </c>
      <c r="R12" s="10"/>
      <c r="S12" s="11"/>
      <c r="T12" s="32" t="str">
        <f t="shared" si="1"/>
        <v>-</v>
      </c>
      <c r="U12" s="13"/>
      <c r="V12" s="10">
        <v>40.5</v>
      </c>
      <c r="W12" s="11"/>
      <c r="X12" s="12">
        <f t="shared" si="2"/>
        <v>0</v>
      </c>
      <c r="Y12" s="10"/>
      <c r="Z12" s="11"/>
      <c r="AA12" s="32" t="str">
        <f t="shared" si="3"/>
        <v>-</v>
      </c>
      <c r="AB12" s="32"/>
      <c r="AC12" s="13"/>
    </row>
    <row r="13" spans="1:35" hidden="1" x14ac:dyDescent="0.3">
      <c r="A13" s="31" t="s">
        <v>102</v>
      </c>
      <c r="B13" s="14" t="s">
        <v>25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7">
        <v>8</v>
      </c>
      <c r="P13" s="11"/>
      <c r="Q13" s="18">
        <f t="shared" si="0"/>
        <v>0</v>
      </c>
      <c r="R13" s="17"/>
      <c r="S13" s="11"/>
      <c r="T13" s="32" t="str">
        <f t="shared" si="1"/>
        <v>-</v>
      </c>
      <c r="U13" s="13"/>
      <c r="V13" s="17">
        <v>32.5</v>
      </c>
      <c r="W13" s="11"/>
      <c r="X13" s="18">
        <f t="shared" si="2"/>
        <v>0</v>
      </c>
      <c r="Y13" s="17"/>
      <c r="Z13" s="11"/>
      <c r="AA13" s="32" t="str">
        <f t="shared" si="3"/>
        <v>-</v>
      </c>
      <c r="AB13" s="32"/>
      <c r="AC13" s="13"/>
    </row>
    <row r="14" spans="1:35" hidden="1" x14ac:dyDescent="0.3">
      <c r="A14" s="33" t="s">
        <v>103</v>
      </c>
      <c r="B14" s="8" t="s">
        <v>25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0">
        <v>3</v>
      </c>
      <c r="P14" s="11"/>
      <c r="Q14" s="12">
        <f t="shared" si="0"/>
        <v>0</v>
      </c>
      <c r="R14" s="10"/>
      <c r="S14" s="11"/>
      <c r="T14" s="32" t="str">
        <f t="shared" si="1"/>
        <v>-</v>
      </c>
      <c r="U14" s="13"/>
      <c r="V14" s="10">
        <v>6</v>
      </c>
      <c r="W14" s="11"/>
      <c r="X14" s="12">
        <f t="shared" si="2"/>
        <v>0</v>
      </c>
      <c r="Y14" s="10"/>
      <c r="Z14" s="11"/>
      <c r="AA14" s="32" t="str">
        <f t="shared" si="3"/>
        <v>-</v>
      </c>
      <c r="AB14" s="32"/>
      <c r="AC14" s="13"/>
    </row>
    <row r="15" spans="1:35" hidden="1" x14ac:dyDescent="0.3">
      <c r="A15" s="31" t="s">
        <v>104</v>
      </c>
      <c r="B15" s="14" t="s">
        <v>25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7">
        <v>6.75</v>
      </c>
      <c r="P15" s="11"/>
      <c r="Q15" s="18">
        <f t="shared" si="0"/>
        <v>0</v>
      </c>
      <c r="R15" s="17"/>
      <c r="S15" s="11"/>
      <c r="T15" s="32" t="str">
        <f t="shared" si="1"/>
        <v>-</v>
      </c>
      <c r="U15" s="13"/>
      <c r="V15" s="17">
        <v>17</v>
      </c>
      <c r="W15" s="11"/>
      <c r="X15" s="18">
        <f t="shared" si="2"/>
        <v>0</v>
      </c>
      <c r="Y15" s="17"/>
      <c r="Z15" s="11"/>
      <c r="AA15" s="32" t="str">
        <f t="shared" si="3"/>
        <v>-</v>
      </c>
      <c r="AB15" s="32"/>
      <c r="AC15" s="13"/>
    </row>
    <row r="16" spans="1:35" hidden="1" x14ac:dyDescent="0.3">
      <c r="A16" s="33" t="s">
        <v>105</v>
      </c>
      <c r="B16" s="8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0">
        <v>7</v>
      </c>
      <c r="P16" s="11"/>
      <c r="Q16" s="12">
        <f t="shared" si="0"/>
        <v>0</v>
      </c>
      <c r="R16" s="10"/>
      <c r="S16" s="11"/>
      <c r="T16" s="32" t="str">
        <f t="shared" si="1"/>
        <v>-</v>
      </c>
      <c r="U16" s="13"/>
      <c r="V16" s="10">
        <v>16</v>
      </c>
      <c r="W16" s="11"/>
      <c r="X16" s="12">
        <f t="shared" si="2"/>
        <v>0</v>
      </c>
      <c r="Y16" s="10"/>
      <c r="Z16" s="11"/>
      <c r="AA16" s="32" t="str">
        <f t="shared" si="3"/>
        <v>-</v>
      </c>
      <c r="AB16" s="32"/>
      <c r="AC16" s="13"/>
    </row>
    <row r="17" spans="1:29" hidden="1" x14ac:dyDescent="0.3">
      <c r="A17" s="31" t="s">
        <v>106</v>
      </c>
      <c r="B17" s="14" t="s">
        <v>30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7">
        <v>15</v>
      </c>
      <c r="P17" s="11"/>
      <c r="Q17" s="18">
        <f t="shared" si="0"/>
        <v>0</v>
      </c>
      <c r="R17" s="17"/>
      <c r="S17" s="11"/>
      <c r="T17" s="32" t="str">
        <f t="shared" si="1"/>
        <v>-</v>
      </c>
      <c r="U17" s="13"/>
      <c r="V17" s="17">
        <v>33</v>
      </c>
      <c r="W17" s="11"/>
      <c r="X17" s="18">
        <f t="shared" si="2"/>
        <v>0</v>
      </c>
      <c r="Y17" s="17"/>
      <c r="Z17" s="11"/>
      <c r="AA17" s="32" t="str">
        <f t="shared" si="3"/>
        <v>-</v>
      </c>
      <c r="AB17" s="32"/>
      <c r="AC17" s="13"/>
    </row>
    <row r="18" spans="1:29" hidden="1" x14ac:dyDescent="0.3">
      <c r="A18" s="33" t="s">
        <v>107</v>
      </c>
      <c r="B18" s="8" t="s">
        <v>30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>
        <v>15</v>
      </c>
      <c r="P18" s="11"/>
      <c r="Q18" s="12">
        <f t="shared" si="0"/>
        <v>0</v>
      </c>
      <c r="R18" s="10"/>
      <c r="S18" s="11"/>
      <c r="T18" s="32" t="str">
        <f t="shared" si="1"/>
        <v>-</v>
      </c>
      <c r="U18" s="13"/>
      <c r="V18" s="10">
        <v>40</v>
      </c>
      <c r="W18" s="11"/>
      <c r="X18" s="12">
        <f t="shared" si="2"/>
        <v>0</v>
      </c>
      <c r="Y18" s="10"/>
      <c r="Z18" s="11"/>
      <c r="AA18" s="32" t="str">
        <f t="shared" si="3"/>
        <v>-</v>
      </c>
      <c r="AB18" s="32"/>
      <c r="AC18" s="13"/>
    </row>
    <row r="19" spans="1:29" hidden="1" x14ac:dyDescent="0.3">
      <c r="A19" s="31" t="s">
        <v>108</v>
      </c>
      <c r="B19" s="14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7">
        <v>3</v>
      </c>
      <c r="P19" s="11"/>
      <c r="Q19" s="18">
        <f t="shared" si="0"/>
        <v>0</v>
      </c>
      <c r="R19" s="17"/>
      <c r="S19" s="11"/>
      <c r="T19" s="32" t="str">
        <f t="shared" si="1"/>
        <v>-</v>
      </c>
      <c r="U19" s="13"/>
      <c r="V19" s="17">
        <v>9.5</v>
      </c>
      <c r="W19" s="11"/>
      <c r="X19" s="18">
        <f t="shared" si="2"/>
        <v>0</v>
      </c>
      <c r="Y19" s="17"/>
      <c r="Z19" s="11"/>
      <c r="AA19" s="32" t="str">
        <f t="shared" si="3"/>
        <v>-</v>
      </c>
      <c r="AB19" s="32"/>
      <c r="AC19" s="13"/>
    </row>
    <row r="20" spans="1:29" hidden="1" x14ac:dyDescent="0.3">
      <c r="A20" s="33" t="s">
        <v>109</v>
      </c>
      <c r="B20" s="8" t="s">
        <v>37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0">
        <v>4</v>
      </c>
      <c r="P20" s="11"/>
      <c r="Q20" s="12">
        <f t="shared" si="0"/>
        <v>0</v>
      </c>
      <c r="R20" s="10"/>
      <c r="S20" s="11"/>
      <c r="T20" s="32" t="str">
        <f t="shared" si="1"/>
        <v>-</v>
      </c>
      <c r="U20" s="13"/>
      <c r="V20" s="10">
        <v>8</v>
      </c>
      <c r="W20" s="11"/>
      <c r="X20" s="12">
        <f t="shared" si="2"/>
        <v>0</v>
      </c>
      <c r="Y20" s="10"/>
      <c r="Z20" s="11"/>
      <c r="AA20" s="32" t="str">
        <f t="shared" si="3"/>
        <v>-</v>
      </c>
      <c r="AB20" s="32"/>
      <c r="AC20" s="13"/>
    </row>
    <row r="21" spans="1:29" hidden="1" x14ac:dyDescent="0.3">
      <c r="A21" s="31" t="s">
        <v>110</v>
      </c>
      <c r="B21" s="14" t="s">
        <v>37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7">
        <v>3</v>
      </c>
      <c r="P21" s="11"/>
      <c r="Q21" s="18">
        <f t="shared" si="0"/>
        <v>0</v>
      </c>
      <c r="R21" s="17"/>
      <c r="S21" s="11"/>
      <c r="T21" s="32" t="str">
        <f t="shared" si="1"/>
        <v>-</v>
      </c>
      <c r="U21" s="13"/>
      <c r="V21" s="17">
        <v>8</v>
      </c>
      <c r="W21" s="11"/>
      <c r="X21" s="18">
        <f t="shared" si="2"/>
        <v>0</v>
      </c>
      <c r="Y21" s="17"/>
      <c r="Z21" s="11"/>
      <c r="AA21" s="32" t="str">
        <f t="shared" si="3"/>
        <v>-</v>
      </c>
      <c r="AB21" s="32"/>
      <c r="AC21" s="13"/>
    </row>
    <row r="22" spans="1:29" hidden="1" x14ac:dyDescent="0.3">
      <c r="A22" s="33" t="s">
        <v>111</v>
      </c>
      <c r="B22" s="8" t="s">
        <v>37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0">
        <v>3</v>
      </c>
      <c r="P22" s="11"/>
      <c r="Q22" s="12">
        <f t="shared" si="0"/>
        <v>0</v>
      </c>
      <c r="R22" s="10"/>
      <c r="S22" s="11"/>
      <c r="T22" s="32" t="str">
        <f t="shared" si="1"/>
        <v>-</v>
      </c>
      <c r="U22" s="13"/>
      <c r="V22" s="10">
        <v>12</v>
      </c>
      <c r="W22" s="11"/>
      <c r="X22" s="12">
        <f t="shared" si="2"/>
        <v>0</v>
      </c>
      <c r="Y22" s="10"/>
      <c r="Z22" s="11"/>
      <c r="AA22" s="32" t="str">
        <f t="shared" si="3"/>
        <v>-</v>
      </c>
      <c r="AB22" s="32"/>
      <c r="AC22" s="13"/>
    </row>
    <row r="23" spans="1:29" hidden="1" x14ac:dyDescent="0.3">
      <c r="A23" s="31" t="s">
        <v>112</v>
      </c>
      <c r="B23" s="14" t="s">
        <v>37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7">
        <v>5</v>
      </c>
      <c r="P23" s="11"/>
      <c r="Q23" s="18">
        <f t="shared" si="0"/>
        <v>0</v>
      </c>
      <c r="R23" s="17"/>
      <c r="S23" s="11"/>
      <c r="T23" s="32" t="str">
        <f t="shared" si="1"/>
        <v>-</v>
      </c>
      <c r="U23" s="13"/>
      <c r="V23" s="17">
        <v>15</v>
      </c>
      <c r="W23" s="11"/>
      <c r="X23" s="18">
        <f t="shared" si="2"/>
        <v>0</v>
      </c>
      <c r="Y23" s="17"/>
      <c r="Z23" s="11"/>
      <c r="AA23" s="32" t="str">
        <f t="shared" si="3"/>
        <v>-</v>
      </c>
      <c r="AB23" s="32"/>
      <c r="AC23" s="13"/>
    </row>
    <row r="24" spans="1:29" hidden="1" x14ac:dyDescent="0.3">
      <c r="A24" s="33" t="s">
        <v>113</v>
      </c>
      <c r="B24" s="8" t="s">
        <v>37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0">
        <v>0.6</v>
      </c>
      <c r="P24" s="11"/>
      <c r="Q24" s="12">
        <f t="shared" si="0"/>
        <v>0</v>
      </c>
      <c r="R24" s="10"/>
      <c r="S24" s="11"/>
      <c r="T24" s="32" t="str">
        <f t="shared" si="1"/>
        <v>-</v>
      </c>
      <c r="U24" s="13"/>
      <c r="V24" s="10">
        <v>2</v>
      </c>
      <c r="W24" s="11"/>
      <c r="X24" s="12">
        <f t="shared" si="2"/>
        <v>0</v>
      </c>
      <c r="Y24" s="10"/>
      <c r="Z24" s="11"/>
      <c r="AA24" s="32" t="str">
        <f t="shared" si="3"/>
        <v>-</v>
      </c>
      <c r="AB24" s="32"/>
      <c r="AC24" s="13"/>
    </row>
    <row r="25" spans="1:29" hidden="1" x14ac:dyDescent="0.3">
      <c r="A25" s="31" t="s">
        <v>114</v>
      </c>
      <c r="B25" s="14" t="s">
        <v>37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7">
        <v>0.6</v>
      </c>
      <c r="P25" s="11"/>
      <c r="Q25" s="18">
        <f t="shared" si="0"/>
        <v>0</v>
      </c>
      <c r="R25" s="17"/>
      <c r="S25" s="11"/>
      <c r="T25" s="32" t="str">
        <f t="shared" si="1"/>
        <v>-</v>
      </c>
      <c r="U25" s="13"/>
      <c r="V25" s="17">
        <v>2</v>
      </c>
      <c r="W25" s="11"/>
      <c r="X25" s="18">
        <f t="shared" si="2"/>
        <v>0</v>
      </c>
      <c r="Y25" s="17"/>
      <c r="Z25" s="11"/>
      <c r="AA25" s="32" t="str">
        <f t="shared" si="3"/>
        <v>-</v>
      </c>
      <c r="AB25" s="32"/>
      <c r="AC25" s="13"/>
    </row>
    <row r="26" spans="1:29" hidden="1" x14ac:dyDescent="0.3">
      <c r="A26" s="33" t="s">
        <v>115</v>
      </c>
      <c r="B26" s="8" t="s">
        <v>37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0">
        <v>5</v>
      </c>
      <c r="P26" s="11"/>
      <c r="Q26" s="12">
        <f t="shared" si="0"/>
        <v>0</v>
      </c>
      <c r="R26" s="10"/>
      <c r="S26" s="11"/>
      <c r="T26" s="32" t="str">
        <f t="shared" si="1"/>
        <v>-</v>
      </c>
      <c r="U26" s="13"/>
      <c r="V26" s="10">
        <v>15</v>
      </c>
      <c r="W26" s="11"/>
      <c r="X26" s="12">
        <f t="shared" si="2"/>
        <v>0</v>
      </c>
      <c r="Y26" s="10"/>
      <c r="Z26" s="11"/>
      <c r="AA26" s="32" t="str">
        <f t="shared" si="3"/>
        <v>-</v>
      </c>
      <c r="AB26" s="32"/>
      <c r="AC26" s="13"/>
    </row>
    <row r="27" spans="1:29" hidden="1" x14ac:dyDescent="0.3">
      <c r="A27" s="31" t="s">
        <v>116</v>
      </c>
      <c r="B27" s="14" t="s">
        <v>37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7">
        <v>1.5</v>
      </c>
      <c r="P27" s="11"/>
      <c r="Q27" s="18">
        <f t="shared" si="0"/>
        <v>0</v>
      </c>
      <c r="R27" s="17"/>
      <c r="S27" s="11"/>
      <c r="T27" s="32" t="str">
        <f t="shared" si="1"/>
        <v>-</v>
      </c>
      <c r="U27" s="13"/>
      <c r="V27" s="17">
        <v>5</v>
      </c>
      <c r="W27" s="11"/>
      <c r="X27" s="18">
        <f t="shared" si="2"/>
        <v>0</v>
      </c>
      <c r="Y27" s="17"/>
      <c r="Z27" s="11"/>
      <c r="AA27" s="32" t="str">
        <f t="shared" si="3"/>
        <v>-</v>
      </c>
      <c r="AB27" s="32"/>
      <c r="AC27" s="13"/>
    </row>
    <row r="28" spans="1:29" hidden="1" x14ac:dyDescent="0.3">
      <c r="A28" s="33" t="s">
        <v>117</v>
      </c>
      <c r="B28" s="8" t="s">
        <v>50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0">
        <v>4</v>
      </c>
      <c r="P28" s="11"/>
      <c r="Q28" s="12">
        <f t="shared" si="0"/>
        <v>0</v>
      </c>
      <c r="R28" s="10"/>
      <c r="S28" s="11"/>
      <c r="T28" s="32" t="str">
        <f t="shared" si="1"/>
        <v>-</v>
      </c>
      <c r="U28" s="13"/>
      <c r="V28" s="10">
        <v>8</v>
      </c>
      <c r="W28" s="11"/>
      <c r="X28" s="12">
        <f t="shared" si="2"/>
        <v>0</v>
      </c>
      <c r="Y28" s="10"/>
      <c r="Z28" s="11"/>
      <c r="AA28" s="32" t="str">
        <f t="shared" si="3"/>
        <v>-</v>
      </c>
      <c r="AB28" s="32"/>
      <c r="AC28" s="13"/>
    </row>
    <row r="29" spans="1:29" hidden="1" x14ac:dyDescent="0.3">
      <c r="A29" s="31" t="s">
        <v>118</v>
      </c>
      <c r="B29" s="14" t="s">
        <v>50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7">
        <v>5</v>
      </c>
      <c r="P29" s="11"/>
      <c r="Q29" s="18">
        <f t="shared" si="0"/>
        <v>0</v>
      </c>
      <c r="R29" s="17"/>
      <c r="S29" s="11"/>
      <c r="T29" s="32" t="str">
        <f t="shared" si="1"/>
        <v>-</v>
      </c>
      <c r="U29" s="13"/>
      <c r="V29" s="17">
        <v>10</v>
      </c>
      <c r="W29" s="11"/>
      <c r="X29" s="18">
        <f t="shared" si="2"/>
        <v>0</v>
      </c>
      <c r="Y29" s="17"/>
      <c r="Z29" s="11"/>
      <c r="AA29" s="32" t="str">
        <f t="shared" si="3"/>
        <v>-</v>
      </c>
      <c r="AB29" s="32"/>
      <c r="AC29" s="13"/>
    </row>
    <row r="30" spans="1:29" hidden="1" x14ac:dyDescent="0.3">
      <c r="A30" s="33" t="s">
        <v>119</v>
      </c>
      <c r="B30" s="8" t="s">
        <v>50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0">
        <v>6</v>
      </c>
      <c r="P30" s="11"/>
      <c r="Q30" s="12">
        <f t="shared" si="0"/>
        <v>0</v>
      </c>
      <c r="R30" s="10"/>
      <c r="S30" s="11"/>
      <c r="T30" s="32" t="str">
        <f t="shared" si="1"/>
        <v>-</v>
      </c>
      <c r="U30" s="13"/>
      <c r="V30" s="10">
        <v>12</v>
      </c>
      <c r="W30" s="11"/>
      <c r="X30" s="12">
        <f t="shared" si="2"/>
        <v>0</v>
      </c>
      <c r="Y30" s="10"/>
      <c r="Z30" s="11"/>
      <c r="AA30" s="32" t="str">
        <f t="shared" si="3"/>
        <v>-</v>
      </c>
      <c r="AB30" s="32"/>
      <c r="AC30" s="13"/>
    </row>
    <row r="31" spans="1:29" hidden="1" x14ac:dyDescent="0.3">
      <c r="A31" s="31" t="s">
        <v>120</v>
      </c>
      <c r="B31" s="14" t="s">
        <v>50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7">
        <v>6</v>
      </c>
      <c r="P31" s="11"/>
      <c r="Q31" s="18">
        <f t="shared" si="0"/>
        <v>0</v>
      </c>
      <c r="R31" s="17"/>
      <c r="S31" s="11"/>
      <c r="T31" s="32" t="str">
        <f t="shared" si="1"/>
        <v>-</v>
      </c>
      <c r="U31" s="13"/>
      <c r="V31" s="17">
        <v>12</v>
      </c>
      <c r="W31" s="11"/>
      <c r="X31" s="18">
        <f t="shared" si="2"/>
        <v>0</v>
      </c>
      <c r="Y31" s="17"/>
      <c r="Z31" s="11"/>
      <c r="AA31" s="32" t="str">
        <f t="shared" si="3"/>
        <v>-</v>
      </c>
      <c r="AB31" s="32"/>
      <c r="AC31" s="13"/>
    </row>
    <row r="32" spans="1:29" hidden="1" x14ac:dyDescent="0.3">
      <c r="A32" s="33" t="s">
        <v>121</v>
      </c>
      <c r="B32" s="8" t="s">
        <v>54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0">
        <v>1.05</v>
      </c>
      <c r="P32" s="11"/>
      <c r="Q32" s="12">
        <f t="shared" si="0"/>
        <v>0</v>
      </c>
      <c r="R32" s="10"/>
      <c r="S32" s="11"/>
      <c r="T32" s="32" t="str">
        <f t="shared" si="1"/>
        <v>-</v>
      </c>
      <c r="U32" s="13"/>
      <c r="V32" s="10">
        <v>2.4</v>
      </c>
      <c r="W32" s="11"/>
      <c r="X32" s="12">
        <f t="shared" si="2"/>
        <v>0</v>
      </c>
      <c r="Y32" s="10"/>
      <c r="Z32" s="11"/>
      <c r="AA32" s="32" t="str">
        <f t="shared" si="3"/>
        <v>-</v>
      </c>
      <c r="AB32" s="32"/>
      <c r="AC32" s="13"/>
    </row>
    <row r="33" spans="1:35" ht="15" hidden="1" thickBot="1" x14ac:dyDescent="0.35">
      <c r="A33" s="186" t="s">
        <v>122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</row>
    <row r="34" spans="1:35" hidden="1" x14ac:dyDescent="0.3">
      <c r="A34" s="3" t="s">
        <v>123</v>
      </c>
      <c r="B34" s="14" t="s">
        <v>18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7">
        <v>48.25</v>
      </c>
      <c r="P34" s="11"/>
      <c r="Q34" s="18">
        <f>IFERROR(P34/O34,"-")</f>
        <v>0</v>
      </c>
      <c r="R34" s="17"/>
      <c r="S34" s="11"/>
      <c r="T34" s="32" t="str">
        <f>IFERROR(S34/R34,"-")</f>
        <v>-</v>
      </c>
      <c r="U34" s="13"/>
      <c r="V34" s="17">
        <v>120</v>
      </c>
      <c r="W34" s="11"/>
      <c r="X34" s="18">
        <f>IFERROR(W34/V34,"-")</f>
        <v>0</v>
      </c>
      <c r="Y34" s="17"/>
      <c r="Z34" s="11"/>
      <c r="AA34" s="32" t="str">
        <f>IFERROR(Z34/Y34,"-")</f>
        <v>-</v>
      </c>
      <c r="AB34" s="32"/>
      <c r="AC34" s="13"/>
    </row>
    <row r="35" spans="1:35" hidden="1" x14ac:dyDescent="0.3">
      <c r="A35" s="5" t="s">
        <v>124</v>
      </c>
      <c r="B35" s="8" t="s">
        <v>30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0">
        <v>16.670000000000002</v>
      </c>
      <c r="P35" s="11"/>
      <c r="Q35" s="12">
        <f>IFERROR(P35/O35,"-")</f>
        <v>0</v>
      </c>
      <c r="R35" s="10"/>
      <c r="S35" s="11"/>
      <c r="T35" s="32" t="str">
        <f>IFERROR(S35/R35,"-")</f>
        <v>-</v>
      </c>
      <c r="U35" s="13"/>
      <c r="V35" s="10">
        <v>50</v>
      </c>
      <c r="W35" s="11"/>
      <c r="X35" s="12">
        <f>IFERROR(W35/V35,"-")</f>
        <v>0</v>
      </c>
      <c r="Y35" s="10"/>
      <c r="Z35" s="11"/>
      <c r="AA35" s="32" t="str">
        <f>IFERROR(Z35/Y35,"-")</f>
        <v>-</v>
      </c>
      <c r="AB35" s="32"/>
      <c r="AC35" s="13"/>
    </row>
    <row r="36" spans="1:35" hidden="1" x14ac:dyDescent="0.3">
      <c r="A36" s="3" t="s">
        <v>125</v>
      </c>
      <c r="B36" s="14" t="s">
        <v>54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7">
        <v>7.5</v>
      </c>
      <c r="P36" s="11"/>
      <c r="Q36" s="18">
        <f>IFERROR(P36/O36,"-")</f>
        <v>0</v>
      </c>
      <c r="R36" s="17"/>
      <c r="S36" s="11"/>
      <c r="T36" s="32" t="str">
        <f>IFERROR(S36/R36,"-")</f>
        <v>-</v>
      </c>
      <c r="U36" s="13"/>
      <c r="V36" s="17">
        <v>20</v>
      </c>
      <c r="W36" s="11"/>
      <c r="X36" s="18">
        <f>IFERROR(W36/V36,"-")</f>
        <v>0</v>
      </c>
      <c r="Y36" s="17"/>
      <c r="Z36" s="11"/>
      <c r="AA36" s="32" t="str">
        <f>IFERROR(Z36/Y36,"-")</f>
        <v>-</v>
      </c>
      <c r="AB36" s="32"/>
      <c r="AC36" s="13"/>
    </row>
    <row r="37" spans="1:35" x14ac:dyDescent="0.3">
      <c r="A37" s="182" t="s">
        <v>178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</row>
    <row r="38" spans="1:35" x14ac:dyDescent="0.3">
      <c r="A38" s="81" t="s">
        <v>126</v>
      </c>
      <c r="B38" s="82" t="s">
        <v>18</v>
      </c>
      <c r="C38" s="85">
        <f>'V1 · Individual'!F9</f>
        <v>123.425</v>
      </c>
      <c r="D38" s="86">
        <f>'V1 · Individual'!G9</f>
        <v>26.762759624000001</v>
      </c>
      <c r="E38" s="88">
        <f>IFERROR(D38/C38,"-")</f>
        <v>0.21683418775774763</v>
      </c>
      <c r="F38" s="82" t="s">
        <v>172</v>
      </c>
      <c r="G38" s="82" t="s">
        <v>172</v>
      </c>
      <c r="H38" s="82" t="s">
        <v>172</v>
      </c>
      <c r="I38" s="85">
        <f>'V1 · Individual'!I9</f>
        <v>123.425</v>
      </c>
      <c r="J38" s="82" t="s">
        <v>172</v>
      </c>
      <c r="K38" s="82" t="s">
        <v>172</v>
      </c>
      <c r="L38" s="82" t="s">
        <v>172</v>
      </c>
      <c r="M38" s="82" t="s">
        <v>172</v>
      </c>
      <c r="N38" s="82" t="s">
        <v>172</v>
      </c>
      <c r="O38" s="85">
        <f>SUM(C38,I38)</f>
        <v>246.85</v>
      </c>
      <c r="P38" s="86">
        <f>+'V1 · Individual'!M9</f>
        <v>26.762759624000001</v>
      </c>
      <c r="Q38" s="88">
        <f t="shared" ref="Q38:Q42" si="4">IFERROR(P38/O38,"-")</f>
        <v>0.10841709387887381</v>
      </c>
      <c r="R38" s="97" t="s">
        <v>172</v>
      </c>
      <c r="S38" s="93" t="s">
        <v>172</v>
      </c>
      <c r="T38" s="88" t="s">
        <v>172</v>
      </c>
      <c r="U38" s="89" t="e">
        <f>+'V1 · Individual'!U9</f>
        <v>#VALUE!</v>
      </c>
      <c r="V38" s="85">
        <f>'V1 · Individual'!O9</f>
        <v>263.14999999999998</v>
      </c>
      <c r="W38" s="82" t="s">
        <v>172</v>
      </c>
      <c r="X38" s="82" t="s">
        <v>172</v>
      </c>
      <c r="Y38" s="82" t="s">
        <v>172</v>
      </c>
      <c r="Z38" s="82" t="s">
        <v>172</v>
      </c>
      <c r="AA38" s="82" t="s">
        <v>172</v>
      </c>
      <c r="AB38" s="82" t="s">
        <v>172</v>
      </c>
      <c r="AC38" s="85">
        <f>O38+V38</f>
        <v>510</v>
      </c>
      <c r="AD38" s="86">
        <f>+'V1 · Individual'!S9</f>
        <v>26.762759624000001</v>
      </c>
      <c r="AE38" s="88">
        <f t="shared" ref="AE38:AE42" si="5">IFERROR(AD38/AC38,"-")</f>
        <v>5.2475999262745099E-2</v>
      </c>
      <c r="AF38" s="97" t="s">
        <v>172</v>
      </c>
      <c r="AG38" s="93" t="s">
        <v>172</v>
      </c>
      <c r="AH38" s="88" t="s">
        <v>172</v>
      </c>
      <c r="AI38" s="89">
        <v>10</v>
      </c>
    </row>
    <row r="39" spans="1:35" x14ac:dyDescent="0.3">
      <c r="A39" s="81" t="s">
        <v>127</v>
      </c>
      <c r="B39" s="82" t="s">
        <v>25</v>
      </c>
      <c r="C39" s="85">
        <f>'V1 · Individual'!F19</f>
        <v>53.875</v>
      </c>
      <c r="D39" s="86">
        <f>'V1 · Individual'!G19</f>
        <v>14.051800321999998</v>
      </c>
      <c r="E39" s="88">
        <f t="shared" ref="E39:E42" si="6">IFERROR(D39/C39,"-")</f>
        <v>0.26082227975870065</v>
      </c>
      <c r="F39" s="82" t="s">
        <v>172</v>
      </c>
      <c r="G39" s="82" t="s">
        <v>172</v>
      </c>
      <c r="H39" s="82" t="s">
        <v>172</v>
      </c>
      <c r="I39" s="85">
        <f>'V1 · Individual'!I19</f>
        <v>53.875</v>
      </c>
      <c r="J39" s="82" t="s">
        <v>172</v>
      </c>
      <c r="K39" s="82" t="s">
        <v>172</v>
      </c>
      <c r="L39" s="82" t="s">
        <v>172</v>
      </c>
      <c r="M39" s="82" t="s">
        <v>172</v>
      </c>
      <c r="N39" s="82" t="s">
        <v>172</v>
      </c>
      <c r="O39" s="85">
        <f t="shared" ref="O39:O41" si="7">SUM(C39,I39)</f>
        <v>107.75</v>
      </c>
      <c r="P39" s="86">
        <f>+'V1 · Individual'!M19</f>
        <v>14.051800321999998</v>
      </c>
      <c r="Q39" s="88">
        <f t="shared" si="4"/>
        <v>0.13041113987935032</v>
      </c>
      <c r="R39" s="97" t="s">
        <v>172</v>
      </c>
      <c r="S39" s="93" t="s">
        <v>172</v>
      </c>
      <c r="T39" s="88" t="s">
        <v>172</v>
      </c>
      <c r="U39" s="89" t="e">
        <f>+'V1 · Individual'!U19</f>
        <v>#VALUE!</v>
      </c>
      <c r="V39" s="85">
        <f>'V1 · Individual'!O19</f>
        <v>138.25</v>
      </c>
      <c r="W39" s="82" t="s">
        <v>172</v>
      </c>
      <c r="X39" s="82" t="s">
        <v>172</v>
      </c>
      <c r="Y39" s="82" t="s">
        <v>172</v>
      </c>
      <c r="Z39" s="82" t="s">
        <v>172</v>
      </c>
      <c r="AA39" s="82" t="s">
        <v>172</v>
      </c>
      <c r="AB39" s="82" t="s">
        <v>172</v>
      </c>
      <c r="AC39" s="85">
        <f t="shared" ref="AC39:AC42" si="8">O39+V39</f>
        <v>246</v>
      </c>
      <c r="AD39" s="86">
        <f>+'V1 · Individual'!S19</f>
        <v>14.051800321999998</v>
      </c>
      <c r="AE39" s="88">
        <f t="shared" si="5"/>
        <v>5.7121139520325194E-2</v>
      </c>
      <c r="AF39" s="97" t="s">
        <v>172</v>
      </c>
      <c r="AG39" s="93" t="s">
        <v>172</v>
      </c>
      <c r="AH39" s="88" t="s">
        <v>172</v>
      </c>
      <c r="AI39" s="89">
        <v>2</v>
      </c>
    </row>
    <row r="40" spans="1:35" x14ac:dyDescent="0.3">
      <c r="A40" s="81" t="s">
        <v>128</v>
      </c>
      <c r="B40" s="82" t="s">
        <v>30</v>
      </c>
      <c r="C40" s="85">
        <f>'V1 · Individual'!F26</f>
        <v>16.5</v>
      </c>
      <c r="D40" s="86">
        <f>'V1 · Individual'!G26</f>
        <v>15.71482576</v>
      </c>
      <c r="E40" s="88">
        <f t="shared" si="6"/>
        <v>0.9524136824242424</v>
      </c>
      <c r="F40" s="82" t="s">
        <v>172</v>
      </c>
      <c r="G40" s="82" t="s">
        <v>172</v>
      </c>
      <c r="H40" s="82" t="s">
        <v>172</v>
      </c>
      <c r="I40" s="85">
        <f>'V1 · Individual'!I26</f>
        <v>16.5</v>
      </c>
      <c r="J40" s="82" t="s">
        <v>172</v>
      </c>
      <c r="K40" s="82" t="s">
        <v>172</v>
      </c>
      <c r="L40" s="82" t="s">
        <v>172</v>
      </c>
      <c r="M40" s="82" t="s">
        <v>172</v>
      </c>
      <c r="N40" s="82" t="s">
        <v>172</v>
      </c>
      <c r="O40" s="85">
        <f t="shared" si="7"/>
        <v>33</v>
      </c>
      <c r="P40" s="86">
        <f>+'V1 · Individual'!M26</f>
        <v>15.71482576</v>
      </c>
      <c r="Q40" s="88">
        <f t="shared" si="4"/>
        <v>0.4762068412121212</v>
      </c>
      <c r="R40" s="97" t="s">
        <v>172</v>
      </c>
      <c r="S40" s="93" t="s">
        <v>172</v>
      </c>
      <c r="T40" s="88" t="s">
        <v>172</v>
      </c>
      <c r="U40" s="89" t="e">
        <f>+'V1 · Individual'!U26</f>
        <v>#VALUE!</v>
      </c>
      <c r="V40" s="85">
        <f>'V1 · Individual'!O26</f>
        <v>49.5</v>
      </c>
      <c r="W40" s="82" t="s">
        <v>172</v>
      </c>
      <c r="X40" s="82" t="s">
        <v>172</v>
      </c>
      <c r="Y40" s="82" t="s">
        <v>172</v>
      </c>
      <c r="Z40" s="82" t="s">
        <v>172</v>
      </c>
      <c r="AA40" s="82" t="s">
        <v>172</v>
      </c>
      <c r="AB40" s="82" t="s">
        <v>172</v>
      </c>
      <c r="AC40" s="85">
        <f t="shared" si="8"/>
        <v>82.5</v>
      </c>
      <c r="AD40" s="86" t="e">
        <f>+'V1 · Individual'!S26</f>
        <v>#VALUE!</v>
      </c>
      <c r="AE40" s="88" t="str">
        <f t="shared" si="5"/>
        <v>-</v>
      </c>
      <c r="AF40" s="97" t="s">
        <v>172</v>
      </c>
      <c r="AG40" s="93" t="s">
        <v>172</v>
      </c>
      <c r="AH40" s="88" t="s">
        <v>172</v>
      </c>
      <c r="AI40" s="89">
        <v>0</v>
      </c>
    </row>
    <row r="41" spans="1:35" x14ac:dyDescent="0.3">
      <c r="A41" s="81" t="s">
        <v>129</v>
      </c>
      <c r="B41" s="82" t="s">
        <v>37</v>
      </c>
      <c r="C41" s="85">
        <f>'V1 · Individual'!F38</f>
        <v>11.35</v>
      </c>
      <c r="D41" s="86">
        <f>'V1 · Individual'!G38</f>
        <v>7.4319617000000004</v>
      </c>
      <c r="E41" s="88">
        <f t="shared" si="6"/>
        <v>0.65479838766519827</v>
      </c>
      <c r="F41" s="82" t="s">
        <v>172</v>
      </c>
      <c r="G41" s="82" t="s">
        <v>172</v>
      </c>
      <c r="H41" s="82" t="s">
        <v>172</v>
      </c>
      <c r="I41" s="85">
        <f>'V1 · Individual'!I38</f>
        <v>11.35</v>
      </c>
      <c r="J41" s="82" t="s">
        <v>172</v>
      </c>
      <c r="K41" s="82" t="s">
        <v>172</v>
      </c>
      <c r="L41" s="82" t="s">
        <v>172</v>
      </c>
      <c r="M41" s="82" t="s">
        <v>172</v>
      </c>
      <c r="N41" s="82" t="s">
        <v>172</v>
      </c>
      <c r="O41" s="85">
        <f t="shared" si="7"/>
        <v>22.7</v>
      </c>
      <c r="P41" s="86">
        <f>+'V1 · Individual'!M38</f>
        <v>7.4319617000000004</v>
      </c>
      <c r="Q41" s="88">
        <f t="shared" si="4"/>
        <v>0.32739919383259913</v>
      </c>
      <c r="R41" s="97" t="s">
        <v>172</v>
      </c>
      <c r="S41" s="93" t="s">
        <v>172</v>
      </c>
      <c r="T41" s="88" t="s">
        <v>172</v>
      </c>
      <c r="U41" s="89" t="str">
        <f>+'V1 · Individual'!U38</f>
        <v>—</v>
      </c>
      <c r="V41" s="85">
        <f>'V1 · Individual'!O38</f>
        <v>44.3</v>
      </c>
      <c r="W41" s="82" t="s">
        <v>172</v>
      </c>
      <c r="X41" s="82" t="s">
        <v>172</v>
      </c>
      <c r="Y41" s="82" t="s">
        <v>172</v>
      </c>
      <c r="Z41" s="82" t="s">
        <v>172</v>
      </c>
      <c r="AA41" s="82" t="s">
        <v>172</v>
      </c>
      <c r="AB41" s="82" t="s">
        <v>172</v>
      </c>
      <c r="AC41" s="85">
        <f t="shared" si="8"/>
        <v>67</v>
      </c>
      <c r="AD41" s="86" t="e">
        <f>+'V1 · Individual'!S38</f>
        <v>#VALUE!</v>
      </c>
      <c r="AE41" s="88" t="str">
        <f t="shared" si="5"/>
        <v>-</v>
      </c>
      <c r="AF41" s="97" t="s">
        <v>172</v>
      </c>
      <c r="AG41" s="93" t="s">
        <v>172</v>
      </c>
      <c r="AH41" s="88" t="s">
        <v>172</v>
      </c>
      <c r="AI41" s="89">
        <v>3</v>
      </c>
    </row>
    <row r="42" spans="1:35" x14ac:dyDescent="0.3">
      <c r="A42" s="81" t="s">
        <v>130</v>
      </c>
      <c r="B42" s="82" t="s">
        <v>50</v>
      </c>
      <c r="C42" s="85">
        <f>'V1 · Individual'!F44</f>
        <v>7.5</v>
      </c>
      <c r="D42" s="86">
        <f>'V1 · Individual'!G44</f>
        <v>4.7667247990000003</v>
      </c>
      <c r="E42" s="88">
        <f t="shared" si="6"/>
        <v>0.63556330653333337</v>
      </c>
      <c r="F42" s="82" t="s">
        <v>172</v>
      </c>
      <c r="G42" s="82" t="s">
        <v>172</v>
      </c>
      <c r="H42" s="82" t="s">
        <v>172</v>
      </c>
      <c r="I42" s="85">
        <f>'V1 · Individual'!I44</f>
        <v>7.5</v>
      </c>
      <c r="J42" s="82" t="s">
        <v>172</v>
      </c>
      <c r="K42" s="82" t="s">
        <v>172</v>
      </c>
      <c r="L42" s="82" t="s">
        <v>172</v>
      </c>
      <c r="M42" s="82" t="s">
        <v>172</v>
      </c>
      <c r="N42" s="82" t="s">
        <v>172</v>
      </c>
      <c r="O42" s="85">
        <f>SUM(C42,I42)</f>
        <v>15</v>
      </c>
      <c r="P42" s="86">
        <f>+'V1 · Individual'!M44</f>
        <v>4.7667247990000003</v>
      </c>
      <c r="Q42" s="88">
        <f t="shared" si="4"/>
        <v>0.31778165326666669</v>
      </c>
      <c r="R42" s="97" t="s">
        <v>172</v>
      </c>
      <c r="S42" s="93" t="s">
        <v>172</v>
      </c>
      <c r="T42" s="88" t="s">
        <v>172</v>
      </c>
      <c r="U42" s="89" t="str">
        <f>+'V1 · Individual'!U44</f>
        <v>—</v>
      </c>
      <c r="V42" s="85">
        <f>'V1 · Individual'!O44</f>
        <v>15</v>
      </c>
      <c r="W42" s="82" t="s">
        <v>172</v>
      </c>
      <c r="X42" s="82" t="s">
        <v>172</v>
      </c>
      <c r="Y42" s="82" t="s">
        <v>172</v>
      </c>
      <c r="Z42" s="82" t="s">
        <v>172</v>
      </c>
      <c r="AA42" s="82" t="s">
        <v>172</v>
      </c>
      <c r="AB42" s="82" t="s">
        <v>172</v>
      </c>
      <c r="AC42" s="85">
        <f t="shared" si="8"/>
        <v>30</v>
      </c>
      <c r="AD42" s="86" t="e">
        <f>+'V1 · Individual'!S44</f>
        <v>#VALUE!</v>
      </c>
      <c r="AE42" s="88" t="str">
        <f t="shared" si="5"/>
        <v>-</v>
      </c>
      <c r="AF42" s="97" t="s">
        <v>172</v>
      </c>
      <c r="AG42" s="93" t="s">
        <v>172</v>
      </c>
      <c r="AH42" s="88" t="s">
        <v>172</v>
      </c>
      <c r="AI42" s="89">
        <v>5</v>
      </c>
    </row>
    <row r="43" spans="1:35" x14ac:dyDescent="0.3">
      <c r="A43" s="184" t="s">
        <v>132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</row>
    <row r="44" spans="1:35" x14ac:dyDescent="0.3">
      <c r="A44" s="28" t="s">
        <v>133</v>
      </c>
      <c r="B44" s="34" t="s">
        <v>77</v>
      </c>
      <c r="C44" s="154">
        <f>SUM(C38:C42)</f>
        <v>212.65</v>
      </c>
      <c r="D44" s="154">
        <f>SUM(D38:D42)</f>
        <v>68.728072205000004</v>
      </c>
      <c r="E44" s="155">
        <f>IFERROR(D44/C44,"-")</f>
        <v>0.3231980823183635</v>
      </c>
      <c r="F44" s="156"/>
      <c r="G44" s="156"/>
      <c r="H44" s="157"/>
      <c r="I44" s="154">
        <f>SUM(I38:I42)</f>
        <v>212.65</v>
      </c>
      <c r="J44" s="158" t="s">
        <v>172</v>
      </c>
      <c r="K44" s="158" t="s">
        <v>172</v>
      </c>
      <c r="L44" s="158" t="s">
        <v>172</v>
      </c>
      <c r="M44" s="158" t="s">
        <v>172</v>
      </c>
      <c r="N44" s="158" t="s">
        <v>172</v>
      </c>
      <c r="O44" s="154">
        <f>SUM(C44,I44)</f>
        <v>425.3</v>
      </c>
      <c r="P44" s="159">
        <f>SUM(D44,J44)</f>
        <v>68.728072205000004</v>
      </c>
      <c r="Q44" s="155">
        <f>IFERROR(P44/O44,"-")</f>
        <v>0.16159904115918175</v>
      </c>
      <c r="R44" s="160" t="s">
        <v>172</v>
      </c>
      <c r="S44" s="161" t="s">
        <v>172</v>
      </c>
      <c r="T44" s="162" t="s">
        <v>172</v>
      </c>
      <c r="U44" s="163" t="e">
        <f>SUM(U38:U42)</f>
        <v>#VALUE!</v>
      </c>
      <c r="V44" s="154">
        <f>SUM(V38:V42)</f>
        <v>510.2</v>
      </c>
      <c r="W44" s="159" t="s">
        <v>172</v>
      </c>
      <c r="X44" s="155" t="s">
        <v>172</v>
      </c>
      <c r="Y44" s="160" t="s">
        <v>172</v>
      </c>
      <c r="Z44" s="161" t="s">
        <v>172</v>
      </c>
      <c r="AA44" s="162" t="s">
        <v>172</v>
      </c>
      <c r="AB44" s="163" t="s">
        <v>172</v>
      </c>
      <c r="AC44" s="154">
        <f>SUM(AC38:AC42)</f>
        <v>935.5</v>
      </c>
      <c r="AD44" s="159" t="e">
        <f>SUM(AD38:AD42)</f>
        <v>#VALUE!</v>
      </c>
      <c r="AE44" s="155" t="str">
        <f>IFERROR(AD44/AC44,"-")</f>
        <v>-</v>
      </c>
      <c r="AF44" s="160" t="s">
        <v>172</v>
      </c>
      <c r="AG44" s="161" t="s">
        <v>172</v>
      </c>
      <c r="AH44" s="162" t="str">
        <f>IFERROR(AG44/AF44,"-")</f>
        <v>-</v>
      </c>
      <c r="AI44" s="154">
        <f>SUM(AI38:AI42)</f>
        <v>20</v>
      </c>
    </row>
  </sheetData>
  <mergeCells count="14">
    <mergeCell ref="A37:AI37"/>
    <mergeCell ref="A43:AI43"/>
    <mergeCell ref="A4:AC4"/>
    <mergeCell ref="A33:AC33"/>
    <mergeCell ref="O2:Q2"/>
    <mergeCell ref="R2:T2"/>
    <mergeCell ref="AC2:AE2"/>
    <mergeCell ref="AF2:AH2"/>
    <mergeCell ref="C2:E2"/>
    <mergeCell ref="F2:H2"/>
    <mergeCell ref="I2:K2"/>
    <mergeCell ref="L2:N2"/>
    <mergeCell ref="V2:X2"/>
    <mergeCell ref="Y2:AA2"/>
  </mergeCells>
  <pageMargins left="0.75" right="0.75" top="1" bottom="1" header="0.511811023622047" footer="0.511811023622047"/>
  <pageSetup paperSize="9" orientation="portrait" horizontalDpi="300" verticalDpi="300"/>
  <ignoredErrors>
    <ignoredError sqref="AI4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showGridLines="0" zoomScaleNormal="100" workbookViewId="0">
      <pane ySplit="4" topLeftCell="A5" activePane="bottomLeft" state="frozen"/>
      <selection pane="bottomLeft" activeCell="J8" sqref="J8"/>
    </sheetView>
  </sheetViews>
  <sheetFormatPr defaultColWidth="8.6640625" defaultRowHeight="14.4" x14ac:dyDescent="0.3"/>
  <cols>
    <col min="1" max="1" width="46.44140625" bestFit="1" customWidth="1"/>
    <col min="2" max="2" width="5.6640625" bestFit="1" customWidth="1"/>
    <col min="3" max="3" width="8.5546875" customWidth="1"/>
    <col min="4" max="4" width="9.21875" customWidth="1"/>
    <col min="5" max="5" width="9.5546875" customWidth="1"/>
    <col min="6" max="6" width="11.21875" customWidth="1"/>
    <col min="7" max="7" width="10" customWidth="1"/>
    <col min="8" max="8" width="7.33203125" customWidth="1"/>
    <col min="9" max="9" width="8" customWidth="1"/>
    <col min="10" max="11" width="11" customWidth="1"/>
    <col min="12" max="12" width="9" customWidth="1"/>
    <col min="13" max="13" width="17.21875" customWidth="1"/>
  </cols>
  <sheetData>
    <row r="1" spans="1:13" ht="27.75" customHeight="1" x14ac:dyDescent="0.3">
      <c r="A1" s="177" t="s">
        <v>134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3" ht="15.75" customHeight="1" x14ac:dyDescent="0.3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3" ht="19.5" customHeight="1" x14ac:dyDescent="0.3">
      <c r="A3" s="7" t="s">
        <v>135</v>
      </c>
      <c r="B3" s="7" t="s">
        <v>136</v>
      </c>
      <c r="C3" s="193" t="s">
        <v>81</v>
      </c>
      <c r="D3" s="193"/>
      <c r="E3" s="193"/>
      <c r="F3" s="194" t="s">
        <v>82</v>
      </c>
      <c r="G3" s="194"/>
      <c r="H3" s="194"/>
      <c r="I3" s="7" t="s">
        <v>137</v>
      </c>
      <c r="J3" s="193" t="s">
        <v>84</v>
      </c>
      <c r="K3" s="193"/>
      <c r="L3" s="193"/>
      <c r="M3" s="7" t="s">
        <v>138</v>
      </c>
    </row>
    <row r="4" spans="1:13" ht="19.5" customHeight="1" x14ac:dyDescent="0.3">
      <c r="A4" s="7" t="s">
        <v>139</v>
      </c>
      <c r="B4" s="7" t="s">
        <v>136</v>
      </c>
      <c r="C4" s="2" t="s">
        <v>89</v>
      </c>
      <c r="D4" s="2" t="s">
        <v>90</v>
      </c>
      <c r="E4" s="2" t="s">
        <v>91</v>
      </c>
      <c r="F4" s="1" t="s">
        <v>89</v>
      </c>
      <c r="G4" s="1" t="s">
        <v>90</v>
      </c>
      <c r="H4" s="1" t="s">
        <v>91</v>
      </c>
      <c r="I4" s="7" t="s">
        <v>92</v>
      </c>
      <c r="J4" s="2" t="s">
        <v>89</v>
      </c>
      <c r="K4" s="2" t="s">
        <v>90</v>
      </c>
      <c r="L4" s="2" t="s">
        <v>91</v>
      </c>
      <c r="M4" s="7" t="s">
        <v>92</v>
      </c>
    </row>
    <row r="5" spans="1:13" x14ac:dyDescent="0.3">
      <c r="A5" s="49" t="s">
        <v>160</v>
      </c>
      <c r="B5" s="14" t="s">
        <v>140</v>
      </c>
      <c r="C5" s="11">
        <v>40</v>
      </c>
      <c r="D5" s="40">
        <v>4.0923999999999996</v>
      </c>
      <c r="E5" s="18">
        <f t="shared" ref="E5:E10" si="0">IFERROR(D5/C5,"-")</f>
        <v>0.10230999999999998</v>
      </c>
      <c r="F5" s="37"/>
      <c r="G5" s="36"/>
      <c r="H5" s="39" t="str">
        <f t="shared" ref="H5:H10" si="1">IFERROR(G5/F5,"-")</f>
        <v>-</v>
      </c>
      <c r="I5" s="38">
        <v>5</v>
      </c>
      <c r="J5" s="51">
        <v>1005</v>
      </c>
      <c r="K5" s="52" t="e">
        <f>SUMIF([3]in!$K$1:$K$27,"Data Centre",[3]in!$O$1:$O$27)/10^7</f>
        <v>#VALUE!</v>
      </c>
      <c r="L5" s="53" t="str">
        <f t="shared" ref="L5:L10" si="2">IFERROR(K5/J5,"-")</f>
        <v>-</v>
      </c>
      <c r="M5" s="54" t="e">
        <f>COUNTIF([3]in!$K$1:$K$27,A5)</f>
        <v>#VALUE!</v>
      </c>
    </row>
    <row r="6" spans="1:13" x14ac:dyDescent="0.3">
      <c r="A6" s="50" t="s">
        <v>161</v>
      </c>
      <c r="B6" s="48" t="s">
        <v>141</v>
      </c>
      <c r="C6" s="11">
        <v>38.75</v>
      </c>
      <c r="D6" s="40">
        <v>4.0480999999999998</v>
      </c>
      <c r="E6" s="12">
        <f t="shared" si="0"/>
        <v>0.10446709677419354</v>
      </c>
      <c r="F6" s="37"/>
      <c r="G6" s="36"/>
      <c r="H6" s="39" t="str">
        <f t="shared" si="1"/>
        <v>-</v>
      </c>
      <c r="I6" s="38">
        <v>2</v>
      </c>
      <c r="J6" s="51">
        <v>310</v>
      </c>
      <c r="K6" s="52" t="e">
        <f>SUMIF([3]in!$K$1:$K$27,"Cyber Security &amp; Networking",[3]in!$O$1:$O$27)/10^7</f>
        <v>#VALUE!</v>
      </c>
      <c r="L6" s="55" t="str">
        <f t="shared" si="2"/>
        <v>-</v>
      </c>
      <c r="M6" s="54" t="e">
        <f>COUNTIF([3]in!$K$1:$K$27,A6)</f>
        <v>#VALUE!</v>
      </c>
    </row>
    <row r="7" spans="1:13" x14ac:dyDescent="0.3">
      <c r="A7" s="49" t="s">
        <v>164</v>
      </c>
      <c r="B7" s="14" t="s">
        <v>142</v>
      </c>
      <c r="C7" s="11">
        <v>18.75</v>
      </c>
      <c r="D7" s="40">
        <v>2.0289999999999999</v>
      </c>
      <c r="E7" s="18">
        <f t="shared" si="0"/>
        <v>0.10821333333333333</v>
      </c>
      <c r="F7" s="37"/>
      <c r="G7" s="36"/>
      <c r="H7" s="39" t="str">
        <f t="shared" si="1"/>
        <v>-</v>
      </c>
      <c r="I7" s="38">
        <v>11</v>
      </c>
      <c r="J7" s="51">
        <v>75</v>
      </c>
      <c r="K7" s="52" t="e">
        <f>SUMIF([3]in!$K$1:$K$27,"CSG (EndPoint)",[3]in!$O$1:$O$27)/10^7</f>
        <v>#VALUE!</v>
      </c>
      <c r="L7" s="53" t="str">
        <f t="shared" si="2"/>
        <v>-</v>
      </c>
      <c r="M7" s="54" t="e">
        <f>COUNTIF([3]in!$K$1:$K$27,A7)</f>
        <v>#VALUE!</v>
      </c>
    </row>
    <row r="8" spans="1:13" x14ac:dyDescent="0.3">
      <c r="A8" s="50" t="s">
        <v>162</v>
      </c>
      <c r="B8" s="48" t="s">
        <v>143</v>
      </c>
      <c r="C8" s="11">
        <v>0</v>
      </c>
      <c r="D8" s="40">
        <v>0</v>
      </c>
      <c r="E8" s="12" t="str">
        <f t="shared" si="0"/>
        <v>-</v>
      </c>
      <c r="F8" s="37"/>
      <c r="G8" s="36"/>
      <c r="H8" s="39" t="str">
        <f t="shared" si="1"/>
        <v>-</v>
      </c>
      <c r="I8" s="38">
        <v>0</v>
      </c>
      <c r="J8" s="51">
        <v>22</v>
      </c>
      <c r="K8" s="52" t="e">
        <f>SUMIF([3]in!$K$1:$K$27,"Professional Services",[3]in!$O$1:$O$27)/10^7</f>
        <v>#VALUE!</v>
      </c>
      <c r="L8" s="55" t="str">
        <f t="shared" si="2"/>
        <v>-</v>
      </c>
      <c r="M8" s="54" t="e">
        <f>COUNTIF([3]in!$K$1:$K$27,A8)</f>
        <v>#VALUE!</v>
      </c>
    </row>
    <row r="9" spans="1:13" x14ac:dyDescent="0.3">
      <c r="A9" s="49" t="s">
        <v>165</v>
      </c>
      <c r="B9" s="14" t="s">
        <v>144</v>
      </c>
      <c r="C9" s="11">
        <v>0</v>
      </c>
      <c r="D9" s="40">
        <v>0</v>
      </c>
      <c r="E9" s="18" t="str">
        <f t="shared" si="0"/>
        <v>-</v>
      </c>
      <c r="F9" s="37"/>
      <c r="G9" s="36"/>
      <c r="H9" s="39" t="str">
        <f t="shared" si="1"/>
        <v>-</v>
      </c>
      <c r="I9" s="38">
        <v>0</v>
      </c>
      <c r="J9" s="51">
        <v>21</v>
      </c>
      <c r="K9" s="52" t="e">
        <f>SUMIF([3]in!$K$1:$K$27,"Cloud",[3]in!$O$1:$O$27)/10^7</f>
        <v>#VALUE!</v>
      </c>
      <c r="L9" s="53" t="str">
        <f t="shared" si="2"/>
        <v>-</v>
      </c>
      <c r="M9" s="54" t="e">
        <f>COUNTIF([3]in!$K$1:$K$27,A9)</f>
        <v>#VALUE!</v>
      </c>
    </row>
    <row r="10" spans="1:13" x14ac:dyDescent="0.3">
      <c r="A10" s="50" t="s">
        <v>163</v>
      </c>
      <c r="B10" s="48" t="s">
        <v>163</v>
      </c>
      <c r="C10" s="11">
        <v>0</v>
      </c>
      <c r="D10" s="40">
        <v>0</v>
      </c>
      <c r="E10" s="12" t="str">
        <f t="shared" si="0"/>
        <v>-</v>
      </c>
      <c r="F10" s="37"/>
      <c r="G10" s="36"/>
      <c r="H10" s="39" t="str">
        <f t="shared" si="1"/>
        <v>-</v>
      </c>
      <c r="I10" s="38">
        <v>0</v>
      </c>
      <c r="J10" s="51">
        <v>1</v>
      </c>
      <c r="K10" s="52" t="e">
        <f>SUMIF([3]in!$K$1:$K$27,"AI",[3]in!$O$1:$O$27)/10^7</f>
        <v>#VALUE!</v>
      </c>
      <c r="L10" s="55" t="str">
        <f t="shared" si="2"/>
        <v>-</v>
      </c>
      <c r="M10" s="54" t="e">
        <f>COUNTIF([3]in!$K$1:$K$27,A10)</f>
        <v>#VALUE!</v>
      </c>
    </row>
    <row r="11" spans="1:13" ht="15" thickBot="1" x14ac:dyDescent="0.35"/>
    <row r="12" spans="1:13" ht="15" thickBot="1" x14ac:dyDescent="0.35">
      <c r="A12" s="195" t="s">
        <v>145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</row>
    <row r="13" spans="1:13" x14ac:dyDescent="0.3">
      <c r="A13" s="28" t="s">
        <v>146</v>
      </c>
      <c r="B13" s="27" t="s">
        <v>77</v>
      </c>
      <c r="C13" s="22">
        <f>IFERROR(SUM(C5:C11),"—")</f>
        <v>97.5</v>
      </c>
      <c r="D13" s="22">
        <f>IFERROR(SUM(D5:D11),"—")</f>
        <v>10.169499999999999</v>
      </c>
      <c r="E13" s="35" t="s">
        <v>77</v>
      </c>
      <c r="F13" s="22">
        <f>IFERROR(SUM(F5:F11),"—")</f>
        <v>0</v>
      </c>
      <c r="G13" s="22">
        <f>IFERROR(SUM(G5:G11),"—")</f>
        <v>0</v>
      </c>
      <c r="H13" s="35" t="s">
        <v>77</v>
      </c>
      <c r="I13" s="23">
        <f>IFERROR(SUM(I5:I11),"—")</f>
        <v>18</v>
      </c>
      <c r="J13" s="56">
        <f>IFERROR(SUM(J5:J11),"—")</f>
        <v>1434</v>
      </c>
      <c r="K13" s="56" t="str">
        <f>IFERROR(SUM(K5:K11),"—")</f>
        <v>—</v>
      </c>
      <c r="L13" s="57" t="str">
        <f>IFERROR(K13/J13,"-")</f>
        <v>-</v>
      </c>
      <c r="M13" s="58" t="str">
        <f>IFERROR(SUM(M5:M11),"—")</f>
        <v>—</v>
      </c>
    </row>
    <row r="16" spans="1:13" x14ac:dyDescent="0.3">
      <c r="G16" s="47"/>
      <c r="H16" s="47"/>
      <c r="I16" s="47"/>
    </row>
    <row r="17" spans="7:9" x14ac:dyDescent="0.3">
      <c r="G17" s="47"/>
      <c r="H17" s="47"/>
      <c r="I17" s="47"/>
    </row>
    <row r="18" spans="7:9" x14ac:dyDescent="0.3">
      <c r="G18" s="47"/>
      <c r="H18" s="47"/>
      <c r="I18" s="47"/>
    </row>
    <row r="19" spans="7:9" x14ac:dyDescent="0.3">
      <c r="G19" s="47"/>
      <c r="H19" s="47"/>
      <c r="I19" s="47"/>
    </row>
    <row r="20" spans="7:9" x14ac:dyDescent="0.3">
      <c r="G20" s="47"/>
      <c r="H20" s="47"/>
      <c r="I20" s="47"/>
    </row>
    <row r="21" spans="7:9" x14ac:dyDescent="0.3">
      <c r="G21" s="47"/>
      <c r="H21" s="47"/>
      <c r="I21" s="47"/>
    </row>
  </sheetData>
  <mergeCells count="6">
    <mergeCell ref="A12:M12"/>
    <mergeCell ref="A1:M1"/>
    <mergeCell ref="A2:M2"/>
    <mergeCell ref="C3:E3"/>
    <mergeCell ref="F3:H3"/>
    <mergeCell ref="J3:L3"/>
  </mergeCells>
  <pageMargins left="0.75" right="0.75" top="1" bottom="1" header="0.511811023622047" footer="0.511811023622047"/>
  <pageSetup paperSize="9" orientation="portrait" horizontalDpi="300" verticalDpi="300"/>
  <ignoredErrors>
    <ignoredError sqref="L1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EA60-6D33-4AB3-8BF8-034D3323CC56}">
  <dimension ref="A1:W9"/>
  <sheetViews>
    <sheetView workbookViewId="0">
      <selection activeCell="F12" sqref="F12"/>
    </sheetView>
  </sheetViews>
  <sheetFormatPr defaultRowHeight="14.4" x14ac:dyDescent="0.3"/>
  <cols>
    <col min="1" max="1" width="8.5546875" customWidth="1"/>
    <col min="2" max="2" width="18.77734375" bestFit="1" customWidth="1"/>
    <col min="16" max="16" width="9.5546875" bestFit="1" customWidth="1"/>
    <col min="18" max="19" width="0" hidden="1" customWidth="1"/>
    <col min="20" max="20" width="10.21875" hidden="1" customWidth="1"/>
    <col min="21" max="21" width="8.77734375" hidden="1" customWidth="1"/>
    <col min="22" max="22" width="0" hidden="1" customWidth="1"/>
  </cols>
  <sheetData>
    <row r="1" spans="1:23" ht="27.75" customHeight="1" x14ac:dyDescent="0.3">
      <c r="A1" s="116" t="s">
        <v>184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39.6" customHeight="1" x14ac:dyDescent="0.3">
      <c r="A2" s="7" t="s">
        <v>0</v>
      </c>
      <c r="B2" s="117" t="s">
        <v>180</v>
      </c>
      <c r="C2" s="7" t="s">
        <v>3</v>
      </c>
      <c r="D2" s="7" t="s">
        <v>4</v>
      </c>
      <c r="E2" s="7" t="s">
        <v>168</v>
      </c>
      <c r="F2" s="7" t="s">
        <v>169</v>
      </c>
      <c r="G2" s="7" t="s">
        <v>192</v>
      </c>
      <c r="H2" s="7" t="s">
        <v>170</v>
      </c>
      <c r="I2" s="7" t="s">
        <v>171</v>
      </c>
      <c r="J2" s="7" t="s">
        <v>191</v>
      </c>
      <c r="K2" s="7" t="s">
        <v>6</v>
      </c>
      <c r="L2" s="7" t="s">
        <v>7</v>
      </c>
      <c r="M2" s="120" t="s">
        <v>190</v>
      </c>
      <c r="N2" s="120" t="s">
        <v>8</v>
      </c>
      <c r="O2" s="7" t="s">
        <v>9</v>
      </c>
      <c r="P2" s="7" t="s">
        <v>10</v>
      </c>
      <c r="Q2" s="7" t="s">
        <v>11</v>
      </c>
      <c r="R2" s="96" t="s">
        <v>12</v>
      </c>
      <c r="S2" s="96" t="s">
        <v>13</v>
      </c>
      <c r="T2" s="96" t="s">
        <v>14</v>
      </c>
      <c r="U2" s="96" t="s">
        <v>15</v>
      </c>
      <c r="V2" s="96" t="s">
        <v>16</v>
      </c>
    </row>
    <row r="3" spans="1:23" x14ac:dyDescent="0.3">
      <c r="A3" s="102">
        <v>1</v>
      </c>
      <c r="B3" s="103" t="s">
        <v>126</v>
      </c>
      <c r="C3" s="104" t="s">
        <v>18</v>
      </c>
      <c r="D3" s="105" t="s">
        <v>19</v>
      </c>
      <c r="E3" s="118" t="s">
        <v>172</v>
      </c>
      <c r="F3" s="134">
        <v>3.5000000000000003E-2</v>
      </c>
      <c r="G3" s="134" t="str">
        <f>IFERROR(F3/E3,"-")</f>
        <v>-</v>
      </c>
      <c r="H3" s="118" t="s">
        <v>172</v>
      </c>
      <c r="I3" s="118" t="s">
        <v>172</v>
      </c>
      <c r="J3" s="118" t="str">
        <f>IFERROR(I3/H3,"-")</f>
        <v>-</v>
      </c>
      <c r="K3" s="118" t="s">
        <v>172</v>
      </c>
      <c r="L3" s="134">
        <v>3.5000000000000003E-2</v>
      </c>
      <c r="M3" s="118" t="str">
        <f>IFERROR(L3/K3,"-")</f>
        <v>-</v>
      </c>
      <c r="N3" s="106">
        <v>455</v>
      </c>
      <c r="O3" s="107">
        <v>3.5000000000000003E-2</v>
      </c>
      <c r="P3" s="165">
        <f>IFERROR(O3/N3,"-")</f>
        <v>7.6923076923076926E-5</v>
      </c>
      <c r="Q3" s="106">
        <v>1</v>
      </c>
      <c r="R3" t="s">
        <v>172</v>
      </c>
      <c r="S3" t="s">
        <v>172</v>
      </c>
      <c r="T3" t="s">
        <v>172</v>
      </c>
      <c r="U3" t="s">
        <v>172</v>
      </c>
      <c r="V3" t="s">
        <v>172</v>
      </c>
    </row>
    <row r="4" spans="1:23" x14ac:dyDescent="0.3">
      <c r="A4" s="102">
        <v>2</v>
      </c>
      <c r="B4" s="103" t="s">
        <v>127</v>
      </c>
      <c r="C4" s="104" t="s">
        <v>25</v>
      </c>
      <c r="D4" s="105" t="s">
        <v>19</v>
      </c>
      <c r="E4" s="118" t="s">
        <v>172</v>
      </c>
      <c r="F4" s="134">
        <v>3.9</v>
      </c>
      <c r="G4" s="134" t="str">
        <f t="shared" ref="G4:G9" si="0">IFERROR(F4/E4,"-")</f>
        <v>-</v>
      </c>
      <c r="H4" s="118" t="s">
        <v>172</v>
      </c>
      <c r="I4" s="118" t="s">
        <v>172</v>
      </c>
      <c r="J4" s="118" t="str">
        <f t="shared" ref="J4:J9" si="1">IFERROR(I4/H4,"-")</f>
        <v>-</v>
      </c>
      <c r="K4" s="118" t="s">
        <v>172</v>
      </c>
      <c r="L4" s="134">
        <v>3.9</v>
      </c>
      <c r="M4" s="118" t="str">
        <f t="shared" ref="M4:M9" si="2">IFERROR(L4/K4,"-")</f>
        <v>-</v>
      </c>
      <c r="N4" s="106">
        <v>225</v>
      </c>
      <c r="O4" s="107">
        <v>3.9</v>
      </c>
      <c r="P4" s="165">
        <f>IFERROR(O4/N4,"-")</f>
        <v>1.7333333333333333E-2</v>
      </c>
      <c r="Q4" s="106">
        <v>2</v>
      </c>
      <c r="R4" t="s">
        <v>172</v>
      </c>
      <c r="S4" t="s">
        <v>172</v>
      </c>
      <c r="T4" t="s">
        <v>172</v>
      </c>
      <c r="U4" t="s">
        <v>172</v>
      </c>
      <c r="V4" t="s">
        <v>172</v>
      </c>
    </row>
    <row r="5" spans="1:23" x14ac:dyDescent="0.3">
      <c r="A5" s="102">
        <v>3</v>
      </c>
      <c r="B5" s="103" t="s">
        <v>128</v>
      </c>
      <c r="C5" s="104" t="s">
        <v>30</v>
      </c>
      <c r="D5" s="105" t="s">
        <v>19</v>
      </c>
      <c r="E5" s="118" t="s">
        <v>172</v>
      </c>
      <c r="F5" s="134">
        <v>0</v>
      </c>
      <c r="G5" s="134" t="str">
        <f t="shared" si="0"/>
        <v>-</v>
      </c>
      <c r="H5" s="118" t="s">
        <v>172</v>
      </c>
      <c r="I5" s="118" t="s">
        <v>172</v>
      </c>
      <c r="J5" s="118" t="str">
        <f t="shared" si="1"/>
        <v>-</v>
      </c>
      <c r="K5" s="118" t="s">
        <v>172</v>
      </c>
      <c r="L5" s="134">
        <v>0</v>
      </c>
      <c r="M5" s="118" t="str">
        <f t="shared" si="2"/>
        <v>-</v>
      </c>
      <c r="N5" s="106">
        <v>40</v>
      </c>
      <c r="O5" s="107">
        <v>0</v>
      </c>
      <c r="P5" s="165">
        <f t="shared" ref="P5:P8" si="3">IFERROR(O5/N5,"-")</f>
        <v>0</v>
      </c>
      <c r="Q5" s="106">
        <v>0</v>
      </c>
      <c r="R5" t="s">
        <v>172</v>
      </c>
      <c r="S5" t="s">
        <v>172</v>
      </c>
      <c r="T5" t="s">
        <v>172</v>
      </c>
      <c r="U5" t="s">
        <v>172</v>
      </c>
      <c r="V5" t="s">
        <v>172</v>
      </c>
    </row>
    <row r="6" spans="1:23" x14ac:dyDescent="0.3">
      <c r="A6" s="102">
        <v>4</v>
      </c>
      <c r="B6" s="103" t="s">
        <v>129</v>
      </c>
      <c r="C6" s="104" t="s">
        <v>37</v>
      </c>
      <c r="D6" s="105" t="s">
        <v>19</v>
      </c>
      <c r="E6" s="118" t="s">
        <v>172</v>
      </c>
      <c r="F6" s="134">
        <v>0</v>
      </c>
      <c r="G6" s="134" t="str">
        <f t="shared" si="0"/>
        <v>-</v>
      </c>
      <c r="H6" s="118" t="s">
        <v>172</v>
      </c>
      <c r="I6" s="118" t="s">
        <v>172</v>
      </c>
      <c r="J6" s="118" t="str">
        <f t="shared" si="1"/>
        <v>-</v>
      </c>
      <c r="K6" s="118" t="s">
        <v>172</v>
      </c>
      <c r="L6" s="134">
        <v>0</v>
      </c>
      <c r="M6" s="118" t="str">
        <f t="shared" si="2"/>
        <v>-</v>
      </c>
      <c r="N6" s="106">
        <v>11</v>
      </c>
      <c r="O6" s="107">
        <v>0</v>
      </c>
      <c r="P6" s="165">
        <f t="shared" si="3"/>
        <v>0</v>
      </c>
      <c r="Q6" s="106">
        <v>0</v>
      </c>
      <c r="R6" t="s">
        <v>172</v>
      </c>
      <c r="S6" t="s">
        <v>172</v>
      </c>
      <c r="T6" t="s">
        <v>172</v>
      </c>
      <c r="U6" t="s">
        <v>172</v>
      </c>
      <c r="V6" t="s">
        <v>172</v>
      </c>
    </row>
    <row r="7" spans="1:23" x14ac:dyDescent="0.3">
      <c r="A7" s="102">
        <v>5</v>
      </c>
      <c r="B7" s="103" t="s">
        <v>130</v>
      </c>
      <c r="C7" s="104" t="s">
        <v>50</v>
      </c>
      <c r="D7" s="105" t="s">
        <v>19</v>
      </c>
      <c r="E7" s="118" t="s">
        <v>172</v>
      </c>
      <c r="F7" s="134">
        <v>0.12</v>
      </c>
      <c r="G7" s="134" t="str">
        <f t="shared" si="0"/>
        <v>-</v>
      </c>
      <c r="H7" s="118" t="s">
        <v>172</v>
      </c>
      <c r="I7" s="118" t="s">
        <v>172</v>
      </c>
      <c r="J7" s="118" t="str">
        <f t="shared" si="1"/>
        <v>-</v>
      </c>
      <c r="K7" s="118" t="s">
        <v>172</v>
      </c>
      <c r="L7" s="134">
        <v>0.12</v>
      </c>
      <c r="M7" s="118" t="str">
        <f t="shared" si="2"/>
        <v>-</v>
      </c>
      <c r="N7" s="106">
        <v>14</v>
      </c>
      <c r="O7" s="107">
        <v>0.12</v>
      </c>
      <c r="P7" s="165">
        <f t="shared" si="3"/>
        <v>8.5714285714285719E-3</v>
      </c>
      <c r="Q7" s="106">
        <v>1</v>
      </c>
      <c r="R7" t="s">
        <v>172</v>
      </c>
      <c r="S7" t="s">
        <v>172</v>
      </c>
      <c r="T7" t="s">
        <v>172</v>
      </c>
      <c r="U7" t="s">
        <v>172</v>
      </c>
      <c r="V7" t="s">
        <v>172</v>
      </c>
    </row>
    <row r="8" spans="1:23" x14ac:dyDescent="0.3">
      <c r="A8" s="108">
        <v>6</v>
      </c>
      <c r="B8" s="109" t="s">
        <v>131</v>
      </c>
      <c r="C8" s="110" t="s">
        <v>54</v>
      </c>
      <c r="D8" s="111" t="s">
        <v>19</v>
      </c>
      <c r="E8" s="119" t="s">
        <v>172</v>
      </c>
      <c r="F8" s="141">
        <v>0</v>
      </c>
      <c r="G8" s="141" t="str">
        <f t="shared" si="0"/>
        <v>-</v>
      </c>
      <c r="H8" s="119" t="s">
        <v>172</v>
      </c>
      <c r="I8" s="119" t="s">
        <v>172</v>
      </c>
      <c r="J8" s="119" t="str">
        <f t="shared" si="1"/>
        <v>-</v>
      </c>
      <c r="K8" s="119" t="s">
        <v>172</v>
      </c>
      <c r="L8" s="141">
        <v>0</v>
      </c>
      <c r="M8" s="119" t="str">
        <f t="shared" si="2"/>
        <v>-</v>
      </c>
      <c r="N8" s="112">
        <v>10</v>
      </c>
      <c r="O8" s="113">
        <v>0</v>
      </c>
      <c r="P8" s="166">
        <f t="shared" si="3"/>
        <v>0</v>
      </c>
      <c r="Q8" s="112">
        <v>0</v>
      </c>
      <c r="R8" s="101" t="s">
        <v>172</v>
      </c>
      <c r="S8" s="101" t="s">
        <v>172</v>
      </c>
      <c r="T8" s="101" t="s">
        <v>172</v>
      </c>
      <c r="U8" s="101" t="s">
        <v>172</v>
      </c>
      <c r="V8" s="101" t="s">
        <v>172</v>
      </c>
    </row>
    <row r="9" spans="1:23" x14ac:dyDescent="0.3">
      <c r="A9" s="19"/>
      <c r="B9" s="19" t="s">
        <v>179</v>
      </c>
      <c r="C9" s="19"/>
      <c r="D9" s="19"/>
      <c r="E9" s="79" t="s">
        <v>172</v>
      </c>
      <c r="F9" s="66">
        <f>SUM(F3:F8)</f>
        <v>4.0549999999999997</v>
      </c>
      <c r="G9" s="152" t="str">
        <f t="shared" si="0"/>
        <v>-</v>
      </c>
      <c r="H9" s="151" t="s">
        <v>172</v>
      </c>
      <c r="I9" s="94" t="s">
        <v>172</v>
      </c>
      <c r="J9" s="153" t="str">
        <f t="shared" si="1"/>
        <v>-</v>
      </c>
      <c r="K9" s="79" t="s">
        <v>172</v>
      </c>
      <c r="L9" s="66">
        <f>SUM(L3:L8)</f>
        <v>4.0549999999999997</v>
      </c>
      <c r="M9" s="94" t="str">
        <f t="shared" si="2"/>
        <v>-</v>
      </c>
      <c r="N9" s="74">
        <f>SUM(N3:N8)</f>
        <v>755</v>
      </c>
      <c r="O9" s="74">
        <f>SUM(O3:O8)</f>
        <v>4.0549999999999997</v>
      </c>
      <c r="P9" s="164">
        <f>IFERROR(O9/N9,"-")</f>
        <v>5.3708609271523175E-3</v>
      </c>
      <c r="Q9" s="115">
        <f>SUM(Q3:Q8)</f>
        <v>4</v>
      </c>
      <c r="R9" s="62"/>
      <c r="S9" s="21"/>
      <c r="T9" s="20"/>
      <c r="U9" s="21"/>
      <c r="V9" s="20"/>
      <c r="W9" s="114"/>
    </row>
  </sheetData>
  <pageMargins left="0.7" right="0.7" top="0.75" bottom="0.75" header="0.3" footer="0.3"/>
  <ignoredErrors>
    <ignoredError sqref="P9 M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C38C-1DAB-48D6-9F91-E65E037F4E51}">
  <dimension ref="A1:V9"/>
  <sheetViews>
    <sheetView workbookViewId="0">
      <selection activeCell="E18" sqref="E18"/>
    </sheetView>
  </sheetViews>
  <sheetFormatPr defaultRowHeight="14.4" x14ac:dyDescent="0.3"/>
  <cols>
    <col min="2" max="2" width="18.77734375" bestFit="1" customWidth="1"/>
    <col min="18" max="22" width="0" hidden="1" customWidth="1"/>
  </cols>
  <sheetData>
    <row r="1" spans="1:22" ht="27.75" customHeight="1" x14ac:dyDescent="0.3">
      <c r="A1" s="196" t="s">
        <v>183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</row>
    <row r="2" spans="1:22" ht="42" customHeight="1" x14ac:dyDescent="0.3">
      <c r="A2" s="7" t="s">
        <v>0</v>
      </c>
      <c r="B2" s="117" t="s">
        <v>180</v>
      </c>
      <c r="C2" s="7" t="s">
        <v>3</v>
      </c>
      <c r="D2" s="7" t="s">
        <v>4</v>
      </c>
      <c r="E2" s="7" t="s">
        <v>168</v>
      </c>
      <c r="F2" s="7" t="s">
        <v>169</v>
      </c>
      <c r="G2" s="7" t="s">
        <v>192</v>
      </c>
      <c r="H2" s="7" t="s">
        <v>170</v>
      </c>
      <c r="I2" s="7" t="s">
        <v>171</v>
      </c>
      <c r="J2" s="7" t="s">
        <v>191</v>
      </c>
      <c r="K2" s="7" t="s">
        <v>6</v>
      </c>
      <c r="L2" s="7" t="s">
        <v>7</v>
      </c>
      <c r="M2" s="120" t="s">
        <v>190</v>
      </c>
      <c r="N2" s="120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 t="s">
        <v>15</v>
      </c>
      <c r="V2" s="7" t="s">
        <v>16</v>
      </c>
    </row>
    <row r="3" spans="1:22" x14ac:dyDescent="0.3">
      <c r="A3" s="102">
        <v>1</v>
      </c>
      <c r="B3" s="103" t="s">
        <v>126</v>
      </c>
      <c r="C3" s="104" t="s">
        <v>18</v>
      </c>
      <c r="D3" s="105" t="s">
        <v>19</v>
      </c>
      <c r="E3" s="118" t="s">
        <v>172</v>
      </c>
      <c r="F3" s="134">
        <v>4.0480583860000001</v>
      </c>
      <c r="G3" s="134" t="str">
        <f>IFERROR(F3/E3,"-")</f>
        <v>-</v>
      </c>
      <c r="H3" s="118" t="s">
        <v>172</v>
      </c>
      <c r="I3" s="118" t="s">
        <v>172</v>
      </c>
      <c r="J3" s="118" t="str">
        <f>IFERROR(I3/H3,"-")</f>
        <v>-</v>
      </c>
      <c r="K3" s="118" t="s">
        <v>172</v>
      </c>
      <c r="L3" s="134">
        <v>4.0480583860000001</v>
      </c>
      <c r="M3" s="118" t="str">
        <f>IFERROR(L3/K3,"-")</f>
        <v>-</v>
      </c>
      <c r="N3" s="106">
        <v>90</v>
      </c>
      <c r="O3" s="107">
        <v>4.1056983860000003</v>
      </c>
      <c r="P3" s="165">
        <f>IFERROR(O3/N3,"-")</f>
        <v>4.5618870955555557E-2</v>
      </c>
      <c r="Q3" s="106">
        <v>2</v>
      </c>
    </row>
    <row r="4" spans="1:22" x14ac:dyDescent="0.3">
      <c r="A4" s="102">
        <v>2</v>
      </c>
      <c r="B4" s="103" t="s">
        <v>127</v>
      </c>
      <c r="C4" s="104" t="s">
        <v>25</v>
      </c>
      <c r="D4" s="105" t="s">
        <v>19</v>
      </c>
      <c r="E4" s="118" t="s">
        <v>172</v>
      </c>
      <c r="F4" s="134">
        <v>0</v>
      </c>
      <c r="G4" s="134" t="str">
        <f t="shared" ref="G4:G9" si="0">IFERROR(F4/E4,"-")</f>
        <v>-</v>
      </c>
      <c r="H4" s="118" t="s">
        <v>172</v>
      </c>
      <c r="I4" s="118" t="s">
        <v>172</v>
      </c>
      <c r="J4" s="118" t="str">
        <f t="shared" ref="J4:J9" si="1">IFERROR(I4/H4,"-")</f>
        <v>-</v>
      </c>
      <c r="K4" s="118" t="s">
        <v>172</v>
      </c>
      <c r="L4" s="134">
        <v>0</v>
      </c>
      <c r="M4" s="118" t="str">
        <f t="shared" ref="M4:M9" si="2">IFERROR(L4/K4,"-")</f>
        <v>-</v>
      </c>
      <c r="N4" s="106">
        <v>30</v>
      </c>
      <c r="O4" s="107">
        <v>0</v>
      </c>
      <c r="P4" s="165">
        <f>IFERROR(O4/N4,"-")</f>
        <v>0</v>
      </c>
      <c r="Q4" s="106">
        <v>0</v>
      </c>
    </row>
    <row r="5" spans="1:22" x14ac:dyDescent="0.3">
      <c r="A5" s="102">
        <v>3</v>
      </c>
      <c r="B5" s="103" t="s">
        <v>128</v>
      </c>
      <c r="C5" s="104" t="s">
        <v>30</v>
      </c>
      <c r="D5" s="105" t="s">
        <v>19</v>
      </c>
      <c r="E5" s="118" t="s">
        <v>172</v>
      </c>
      <c r="F5" s="134">
        <v>0</v>
      </c>
      <c r="G5" s="134" t="str">
        <f t="shared" si="0"/>
        <v>-</v>
      </c>
      <c r="H5" s="118" t="s">
        <v>172</v>
      </c>
      <c r="I5" s="118" t="s">
        <v>172</v>
      </c>
      <c r="J5" s="118" t="str">
        <f t="shared" si="1"/>
        <v>-</v>
      </c>
      <c r="K5" s="118" t="s">
        <v>172</v>
      </c>
      <c r="L5" s="134">
        <v>0</v>
      </c>
      <c r="M5" s="118" t="str">
        <f t="shared" si="2"/>
        <v>-</v>
      </c>
      <c r="N5" s="106">
        <v>24</v>
      </c>
      <c r="O5" s="107">
        <v>0</v>
      </c>
      <c r="P5" s="165">
        <f t="shared" ref="P5:P8" si="3">IFERROR(O5/N5,"-")</f>
        <v>0</v>
      </c>
      <c r="Q5" s="106">
        <v>0</v>
      </c>
    </row>
    <row r="6" spans="1:22" x14ac:dyDescent="0.3">
      <c r="A6" s="102">
        <v>4</v>
      </c>
      <c r="B6" s="103" t="s">
        <v>129</v>
      </c>
      <c r="C6" s="104" t="s">
        <v>37</v>
      </c>
      <c r="D6" s="105" t="s">
        <v>19</v>
      </c>
      <c r="E6" s="118" t="s">
        <v>172</v>
      </c>
      <c r="F6" s="134">
        <v>0</v>
      </c>
      <c r="G6" s="134" t="str">
        <f t="shared" si="0"/>
        <v>-</v>
      </c>
      <c r="H6" s="118" t="s">
        <v>172</v>
      </c>
      <c r="I6" s="118" t="s">
        <v>172</v>
      </c>
      <c r="J6" s="118" t="str">
        <f t="shared" si="1"/>
        <v>-</v>
      </c>
      <c r="K6" s="118" t="s">
        <v>172</v>
      </c>
      <c r="L6" s="134">
        <v>0</v>
      </c>
      <c r="M6" s="118" t="str">
        <f t="shared" si="2"/>
        <v>-</v>
      </c>
      <c r="N6" s="106">
        <v>20</v>
      </c>
      <c r="O6" s="107">
        <v>0</v>
      </c>
      <c r="P6" s="165">
        <f t="shared" si="3"/>
        <v>0</v>
      </c>
      <c r="Q6" s="106">
        <v>0</v>
      </c>
    </row>
    <row r="7" spans="1:22" x14ac:dyDescent="0.3">
      <c r="A7" s="102">
        <v>5</v>
      </c>
      <c r="B7" s="103" t="s">
        <v>130</v>
      </c>
      <c r="C7" s="104" t="s">
        <v>50</v>
      </c>
      <c r="D7" s="105" t="s">
        <v>19</v>
      </c>
      <c r="E7" s="118" t="s">
        <v>172</v>
      </c>
      <c r="F7" s="134">
        <v>5.9775000000000002E-2</v>
      </c>
      <c r="G7" s="134" t="str">
        <f t="shared" si="0"/>
        <v>-</v>
      </c>
      <c r="H7" s="118" t="s">
        <v>172</v>
      </c>
      <c r="I7" s="118" t="s">
        <v>172</v>
      </c>
      <c r="J7" s="118" t="str">
        <f t="shared" si="1"/>
        <v>-</v>
      </c>
      <c r="K7" s="118" t="s">
        <v>172</v>
      </c>
      <c r="L7" s="134">
        <v>5.9775000000000002E-2</v>
      </c>
      <c r="M7" s="118" t="str">
        <f t="shared" si="2"/>
        <v>-</v>
      </c>
      <c r="N7" s="106">
        <v>1</v>
      </c>
      <c r="O7" s="107">
        <v>5.9775000000000002E-2</v>
      </c>
      <c r="P7" s="165">
        <f t="shared" si="3"/>
        <v>5.9775000000000002E-2</v>
      </c>
      <c r="Q7" s="106">
        <v>2</v>
      </c>
    </row>
    <row r="8" spans="1:22" x14ac:dyDescent="0.3">
      <c r="A8" s="108">
        <v>6</v>
      </c>
      <c r="B8" s="109" t="s">
        <v>131</v>
      </c>
      <c r="C8" s="110" t="s">
        <v>54</v>
      </c>
      <c r="D8" s="111" t="s">
        <v>19</v>
      </c>
      <c r="E8" s="119" t="s">
        <v>172</v>
      </c>
      <c r="F8" s="141">
        <v>0</v>
      </c>
      <c r="G8" s="141" t="str">
        <f t="shared" si="0"/>
        <v>-</v>
      </c>
      <c r="H8" s="119" t="s">
        <v>172</v>
      </c>
      <c r="I8" s="119" t="s">
        <v>172</v>
      </c>
      <c r="J8" s="119" t="str">
        <f t="shared" si="1"/>
        <v>-</v>
      </c>
      <c r="K8" s="119" t="s">
        <v>172</v>
      </c>
      <c r="L8" s="141">
        <v>0</v>
      </c>
      <c r="M8" s="119" t="str">
        <f t="shared" si="2"/>
        <v>-</v>
      </c>
      <c r="N8" s="112">
        <v>20</v>
      </c>
      <c r="O8" s="113">
        <v>0</v>
      </c>
      <c r="P8" s="166">
        <f t="shared" si="3"/>
        <v>0</v>
      </c>
      <c r="Q8" s="112">
        <v>0</v>
      </c>
    </row>
    <row r="9" spans="1:22" x14ac:dyDescent="0.3">
      <c r="A9" s="19"/>
      <c r="B9" s="19" t="s">
        <v>179</v>
      </c>
      <c r="C9" s="19"/>
      <c r="D9" s="19"/>
      <c r="E9" s="151" t="s">
        <v>172</v>
      </c>
      <c r="F9" s="66">
        <f>SUM(F3:F8)</f>
        <v>4.1078333860000003</v>
      </c>
      <c r="G9" s="152" t="str">
        <f t="shared" si="0"/>
        <v>-</v>
      </c>
      <c r="H9" s="151" t="s">
        <v>172</v>
      </c>
      <c r="I9" s="94" t="s">
        <v>172</v>
      </c>
      <c r="J9" s="153" t="str">
        <f t="shared" si="1"/>
        <v>-</v>
      </c>
      <c r="K9" s="79" t="s">
        <v>172</v>
      </c>
      <c r="L9" s="66">
        <f>SUM(L3:L8)</f>
        <v>4.1078333860000003</v>
      </c>
      <c r="M9" s="153" t="str">
        <f t="shared" si="2"/>
        <v>-</v>
      </c>
      <c r="N9" s="60">
        <f>SUM(N3:N8)</f>
        <v>185</v>
      </c>
      <c r="O9" s="60">
        <f>SUM(O3:O8)</f>
        <v>4.1654733860000004</v>
      </c>
      <c r="P9" s="147">
        <f>IFERROR(O9/N9,"-")</f>
        <v>2.2516072356756758E-2</v>
      </c>
      <c r="Q9" s="115">
        <f>SUM(Q3:Q8)</f>
        <v>4</v>
      </c>
    </row>
  </sheetData>
  <mergeCells count="1">
    <mergeCell ref="A1:V1"/>
  </mergeCells>
  <pageMargins left="0.7" right="0.7" top="0.75" bottom="0.75" header="0.3" footer="0.3"/>
  <ignoredErrors>
    <ignoredError sqref="P9 M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BE16-2857-464F-B106-C673ABE59132}">
  <dimension ref="A1:V9"/>
  <sheetViews>
    <sheetView workbookViewId="0">
      <selection activeCell="H20" sqref="H20"/>
    </sheetView>
  </sheetViews>
  <sheetFormatPr defaultRowHeight="14.4" x14ac:dyDescent="0.3"/>
  <cols>
    <col min="2" max="2" width="18.77734375" bestFit="1" customWidth="1"/>
    <col min="7" max="7" width="11.109375" customWidth="1"/>
    <col min="10" max="10" width="11.21875" customWidth="1"/>
    <col min="18" max="22" width="0" hidden="1" customWidth="1"/>
  </cols>
  <sheetData>
    <row r="1" spans="1:22" ht="27.75" customHeight="1" x14ac:dyDescent="0.3">
      <c r="A1" s="196" t="s">
        <v>182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</row>
    <row r="2" spans="1:22" ht="42.6" customHeight="1" x14ac:dyDescent="0.3">
      <c r="A2" s="7" t="s">
        <v>0</v>
      </c>
      <c r="B2" s="117" t="s">
        <v>180</v>
      </c>
      <c r="C2" s="7" t="s">
        <v>3</v>
      </c>
      <c r="D2" s="7" t="s">
        <v>4</v>
      </c>
      <c r="E2" s="7" t="s">
        <v>168</v>
      </c>
      <c r="F2" s="7" t="s">
        <v>169</v>
      </c>
      <c r="G2" s="7" t="s">
        <v>192</v>
      </c>
      <c r="H2" s="7" t="s">
        <v>170</v>
      </c>
      <c r="I2" s="7" t="s">
        <v>171</v>
      </c>
      <c r="J2" s="7" t="s">
        <v>191</v>
      </c>
      <c r="K2" s="7" t="s">
        <v>6</v>
      </c>
      <c r="L2" s="7" t="s">
        <v>7</v>
      </c>
      <c r="M2" s="120" t="s">
        <v>190</v>
      </c>
      <c r="N2" s="120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 t="s">
        <v>15</v>
      </c>
      <c r="V2" s="7" t="s">
        <v>16</v>
      </c>
    </row>
    <row r="3" spans="1:22" x14ac:dyDescent="0.3">
      <c r="A3" s="102">
        <v>1</v>
      </c>
      <c r="B3" s="103" t="s">
        <v>126</v>
      </c>
      <c r="C3" s="104" t="s">
        <v>18</v>
      </c>
      <c r="D3" s="105" t="s">
        <v>19</v>
      </c>
      <c r="E3" s="118" t="s">
        <v>172</v>
      </c>
      <c r="F3" s="134">
        <v>0</v>
      </c>
      <c r="G3" s="118" t="s">
        <v>172</v>
      </c>
      <c r="H3" s="118" t="s">
        <v>172</v>
      </c>
      <c r="I3" s="118" t="s">
        <v>172</v>
      </c>
      <c r="J3" s="118" t="s">
        <v>172</v>
      </c>
      <c r="K3" s="118" t="s">
        <v>172</v>
      </c>
      <c r="L3" s="134">
        <v>0</v>
      </c>
      <c r="M3" s="118" t="s">
        <v>172</v>
      </c>
      <c r="N3" s="122">
        <v>2</v>
      </c>
      <c r="O3" s="107">
        <v>0</v>
      </c>
      <c r="P3" s="165">
        <f>IFERROR(O3/N3,"-")</f>
        <v>0</v>
      </c>
      <c r="Q3" s="106">
        <v>0</v>
      </c>
    </row>
    <row r="4" spans="1:22" x14ac:dyDescent="0.3">
      <c r="A4" s="102">
        <v>2</v>
      </c>
      <c r="B4" s="103" t="s">
        <v>127</v>
      </c>
      <c r="C4" s="104" t="s">
        <v>25</v>
      </c>
      <c r="D4" s="105" t="s">
        <v>19</v>
      </c>
      <c r="E4" s="118" t="s">
        <v>172</v>
      </c>
      <c r="F4" s="134">
        <v>0</v>
      </c>
      <c r="G4" s="118" t="s">
        <v>172</v>
      </c>
      <c r="H4" s="118" t="s">
        <v>172</v>
      </c>
      <c r="I4" s="118" t="s">
        <v>172</v>
      </c>
      <c r="J4" s="118" t="s">
        <v>172</v>
      </c>
      <c r="K4" s="118" t="s">
        <v>172</v>
      </c>
      <c r="L4" s="134">
        <v>0</v>
      </c>
      <c r="M4" s="118" t="s">
        <v>172</v>
      </c>
      <c r="N4" s="123">
        <v>3</v>
      </c>
      <c r="O4" s="107">
        <v>0</v>
      </c>
      <c r="P4" s="165">
        <f>IFERROR(O4/N4,"-")</f>
        <v>0</v>
      </c>
      <c r="Q4" s="106">
        <v>0</v>
      </c>
    </row>
    <row r="5" spans="1:22" x14ac:dyDescent="0.3">
      <c r="A5" s="102">
        <v>3</v>
      </c>
      <c r="B5" s="103" t="s">
        <v>128</v>
      </c>
      <c r="C5" s="104" t="s">
        <v>30</v>
      </c>
      <c r="D5" s="105" t="s">
        <v>19</v>
      </c>
      <c r="E5" s="118" t="s">
        <v>172</v>
      </c>
      <c r="F5" s="134">
        <v>0</v>
      </c>
      <c r="G5" s="118" t="s">
        <v>172</v>
      </c>
      <c r="H5" s="118" t="s">
        <v>172</v>
      </c>
      <c r="I5" s="118" t="s">
        <v>172</v>
      </c>
      <c r="J5" s="118" t="s">
        <v>172</v>
      </c>
      <c r="K5" s="118" t="s">
        <v>172</v>
      </c>
      <c r="L5" s="134">
        <v>0</v>
      </c>
      <c r="M5" s="118" t="s">
        <v>172</v>
      </c>
      <c r="N5" s="121">
        <v>10</v>
      </c>
      <c r="O5" s="107">
        <v>0</v>
      </c>
      <c r="P5" s="165">
        <f t="shared" ref="P5:P8" si="0">IFERROR(O5/N5,"-")</f>
        <v>0</v>
      </c>
      <c r="Q5" s="106">
        <v>0</v>
      </c>
    </row>
    <row r="6" spans="1:22" x14ac:dyDescent="0.3">
      <c r="A6" s="102">
        <v>4</v>
      </c>
      <c r="B6" s="103" t="s">
        <v>129</v>
      </c>
      <c r="C6" s="104" t="s">
        <v>37</v>
      </c>
      <c r="D6" s="105" t="s">
        <v>19</v>
      </c>
      <c r="E6" s="118" t="s">
        <v>172</v>
      </c>
      <c r="F6" s="134">
        <v>0.17310800000000001</v>
      </c>
      <c r="G6" s="118" t="s">
        <v>172</v>
      </c>
      <c r="H6" s="118" t="s">
        <v>172</v>
      </c>
      <c r="I6" s="118" t="s">
        <v>172</v>
      </c>
      <c r="J6" s="118" t="s">
        <v>172</v>
      </c>
      <c r="K6" s="118" t="s">
        <v>172</v>
      </c>
      <c r="L6" s="134">
        <v>0.17310800000000001</v>
      </c>
      <c r="M6" s="118" t="s">
        <v>172</v>
      </c>
      <c r="N6" s="118">
        <v>5</v>
      </c>
      <c r="O6" s="107">
        <v>0.17310800000000001</v>
      </c>
      <c r="P6" s="165">
        <f t="shared" si="0"/>
        <v>3.4621600000000002E-2</v>
      </c>
      <c r="Q6" s="106">
        <v>2</v>
      </c>
    </row>
    <row r="7" spans="1:22" x14ac:dyDescent="0.3">
      <c r="A7" s="102">
        <v>5</v>
      </c>
      <c r="B7" s="103" t="s">
        <v>130</v>
      </c>
      <c r="C7" s="104" t="s">
        <v>50</v>
      </c>
      <c r="D7" s="105" t="s">
        <v>19</v>
      </c>
      <c r="E7" s="118" t="s">
        <v>172</v>
      </c>
      <c r="F7" s="134">
        <v>0</v>
      </c>
      <c r="G7" s="118" t="s">
        <v>172</v>
      </c>
      <c r="H7" s="118" t="s">
        <v>172</v>
      </c>
      <c r="I7" s="118" t="s">
        <v>172</v>
      </c>
      <c r="J7" s="118" t="s">
        <v>172</v>
      </c>
      <c r="K7" s="118" t="s">
        <v>172</v>
      </c>
      <c r="L7" s="134">
        <v>0</v>
      </c>
      <c r="M7" s="118" t="s">
        <v>172</v>
      </c>
      <c r="N7" s="118">
        <v>1</v>
      </c>
      <c r="O7" s="107">
        <v>0</v>
      </c>
      <c r="P7" s="165">
        <f t="shared" si="0"/>
        <v>0</v>
      </c>
      <c r="Q7" s="106">
        <v>0</v>
      </c>
    </row>
    <row r="8" spans="1:22" x14ac:dyDescent="0.3">
      <c r="A8" s="108">
        <v>6</v>
      </c>
      <c r="B8" s="109" t="s">
        <v>131</v>
      </c>
      <c r="C8" s="110" t="s">
        <v>54</v>
      </c>
      <c r="D8" s="111" t="s">
        <v>19</v>
      </c>
      <c r="E8" s="119" t="s">
        <v>172</v>
      </c>
      <c r="F8" s="141">
        <v>0</v>
      </c>
      <c r="G8" s="119" t="s">
        <v>172</v>
      </c>
      <c r="H8" s="119" t="s">
        <v>172</v>
      </c>
      <c r="I8" s="119" t="s">
        <v>172</v>
      </c>
      <c r="J8" s="119" t="s">
        <v>172</v>
      </c>
      <c r="K8" s="119" t="s">
        <v>172</v>
      </c>
      <c r="L8" s="141">
        <v>0</v>
      </c>
      <c r="M8" s="119" t="s">
        <v>172</v>
      </c>
      <c r="N8" s="119">
        <v>5</v>
      </c>
      <c r="O8" s="113">
        <v>0</v>
      </c>
      <c r="P8" s="166">
        <f t="shared" si="0"/>
        <v>0</v>
      </c>
      <c r="Q8" s="112">
        <v>0</v>
      </c>
    </row>
    <row r="9" spans="1:22" x14ac:dyDescent="0.3">
      <c r="A9" s="19"/>
      <c r="B9" s="19" t="s">
        <v>179</v>
      </c>
      <c r="C9" s="19"/>
      <c r="D9" s="19"/>
      <c r="E9" s="151" t="s">
        <v>172</v>
      </c>
      <c r="F9" s="66">
        <f>SUM(F3:F8)</f>
        <v>0.17310800000000001</v>
      </c>
      <c r="G9" s="151" t="s">
        <v>172</v>
      </c>
      <c r="H9" s="151" t="s">
        <v>172</v>
      </c>
      <c r="I9" s="151" t="s">
        <v>172</v>
      </c>
      <c r="J9" s="151" t="s">
        <v>172</v>
      </c>
      <c r="K9" s="151" t="s">
        <v>172</v>
      </c>
      <c r="L9" s="66">
        <f>SUM(L3:L8)</f>
        <v>0.17310800000000001</v>
      </c>
      <c r="M9" s="151" t="s">
        <v>172</v>
      </c>
      <c r="N9" s="60">
        <f>SUM(N3:N8)</f>
        <v>26</v>
      </c>
      <c r="O9" s="60">
        <f>SUM(O3:O8)</f>
        <v>0.17310800000000001</v>
      </c>
      <c r="P9" s="147">
        <f>IFERROR(O9/N9,"-")</f>
        <v>6.6580000000000007E-3</v>
      </c>
      <c r="Q9" s="115">
        <f>SUM(Q3:Q8)</f>
        <v>2</v>
      </c>
    </row>
  </sheetData>
  <mergeCells count="1">
    <mergeCell ref="A1:V1"/>
  </mergeCells>
  <pageMargins left="0.7" right="0.7" top="0.75" bottom="0.75" header="0.3" footer="0.3"/>
  <ignoredErrors>
    <ignoredError sqref="P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D0C5-8D11-4039-BD62-7B04997DE7A6}">
  <dimension ref="A1:V9"/>
  <sheetViews>
    <sheetView workbookViewId="0">
      <selection activeCell="O12" sqref="O12"/>
    </sheetView>
  </sheetViews>
  <sheetFormatPr defaultRowHeight="14.4" x14ac:dyDescent="0.3"/>
  <cols>
    <col min="2" max="2" width="18.77734375" customWidth="1"/>
    <col min="7" max="7" width="12.77734375" customWidth="1"/>
    <col min="10" max="10" width="12.21875" customWidth="1"/>
    <col min="16" max="16" width="9.77734375" customWidth="1"/>
    <col min="18" max="22" width="0" hidden="1" customWidth="1"/>
  </cols>
  <sheetData>
    <row r="1" spans="1:22" ht="16.8" x14ac:dyDescent="0.3">
      <c r="A1" s="124" t="s">
        <v>181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2" ht="48" x14ac:dyDescent="0.3">
      <c r="A2" s="7" t="s">
        <v>0</v>
      </c>
      <c r="B2" s="117" t="s">
        <v>180</v>
      </c>
      <c r="C2" s="7" t="s">
        <v>3</v>
      </c>
      <c r="D2" s="7" t="s">
        <v>4</v>
      </c>
      <c r="E2" s="7" t="s">
        <v>168</v>
      </c>
      <c r="F2" s="7" t="s">
        <v>169</v>
      </c>
      <c r="G2" s="7" t="s">
        <v>192</v>
      </c>
      <c r="H2" s="7" t="s">
        <v>170</v>
      </c>
      <c r="I2" s="7" t="s">
        <v>171</v>
      </c>
      <c r="J2" s="7" t="s">
        <v>191</v>
      </c>
      <c r="K2" s="7" t="s">
        <v>6</v>
      </c>
      <c r="L2" s="7" t="s">
        <v>7</v>
      </c>
      <c r="M2" s="120" t="s">
        <v>190</v>
      </c>
      <c r="N2" s="120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 t="s">
        <v>15</v>
      </c>
      <c r="V2" s="7" t="s">
        <v>16</v>
      </c>
    </row>
    <row r="3" spans="1:22" x14ac:dyDescent="0.3">
      <c r="A3" s="102">
        <v>1</v>
      </c>
      <c r="B3" s="103" t="s">
        <v>126</v>
      </c>
      <c r="C3" s="104" t="s">
        <v>18</v>
      </c>
      <c r="D3" s="105" t="s">
        <v>19</v>
      </c>
      <c r="E3" s="118" t="s">
        <v>172</v>
      </c>
      <c r="F3" s="134">
        <v>1.6644049999999999</v>
      </c>
      <c r="G3" s="118" t="s">
        <v>172</v>
      </c>
      <c r="H3" s="118" t="s">
        <v>172</v>
      </c>
      <c r="I3" s="118" t="s">
        <v>172</v>
      </c>
      <c r="J3" s="118" t="s">
        <v>172</v>
      </c>
      <c r="K3" s="118" t="s">
        <v>172</v>
      </c>
      <c r="L3" s="134">
        <v>1.6644049999999999</v>
      </c>
      <c r="M3" s="118" t="s">
        <v>172</v>
      </c>
      <c r="N3" s="122">
        <v>37</v>
      </c>
      <c r="O3" s="107">
        <v>1.6644049999999999</v>
      </c>
      <c r="P3" s="165">
        <f>IFERROR(O3/N3,"-")</f>
        <v>4.4983918918918918E-2</v>
      </c>
      <c r="Q3" s="106">
        <v>7</v>
      </c>
    </row>
    <row r="4" spans="1:22" x14ac:dyDescent="0.3">
      <c r="A4" s="102">
        <v>2</v>
      </c>
      <c r="B4" s="103" t="s">
        <v>127</v>
      </c>
      <c r="C4" s="104" t="s">
        <v>25</v>
      </c>
      <c r="D4" s="105" t="s">
        <v>19</v>
      </c>
      <c r="E4" s="118" t="s">
        <v>172</v>
      </c>
      <c r="F4" s="134">
        <v>0</v>
      </c>
      <c r="G4" s="118" t="s">
        <v>172</v>
      </c>
      <c r="H4" s="118" t="s">
        <v>172</v>
      </c>
      <c r="I4" s="118" t="s">
        <v>172</v>
      </c>
      <c r="J4" s="118" t="s">
        <v>172</v>
      </c>
      <c r="K4" s="118" t="s">
        <v>172</v>
      </c>
      <c r="L4" s="134">
        <v>0</v>
      </c>
      <c r="M4" s="118" t="s">
        <v>172</v>
      </c>
      <c r="N4" s="123">
        <v>42</v>
      </c>
      <c r="O4" s="107">
        <v>0</v>
      </c>
      <c r="P4" s="165">
        <f>IFERROR(O4/N4,"-")</f>
        <v>0</v>
      </c>
      <c r="Q4" s="106">
        <v>0</v>
      </c>
    </row>
    <row r="5" spans="1:22" x14ac:dyDescent="0.3">
      <c r="A5" s="102">
        <v>3</v>
      </c>
      <c r="B5" s="103" t="s">
        <v>128</v>
      </c>
      <c r="C5" s="104" t="s">
        <v>30</v>
      </c>
      <c r="D5" s="105" t="s">
        <v>19</v>
      </c>
      <c r="E5" s="118" t="s">
        <v>172</v>
      </c>
      <c r="F5" s="134">
        <v>0</v>
      </c>
      <c r="G5" s="118" t="s">
        <v>172</v>
      </c>
      <c r="H5" s="118" t="s">
        <v>172</v>
      </c>
      <c r="I5" s="118" t="s">
        <v>172</v>
      </c>
      <c r="J5" s="118" t="s">
        <v>172</v>
      </c>
      <c r="K5" s="118" t="s">
        <v>172</v>
      </c>
      <c r="L5" s="134">
        <v>0</v>
      </c>
      <c r="M5" s="118" t="s">
        <v>172</v>
      </c>
      <c r="N5" s="121">
        <v>30</v>
      </c>
      <c r="O5" s="107">
        <v>0</v>
      </c>
      <c r="P5" s="165">
        <f t="shared" ref="P5:P8" si="0">IFERROR(O5/N5,"-")</f>
        <v>0</v>
      </c>
      <c r="Q5" s="106">
        <v>0</v>
      </c>
    </row>
    <row r="6" spans="1:22" x14ac:dyDescent="0.3">
      <c r="A6" s="102">
        <v>4</v>
      </c>
      <c r="B6" s="103" t="s">
        <v>129</v>
      </c>
      <c r="C6" s="104" t="s">
        <v>37</v>
      </c>
      <c r="D6" s="105" t="s">
        <v>19</v>
      </c>
      <c r="E6" s="118" t="s">
        <v>172</v>
      </c>
      <c r="F6" s="134">
        <v>0.3125</v>
      </c>
      <c r="G6" s="118" t="s">
        <v>172</v>
      </c>
      <c r="H6" s="118" t="s">
        <v>172</v>
      </c>
      <c r="I6" s="118" t="s">
        <v>172</v>
      </c>
      <c r="J6" s="118" t="s">
        <v>172</v>
      </c>
      <c r="K6" s="118" t="s">
        <v>172</v>
      </c>
      <c r="L6" s="134">
        <v>0.3125</v>
      </c>
      <c r="M6" s="118" t="s">
        <v>172</v>
      </c>
      <c r="N6" s="118">
        <v>0</v>
      </c>
      <c r="O6" s="107">
        <v>0.3125</v>
      </c>
      <c r="P6" s="140" t="str">
        <f t="shared" si="0"/>
        <v>-</v>
      </c>
      <c r="Q6" s="106">
        <v>1</v>
      </c>
    </row>
    <row r="7" spans="1:22" x14ac:dyDescent="0.3">
      <c r="A7" s="102">
        <v>5</v>
      </c>
      <c r="B7" s="103" t="s">
        <v>130</v>
      </c>
      <c r="C7" s="104" t="s">
        <v>50</v>
      </c>
      <c r="D7" s="105" t="s">
        <v>19</v>
      </c>
      <c r="E7" s="118" t="s">
        <v>172</v>
      </c>
      <c r="F7" s="134">
        <v>4.2000000000000003E-2</v>
      </c>
      <c r="G7" s="118" t="s">
        <v>172</v>
      </c>
      <c r="H7" s="118" t="s">
        <v>172</v>
      </c>
      <c r="I7" s="118" t="s">
        <v>172</v>
      </c>
      <c r="J7" s="118" t="s">
        <v>172</v>
      </c>
      <c r="K7" s="118" t="s">
        <v>172</v>
      </c>
      <c r="L7" s="134">
        <v>4.2000000000000003E-2</v>
      </c>
      <c r="M7" s="118" t="s">
        <v>172</v>
      </c>
      <c r="N7" s="118">
        <v>18</v>
      </c>
      <c r="O7" s="107">
        <v>4.2000000000000003E-2</v>
      </c>
      <c r="P7" s="165">
        <f t="shared" si="0"/>
        <v>2.3333333333333335E-3</v>
      </c>
      <c r="Q7" s="106">
        <v>2</v>
      </c>
    </row>
    <row r="8" spans="1:22" x14ac:dyDescent="0.3">
      <c r="A8" s="108">
        <v>6</v>
      </c>
      <c r="B8" s="109" t="s">
        <v>131</v>
      </c>
      <c r="C8" s="110" t="s">
        <v>54</v>
      </c>
      <c r="D8" s="111" t="s">
        <v>19</v>
      </c>
      <c r="E8" s="119" t="s">
        <v>172</v>
      </c>
      <c r="F8" s="141">
        <v>1.6685999999999999E-2</v>
      </c>
      <c r="G8" s="119" t="s">
        <v>172</v>
      </c>
      <c r="H8" s="119" t="s">
        <v>172</v>
      </c>
      <c r="I8" s="119" t="s">
        <v>172</v>
      </c>
      <c r="J8" s="119" t="s">
        <v>172</v>
      </c>
      <c r="K8" s="119" t="s">
        <v>172</v>
      </c>
      <c r="L8" s="141">
        <v>1.6685999999999999E-2</v>
      </c>
      <c r="M8" s="119" t="s">
        <v>172</v>
      </c>
      <c r="N8" s="119">
        <v>8</v>
      </c>
      <c r="O8" s="113">
        <v>1.6685999999999999E-2</v>
      </c>
      <c r="P8" s="166">
        <f t="shared" si="0"/>
        <v>2.0857499999999999E-3</v>
      </c>
      <c r="Q8" s="112">
        <v>1</v>
      </c>
    </row>
    <row r="9" spans="1:22" x14ac:dyDescent="0.3">
      <c r="A9" s="19"/>
      <c r="B9" s="19" t="s">
        <v>179</v>
      </c>
      <c r="C9" s="19"/>
      <c r="D9" s="19"/>
      <c r="E9" s="151" t="s">
        <v>172</v>
      </c>
      <c r="F9" s="66">
        <f>SUM(F3:F8)</f>
        <v>2.0355909999999997</v>
      </c>
      <c r="G9" s="151" t="s">
        <v>172</v>
      </c>
      <c r="H9" s="151" t="s">
        <v>172</v>
      </c>
      <c r="I9" s="151" t="s">
        <v>172</v>
      </c>
      <c r="J9" s="151" t="s">
        <v>172</v>
      </c>
      <c r="K9" s="151" t="s">
        <v>172</v>
      </c>
      <c r="L9" s="66">
        <f>SUM(L3:L8)</f>
        <v>2.0355909999999997</v>
      </c>
      <c r="M9" s="151" t="s">
        <v>172</v>
      </c>
      <c r="N9" s="60">
        <f>SUM(N3:N8)</f>
        <v>135</v>
      </c>
      <c r="O9" s="60">
        <f>SUM(O3:O8)</f>
        <v>2.0355909999999997</v>
      </c>
      <c r="P9" s="147">
        <f>IFERROR(O9/N9,"-")</f>
        <v>1.5078451851851849E-2</v>
      </c>
      <c r="Q9" s="115">
        <f>SUM(Q3:Q8)</f>
        <v>11</v>
      </c>
    </row>
  </sheetData>
  <pageMargins left="0.7" right="0.7" top="0.75" bottom="0.75" header="0.3" footer="0.3"/>
  <ignoredErrors>
    <ignoredError sqref="P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V1 · Individual</vt:lpstr>
      <vt:lpstr>V2 · Leaders</vt:lpstr>
      <vt:lpstr>V2 · Team Quota</vt:lpstr>
      <vt:lpstr>V3 · RTM Division level</vt:lpstr>
      <vt:lpstr>V4 · BU Level</vt:lpstr>
      <vt:lpstr>V5 · DCG</vt:lpstr>
      <vt:lpstr>V6 · CSN</vt:lpstr>
      <vt:lpstr>V7 · PS</vt:lpstr>
      <vt:lpstr>V8 · CSG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Dharshini Balasankar</cp:lastModifiedBy>
  <cp:revision>0</cp:revision>
  <dcterms:created xsi:type="dcterms:W3CDTF">2026-06-03T05:23:48Z</dcterms:created>
  <dcterms:modified xsi:type="dcterms:W3CDTF">2026-06-29T07:20:11Z</dcterms:modified>
  <dc:language>en-US</dc:language>
</cp:coreProperties>
</file>