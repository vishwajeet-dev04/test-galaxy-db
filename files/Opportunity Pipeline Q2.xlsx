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techpayai-my.sharepoint.com/personal/dharshini_b_techpay_ai/Documents/Galaxy Target Letter/"/>
    </mc:Choice>
  </mc:AlternateContent>
  <xr:revisionPtr revIDLastSave="123" documentId="8_{1C3D6251-EB2A-4FAE-9A58-8A7FEB7C3DEE}" xr6:coauthVersionLast="47" xr6:coauthVersionMax="47" xr10:uidLastSave="{3028324F-4EF7-4554-B837-57851255BE65}"/>
  <bookViews>
    <workbookView xWindow="-108" yWindow="-108" windowWidth="23256" windowHeight="12576" activeTab="1" xr2:uid="{EE765818-5582-41EE-A0D7-DB92548EA267}"/>
  </bookViews>
  <sheets>
    <sheet name="Sheet1" sheetId="2" r:id="rId1"/>
    <sheet name="Opportunity Pipeline " sheetId="1" r:id="rId2"/>
  </sheets>
  <definedNames>
    <definedName name="_xlnm._FilterDatabase" localSheetId="1" hidden="1">'Opportunity Pipeline '!$F$1:$F$34</definedName>
  </definedNames>
  <calcPr calcId="191028"/>
  <pivotCaches>
    <pivotCache cacheId="29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2" l="1"/>
</calcChain>
</file>

<file path=xl/sharedStrings.xml><?xml version="1.0" encoding="utf-8"?>
<sst xmlns="http://schemas.openxmlformats.org/spreadsheetml/2006/main" count="2072" uniqueCount="615">
  <si>
    <t>Row Labels</t>
  </si>
  <si>
    <t>Count of Opportunity Led By</t>
  </si>
  <si>
    <t>Sum of Amount</t>
  </si>
  <si>
    <t>Abrar Memon</t>
  </si>
  <si>
    <t>CSG (EndPoint)</t>
  </si>
  <si>
    <t>Ajay Patodia</t>
  </si>
  <si>
    <t>Professional Services</t>
  </si>
  <si>
    <t>Chetna Sharma</t>
  </si>
  <si>
    <t>Chirag Palande</t>
  </si>
  <si>
    <t>Data Centre</t>
  </si>
  <si>
    <t>Hrushikesh Bagade</t>
  </si>
  <si>
    <t>Jay Rushi</t>
  </si>
  <si>
    <t>Jimesh Shah</t>
  </si>
  <si>
    <t>Cyber Security &amp; Networking</t>
  </si>
  <si>
    <t>Prachi Mayekar</t>
  </si>
  <si>
    <t>Pratik Kadam</t>
  </si>
  <si>
    <t>Rima Ingle</t>
  </si>
  <si>
    <t>Rohit Deshmukh</t>
  </si>
  <si>
    <t>Sagar TR</t>
  </si>
  <si>
    <t>Sankeerth Bhargav</t>
  </si>
  <si>
    <t>Shaik Khadhar</t>
  </si>
  <si>
    <t>Shubhangi Srinivasan</t>
  </si>
  <si>
    <t>Tasneem K</t>
  </si>
  <si>
    <t>Varunkumar Mishra</t>
  </si>
  <si>
    <t>Grand Total</t>
  </si>
  <si>
    <t xml:space="preserve"> </t>
  </si>
  <si>
    <t>ï»¿"Created Time"</t>
  </si>
  <si>
    <t>Opportunity Number</t>
  </si>
  <si>
    <t>Organization Name</t>
  </si>
  <si>
    <t>Contact Name</t>
  </si>
  <si>
    <t>Opportunity Name</t>
  </si>
  <si>
    <t>Opportunity Led By</t>
  </si>
  <si>
    <t>Assigned To</t>
  </si>
  <si>
    <t>Lead Source</t>
  </si>
  <si>
    <t>Identifier</t>
  </si>
  <si>
    <t>Supported By</t>
  </si>
  <si>
    <t>Category</t>
  </si>
  <si>
    <t>Sub Category</t>
  </si>
  <si>
    <t>Brand</t>
  </si>
  <si>
    <t>Sales Stage</t>
  </si>
  <si>
    <t>Amount</t>
  </si>
  <si>
    <t>Estimated Bottomline</t>
  </si>
  <si>
    <t>Actual Bottomline -</t>
  </si>
  <si>
    <t>Expected Close Date</t>
  </si>
  <si>
    <t>Deal Category</t>
  </si>
  <si>
    <t>Probability</t>
  </si>
  <si>
    <t>OPF No.</t>
  </si>
  <si>
    <t>Deal ID</t>
  </si>
  <si>
    <t>Deal Status</t>
  </si>
  <si>
    <t>Deal Expiry Date</t>
  </si>
  <si>
    <t>Description</t>
  </si>
  <si>
    <t>Division</t>
  </si>
  <si>
    <t>POT87070</t>
  </si>
  <si>
    <t>Click Tech Retail</t>
  </si>
  <si>
    <t>Sridhar s</t>
  </si>
  <si>
    <t>Lenovo ThinkBook 14</t>
  </si>
  <si>
    <t>Self</t>
  </si>
  <si>
    <t>NA</t>
  </si>
  <si>
    <t>None</t>
  </si>
  <si>
    <t>Laptop</t>
  </si>
  <si>
    <t>HP</t>
  </si>
  <si>
    <t>Closed Won</t>
  </si>
  <si>
    <t>Green</t>
  </si>
  <si>
    <t>CG-AE-0005</t>
  </si>
  <si>
    <t>-</t>
  </si>
  <si>
    <t>OPF no: CG-AE-0005</t>
  </si>
  <si>
    <t>South</t>
  </si>
  <si>
    <t>POT87329</t>
  </si>
  <si>
    <t>NEW TRENDS COMMERCE PRIVATE LIMITED</t>
  </si>
  <si>
    <t>Ahil Krishna</t>
  </si>
  <si>
    <t>Lenovo</t>
  </si>
  <si>
    <t>CG-AE-0006</t>
  </si>
  <si>
    <t>OPF no: CG-AE-0006</t>
  </si>
  <si>
    <t>18-07-2026 11:24</t>
  </si>
  <si>
    <t>POT87405</t>
  </si>
  <si>
    <t>Lenovo L14 Laptops</t>
  </si>
  <si>
    <t>23-07-2026</t>
  </si>
  <si>
    <t>CG-AE-0007</t>
  </si>
  <si>
    <t>OPF no: CG-AE-0007</t>
  </si>
  <si>
    <t>27-03-2026 18:15</t>
  </si>
  <si>
    <t>POT86362</t>
  </si>
  <si>
    <t>Tata Communications Ltd.</t>
  </si>
  <si>
    <t>Rohit Kumar Gupta</t>
  </si>
  <si>
    <t>Dell Server AMC Renewal for ICS Project</t>
  </si>
  <si>
    <t>Ajay Patodia+Mukesh Choithani</t>
  </si>
  <si>
    <t>OEM Lead</t>
  </si>
  <si>
    <t>Compute</t>
  </si>
  <si>
    <t>Dell</t>
  </si>
  <si>
    <t>21-07-2026</t>
  </si>
  <si>
    <t>DP-AP-0030</t>
  </si>
  <si>
    <t>Required Dell Server AMC Renewal with KYD</t>
  </si>
  <si>
    <t>Others</t>
  </si>
  <si>
    <t>Shared the Renewal proposal with KYD for the period of 1 year from 01.04.2026 to 31.03.2027</t>
  </si>
  <si>
    <t>Server Counts - 11nos</t>
  </si>
  <si>
    <t>Shared the revised renewal proposal</t>
  </si>
  <si>
    <t>OPF no: DP-AP-0030</t>
  </si>
  <si>
    <t>POT87327</t>
  </si>
  <si>
    <t>EIT Services India Private Limited C/o DXC Technology</t>
  </si>
  <si>
    <t>Imtiaz Shaik</t>
  </si>
  <si>
    <t>Dell Server and Storage AMC Renewal for OBG Project</t>
  </si>
  <si>
    <t>DP-AP-0031</t>
  </si>
  <si>
    <t>Shared the AMC Renewal proposal for the Dell Server / Storage / Tape Library / TOR Switches for OBG Project</t>
  </si>
  <si>
    <t>AMC Proposal shared for 1 year with 100% OEM back to back support.</t>
  </si>
  <si>
    <t>Mail confirmation received, awaiting for formal PO</t>
  </si>
  <si>
    <t>Received  two separate PO for DC and DR</t>
  </si>
  <si>
    <t>OPF no: DP-AP-0031</t>
  </si>
  <si>
    <t>21-07-2026 15:10</t>
  </si>
  <si>
    <t>POT87435</t>
  </si>
  <si>
    <t>Dell Server and Storage AMC Renewal for OBG Project - DC</t>
  </si>
  <si>
    <t>DP-AP-0032</t>
  </si>
  <si>
    <t>Received two separate PO for DC and DR</t>
  </si>
  <si>
    <t>OPF no: DP-AP-0032</t>
  </si>
  <si>
    <t>22-07-2026 22:06</t>
  </si>
  <si>
    <t>POT87454</t>
  </si>
  <si>
    <t>Axis Capital Limited</t>
  </si>
  <si>
    <t>Krishnakumar Menon</t>
  </si>
  <si>
    <t>AMC for Server - 2 Nos</t>
  </si>
  <si>
    <t>Ajay Patodia+Mukesh Choithani+Chetna Sharma</t>
  </si>
  <si>
    <t>Mukesh Choithani</t>
  </si>
  <si>
    <t>Other OEM Services</t>
  </si>
  <si>
    <t>22-07-2026</t>
  </si>
  <si>
    <t>S2</t>
  </si>
  <si>
    <t>27-01-2026 11:07</t>
  </si>
  <si>
    <t>POT85799</t>
  </si>
  <si>
    <t>BSE LTD(Bombay Stock Exchange)</t>
  </si>
  <si>
    <t>Anjal Dave</t>
  </si>
  <si>
    <t>Netapp 400 TB - Storage upgrade for(PR)</t>
  </si>
  <si>
    <t>Ajay Patodia+Mukesh Choithani+Chirag Palande</t>
  </si>
  <si>
    <t>Storage</t>
  </si>
  <si>
    <t>Netapp</t>
  </si>
  <si>
    <t>15-07-2026</t>
  </si>
  <si>
    <t>S1</t>
  </si>
  <si>
    <t>POT85984</t>
  </si>
  <si>
    <t>Netapp 400 TB - Storage upgrade for(DR)</t>
  </si>
  <si>
    <t>POT85985</t>
  </si>
  <si>
    <t>Netapp 400 TB - Storage upgrade for (NDR)</t>
  </si>
  <si>
    <t>POT87286</t>
  </si>
  <si>
    <t>Bajaj Housing Finance Limited</t>
  </si>
  <si>
    <t>Abid Sayyad</t>
  </si>
  <si>
    <t>Commvault 70 QTY lics for EP</t>
  </si>
  <si>
    <t>Ajay Patodia+Mukesh Choithani+Hrushikesh Bagade</t>
  </si>
  <si>
    <t>Backup &amp; Recovery</t>
  </si>
  <si>
    <t>Commvault</t>
  </si>
  <si>
    <t>24-07-2026</t>
  </si>
  <si>
    <t>EU want Commvault 70 QTY lics for EP, working on price, price sent, waiting for PO. po received.</t>
  </si>
  <si>
    <t>GeoX</t>
  </si>
  <si>
    <t>POT86667</t>
  </si>
  <si>
    <t>JSW Group</t>
  </si>
  <si>
    <t>Kamlesh Shera</t>
  </si>
  <si>
    <t>Nutanix Nodes</t>
  </si>
  <si>
    <t>Ajay Patodia+Mukesh Choithani+Prachi Mayekar</t>
  </si>
  <si>
    <t>Virtualisation</t>
  </si>
  <si>
    <t>Nutanix</t>
  </si>
  <si>
    <t>CB</t>
  </si>
  <si>
    <t>21-06-2026 18:00</t>
  </si>
  <si>
    <t>POT87188</t>
  </si>
  <si>
    <t>Accelya Kale Solutions Limited</t>
  </si>
  <si>
    <t>Neha Chavda</t>
  </si>
  <si>
    <t>DELL  AMC (7 servers)</t>
  </si>
  <si>
    <t>13-07-2026</t>
  </si>
  <si>
    <t>13-07-2026 15:50</t>
  </si>
  <si>
    <t>POT87360</t>
  </si>
  <si>
    <t>Dell AMC (2 Servers)</t>
  </si>
  <si>
    <t>POT82475</t>
  </si>
  <si>
    <t>Axis Bank Ltd</t>
  </si>
  <si>
    <t>Tarique Husain</t>
  </si>
  <si>
    <t>Broadcom VCF License Renewal - Year 1</t>
  </si>
  <si>
    <t>Ajay Patodia+Mukesh Choithani+Rohit Deshmukh</t>
  </si>
  <si>
    <t>Enterprise Coverage</t>
  </si>
  <si>
    <t>DP-RD-0017</t>
  </si>
  <si>
    <t>POT86704</t>
  </si>
  <si>
    <t>40 New Server Installation Services</t>
  </si>
  <si>
    <t>DD-RD-0022</t>
  </si>
  <si>
    <t>POT87261</t>
  </si>
  <si>
    <t>Alpha Design Technologies Private Limited ADTL</t>
  </si>
  <si>
    <t>Venkatramana Nettinti</t>
  </si>
  <si>
    <t>LED Display and Accessories</t>
  </si>
  <si>
    <t>Ajay Patodia+Mukesh Choithani+Sagar TR</t>
  </si>
  <si>
    <t>Accessories</t>
  </si>
  <si>
    <t>CG-SC-0038</t>
  </si>
  <si>
    <t>OPF no: CG-SC-0038</t>
  </si>
  <si>
    <t>POT86991</t>
  </si>
  <si>
    <t>Astra Microwave Product Limited</t>
  </si>
  <si>
    <t>Aditya Eshwar</t>
  </si>
  <si>
    <t>NAS Storage Synology</t>
  </si>
  <si>
    <t>DP-HS-0004</t>
  </si>
  <si>
    <t>OPF no: DP-HS-0004</t>
  </si>
  <si>
    <t>POT87282</t>
  </si>
  <si>
    <t>CHUBB Systems Pvt Ltd</t>
  </si>
  <si>
    <t>sudhindra acharya</t>
  </si>
  <si>
    <t>HPE rental server for 5 months</t>
  </si>
  <si>
    <t>Rental</t>
  </si>
  <si>
    <t>HPE/Aruba</t>
  </si>
  <si>
    <t>DP-SC-0037</t>
  </si>
  <si>
    <t>OPF no: DP-SC-0037</t>
  </si>
  <si>
    <t>POT87290</t>
  </si>
  <si>
    <t>Dell servers and workstation</t>
  </si>
  <si>
    <t>DP-SC-0042</t>
  </si>
  <si>
    <t>OPF no: DP-SC-0042</t>
  </si>
  <si>
    <t>Margin is covered under OPF DP-SC-0041</t>
  </si>
  <si>
    <t>POT87317</t>
  </si>
  <si>
    <t>HPE ProLiant DL380 Gen11Â  1PÂ  NC 12LFF 800W PS Server</t>
  </si>
  <si>
    <t>DP-SC-0040</t>
  </si>
  <si>
    <t>OPF no: DP-SC-0040</t>
  </si>
  <si>
    <t>POT87318</t>
  </si>
  <si>
    <t>HPE ProLiant DL380 Gen11 1PÂ  MR408i-o NC 8SFF 800W PS Server</t>
  </si>
  <si>
    <t>DP-SC-0041</t>
  </si>
  <si>
    <t>OPF no: DP-SC-0041</t>
  </si>
  <si>
    <t>20-07-2026 10:08</t>
  </si>
  <si>
    <t>POT87412</t>
  </si>
  <si>
    <t>NEWTAP FINANCE PRIVATE LIMITED</t>
  </si>
  <si>
    <t>Nithin HP</t>
  </si>
  <si>
    <t>Dell &amp; Logitec Accessories</t>
  </si>
  <si>
    <t>20-07-2026</t>
  </si>
  <si>
    <t>CG-SC-0043</t>
  </si>
  <si>
    <t>OPF no: CG-SC-0043</t>
  </si>
  <si>
    <t>22-07-2026 12:36</t>
  </si>
  <si>
    <t>POT87439</t>
  </si>
  <si>
    <t>FIDROX TECHNOLOGIES PRIVATE LIMITED</t>
  </si>
  <si>
    <t>Vyshnavi Hebbar</t>
  </si>
  <si>
    <t>HPE ProLiant DL360 server</t>
  </si>
  <si>
    <t>DP-SC-0044</t>
  </si>
  <si>
    <t>OPF no: DP-SC-0044</t>
  </si>
  <si>
    <t>POT87030</t>
  </si>
  <si>
    <t>IDFC First Bank Limited</t>
  </si>
  <si>
    <t>Jaiprakash Yadav</t>
  </si>
  <si>
    <t>Dell AMC - IDFC</t>
  </si>
  <si>
    <t>Ajay Patodia+Mukesh Choithani+Sankeerth Bhargav</t>
  </si>
  <si>
    <t>Software</t>
  </si>
  <si>
    <t>18-07-2026</t>
  </si>
  <si>
    <t>21-05-2026 15:10</t>
  </si>
  <si>
    <t>POT86852</t>
  </si>
  <si>
    <t>Chanakya University</t>
  </si>
  <si>
    <t>Sachin Goni</t>
  </si>
  <si>
    <t>Dell AI Server</t>
  </si>
  <si>
    <t>Ajay Patodia+Mukesh Choithani+Shaik Khadhar</t>
  </si>
  <si>
    <t>31346508 / 31352495</t>
  </si>
  <si>
    <t>Rejected / Rejected / Approved</t>
  </si>
  <si>
    <t>POT87283</t>
  </si>
  <si>
    <t>Bank of India</t>
  </si>
  <si>
    <t>Deepak Prakash</t>
  </si>
  <si>
    <t>Cisco Server AMC Qty 14</t>
  </si>
  <si>
    <t>Ajay Patodia+Mukesh Choithani+Tasneem K</t>
  </si>
  <si>
    <t>CISCO</t>
  </si>
  <si>
    <t>DC-TK-13/14</t>
  </si>
  <si>
    <t>17-07-2026 11:57</t>
  </si>
  <si>
    <t>POT87385</t>
  </si>
  <si>
    <t>RIBBON Communication</t>
  </si>
  <si>
    <t>Sandip Deo</t>
  </si>
  <si>
    <t>Ribbon - HP motherboard</t>
  </si>
  <si>
    <t>Ajay Patodia+Mukesh Choithani+Yogesh Bhatia+Jay Rushi</t>
  </si>
  <si>
    <t>Yogesh Bhatia</t>
  </si>
  <si>
    <t>17-07-2026</t>
  </si>
  <si>
    <t>CG-JU-0019</t>
  </si>
  <si>
    <t>GB</t>
  </si>
  <si>
    <t>POT87326</t>
  </si>
  <si>
    <t>Bank of india</t>
  </si>
  <si>
    <t>deepesh meetal</t>
  </si>
  <si>
    <t>boi laptop-1</t>
  </si>
  <si>
    <t>Ajay Patodia+Tasneem K</t>
  </si>
  <si>
    <t>CG-TK-0015</t>
  </si>
  <si>
    <t>17-07-2026 12:23</t>
  </si>
  <si>
    <t>POT87388</t>
  </si>
  <si>
    <t>BOI laptop -1 repeat</t>
  </si>
  <si>
    <t>CG-TK-0018</t>
  </si>
  <si>
    <t>POT87040</t>
  </si>
  <si>
    <t>Dell Desktop - 33 Nos</t>
  </si>
  <si>
    <t>Desktop</t>
  </si>
  <si>
    <t>16-07-2026</t>
  </si>
  <si>
    <t>Approved</t>
  </si>
  <si>
    <t>5.9.2026</t>
  </si>
  <si>
    <t>14-04-2026 15:11</t>
  </si>
  <si>
    <t>POT86537</t>
  </si>
  <si>
    <t>The Multi Commodity Exchange Clearing Corporation Limited - (MCXCCL</t>
  </si>
  <si>
    <t>Pramod Kumar</t>
  </si>
  <si>
    <t>Dell - Multi Product RFP( Laptops, Monitors &amp; Wireless Keyboard &amp; Mouse )</t>
  </si>
  <si>
    <t>19-06-2026 16:11</t>
  </si>
  <si>
    <t>POT87154</t>
  </si>
  <si>
    <t>MCXCCL - Laptop 1 qty</t>
  </si>
  <si>
    <t>Samsung</t>
  </si>
  <si>
    <t>POT87324</t>
  </si>
  <si>
    <t>Mirae Asset investment Manager</t>
  </si>
  <si>
    <t>Satish Anchan</t>
  </si>
  <si>
    <t>Rental Laptops - 04</t>
  </si>
  <si>
    <t>CG-JS-0007</t>
  </si>
  <si>
    <t>PO received</t>
  </si>
  <si>
    <t>15-07-2026 10:47</t>
  </si>
  <si>
    <t>POT87370</t>
  </si>
  <si>
    <t>Mirae asset</t>
  </si>
  <si>
    <t>Sameer Mhatre</t>
  </si>
  <si>
    <t>Sharekhan - HP Printer - 1</t>
  </si>
  <si>
    <t>CG-JS-0008</t>
  </si>
  <si>
    <t>15-07-2026 10:48</t>
  </si>
  <si>
    <t>POT87371</t>
  </si>
  <si>
    <t>Sharekhan - HP Printer - 1- delhi</t>
  </si>
  <si>
    <t>CG-JS-0009</t>
  </si>
  <si>
    <t>POT87262</t>
  </si>
  <si>
    <t>SBI Life Insurance Co. Ltd</t>
  </si>
  <si>
    <t>Chandrashekhar Marode</t>
  </si>
  <si>
    <t>Galaxy VMware Support for the Period of 1 Year</t>
  </si>
  <si>
    <t>Jitesh Rajput+Sandeep Makwana+Anil Zachariah+Anoop Pai Dhungat+Ajay Patodia</t>
  </si>
  <si>
    <t>Residency Services</t>
  </si>
  <si>
    <t>Galaxy</t>
  </si>
  <si>
    <t>PR-AP-0028</t>
  </si>
  <si>
    <t>Required Galaxy L1/ L2 VMWare Support with 24X7 Support for  the period of 1 Year</t>
  </si>
  <si>
    <t>OPF no: PR-AP-0028</t>
  </si>
  <si>
    <t>Shared the Galaxy RE proposal with 24*7 support</t>
  </si>
  <si>
    <t>24-01-2026 17:36</t>
  </si>
  <si>
    <t>POT85796</t>
  </si>
  <si>
    <t>Dell International Services India Private Limited</t>
  </si>
  <si>
    <t>Eshaa Patnaik</t>
  </si>
  <si>
    <t>Dell - JP Morgan  - FMS</t>
  </si>
  <si>
    <t>Ashish Singh</t>
  </si>
  <si>
    <t>Jitesh Rajput+Sandeep Makwana+Anil Zachariah+Ashish Singh</t>
  </si>
  <si>
    <t>Sandeep Makwana</t>
  </si>
  <si>
    <t>24-07-2026 14:55</t>
  </si>
  <si>
    <t>POT87470</t>
  </si>
  <si>
    <t>Graphic Arts Technology &amp; Education</t>
  </si>
  <si>
    <t>Kiran Prayagi</t>
  </si>
  <si>
    <t>AMC</t>
  </si>
  <si>
    <t>Jitesh Rajput</t>
  </si>
  <si>
    <t>Managed Services</t>
  </si>
  <si>
    <t>16-07-2026 19:09</t>
  </si>
  <si>
    <t>POT87381</t>
  </si>
  <si>
    <t>Axis Finance Limited</t>
  </si>
  <si>
    <t>Sandeep Suryavanshi</t>
  </si>
  <si>
    <t>Galaxy Resident Engineer - Storage &amp; Backup - Onsite - 2 Nos.</t>
  </si>
  <si>
    <t>Jitesh Rajput+Sandeep Makwana+Anil Zachariah+Chetna Sharma</t>
  </si>
  <si>
    <t>PR-CH-0011</t>
  </si>
  <si>
    <t>Margin taken all</t>
  </si>
  <si>
    <t>POT86673</t>
  </si>
  <si>
    <t>National Chemical Laboratory NCL</t>
  </si>
  <si>
    <t>Sanjay Askar</t>
  </si>
  <si>
    <t>VAPT remediation Services</t>
  </si>
  <si>
    <t>Jitesh Rajput+Sandeep Makwana+Anil Zachariah+Hrushikesh Bagade</t>
  </si>
  <si>
    <t>PM-HB-0053</t>
  </si>
  <si>
    <t>EU wants Galaxy services for VAPT remediation, proposal sent , under nego, po received.</t>
  </si>
  <si>
    <t>POT87305</t>
  </si>
  <si>
    <t>Kalyani Technoforge Limited</t>
  </si>
  <si>
    <t>Nazar Pathan</t>
  </si>
  <si>
    <t>Galaxy MS for Commvault</t>
  </si>
  <si>
    <t>Anoop Pai Dhungat</t>
  </si>
  <si>
    <t>PM-HB-0055</t>
  </si>
  <si>
    <t>renewal of MS, price sent, under nego, closer would be in July 26. waiting for PO. po received.</t>
  </si>
  <si>
    <t>POT87087</t>
  </si>
  <si>
    <t>Grasim Chemicals</t>
  </si>
  <si>
    <t>Rahul Chandak</t>
  </si>
  <si>
    <t>cyber resource renewal</t>
  </si>
  <si>
    <t>Richa Tiwari</t>
  </si>
  <si>
    <t>Jitesh Rajput+Sandeep Makwana+Anil Zachariah+Richa Tiwari</t>
  </si>
  <si>
    <t>POT87328</t>
  </si>
  <si>
    <t>Nexus Innovative Solutions Private Limited</t>
  </si>
  <si>
    <t>Praveen S</t>
  </si>
  <si>
    <t>Google zero touch enrolment + services</t>
  </si>
  <si>
    <t>Jitesh Rajput+Sandeep Makwana+Anil Zachariah+Rima Ingle</t>
  </si>
  <si>
    <t>Professional Services Farming</t>
  </si>
  <si>
    <t>POT86999</t>
  </si>
  <si>
    <t>Indira IVF Fertility Centre</t>
  </si>
  <si>
    <t>Mahesh Sharma</t>
  </si>
  <si>
    <t>AWS</t>
  </si>
  <si>
    <t>Shilpa Kavde</t>
  </si>
  <si>
    <t>Jitesh Rajput+Sandeep Makwana+Anil Zachariah+Shilpa Kavde</t>
  </si>
  <si>
    <t>Cloud</t>
  </si>
  <si>
    <t>29-06-2026 15:19</t>
  </si>
  <si>
    <t>POT87252</t>
  </si>
  <si>
    <t>Godrej &amp; Boyce Manufacturing Company Limited</t>
  </si>
  <si>
    <t>Parth Rathod</t>
  </si>
  <si>
    <t>VMware renewal - 208 core</t>
  </si>
  <si>
    <t>Raj Matondkar</t>
  </si>
  <si>
    <t>Prashant Dudugu+Raj Matondkar</t>
  </si>
  <si>
    <t>Prashant Dudugu</t>
  </si>
  <si>
    <t>VMware</t>
  </si>
  <si>
    <t>DP-RN-0001</t>
  </si>
  <si>
    <t>17-07-2026 12:35</t>
  </si>
  <si>
    <t>POT87389</t>
  </si>
  <si>
    <t>Rajsthan gramin bank</t>
  </si>
  <si>
    <t>Laxman singh</t>
  </si>
  <si>
    <t>RGB ajmer-40 biometric</t>
  </si>
  <si>
    <t>CG-PM-0042</t>
  </si>
  <si>
    <t>18-07-2026 12:14</t>
  </si>
  <si>
    <t>POT87408</t>
  </si>
  <si>
    <t>RGB JALORE-30</t>
  </si>
  <si>
    <t>CG-PM-0043</t>
  </si>
  <si>
    <t>23-07-2026 16:07</t>
  </si>
  <si>
    <t>POT87461</t>
  </si>
  <si>
    <t>PUNJAB AND SINDH BANK</t>
  </si>
  <si>
    <t>Vijay kumar</t>
  </si>
  <si>
    <t>PSB-9 TABLET</t>
  </si>
  <si>
    <t>POT87002</t>
  </si>
  <si>
    <t>Tata Power Company Ltd</t>
  </si>
  <si>
    <t>sandeep karnavat</t>
  </si>
  <si>
    <t>Profile 1 qty 08 IEL Jharkhand</t>
  </si>
  <si>
    <t>CG-RT-0049</t>
  </si>
  <si>
    <t>21-07-2026 09:33</t>
  </si>
  <si>
    <t>POT87429</t>
  </si>
  <si>
    <t>Tata Power Ajmer Distribution Limited (TPADL)</t>
  </si>
  <si>
    <t>tp ajmer laptop profile 1 qty 3 profile 3 qty 3</t>
  </si>
  <si>
    <t>CG-RT-0050</t>
  </si>
  <si>
    <t>21-07-2026 12:28</t>
  </si>
  <si>
    <t>POT87434</t>
  </si>
  <si>
    <t>Laptop Profile 3 qty 1 Raipur</t>
  </si>
  <si>
    <t>22-07-2026 12:54</t>
  </si>
  <si>
    <t>POT87441</t>
  </si>
  <si>
    <t>tp maithon profile 1 qty 65 profile 2 qty 2 profile 3 qty 2</t>
  </si>
  <si>
    <t>CG-RT-0052</t>
  </si>
  <si>
    <t>22-07-2026 13:14</t>
  </si>
  <si>
    <t>POT87443</t>
  </si>
  <si>
    <t>tp powerlinks profile 1 qty 10</t>
  </si>
  <si>
    <t>22-07-2026 13:40</t>
  </si>
  <si>
    <t>POT87444</t>
  </si>
  <si>
    <t>tp trading profile 1 qty 9 profile 3 qty 4</t>
  </si>
  <si>
    <t>CG-RT-0054</t>
  </si>
  <si>
    <t>22-07-2026 14:57</t>
  </si>
  <si>
    <t>POT87445</t>
  </si>
  <si>
    <t>Profile 1 qty 3 tp trading mumbai</t>
  </si>
  <si>
    <t>CG-RT-0055</t>
  </si>
  <si>
    <t>22-07-2026 15:30</t>
  </si>
  <si>
    <t>POT87448</t>
  </si>
  <si>
    <t>profile 1 qty 1 tp gopalpur</t>
  </si>
  <si>
    <t>CG-RT-0056</t>
  </si>
  <si>
    <t>22-07-2026 16:01</t>
  </si>
  <si>
    <t>POT87449</t>
  </si>
  <si>
    <t>profile 1 qty 50 tp mumbai</t>
  </si>
  <si>
    <t>CG-RT-0057</t>
  </si>
  <si>
    <t>22-07-2026 16:26</t>
  </si>
  <si>
    <t>POT87450</t>
  </si>
  <si>
    <t>profile 1 qty 44 profile 2 qty 2 tp mumbai</t>
  </si>
  <si>
    <t>CG-RT-0058</t>
  </si>
  <si>
    <t>22-07-2026 16:42</t>
  </si>
  <si>
    <t>POT87451</t>
  </si>
  <si>
    <t>profile 1 qty 11 profile 2 qty 1 tp gujarat</t>
  </si>
  <si>
    <t>CG-RT-0059</t>
  </si>
  <si>
    <t>22-07-2026 16:56</t>
  </si>
  <si>
    <t>POT87452</t>
  </si>
  <si>
    <t>profile 1 qty 8 tp noida</t>
  </si>
  <si>
    <t>CG-RT-0060</t>
  </si>
  <si>
    <t>24-07-2026 14:30</t>
  </si>
  <si>
    <t>POT87467</t>
  </si>
  <si>
    <t>profile 1 qty 11 profile 2 qty 1- mumbai</t>
  </si>
  <si>
    <t>24-07-2026 14:42</t>
  </si>
  <si>
    <t>POT87468</t>
  </si>
  <si>
    <t>profile 1 qty 45 profile 3 qty 6 tp jharkhand jojobera</t>
  </si>
  <si>
    <t>CG-RT-0062</t>
  </si>
  <si>
    <t>24-07-2026 14:51</t>
  </si>
  <si>
    <t>POT87469</t>
  </si>
  <si>
    <t>profile 1 qty 1 tp paradeep iel</t>
  </si>
  <si>
    <t>CG-RT-0063</t>
  </si>
  <si>
    <t>24-07-2026 15:02</t>
  </si>
  <si>
    <t>POT87471</t>
  </si>
  <si>
    <t>profile 1 qty 4 tp up prayagraj</t>
  </si>
  <si>
    <t>CG-RT-0064</t>
  </si>
  <si>
    <t>28-06-2026 20:36</t>
  </si>
  <si>
    <t>POT87237</t>
  </si>
  <si>
    <t>Aditya Birla Sun Life Insurance Company Limited</t>
  </si>
  <si>
    <t>satish rathod</t>
  </si>
  <si>
    <t>lotus office switches- cisco</t>
  </si>
  <si>
    <t>Rocky Braganza+Nishant Jalan+Harshvardhan Dave+Richa Tiwari</t>
  </si>
  <si>
    <t>Harshvardhan Dave</t>
  </si>
  <si>
    <t>Active</t>
  </si>
  <si>
    <t>POT85892</t>
  </si>
  <si>
    <t>Tata Motors Limited</t>
  </si>
  <si>
    <t>Sarvesh Shrivastava</t>
  </si>
  <si>
    <t>Cisco ISE Renewal</t>
  </si>
  <si>
    <t>Rocky Braganza+Nishant Jalan+Harshvardhan Dave+Rohit Deshmukh</t>
  </si>
  <si>
    <t>CP-RD-0019</t>
  </si>
  <si>
    <t>22-06-2026 14:42</t>
  </si>
  <si>
    <t>POT87199</t>
  </si>
  <si>
    <t>Jamshedpur Cisco Juniper Passsive RC RFP</t>
  </si>
  <si>
    <t>CP-RD-0021</t>
  </si>
  <si>
    <t>22-06-2026 14:45</t>
  </si>
  <si>
    <t>POT87200</t>
  </si>
  <si>
    <t>Jamshedpur Cisco Switches 13 Qty RC RFP</t>
  </si>
  <si>
    <t>CP-RD-002324</t>
  </si>
  <si>
    <t>POT87320</t>
  </si>
  <si>
    <t>Dharwad Passive RC Supply</t>
  </si>
  <si>
    <t>Passive</t>
  </si>
  <si>
    <t>Commscope</t>
  </si>
  <si>
    <t>CP-RD-0018</t>
  </si>
  <si>
    <t>23-07-2026 21:14</t>
  </si>
  <si>
    <t>POT87463</t>
  </si>
  <si>
    <t>Jamshedpur RC Cisco Switche 1 Qty RC RFP</t>
  </si>
  <si>
    <t>CP-RD-002526</t>
  </si>
  <si>
    <t>POT87294</t>
  </si>
  <si>
    <t>Burpsuit license - On Premise â€“ 1 year Subscription -2</t>
  </si>
  <si>
    <t>Rocky Braganza+Nishant Jalan+Pravin Tapase+Jimesh Shah</t>
  </si>
  <si>
    <t>Pravin Tapase</t>
  </si>
  <si>
    <t>Security</t>
  </si>
  <si>
    <t>CP-JS-0006</t>
  </si>
  <si>
    <t>POT87264</t>
  </si>
  <si>
    <t>Cisco 1300 Switch</t>
  </si>
  <si>
    <t>Rocky Braganza+Nishant Jalan+Sagar TR</t>
  </si>
  <si>
    <t>CP-SC-0036</t>
  </si>
  <si>
    <t>OPF no: CP-SC-0036</t>
  </si>
  <si>
    <t>POT87323</t>
  </si>
  <si>
    <t>Dlink accessories</t>
  </si>
  <si>
    <t>D-Link</t>
  </si>
  <si>
    <t>CP-SC-0039</t>
  </si>
  <si>
    <t>OPF no: CP-SC-0039</t>
  </si>
  <si>
    <t>24-07-2026 15:03</t>
  </si>
  <si>
    <t>POT87472</t>
  </si>
  <si>
    <t>Dlink Accessories</t>
  </si>
  <si>
    <t>CP-SC-0046</t>
  </si>
  <si>
    <t>OPF no: CP-SC-0046</t>
  </si>
  <si>
    <t>24-07-2026 15:11</t>
  </si>
  <si>
    <t>POT87473</t>
  </si>
  <si>
    <t>Dlink Acessories</t>
  </si>
  <si>
    <t>CP-SC-0047</t>
  </si>
  <si>
    <t>OPF no: CP-SC-0047</t>
  </si>
  <si>
    <t>POT87334</t>
  </si>
  <si>
    <t>FortiGate40F Firewall</t>
  </si>
  <si>
    <t>Rocky Braganza+Nishant Jalan+Shaik Khadhar</t>
  </si>
  <si>
    <t>Fortinet</t>
  </si>
  <si>
    <t>CP-HS-0005</t>
  </si>
  <si>
    <t>OPF no: CP-HS-0005</t>
  </si>
  <si>
    <t>22-06-2026 12:31</t>
  </si>
  <si>
    <t>POT87194</t>
  </si>
  <si>
    <t>NCDEX e Markets Ltd. (NeML)</t>
  </si>
  <si>
    <t>Malay Sen</t>
  </si>
  <si>
    <t>NCDEX</t>
  </si>
  <si>
    <t>Rocky Braganza+Nishant Jalan+Shubhangi Srinivasan</t>
  </si>
  <si>
    <t>PAM</t>
  </si>
  <si>
    <t>Iraje</t>
  </si>
  <si>
    <t>CP-SU-0017</t>
  </si>
  <si>
    <t>30-06-2026 13:08</t>
  </si>
  <si>
    <t>POT87257</t>
  </si>
  <si>
    <t>Broadcast Audience Research Council</t>
  </si>
  <si>
    <t>Zafar Syed</t>
  </si>
  <si>
    <t>BARC_CheckPOint</t>
  </si>
  <si>
    <t>Firewall</t>
  </si>
  <si>
    <t>Checkpoint</t>
  </si>
  <si>
    <t>CP-SU-0013</t>
  </si>
  <si>
    <t>POT87276</t>
  </si>
  <si>
    <t>CFM Asset Reconstruction Pvt Ltd</t>
  </si>
  <si>
    <t>Shirish Shinde</t>
  </si>
  <si>
    <t>CFM_CP_Apr&amp;May</t>
  </si>
  <si>
    <t>Endpoint &amp; Email Security</t>
  </si>
  <si>
    <t>CP-SU-0014</t>
  </si>
  <si>
    <t>POT86741</t>
  </si>
  <si>
    <t>Bank of Baroda</t>
  </si>
  <si>
    <t>shubham sachan</t>
  </si>
  <si>
    <t>Broadcom API license</t>
  </si>
  <si>
    <t>Rocky Braganza+Nishant Jalan+Tasneem K</t>
  </si>
  <si>
    <t>POT86698</t>
  </si>
  <si>
    <t>Vishal Shah</t>
  </si>
  <si>
    <t>Microsoft Laptop 7 - 10 Qty</t>
  </si>
  <si>
    <t>Workstation</t>
  </si>
  <si>
    <t>Microsoft</t>
  </si>
  <si>
    <t>CG-RD-0020</t>
  </si>
  <si>
    <t>PO Number received. Awaiting formal PO</t>
  </si>
  <si>
    <t>POT87270</t>
  </si>
  <si>
    <t>Laptops for Palwal Warehouse</t>
  </si>
  <si>
    <t>CG-RD-0015</t>
  </si>
  <si>
    <t>29-06-2026 10:35</t>
  </si>
  <si>
    <t>POT87243</t>
  </si>
  <si>
    <t>Reserve Bank of India - IT Cell</t>
  </si>
  <si>
    <t>Altaf H Shaikh</t>
  </si>
  <si>
    <t>Dell AIO RBI</t>
  </si>
  <si>
    <t>Grey</t>
  </si>
  <si>
    <t>CG-SE-0005</t>
  </si>
  <si>
    <t>15-07-2026 17:29</t>
  </si>
  <si>
    <t>POT87375</t>
  </si>
  <si>
    <t>Afzal Sorathiya</t>
  </si>
  <si>
    <t>HP Omen</t>
  </si>
  <si>
    <t>CG-SE-0006</t>
  </si>
  <si>
    <t>POT87333</t>
  </si>
  <si>
    <t>HP Proobook 450 G10</t>
  </si>
  <si>
    <t>CG-HS-0006</t>
  </si>
  <si>
    <t>OPF no: CG-HS-0006</t>
  </si>
  <si>
    <t>Margin is covered under OPF CP-HS-0005</t>
  </si>
  <si>
    <t>POT85982</t>
  </si>
  <si>
    <t>Bank of Maharashtra</t>
  </si>
  <si>
    <t>shashikant Dhengale</t>
  </si>
  <si>
    <t>bank of maharshtra- desktop monitor</t>
  </si>
  <si>
    <t>Tasneem K+Pratik Kadam</t>
  </si>
  <si>
    <t>14-07-2026</t>
  </si>
  <si>
    <t>CG-PM-0041</t>
  </si>
  <si>
    <t>30715074 / 30722739</t>
  </si>
  <si>
    <t>Rejected / Rejected /Rejected</t>
  </si>
  <si>
    <t>order load</t>
  </si>
  <si>
    <t>POT87281</t>
  </si>
  <si>
    <t>INDIAN BANK</t>
  </si>
  <si>
    <t>M.S GUHANA</t>
  </si>
  <si>
    <t>INDIAN BANK-30 biometric</t>
  </si>
  <si>
    <t>CG-PM-0039</t>
  </si>
  <si>
    <t>13-07-2026 17:07</t>
  </si>
  <si>
    <t>POT87362</t>
  </si>
  <si>
    <t>PSB -50 L0 device</t>
  </si>
  <si>
    <t>CG-PM-0040</t>
  </si>
  <si>
    <t>POT87263</t>
  </si>
  <si>
    <t>STCI Finance Limited</t>
  </si>
  <si>
    <t>Umesh Bhosale</t>
  </si>
  <si>
    <t>HP - laptop support</t>
  </si>
  <si>
    <t>Yogesh Bhatia+Jay Rushi</t>
  </si>
  <si>
    <t>PM-JU-0015</t>
  </si>
  <si>
    <t>received this from OPF team to process this for OPF</t>
  </si>
  <si>
    <t>POT87271</t>
  </si>
  <si>
    <t>Priya Chemicals</t>
  </si>
  <si>
    <t>Dr. Angle</t>
  </si>
  <si>
    <t>AMC Priya Chemicals</t>
  </si>
  <si>
    <t>PM-JU-0016</t>
  </si>
  <si>
    <t>POT87309</t>
  </si>
  <si>
    <t>Sterling Wilson</t>
  </si>
  <si>
    <t>Vivek Chavan</t>
  </si>
  <si>
    <t>Workstation and Printer Sterling &amp; Wilson</t>
  </si>
  <si>
    <t>POT87312</t>
  </si>
  <si>
    <t>E-Freight Global</t>
  </si>
  <si>
    <t>Sanket Nar</t>
  </si>
  <si>
    <t>Dell laptops - E freight Global</t>
  </si>
  <si>
    <t>POT87272</t>
  </si>
  <si>
    <t>Indo Japan Polymers Private Limited</t>
  </si>
  <si>
    <t>Sridhar ramanathan</t>
  </si>
  <si>
    <t>HP Mobile workstation</t>
  </si>
  <si>
    <t>Yogesh Bhatia+Varunkumar Mishra</t>
  </si>
  <si>
    <t>Customer Reference</t>
  </si>
  <si>
    <t>CG-VM-0001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</si>
</sst>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8" fillId="0" borderId="0" xfId="0" applyFont="1" applyFill="1" applyBorder="1" applyAlignment="1"/>
    <xf numFmtId="22" fontId="18" fillId="0" borderId="0" xfId="0" applyNumberFormat="1" applyFont="1" applyFill="1" applyBorder="1" applyAlignment="1"/>
    <xf numFmtId="4" fontId="18" fillId="0" borderId="0" xfId="0" applyNumberFormat="1" applyFont="1" applyFill="1" applyBorder="1" applyAlignment="1"/>
    <xf numFmtId="14" fontId="18" fillId="0" borderId="0" xfId="0" applyNumberFormat="1" applyFont="1" applyFill="1" applyBorder="1" applyAlignment="1"/>
    <xf numFmtId="0" fontId="18" fillId="0" borderId="0" xfId="0" quotePrefix="1" applyFont="1" applyFill="1" applyBorder="1" applyAlignment="1"/>
    <xf numFmtId="0" fontId="18" fillId="0" borderId="0" xfId="0" applyFont="1" applyFill="1" applyBorder="1" applyAlignment="1"/>
    <xf numFmtId="4" fontId="18" fillId="0" borderId="0" xfId="0" applyNumberFormat="1" applyFont="1" applyFill="1" applyBorder="1" applyAlignment="1"/>
    <xf numFmtId="0" fontId="18" fillId="0" borderId="0" xfId="0" quotePrefix="1" applyFont="1" applyFill="1" applyBorder="1" applyAlignment="1"/>
    <xf numFmtId="0" fontId="18" fillId="0" borderId="0" xfId="0" applyFont="1" applyFill="1" applyBorder="1" applyAlignment="1">
      <alignment wrapText="1"/>
    </xf>
    <xf numFmtId="22" fontId="18" fillId="0" borderId="0" xfId="0" applyNumberFormat="1" applyFont="1" applyFill="1" applyBorder="1" applyAlignment="1"/>
    <xf numFmtId="14" fontId="18" fillId="0" borderId="0" xfId="0" applyNumberFormat="1" applyFont="1" applyFill="1" applyBorder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harshini " refreshedDate="46224.722186342595" createdVersion="8" refreshedVersion="8" minRefreshableVersion="3" recordCount="46" xr:uid="{601F1B9E-F21D-4A99-9FB1-17E54BE54E2E}">
  <cacheSource type="worksheet">
    <worksheetSource ref="A1:Z47" sheet="Opportunity Pipeline "/>
  </cacheSource>
  <cacheFields count="26">
    <cacheField name="_x0009_ï»¿&quot;Created Time&quot;" numFmtId="0">
      <sharedItems containsDate="1" containsBlank="1" containsMixedTypes="1" minDate="2025-10-03T12:50:00" maxDate="2026-10-07T11:42:00"/>
    </cacheField>
    <cacheField name="Opportunity Number" numFmtId="0">
      <sharedItems/>
    </cacheField>
    <cacheField name="Organization Name" numFmtId="0">
      <sharedItems/>
    </cacheField>
    <cacheField name="Contact Name" numFmtId="0">
      <sharedItems/>
    </cacheField>
    <cacheField name="Opportunity Name" numFmtId="0">
      <sharedItems/>
    </cacheField>
    <cacheField name="Opportunity Led By" numFmtId="0">
      <sharedItems count="17">
        <s v="Abrar Memon"/>
        <s v="Prachi Mayekar"/>
        <s v="Rohit Deshmukh"/>
        <s v="Sagar TR"/>
        <s v="Shaik Khadhar"/>
        <s v="Tasneem K"/>
        <s v="Chirag Palande"/>
        <s v="Jimesh Shah"/>
        <s v="Ajay Patodia"/>
        <s v="Hrushikesh Bagade"/>
        <s v="Rima Ingle"/>
        <s v="Shubhangi Srinivasan"/>
        <s v="Sankeerth Bhargav"/>
        <s v="Pratik Kadam"/>
        <s v="Jay Rushi"/>
        <s v="Varunkumar Mishra"/>
        <s v="Chetna Sharma"/>
      </sharedItems>
    </cacheField>
    <cacheField name="Assigned To" numFmtId="0">
      <sharedItems/>
    </cacheField>
    <cacheField name="Lead Source" numFmtId="0">
      <sharedItems/>
    </cacheField>
    <cacheField name="Identifier" numFmtId="0">
      <sharedItems/>
    </cacheField>
    <cacheField name="Supported By" numFmtId="0">
      <sharedItems/>
    </cacheField>
    <cacheField name="Category" numFmtId="0">
      <sharedItems count="4">
        <s v="CSG (EndPoint)"/>
        <s v="Data Centre"/>
        <s v="Professional Services"/>
        <s v="Cyber Security &amp; Networking"/>
      </sharedItems>
    </cacheField>
    <cacheField name="Sub Category" numFmtId="0">
      <sharedItems/>
    </cacheField>
    <cacheField name="Brand" numFmtId="0">
      <sharedItems/>
    </cacheField>
    <cacheField name="Sales Stage" numFmtId="0">
      <sharedItems/>
    </cacheField>
    <cacheField name="Amount" numFmtId="0">
      <sharedItems containsSemiMixedTypes="0" containsString="0" containsNumber="1" minValue="0" maxValue="984960000"/>
    </cacheField>
    <cacheField name="Estimated Bottomline" numFmtId="0">
      <sharedItems containsSemiMixedTypes="0" containsString="0" containsNumber="1" minValue="0" maxValue="72016332.569999993"/>
    </cacheField>
    <cacheField name="Actual Bottomline -" numFmtId="0">
      <sharedItems containsSemiMixedTypes="0" containsString="0" containsNumber="1" minValue="0" maxValue="6445062.0199999996"/>
    </cacheField>
    <cacheField name="Expected Close Date" numFmtId="14">
      <sharedItems containsSemiMixedTypes="0" containsNonDate="0" containsDate="1" containsString="0" minDate="2026-01-07T00:00:00" maxDate="2026-10-08T00:00:00"/>
    </cacheField>
    <cacheField name="Deal Category" numFmtId="0">
      <sharedItems/>
    </cacheField>
    <cacheField name="Probability" numFmtId="0">
      <sharedItems containsSemiMixedTypes="0" containsString="0" containsNumber="1" containsInteger="1" minValue="10" maxValue="100"/>
    </cacheField>
    <cacheField name="OPF No." numFmtId="0">
      <sharedItems/>
    </cacheField>
    <cacheField name="Deal ID" numFmtId="0">
      <sharedItems containsMixedTypes="1" containsNumber="1" containsInteger="1" minValue="31068445" maxValue="31068445"/>
    </cacheField>
    <cacheField name="Deal Status" numFmtId="0">
      <sharedItems/>
    </cacheField>
    <cacheField name="Deal Expiry Date" numFmtId="0">
      <sharedItems containsDate="1" containsMixedTypes="1" minDate="2026-07-13T00:00:00" maxDate="2026-07-14T00:00:00"/>
    </cacheField>
    <cacheField name="Description" numFmtId="0">
      <sharedItems/>
    </cacheField>
    <cacheField name="Divis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d v="2026-08-06T14:03:00"/>
    <s v="POT87070"/>
    <s v="Click Tech Retail"/>
    <s v="Sridhar s"/>
    <s v="Lenovo ThinkBook 14"/>
    <x v="0"/>
    <s v="Abrar Memon"/>
    <s v="Self"/>
    <s v="NA"/>
    <s v="None"/>
    <x v="0"/>
    <s v="Laptop"/>
    <s v="HP"/>
    <s v="Closed Won"/>
    <n v="866000"/>
    <n v="39500"/>
    <n v="39500"/>
    <d v="2026-03-07T00:00:00"/>
    <s v="Green"/>
    <n v="100"/>
    <s v="CG-AE-0005"/>
    <s v="-"/>
    <s v="-"/>
    <s v="-"/>
    <s v="OPF no: CG-AE-0005"/>
    <s v="South"/>
  </r>
  <r>
    <d v="2026-10-07T11:42:00"/>
    <s v="POT87329"/>
    <s v="NEW TRENDS COMMERCE PRIVATE LIMITED"/>
    <s v="Ahil Krishna"/>
    <s v="Lenovo ThinkBook 14"/>
    <x v="0"/>
    <s v="Abrar Memon"/>
    <s v="Self"/>
    <s v="NA"/>
    <s v="None"/>
    <x v="0"/>
    <s v="Laptop"/>
    <s v="Lenovo"/>
    <s v="Closed Won"/>
    <n v="1732000"/>
    <n v="89000"/>
    <n v="89000"/>
    <d v="2026-10-07T00:00:00"/>
    <s v="Green"/>
    <n v="100"/>
    <s v="CG-AE-0006"/>
    <s v="-"/>
    <s v="-"/>
    <s v="-"/>
    <s v="OPF no: CG-AE-0006"/>
    <s v="South"/>
  </r>
  <r>
    <d v="2026-02-05T11:13:00"/>
    <s v="POT86667"/>
    <s v="JSW Group"/>
    <s v="Kamlesh Shera"/>
    <s v="Nutanix Nodes"/>
    <x v="1"/>
    <s v="Ajay Patodia+Mukesh Choithani+Prachi Mayekar"/>
    <s v="Self"/>
    <s v="NA"/>
    <s v="Mukesh Choithani"/>
    <x v="1"/>
    <s v="Virtualisation"/>
    <s v="Nutanix"/>
    <s v="Closed Won"/>
    <n v="14500000"/>
    <n v="1200000"/>
    <n v="0"/>
    <d v="2026-02-07T00:00:00"/>
    <s v="Green"/>
    <n v="100"/>
    <s v="-"/>
    <s v="-"/>
    <s v="-"/>
    <s v="-"/>
    <s v="-"/>
    <s v="CB"/>
  </r>
  <r>
    <d v="2025-10-03T12:50:00"/>
    <s v="POT82475"/>
    <s v="Axis Bank Ltd"/>
    <s v="Tarique Husain"/>
    <s v="Broadcom VCF License Renewal- 3 Years"/>
    <x v="2"/>
    <s v="Ajay Patodia+Mukesh Choithani+Rohit Deshmukh"/>
    <s v="Enterprise Coverage"/>
    <s v="Rohit Deshmukh"/>
    <s v="Mukesh Choithani"/>
    <x v="1"/>
    <s v="Compute"/>
    <s v="Dell"/>
    <s v="Closed Won"/>
    <n v="984960000"/>
    <n v="72016332.569999993"/>
    <n v="6445062.0199999996"/>
    <d v="2026-08-07T00:00:00"/>
    <s v="Green"/>
    <n v="100"/>
    <s v="DP-RD-0017"/>
    <s v="-"/>
    <s v="-"/>
    <s v="-"/>
    <s v="-"/>
    <s v="S2"/>
  </r>
  <r>
    <m/>
    <s v="POT86704"/>
    <s v="Axis Bank Ltd"/>
    <s v="Tarique Husain"/>
    <s v="40 New Server Installation Services"/>
    <x v="2"/>
    <s v="Ajay Patodia+Mukesh Choithani+Rohit Deshmukh"/>
    <s v="Enterprise Coverage"/>
    <s v="Rohit Deshmukh"/>
    <s v="Mukesh Choithani"/>
    <x v="1"/>
    <s v="Other OEM Services"/>
    <s v="Dell"/>
    <s v="Closed Won"/>
    <n v="900000"/>
    <n v="100000"/>
    <n v="0"/>
    <d v="2026-02-07T00:00:00"/>
    <s v="Green"/>
    <n v="100"/>
    <s v="-"/>
    <s v="-"/>
    <s v="-"/>
    <s v="-"/>
    <s v="-"/>
    <s v="S2"/>
  </r>
  <r>
    <d v="2026-01-07T10:00:00"/>
    <s v="POT87261"/>
    <s v="Alpha Design Technologies Private Limited ADTL"/>
    <s v="Venkatramana Nettinti"/>
    <s v="LED Display and Accessories"/>
    <x v="3"/>
    <s v="Ajay Patodia+Mukesh Choithani+Sagar TR"/>
    <s v="Self"/>
    <s v="NA"/>
    <s v="None"/>
    <x v="0"/>
    <s v="Accessories"/>
    <s v="Others"/>
    <s v="Closed Won"/>
    <n v="362400"/>
    <n v="60900"/>
    <n v="5400"/>
    <d v="2026-03-07T00:00:00"/>
    <s v="Green"/>
    <n v="100"/>
    <s v="CG-SC-0038"/>
    <s v="-"/>
    <s v="-"/>
    <s v="-"/>
    <s v="OPF no: CG-SC-0038"/>
    <s v="South"/>
  </r>
  <r>
    <d v="2026-03-07T13:50:00"/>
    <s v="POT87282"/>
    <s v="CHUBB Systems Pvt Ltd"/>
    <s v="sudhindra acharya"/>
    <s v="HPE rental server for 5 months"/>
    <x v="3"/>
    <s v="Ajay Patodia+Mukesh Choithani+Sagar TR"/>
    <s v="Self"/>
    <s v="NA"/>
    <s v="Ajay Patodia"/>
    <x v="1"/>
    <s v="Rental"/>
    <s v="HPE/Aruba"/>
    <s v="Closed Won"/>
    <n v="145000"/>
    <n v="20000"/>
    <n v="0"/>
    <d v="2026-03-07T00:00:00"/>
    <s v="Green"/>
    <n v="100"/>
    <s v="DC-SC-0058"/>
    <s v="-"/>
    <s v="-"/>
    <s v="-"/>
    <s v="OPF no: DP-SC-0037"/>
    <s v="S2"/>
  </r>
  <r>
    <d v="2026-03-07T18:39:00"/>
    <s v="POT87290"/>
    <s v="CHUBB Systems Pvt Ltd"/>
    <s v="sudhindra acharya"/>
    <s v="Dell servers and workstation"/>
    <x v="3"/>
    <s v="Ajay Patodia+Mukesh Choithani+Sagar TR"/>
    <s v="Self"/>
    <s v="NA"/>
    <s v="None"/>
    <x v="1"/>
    <s v="Compute"/>
    <s v="HPE/Aruba"/>
    <s v="Closed Won"/>
    <n v="631600"/>
    <n v="7600"/>
    <n v="0"/>
    <d v="2026-09-07T00:00:00"/>
    <s v="Green"/>
    <n v="100"/>
    <s v="DP-SC-0042"/>
    <s v="-"/>
    <s v="-"/>
    <s v="-"/>
    <s v="OPF no: DP-SC-0042_x000a_Margin is covered under OPF DP-SC-0041"/>
    <s v="South"/>
  </r>
  <r>
    <d v="2026-08-07T12:27:00"/>
    <s v="POT87317"/>
    <s v="CHUBB Systems Pvt Ltd"/>
    <s v="sudhindra acharya"/>
    <s v="HPE ProLiant DL380 Gen11Â  1PÂ  NC 12LFF 800W PS Server"/>
    <x v="3"/>
    <s v="Ajay Patodia+Mukesh Choithani+Sagar TR"/>
    <s v="Self"/>
    <s v="NA"/>
    <s v="None"/>
    <x v="1"/>
    <s v="Compute"/>
    <s v="HPE/Aruba"/>
    <s v="Closed Won"/>
    <n v="1794000"/>
    <n v="150000"/>
    <n v="0"/>
    <d v="2026-09-07T00:00:00"/>
    <s v="Green"/>
    <n v="100"/>
    <s v="DP-SC-0040"/>
    <s v="-"/>
    <s v="-"/>
    <s v="-"/>
    <s v="OPF no: DP-SC-0040"/>
    <s v="South"/>
  </r>
  <r>
    <d v="2026-08-07T12:31:00"/>
    <s v="POT87318"/>
    <s v="CHUBB Systems Pvt Ltd"/>
    <s v="sudhindra acharya"/>
    <s v="HPE ProLiant DL380 Gen11 1PÂ  MR408i-o NC 8SFF 800W PS Server"/>
    <x v="3"/>
    <s v="Ajay Patodia+Mukesh Choithani+Sagar TR"/>
    <s v="Self"/>
    <s v="NA"/>
    <s v="None"/>
    <x v="1"/>
    <s v="Compute"/>
    <s v="HPE/Aruba"/>
    <s v="Closed Won"/>
    <n v="2025000"/>
    <n v="428000"/>
    <n v="0"/>
    <d v="2026-09-07T00:00:00"/>
    <s v="Green"/>
    <n v="100"/>
    <s v="DP-SC-0041"/>
    <s v="-"/>
    <s v="-"/>
    <s v="-"/>
    <s v="OPF no: DP-SC-0041"/>
    <s v="South"/>
  </r>
  <r>
    <s v="21-05-2026 3:10 PM"/>
    <s v="POT86852"/>
    <s v="Chanakya University"/>
    <s v="Sachin Goni"/>
    <s v="Dell AI Server"/>
    <x v="4"/>
    <s v="Ajay Patodia+Mukesh Choithani+Shaik Khadhar"/>
    <s v="Self"/>
    <s v="NA"/>
    <s v="Ajay Patodia"/>
    <x v="1"/>
    <s v="Compute"/>
    <s v="Dell"/>
    <s v="Closed Won"/>
    <n v="0"/>
    <n v="0"/>
    <n v="0"/>
    <d v="2026-06-07T00:00:00"/>
    <s v="Green"/>
    <n v="10"/>
    <s v="-"/>
    <s v="-"/>
    <s v="-"/>
    <s v="-"/>
    <s v="-"/>
    <s v="South"/>
  </r>
  <r>
    <d v="2026-03-07T13:50:00"/>
    <s v="POT87283"/>
    <s v="Bank of India"/>
    <s v="Deepak Prakash"/>
    <s v="Cisco Server AMC Qty 14"/>
    <x v="5"/>
    <s v="Ajay Patodia+Mukesh Choithani+Tasneem K"/>
    <s v="Self"/>
    <s v="NA"/>
    <s v="Ajay Patodia"/>
    <x v="1"/>
    <s v="Compute"/>
    <s v="CISCO"/>
    <s v="Closed Won"/>
    <n v="1091540.1299999999"/>
    <n v="257844.13"/>
    <n v="0"/>
    <d v="2026-03-07T00:00:00"/>
    <s v="Green"/>
    <n v="100"/>
    <s v="-"/>
    <s v="-"/>
    <s v="-"/>
    <s v="-"/>
    <s v="-"/>
    <s v="S1"/>
  </r>
  <r>
    <d v="2026-09-07T15:34:00"/>
    <s v="POT87326"/>
    <s v="Bank of India"/>
    <s v="deepesh meetal"/>
    <s v="boi laptop-1"/>
    <x v="5"/>
    <s v="Ajay Patodia+Tasneem K"/>
    <s v="Self"/>
    <s v="NA"/>
    <s v="Ajay Patodia"/>
    <x v="0"/>
    <s v="Other OEM Services"/>
    <s v="Dell"/>
    <s v="Closed Won"/>
    <n v="275000"/>
    <n v="40000"/>
    <n v="40100"/>
    <d v="2026-09-07T00:00:00"/>
    <s v="Green"/>
    <n v="100"/>
    <s v="CG-TK-0015"/>
    <s v="-"/>
    <s v="-"/>
    <s v="-"/>
    <s v="-"/>
    <s v="S1"/>
  </r>
  <r>
    <s v="14-04-2026 3:11 PM"/>
    <s v="POT86537"/>
    <s v="The Multi Commodity Exchange Clearing Corporation Limited - (MCXCCL"/>
    <s v="Pramod Kumar"/>
    <s v="Dell - Multi Product RFP( Laptops, Monitors &amp; Wireless Keyboard &amp; Mouse )"/>
    <x v="6"/>
    <s v="Chirag Palande"/>
    <s v="Self"/>
    <s v="NA"/>
    <s v="None"/>
    <x v="0"/>
    <s v="Laptop"/>
    <s v="Dell"/>
    <s v="Closed Won"/>
    <n v="9601500"/>
    <n v="476975"/>
    <n v="0"/>
    <d v="2026-03-07T00:00:00"/>
    <s v="Green"/>
    <n v="100"/>
    <s v="-"/>
    <n v="31068445"/>
    <s v="Approved"/>
    <s v="13-07-2026"/>
    <s v="-"/>
    <s v="S2"/>
  </r>
  <r>
    <s v="19-06-2026 4:11 PM"/>
    <s v="POT87154"/>
    <s v="The Multi Commodity Exchange Clearing Corporation Limited - (MCXCCL"/>
    <s v="Pramod Kumar"/>
    <s v="MCXCCL - Laptop 1 qty"/>
    <x v="6"/>
    <s v="Chirag Palande"/>
    <s v="Self"/>
    <s v="NA"/>
    <s v="None"/>
    <x v="0"/>
    <s v="Laptop"/>
    <s v="Samsung"/>
    <s v="Closed Won"/>
    <n v="199500"/>
    <n v="7000"/>
    <n v="0"/>
    <d v="2026-04-07T00:00:00"/>
    <s v="Green"/>
    <n v="100"/>
    <s v="-"/>
    <s v="-"/>
    <s v="-"/>
    <s v="-"/>
    <s v="-"/>
    <s v="S2"/>
  </r>
  <r>
    <d v="2026-08-07T22:12:00"/>
    <s v="POT87324"/>
    <s v="Mirae Asset investment Manager"/>
    <s v="Satish Anchan"/>
    <s v="Rental Laptops - 04"/>
    <x v="7"/>
    <s v="Jimesh Shah"/>
    <s v="Self"/>
    <s v="NA"/>
    <s v="None"/>
    <x v="0"/>
    <s v="Laptop"/>
    <s v="Others"/>
    <s v="Closed Won"/>
    <n v="22400"/>
    <n v="3200"/>
    <n v="0"/>
    <d v="2026-08-07T00:00:00"/>
    <s v="Green"/>
    <n v="100"/>
    <s v="-"/>
    <s v="-"/>
    <s v="-"/>
    <s v="-"/>
    <s v="PO received"/>
    <s v="CB"/>
  </r>
  <r>
    <d v="2026-01-07T11:08:00"/>
    <s v="POT87262"/>
    <s v="SBI Life Insurance Co. Ltd"/>
    <s v="Chandrashekhar Marode"/>
    <s v="Galaxy VMware Support for the Period of 1 Year"/>
    <x v="8"/>
    <s v="Jitesh Rajput+Sandeep Makwana+Anil Zachariah+Anoop Pai Dhungat+Ajay Patodia"/>
    <s v="Self"/>
    <s v="NA"/>
    <s v="None"/>
    <x v="2"/>
    <s v="Residency Services"/>
    <s v="Galaxy"/>
    <s v="Closed Won"/>
    <n v="4998498"/>
    <n v="500000"/>
    <n v="0"/>
    <d v="2026-01-07T00:00:00"/>
    <s v="Green"/>
    <n v="100"/>
    <s v="PR-AP-0028"/>
    <s v="-"/>
    <s v="-"/>
    <s v="-"/>
    <s v="Required Galaxy L1/ L2 VMWare Support with 24X7 Support for  the period of 1 Year _x000a_OPF no: PR-AP-0028_x000a_Shared the Galaxy RE proposal with 24*7 support"/>
    <s v="DCG BU Head"/>
  </r>
  <r>
    <d v="2026-02-05T20:12:00"/>
    <s v="POT86673"/>
    <s v="National Chemical Laboratory NCL"/>
    <s v="Sanjay Askar"/>
    <s v="VAPT remediation Services"/>
    <x v="9"/>
    <s v="Jitesh Rajput+Sandeep Makwana+Anil Zachariah+Hrushikesh Bagade"/>
    <s v="Self"/>
    <s v="NA"/>
    <s v="Jitesh Rajput"/>
    <x v="2"/>
    <s v="Managed Services"/>
    <s v="Others"/>
    <s v="Closed Won"/>
    <n v="169490"/>
    <n v="141555"/>
    <n v="0"/>
    <d v="2026-09-07T00:00:00"/>
    <s v="Green"/>
    <n v="100"/>
    <s v="-"/>
    <s v="-"/>
    <s v="-"/>
    <s v="-"/>
    <s v="EU wants Galaxy services for VAPT remediation, proposal sent , under nego, po received."/>
    <s v="GeoX"/>
  </r>
  <r>
    <d v="2026-10-07T10:28:00"/>
    <s v="POT87328"/>
    <s v="Nexus Innovative Solutions Private Limited"/>
    <s v="Praveen S"/>
    <s v="Google zero touch enrolment + services"/>
    <x v="10"/>
    <s v="Jitesh Rajput+Sandeep Makwana+Anil Zachariah+Rima Ingle"/>
    <s v="Professional Services Farming"/>
    <s v="NA"/>
    <s v="Jitesh Rajput"/>
    <x v="2"/>
    <s v="Managed Services"/>
    <s v="Others"/>
    <s v="Closed Won"/>
    <n v="53100"/>
    <n v="3450"/>
    <n v="0"/>
    <d v="2026-10-07T00:00:00"/>
    <s v="Green"/>
    <n v="100"/>
    <s v="-"/>
    <s v="-"/>
    <s v="-"/>
    <s v="-"/>
    <s v="-"/>
    <s v="GB"/>
  </r>
  <r>
    <d v="2026-02-02T14:31:00"/>
    <s v="POT85892"/>
    <s v="Tata Motors Limited"/>
    <s v="Sarvesh Shrivastava"/>
    <s v="Cisco ISE Renewal"/>
    <x v="2"/>
    <s v="Rocky Braganza+Nishant Jalan+Harshvardhan Dave+Rohit Deshmukh"/>
    <s v="Enterprise Coverage"/>
    <s v="Rohit Deshmukh"/>
    <s v="Harshvardhan Dave"/>
    <x v="3"/>
    <s v="Others"/>
    <s v="CISCO"/>
    <s v="Closed Won"/>
    <n v="80000"/>
    <n v="0"/>
    <n v="0"/>
    <d v="2026-02-07T00:00:00"/>
    <s v="Green"/>
    <n v="100"/>
    <s v="-"/>
    <s v="-"/>
    <s v="-"/>
    <s v="-"/>
    <s v="-"/>
    <s v="S2"/>
  </r>
  <r>
    <d v="2026-08-07T14:35:00"/>
    <s v="POT87320"/>
    <s v="Tata Motors Limited"/>
    <s v="Sarvesh Shrivastava"/>
    <s v="Dharwad Passive RC Supply"/>
    <x v="2"/>
    <s v="Rocky Braganza+Nishant Jalan+Harshvardhan Dave+Rohit Deshmukh"/>
    <s v="Enterprise Coverage"/>
    <s v="Rohit Deshmukh"/>
    <s v="Harshvardhan Dave"/>
    <x v="3"/>
    <s v="Passive"/>
    <s v="Commscope"/>
    <s v="Closed Won"/>
    <n v="455169"/>
    <n v="50000"/>
    <n v="0"/>
    <d v="2026-08-07T00:00:00"/>
    <s v="Green"/>
    <n v="100"/>
    <s v="-"/>
    <s v="-"/>
    <s v="-"/>
    <s v="-"/>
    <s v="-"/>
    <s v="S2"/>
  </r>
  <r>
    <d v="2026-03-07T21:12:00"/>
    <s v="POT87294"/>
    <s v="Mirae asset"/>
    <s v="Sameer Mhatre"/>
    <s v="Burpsuit license - On Premise â€“ 1 year Subscription -2"/>
    <x v="7"/>
    <s v="Rocky Braganza+Nishant Jalan+Pravin Tapase+Jimesh Shah"/>
    <s v="Self"/>
    <s v="NA"/>
    <s v="Pravin Tapase"/>
    <x v="3"/>
    <s v="Security"/>
    <s v="Others"/>
    <s v="Closed Won"/>
    <n v="92000"/>
    <n v="7000"/>
    <n v="0"/>
    <d v="2026-03-07T00:00:00"/>
    <s v="Green"/>
    <n v="100"/>
    <s v="-"/>
    <s v="-"/>
    <s v="-"/>
    <s v="-"/>
    <s v="-"/>
    <s v="CB"/>
  </r>
  <r>
    <d v="2026-01-07T16:08:00"/>
    <s v="POT87264"/>
    <s v="CHUBB Systems Pvt Ltd"/>
    <s v="sudhindra acharya"/>
    <s v="Cisco 1300 Switch"/>
    <x v="3"/>
    <s v="Rocky Braganza+Nishant Jalan+Sagar TR"/>
    <s v="Self"/>
    <s v="NA"/>
    <s v="None"/>
    <x v="3"/>
    <s v="Active"/>
    <s v="CISCO"/>
    <s v="Closed Won"/>
    <n v="31000"/>
    <n v="4000"/>
    <n v="4000"/>
    <d v="2026-02-07T00:00:00"/>
    <s v="Green"/>
    <n v="100"/>
    <s v="CP-SC-0036"/>
    <s v="-"/>
    <s v="-"/>
    <s v="-"/>
    <s v="OPF no: CP-SC-0036"/>
    <s v="South"/>
  </r>
  <r>
    <d v="2026-08-07T18:22:00"/>
    <s v="POT87323"/>
    <s v="CHUBB Systems Pvt Ltd"/>
    <s v="sudhindra acharya"/>
    <s v="Dlink accessories"/>
    <x v="3"/>
    <s v="Rocky Braganza+Nishant Jalan+Sagar TR"/>
    <s v="Self"/>
    <s v="NA"/>
    <s v="None"/>
    <x v="3"/>
    <s v="Passive"/>
    <s v="D-Link"/>
    <s v="Closed Won"/>
    <n v="6349"/>
    <n v="1835"/>
    <n v="1835"/>
    <d v="2026-09-07T00:00:00"/>
    <s v="Green"/>
    <n v="100"/>
    <s v="CP-SC-0039"/>
    <s v="-"/>
    <s v="-"/>
    <s v="-"/>
    <s v="OPF no: CP-SC-0039"/>
    <s v="South"/>
  </r>
  <r>
    <s v="30-06-2026 1:08 PM"/>
    <s v="POT87257"/>
    <s v="Broadcast Audience Research Council"/>
    <s v="Zafar Syed"/>
    <s v="BARC_CheckPOint"/>
    <x v="11"/>
    <s v="Rocky Braganza+Nishant Jalan+Shubhangi Srinivasan"/>
    <s v="Self"/>
    <s v="NA"/>
    <s v="Yogesh Bhatia"/>
    <x v="3"/>
    <s v="Firewall"/>
    <s v="Checkpoint"/>
    <s v="Closed Won"/>
    <n v="8600000"/>
    <n v="3182788.32"/>
    <n v="0"/>
    <d v="2026-02-07T00:00:00"/>
    <s v="Green"/>
    <n v="100"/>
    <s v="-"/>
    <s v="-"/>
    <s v="-"/>
    <s v="-"/>
    <s v="-"/>
    <s v="GB"/>
  </r>
  <r>
    <d v="2026-10-05T15:59:00"/>
    <s v="POT86741"/>
    <s v="Bank of Baroda"/>
    <s v="shubham sachan"/>
    <s v="Broadcom API license"/>
    <x v="5"/>
    <s v="Rocky Braganza+Nishant Jalan+Tasneem K"/>
    <s v="Self"/>
    <s v="NA"/>
    <s v="None"/>
    <x v="3"/>
    <s v="Security"/>
    <s v="VMware"/>
    <s v="Closed Won"/>
    <n v="16900000"/>
    <n v="400000"/>
    <n v="0"/>
    <d v="2026-10-07T00:00:00"/>
    <s v="Green"/>
    <n v="100"/>
    <s v="-"/>
    <s v="-"/>
    <s v="-"/>
    <s v="-"/>
    <s v="-"/>
    <s v="S1"/>
  </r>
  <r>
    <d v="2026-02-07T15:56:00"/>
    <s v="POT87270"/>
    <s v="Tata Motors Limited"/>
    <s v="Sarvesh Shrivastava"/>
    <s v="Laptops for Palwal Warehouse"/>
    <x v="2"/>
    <s v="Rohit Deshmukh"/>
    <s v="Enterprise Coverage"/>
    <s v="Rohit Deshmukh"/>
    <s v="None"/>
    <x v="0"/>
    <s v="Laptop"/>
    <s v="Dell"/>
    <s v="Closed Won"/>
    <n v="800000"/>
    <n v="70000"/>
    <n v="0"/>
    <d v="2026-02-07T00:00:00"/>
    <s v="Green"/>
    <n v="100"/>
    <s v="CG-RD-0015"/>
    <s v="-"/>
    <s v="-"/>
    <s v="-"/>
    <s v="-"/>
    <s v="S2"/>
  </r>
  <r>
    <s v="29-06-2026 10:35 AM"/>
    <s v="POT87243"/>
    <s v="Reserve Bank of India - IT Cell"/>
    <s v="Altaf H Shaikh"/>
    <s v="Dell AIO RBI"/>
    <x v="12"/>
    <s v="Sankeerth Bhargav"/>
    <s v="Self"/>
    <s v="NA"/>
    <s v="None"/>
    <x v="0"/>
    <s v="Laptop"/>
    <s v="Dell"/>
    <s v="Closed Won"/>
    <n v="667800"/>
    <n v="31800"/>
    <n v="0"/>
    <d v="2026-03-07T00:00:00"/>
    <s v="Grey"/>
    <n v="50"/>
    <s v="-"/>
    <s v="-"/>
    <s v="-"/>
    <s v="-"/>
    <s v="-"/>
    <s v="S2"/>
  </r>
  <r>
    <d v="2026-03-07T13:32:00"/>
    <s v="POT87281"/>
    <s v="INDIAN BANK"/>
    <s v="M.S GUHANA"/>
    <s v="INDIAN BANK-30 biometric"/>
    <x v="13"/>
    <s v="Tasneem K+Pratik Kadam"/>
    <s v="Self"/>
    <s v="NA"/>
    <s v="Tasneem K"/>
    <x v="0"/>
    <s v="Other OEM Services"/>
    <s v="Others"/>
    <s v="Closed Won"/>
    <n v="87000"/>
    <n v="22500"/>
    <n v="22500"/>
    <d v="2026-03-07T00:00:00"/>
    <s v="Green"/>
    <n v="100"/>
    <s v="CG-PM-0039"/>
    <s v="-"/>
    <s v="-"/>
    <s v="-"/>
    <s v="-"/>
    <s v="S1"/>
  </r>
  <r>
    <d v="2026-01-07T14:59:00"/>
    <s v="POT87263"/>
    <s v="STCI Finance Limited"/>
    <s v="Umesh Bhosale"/>
    <s v="HP - laptop support"/>
    <x v="14"/>
    <s v="Yogesh Bhatia+Jay Rushi"/>
    <s v="Self"/>
    <s v="NA"/>
    <s v="Yogesh Bhatia"/>
    <x v="0"/>
    <s v="Laptop"/>
    <s v="HP"/>
    <s v="Closed Won"/>
    <n v="1700"/>
    <n v="200"/>
    <n v="0"/>
    <d v="2026-04-07T00:00:00"/>
    <s v="Green"/>
    <n v="80"/>
    <s v="-"/>
    <s v="-"/>
    <s v="-"/>
    <s v="-"/>
    <s v="received this from OPF team to process this for OPF"/>
    <s v="GB"/>
  </r>
  <r>
    <d v="2026-02-07T17:34:00"/>
    <s v="POT87271"/>
    <s v="Priya Chemicals"/>
    <s v="Dr. Angle"/>
    <s v="AMC Priya Chemicals"/>
    <x v="14"/>
    <s v="Yogesh Bhatia+Jay Rushi"/>
    <s v="Self"/>
    <s v="NA"/>
    <s v="Yogesh Bhatia"/>
    <x v="0"/>
    <s v="Laptop"/>
    <s v="Lenovo"/>
    <s v="Closed Won"/>
    <n v="39000"/>
    <n v="2000"/>
    <n v="0"/>
    <d v="2026-09-07T00:00:00"/>
    <s v="Green"/>
    <n v="80"/>
    <s v="-"/>
    <s v="-"/>
    <s v="-"/>
    <s v="-"/>
    <s v="-"/>
    <s v="GB"/>
  </r>
  <r>
    <d v="2026-06-07T13:19:00"/>
    <s v="POT87309"/>
    <s v="Sterling Wilson"/>
    <s v="Vivek Chavan"/>
    <s v="Workstation and Printer Sterling &amp; Wilson"/>
    <x v="14"/>
    <s v="Yogesh Bhatia+Jay Rushi"/>
    <s v="Self"/>
    <s v="NA"/>
    <s v="Yogesh Bhatia"/>
    <x v="0"/>
    <s v="Desktop"/>
    <s v="HP"/>
    <s v="Closed Won"/>
    <n v="167954"/>
    <n v="6000"/>
    <n v="0"/>
    <d v="2026-06-07T00:00:00"/>
    <s v="Green"/>
    <n v="80"/>
    <s v="-"/>
    <s v="-"/>
    <s v="-"/>
    <s v="-"/>
    <s v="-"/>
    <s v="GB"/>
  </r>
  <r>
    <d v="2026-02-07T17:40:00"/>
    <s v="POT87272"/>
    <s v="Indo Japan Polymers Private Limited"/>
    <s v="Sridhar ramanathan"/>
    <s v="HP Mobile workstation"/>
    <x v="15"/>
    <s v="Yogesh Bhatia+Varunkumar Mishra"/>
    <s v="Customer Reference"/>
    <s v="NA"/>
    <s v="Yogesh Bhatia"/>
    <x v="0"/>
    <s v="Workstation"/>
    <s v="HP"/>
    <s v="Closed Won"/>
    <n v="210638"/>
    <n v="8638"/>
    <n v="8638"/>
    <d v="2026-02-07T00:00:00"/>
    <s v="Green"/>
    <n v="100"/>
    <s v="CG-VM-0001"/>
    <s v="-"/>
    <s v="-"/>
    <s v="-"/>
    <s v="-"/>
    <s v="GB"/>
  </r>
  <r>
    <d v="2026-01-27T11:07:00"/>
    <s v="POT85799"/>
    <s v="BSE LTD(Bombay Stock Exchange)"/>
    <s v="Anjal Dave"/>
    <s v="Netapp 400 TB - Storage upgrade for(PR)"/>
    <x v="6"/>
    <s v="Ajay Patodia+Mukesh Choithani+Chirag Palande"/>
    <s v="Self"/>
    <s v="NA"/>
    <s v="Ajay Patodia"/>
    <x v="1"/>
    <s v="Storage"/>
    <s v="Netapp"/>
    <s v="Closed Won"/>
    <n v="33000000"/>
    <n v="1796666"/>
    <n v="0"/>
    <d v="2026-07-15T00:00:00"/>
    <s v="Green"/>
    <n v="100"/>
    <s v="-"/>
    <s v="-"/>
    <s v="-"/>
    <s v="-"/>
    <s v="-"/>
    <m/>
  </r>
  <r>
    <d v="2026-02-10T16:30:00"/>
    <s v="POT85984"/>
    <s v="BSE LTD(Bombay Stock Exchange)"/>
    <s v="Anjal Dave"/>
    <s v="Netapp 400 TB - Storage upgrade for(DR)"/>
    <x v="6"/>
    <s v="Ajay Patodia+Mukesh Choithani+Chirag Palande"/>
    <s v="Self"/>
    <s v="NA"/>
    <s v="Ajay Patodia"/>
    <x v="1"/>
    <s v="Storage"/>
    <s v="Netapp"/>
    <s v="Closed Won"/>
    <n v="33000000"/>
    <n v="1796666"/>
    <n v="0"/>
    <d v="2026-07-15T00:00:00"/>
    <s v="Green"/>
    <n v="100"/>
    <s v="-"/>
    <s v="-"/>
    <s v="-"/>
    <s v="-"/>
    <s v="-"/>
    <m/>
  </r>
  <r>
    <d v="2026-02-10T16:31:00"/>
    <s v="POT85985"/>
    <s v="BSE LTD(Bombay Stock Exchange)"/>
    <s v="Anjal Dave"/>
    <s v="Netapp 400 TB - Storage upgrade for (NDR)"/>
    <x v="6"/>
    <s v="Ajay Patodia+Mukesh Choithani+Chirag Palande"/>
    <s v="Self"/>
    <s v="NA"/>
    <s v="Ajay Patodia"/>
    <x v="1"/>
    <s v="Storage"/>
    <s v="Netapp"/>
    <s v="Closed Won"/>
    <n v="33000000"/>
    <n v="1796666"/>
    <n v="0"/>
    <d v="2026-07-15T00:00:00"/>
    <s v="Green"/>
    <n v="100"/>
    <s v="-"/>
    <s v="-"/>
    <s v="-"/>
    <s v="-"/>
    <s v="-"/>
    <m/>
  </r>
  <r>
    <d v="2026-05-02T11:13:00"/>
    <s v="POT86667"/>
    <s v="JSW Group"/>
    <s v="Kamlesh Shera"/>
    <s v="Nutanix Nodes"/>
    <x v="1"/>
    <s v="Ajay Patodia+Mukesh Choithani+Prachi Mayekar"/>
    <s v="Self"/>
    <s v="NA"/>
    <s v="Mukesh Choithani"/>
    <x v="1"/>
    <s v="Virtualisation"/>
    <s v="Nutanix"/>
    <s v="Closed Won"/>
    <n v="14500000"/>
    <n v="1200000"/>
    <n v="0"/>
    <d v="2026-07-02T00:00:00"/>
    <s v="Green"/>
    <n v="100"/>
    <s v="-"/>
    <s v="-"/>
    <s v="-"/>
    <s v="-"/>
    <s v="-"/>
    <m/>
  </r>
  <r>
    <d v="2026-06-05T12:01:00"/>
    <s v="POT87030"/>
    <s v="IDFC First Bank Limited"/>
    <s v="Jaiprakash Yadav"/>
    <s v="Dell AMC - IDFC"/>
    <x v="12"/>
    <s v="Ajay Patodia+Mukesh Choithani+Sankeerth Bhargav"/>
    <s v="Self"/>
    <s v="NA"/>
    <s v="None"/>
    <x v="1"/>
    <s v="Software"/>
    <s v="Dell"/>
    <s v="Closed Won"/>
    <n v="38348039"/>
    <n v="2268547"/>
    <n v="0"/>
    <d v="2026-07-18T00:00:00"/>
    <s v="Green"/>
    <n v="100"/>
    <s v="-"/>
    <s v="-"/>
    <s v="-"/>
    <s v="-"/>
    <s v="-"/>
    <m/>
  </r>
  <r>
    <d v="2026-06-05T12:41:00"/>
    <s v="POT87040"/>
    <s v="Axis Capital Limited"/>
    <s v="Krishnakumar Menon"/>
    <s v="Dell Desktop - 33 Nos"/>
    <x v="16"/>
    <s v="Chetna Sharma"/>
    <s v="Self"/>
    <s v="NA"/>
    <s v="None"/>
    <x v="0"/>
    <s v="Desktop"/>
    <s v="Dell"/>
    <s v="Closed Won"/>
    <n v="6310392"/>
    <n v="357192"/>
    <n v="0"/>
    <d v="2026-07-16T00:00:00"/>
    <s v="Green"/>
    <n v="100"/>
    <s v="-"/>
    <s v="-"/>
    <s v="-"/>
    <s v="-"/>
    <s v="-"/>
    <m/>
  </r>
  <r>
    <d v="2026-04-14T15:11:00"/>
    <s v="POT86537"/>
    <s v="The Multi Commodity Exchange Clearing Corporation Limited - (MCXCCL"/>
    <s v="Pramod Kumar"/>
    <s v="Dell - Multi Product RFP( Laptops, Monitors &amp; Wireless Keyboard &amp; Mouse )"/>
    <x v="6"/>
    <s v="Chirag Palande"/>
    <s v="Self"/>
    <s v="NA"/>
    <s v="None"/>
    <x v="0"/>
    <s v="Laptop"/>
    <s v="Dell"/>
    <s v="Closed Won"/>
    <n v="9601500"/>
    <n v="476975"/>
    <n v="0"/>
    <d v="2026-07-03T00:00:00"/>
    <s v="Green"/>
    <n v="100"/>
    <s v="-"/>
    <n v="31068445"/>
    <s v="Approved"/>
    <d v="2026-07-13T00:00:00"/>
    <s v="-"/>
    <m/>
  </r>
  <r>
    <d v="2026-02-02T14:31:00"/>
    <s v="POT85892"/>
    <s v="Tata Motors Limited"/>
    <s v="Sarvesh Shrivastava"/>
    <s v="Cisco ISE Renewal"/>
    <x v="2"/>
    <s v="Rocky Braganza+Nishant Jalan+Harshvardhan Dave+Rohit Deshmukh"/>
    <s v="Enterprise Coverage"/>
    <s v="Rohit Deshmukh"/>
    <s v="Harshvardhan Dave"/>
    <x v="3"/>
    <s v="Others"/>
    <s v="CISCO"/>
    <s v="Closed Won"/>
    <n v="80000"/>
    <n v="0"/>
    <n v="0"/>
    <d v="2026-07-02T00:00:00"/>
    <s v="Green"/>
    <n v="100"/>
    <s v="CP-RD-0019"/>
    <s v="-"/>
    <s v="-"/>
    <s v="-"/>
    <s v="-"/>
    <m/>
  </r>
  <r>
    <d v="2026-06-22T14:42:00"/>
    <s v="POT87199"/>
    <s v="Tata Motors Limited"/>
    <s v="Sarvesh Shrivastava"/>
    <s v="Jamshedpur Cisco Juniper Passsive RC RFP"/>
    <x v="2"/>
    <s v="Rocky Braganza+Nishant Jalan+Harshvardhan Dave+Rohit Deshmukh"/>
    <s v="Enterprise Coverage"/>
    <s v="Rohit Deshmukh"/>
    <s v="Harshvardhan Dave"/>
    <x v="3"/>
    <s v="Active"/>
    <s v="CISCO"/>
    <s v="Closed Won"/>
    <n v="748050"/>
    <n v="100000"/>
    <n v="0"/>
    <d v="2026-07-12T00:00:00"/>
    <s v="Green"/>
    <n v="100"/>
    <s v="-"/>
    <s v="-"/>
    <s v="-"/>
    <s v="-"/>
    <s v="-"/>
    <m/>
  </r>
  <r>
    <d v="2026-06-22T14:45:00"/>
    <s v="POT87200"/>
    <s v="Tata Motors Limited"/>
    <s v="Sarvesh Shrivastava"/>
    <s v="Jamshedpur Cisco Switches 13 Qty RC RFP"/>
    <x v="2"/>
    <s v="Rocky Braganza+Nishant Jalan+Harshvardhan Dave+Rohit Deshmukh"/>
    <s v="Enterprise Coverage"/>
    <s v="Rohit Deshmukh"/>
    <s v="Harshvardhan Dave"/>
    <x v="3"/>
    <s v="Active"/>
    <s v="CISCO"/>
    <s v="Closed Won"/>
    <n v="2159406.77"/>
    <n v="100000"/>
    <n v="0"/>
    <d v="2026-07-12T00:00:00"/>
    <s v="Green"/>
    <n v="100"/>
    <s v="-"/>
    <s v="-"/>
    <s v="-"/>
    <s v="-"/>
    <s v="-"/>
    <m/>
  </r>
  <r>
    <d v="2026-07-08T14:35:00"/>
    <s v="POT87320"/>
    <s v="Tata Motors Limited"/>
    <s v="Sarvesh Shrivastava"/>
    <s v="Dharwad Passive RC Supply"/>
    <x v="2"/>
    <s v="Rocky Braganza+Nishant Jalan+Harshvardhan Dave+Rohit Deshmukh"/>
    <s v="Enterprise Coverage"/>
    <s v="Rohit Deshmukh"/>
    <s v="Harshvardhan Dave"/>
    <x v="3"/>
    <s v="Passive"/>
    <s v="Commscope"/>
    <s v="Closed Won"/>
    <n v="455169"/>
    <n v="50000"/>
    <n v="0"/>
    <d v="2026-07-08T00:00:00"/>
    <s v="Green"/>
    <n v="100"/>
    <s v="CP-RD-0018"/>
    <s v="-"/>
    <s v="-"/>
    <s v="-"/>
    <s v="-"/>
    <m/>
  </r>
  <r>
    <d v="2026-05-10T15:59:00"/>
    <s v="POT86741"/>
    <s v="Bank of Baroda"/>
    <s v="shubham sachan"/>
    <s v="Broadcom API license"/>
    <x v="5"/>
    <s v="Rocky Braganza+Nishant Jalan+Tasneem K"/>
    <s v="Self"/>
    <s v="NA"/>
    <s v="None"/>
    <x v="3"/>
    <s v="Security"/>
    <s v="VMware"/>
    <s v="Closed Won"/>
    <n v="16900000"/>
    <n v="400000"/>
    <n v="0"/>
    <d v="2026-07-10T00:00:00"/>
    <s v="Green"/>
    <n v="100"/>
    <s v="-"/>
    <s v="-"/>
    <s v="-"/>
    <s v="-"/>
    <s v="-"/>
    <m/>
  </r>
  <r>
    <d v="2026-05-06T15:08:00"/>
    <s v="POT86698"/>
    <s v="Axis Bank Ltd"/>
    <s v="Vishal Shah"/>
    <s v="Microsoft Laptop 7 - 10 Qty"/>
    <x v="2"/>
    <s v="Rohit Deshmukh"/>
    <s v="Enterprise Coverage"/>
    <s v="Rohit Deshmukh"/>
    <s v="None"/>
    <x v="0"/>
    <s v="Workstation"/>
    <s v="Microsoft"/>
    <s v="Closed Won"/>
    <n v="1690000"/>
    <n v="70000"/>
    <n v="0"/>
    <d v="2026-07-15T00:00:00"/>
    <s v="Green"/>
    <n v="100"/>
    <s v="CG-RD-0020"/>
    <s v="-"/>
    <s v="-"/>
    <s v="-"/>
    <s v="PO Number received. Awaiting formal P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67C66F-F763-40F3-A0B4-551D1F0037A4}" name="PivotTable2" cacheId="299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:C47" firstHeaderRow="0" firstDataRow="1" firstDataCol="1"/>
  <pivotFields count="26">
    <pivotField showAll="0"/>
    <pivotField showAll="0"/>
    <pivotField showAll="0"/>
    <pivotField showAll="0"/>
    <pivotField showAll="0"/>
    <pivotField axis="axisRow" dataField="1" showAll="0">
      <items count="18">
        <item x="0"/>
        <item x="8"/>
        <item x="16"/>
        <item x="6"/>
        <item x="9"/>
        <item x="14"/>
        <item x="7"/>
        <item x="1"/>
        <item x="13"/>
        <item x="10"/>
        <item x="2"/>
        <item x="3"/>
        <item x="12"/>
        <item x="4"/>
        <item x="11"/>
        <item x="5"/>
        <item x="15"/>
        <item t="default"/>
      </items>
    </pivotField>
    <pivotField showAll="0"/>
    <pivotField showAll="0"/>
    <pivotField showAll="0"/>
    <pivotField showAll="0"/>
    <pivotField axis="axisRow"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5"/>
    <field x="10"/>
  </rowFields>
  <rowItems count="44">
    <i>
      <x/>
    </i>
    <i r="1">
      <x/>
    </i>
    <i>
      <x v="1"/>
    </i>
    <i r="1">
      <x v="3"/>
    </i>
    <i>
      <x v="2"/>
    </i>
    <i r="1">
      <x/>
    </i>
    <i>
      <x v="3"/>
    </i>
    <i r="1">
      <x/>
    </i>
    <i r="1">
      <x v="2"/>
    </i>
    <i>
      <x v="4"/>
    </i>
    <i r="1">
      <x v="3"/>
    </i>
    <i>
      <x v="5"/>
    </i>
    <i r="1">
      <x/>
    </i>
    <i>
      <x v="6"/>
    </i>
    <i r="1">
      <x/>
    </i>
    <i r="1">
      <x v="1"/>
    </i>
    <i>
      <x v="7"/>
    </i>
    <i r="1">
      <x v="2"/>
    </i>
    <i>
      <x v="8"/>
    </i>
    <i r="1">
      <x/>
    </i>
    <i>
      <x v="9"/>
    </i>
    <i r="1">
      <x v="3"/>
    </i>
    <i>
      <x v="10"/>
    </i>
    <i r="1">
      <x/>
    </i>
    <i r="1">
      <x v="1"/>
    </i>
    <i r="1">
      <x v="2"/>
    </i>
    <i>
      <x v="11"/>
    </i>
    <i r="1">
      <x/>
    </i>
    <i r="1">
      <x v="1"/>
    </i>
    <i r="1">
      <x v="2"/>
    </i>
    <i>
      <x v="12"/>
    </i>
    <i r="1">
      <x/>
    </i>
    <i r="1">
      <x v="2"/>
    </i>
    <i>
      <x v="13"/>
    </i>
    <i r="1">
      <x v="2"/>
    </i>
    <i>
      <x v="14"/>
    </i>
    <i r="1">
      <x v="1"/>
    </i>
    <i>
      <x v="15"/>
    </i>
    <i r="1">
      <x/>
    </i>
    <i r="1">
      <x v="1"/>
    </i>
    <i r="1">
      <x v="2"/>
    </i>
    <i>
      <x v="16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pportunity Led By" fld="5" subtotal="count" baseField="0" baseItem="0"/>
    <dataField name="Sum of Amoun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8E8B3-CAA4-4297-8ADD-37910DEC9344}">
  <dimension ref="A3:E47"/>
  <sheetViews>
    <sheetView workbookViewId="0">
      <selection activeCell="A3" sqref="A3"/>
    </sheetView>
  </sheetViews>
  <sheetFormatPr defaultRowHeight="14.45"/>
  <cols>
    <col min="1" max="1" width="18.140625" bestFit="1" customWidth="1"/>
    <col min="2" max="2" width="24.140625" bestFit="1" customWidth="1"/>
    <col min="3" max="3" width="13.5703125" bestFit="1" customWidth="1"/>
    <col min="4" max="4" width="15.5703125" bestFit="1" customWidth="1"/>
  </cols>
  <sheetData>
    <row r="3" spans="1:3">
      <c r="A3" s="1" t="s">
        <v>0</v>
      </c>
      <c r="B3" t="s">
        <v>1</v>
      </c>
      <c r="C3" t="s">
        <v>2</v>
      </c>
    </row>
    <row r="4" spans="1:3">
      <c r="A4" s="2" t="s">
        <v>3</v>
      </c>
      <c r="B4">
        <v>2</v>
      </c>
      <c r="C4">
        <v>2598000</v>
      </c>
    </row>
    <row r="5" spans="1:3">
      <c r="A5" s="3" t="s">
        <v>4</v>
      </c>
      <c r="B5">
        <v>2</v>
      </c>
      <c r="C5">
        <v>2598000</v>
      </c>
    </row>
    <row r="6" spans="1:3">
      <c r="A6" s="2" t="s">
        <v>5</v>
      </c>
      <c r="B6">
        <v>1</v>
      </c>
      <c r="C6">
        <v>4998498</v>
      </c>
    </row>
    <row r="7" spans="1:3">
      <c r="A7" s="3" t="s">
        <v>6</v>
      </c>
      <c r="B7">
        <v>1</v>
      </c>
      <c r="C7">
        <v>4998498</v>
      </c>
    </row>
    <row r="8" spans="1:3">
      <c r="A8" s="2" t="s">
        <v>7</v>
      </c>
      <c r="B8">
        <v>1</v>
      </c>
      <c r="C8">
        <v>6310392</v>
      </c>
    </row>
    <row r="9" spans="1:3">
      <c r="A9" s="3" t="s">
        <v>4</v>
      </c>
      <c r="B9">
        <v>1</v>
      </c>
      <c r="C9">
        <v>6310392</v>
      </c>
    </row>
    <row r="10" spans="1:3">
      <c r="A10" s="2" t="s">
        <v>8</v>
      </c>
      <c r="B10">
        <v>6</v>
      </c>
      <c r="C10">
        <v>118402500</v>
      </c>
    </row>
    <row r="11" spans="1:3">
      <c r="A11" s="3" t="s">
        <v>4</v>
      </c>
      <c r="B11">
        <v>3</v>
      </c>
      <c r="C11">
        <v>19402500</v>
      </c>
    </row>
    <row r="12" spans="1:3">
      <c r="A12" s="3" t="s">
        <v>9</v>
      </c>
      <c r="B12">
        <v>3</v>
      </c>
      <c r="C12">
        <v>99000000</v>
      </c>
    </row>
    <row r="13" spans="1:3">
      <c r="A13" s="2" t="s">
        <v>10</v>
      </c>
      <c r="B13">
        <v>1</v>
      </c>
      <c r="C13">
        <v>169490</v>
      </c>
    </row>
    <row r="14" spans="1:3">
      <c r="A14" s="3" t="s">
        <v>6</v>
      </c>
      <c r="B14">
        <v>1</v>
      </c>
      <c r="C14">
        <v>169490</v>
      </c>
    </row>
    <row r="15" spans="1:3">
      <c r="A15" s="2" t="s">
        <v>11</v>
      </c>
      <c r="B15">
        <v>3</v>
      </c>
      <c r="C15">
        <v>208654</v>
      </c>
    </row>
    <row r="16" spans="1:3">
      <c r="A16" s="3" t="s">
        <v>4</v>
      </c>
      <c r="B16">
        <v>3</v>
      </c>
      <c r="C16">
        <v>208654</v>
      </c>
    </row>
    <row r="17" spans="1:5">
      <c r="A17" s="2" t="s">
        <v>12</v>
      </c>
      <c r="B17">
        <v>2</v>
      </c>
      <c r="C17">
        <v>114400</v>
      </c>
    </row>
    <row r="18" spans="1:5">
      <c r="A18" s="3" t="s">
        <v>4</v>
      </c>
      <c r="B18">
        <v>1</v>
      </c>
      <c r="C18">
        <v>22400</v>
      </c>
    </row>
    <row r="19" spans="1:5">
      <c r="A19" s="3" t="s">
        <v>13</v>
      </c>
      <c r="B19">
        <v>1</v>
      </c>
      <c r="C19">
        <v>92000</v>
      </c>
    </row>
    <row r="20" spans="1:5">
      <c r="A20" s="2" t="s">
        <v>14</v>
      </c>
      <c r="B20">
        <v>2</v>
      </c>
      <c r="C20">
        <v>29000000</v>
      </c>
    </row>
    <row r="21" spans="1:5">
      <c r="A21" s="3" t="s">
        <v>9</v>
      </c>
      <c r="B21">
        <v>2</v>
      </c>
      <c r="C21">
        <v>29000000</v>
      </c>
      <c r="E21">
        <f>GETPIVOTDATA("Sum of Amount",$A$3)/10^7</f>
        <v>124.22581949000001</v>
      </c>
    </row>
    <row r="22" spans="1:5">
      <c r="A22" s="2" t="s">
        <v>15</v>
      </c>
      <c r="B22">
        <v>1</v>
      </c>
      <c r="C22">
        <v>87000</v>
      </c>
    </row>
    <row r="23" spans="1:5">
      <c r="A23" s="3" t="s">
        <v>4</v>
      </c>
      <c r="B23">
        <v>1</v>
      </c>
      <c r="C23">
        <v>87000</v>
      </c>
    </row>
    <row r="24" spans="1:5">
      <c r="A24" s="2" t="s">
        <v>16</v>
      </c>
      <c r="B24">
        <v>1</v>
      </c>
      <c r="C24">
        <v>53100</v>
      </c>
    </row>
    <row r="25" spans="1:5">
      <c r="A25" s="3" t="s">
        <v>6</v>
      </c>
      <c r="B25">
        <v>1</v>
      </c>
      <c r="C25">
        <v>53100</v>
      </c>
    </row>
    <row r="26" spans="1:5">
      <c r="A26" s="2" t="s">
        <v>17</v>
      </c>
      <c r="B26">
        <v>10</v>
      </c>
      <c r="C26">
        <v>992327794.76999998</v>
      </c>
    </row>
    <row r="27" spans="1:5">
      <c r="A27" s="3" t="s">
        <v>4</v>
      </c>
      <c r="B27">
        <v>2</v>
      </c>
      <c r="C27">
        <v>2490000</v>
      </c>
    </row>
    <row r="28" spans="1:5">
      <c r="A28" s="3" t="s">
        <v>13</v>
      </c>
      <c r="B28">
        <v>6</v>
      </c>
      <c r="C28">
        <v>3977794.77</v>
      </c>
    </row>
    <row r="29" spans="1:5">
      <c r="A29" s="3" t="s">
        <v>9</v>
      </c>
      <c r="B29">
        <v>2</v>
      </c>
      <c r="C29">
        <v>985860000</v>
      </c>
    </row>
    <row r="30" spans="1:5">
      <c r="A30" s="2" t="s">
        <v>18</v>
      </c>
      <c r="B30">
        <v>7</v>
      </c>
      <c r="C30">
        <v>4995349</v>
      </c>
    </row>
    <row r="31" spans="1:5">
      <c r="A31" s="3" t="s">
        <v>4</v>
      </c>
      <c r="B31">
        <v>1</v>
      </c>
      <c r="C31">
        <v>362400</v>
      </c>
    </row>
    <row r="32" spans="1:5">
      <c r="A32" s="3" t="s">
        <v>13</v>
      </c>
      <c r="B32">
        <v>2</v>
      </c>
      <c r="C32">
        <v>37349</v>
      </c>
    </row>
    <row r="33" spans="1:5">
      <c r="A33" s="3" t="s">
        <v>9</v>
      </c>
      <c r="B33">
        <v>4</v>
      </c>
      <c r="C33">
        <v>4595600</v>
      </c>
    </row>
    <row r="34" spans="1:5">
      <c r="A34" s="2" t="s">
        <v>19</v>
      </c>
      <c r="B34">
        <v>2</v>
      </c>
      <c r="C34">
        <v>39015839</v>
      </c>
    </row>
    <row r="35" spans="1:5">
      <c r="A35" s="3" t="s">
        <v>4</v>
      </c>
      <c r="B35">
        <v>1</v>
      </c>
      <c r="C35">
        <v>667800</v>
      </c>
    </row>
    <row r="36" spans="1:5">
      <c r="A36" s="3" t="s">
        <v>9</v>
      </c>
      <c r="B36">
        <v>1</v>
      </c>
      <c r="C36">
        <v>38348039</v>
      </c>
    </row>
    <row r="37" spans="1:5">
      <c r="A37" s="2" t="s">
        <v>20</v>
      </c>
      <c r="B37">
        <v>1</v>
      </c>
      <c r="C37">
        <v>0</v>
      </c>
    </row>
    <row r="38" spans="1:5">
      <c r="A38" s="3" t="s">
        <v>9</v>
      </c>
      <c r="B38">
        <v>1</v>
      </c>
      <c r="C38">
        <v>0</v>
      </c>
    </row>
    <row r="39" spans="1:5">
      <c r="A39" s="2" t="s">
        <v>21</v>
      </c>
      <c r="B39">
        <v>1</v>
      </c>
      <c r="C39">
        <v>8600000</v>
      </c>
    </row>
    <row r="40" spans="1:5">
      <c r="A40" s="3" t="s">
        <v>13</v>
      </c>
      <c r="B40">
        <v>1</v>
      </c>
      <c r="C40">
        <v>8600000</v>
      </c>
    </row>
    <row r="41" spans="1:5">
      <c r="A41" s="2" t="s">
        <v>22</v>
      </c>
      <c r="B41">
        <v>4</v>
      </c>
      <c r="C41">
        <v>35166540.130000003</v>
      </c>
    </row>
    <row r="42" spans="1:5">
      <c r="A42" s="3" t="s">
        <v>4</v>
      </c>
      <c r="B42">
        <v>1</v>
      </c>
      <c r="C42">
        <v>275000</v>
      </c>
    </row>
    <row r="43" spans="1:5">
      <c r="A43" s="3" t="s">
        <v>13</v>
      </c>
      <c r="B43">
        <v>2</v>
      </c>
      <c r="C43">
        <v>33800000</v>
      </c>
    </row>
    <row r="44" spans="1:5">
      <c r="A44" s="3" t="s">
        <v>9</v>
      </c>
      <c r="B44">
        <v>1</v>
      </c>
      <c r="C44">
        <v>1091540.1299999999</v>
      </c>
    </row>
    <row r="45" spans="1:5">
      <c r="A45" s="2" t="s">
        <v>23</v>
      </c>
      <c r="B45">
        <v>1</v>
      </c>
      <c r="C45">
        <v>210638</v>
      </c>
    </row>
    <row r="46" spans="1:5">
      <c r="A46" s="3" t="s">
        <v>4</v>
      </c>
      <c r="B46">
        <v>1</v>
      </c>
      <c r="C46">
        <v>210638</v>
      </c>
    </row>
    <row r="47" spans="1:5">
      <c r="A47" s="2" t="s">
        <v>24</v>
      </c>
      <c r="B47">
        <v>46</v>
      </c>
      <c r="C47">
        <v>1242258194.9000001</v>
      </c>
      <c r="E47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2B99-F589-4D59-91C7-98D77E001A85}">
  <dimension ref="A1:Z112"/>
  <sheetViews>
    <sheetView tabSelected="1" topLeftCell="P104" zoomScaleNormal="100" workbookViewId="0">
      <selection activeCell="A5" sqref="A5:A9"/>
    </sheetView>
  </sheetViews>
  <sheetFormatPr defaultRowHeight="14.45"/>
  <cols>
    <col min="1" max="1" width="18.28515625" bestFit="1" customWidth="1"/>
    <col min="2" max="2" width="17.42578125" bestFit="1" customWidth="1"/>
    <col min="3" max="3" width="58.85546875" bestFit="1" customWidth="1"/>
    <col min="4" max="4" width="21" bestFit="1" customWidth="1"/>
    <col min="5" max="5" width="60.7109375" bestFit="1" customWidth="1"/>
    <col min="6" max="6" width="18.140625" bestFit="1" customWidth="1"/>
    <col min="7" max="7" width="67.7109375" bestFit="1" customWidth="1"/>
    <col min="8" max="8" width="25.42578125" bestFit="1" customWidth="1"/>
    <col min="9" max="9" width="14.140625" bestFit="1" customWidth="1"/>
    <col min="10" max="10" width="16.7109375" bestFit="1" customWidth="1"/>
    <col min="11" max="11" width="23.7109375" bestFit="1" customWidth="1"/>
    <col min="12" max="12" width="16.85546875" bestFit="1" customWidth="1"/>
    <col min="13" max="13" width="11.28515625" bestFit="1" customWidth="1"/>
    <col min="14" max="14" width="10.5703125" bestFit="1" customWidth="1"/>
    <col min="15" max="15" width="14.28515625" bestFit="1" customWidth="1"/>
    <col min="16" max="16" width="18.28515625" bestFit="1" customWidth="1"/>
    <col min="17" max="17" width="16.28515625" bestFit="1" customWidth="1"/>
    <col min="18" max="18" width="17.5703125" bestFit="1" customWidth="1"/>
    <col min="19" max="19" width="12.140625" bestFit="1" customWidth="1"/>
    <col min="20" max="20" width="9.42578125" bestFit="1" customWidth="1"/>
    <col min="21" max="21" width="11.42578125" bestFit="1" customWidth="1"/>
    <col min="22" max="22" width="9" bestFit="1" customWidth="1"/>
    <col min="23" max="23" width="10" bestFit="1" customWidth="1"/>
    <col min="24" max="24" width="13.85546875" bestFit="1" customWidth="1"/>
    <col min="25" max="25" width="72.28515625" bestFit="1" customWidth="1"/>
    <col min="26" max="26" width="12.140625" bestFit="1" customWidth="1"/>
  </cols>
  <sheetData>
    <row r="1" spans="1:26" ht="15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  <c r="V1" s="4" t="s">
        <v>47</v>
      </c>
      <c r="W1" s="4" t="s">
        <v>48</v>
      </c>
      <c r="X1" s="4" t="s">
        <v>49</v>
      </c>
      <c r="Y1" s="4" t="s">
        <v>50</v>
      </c>
      <c r="Z1" s="4" t="s">
        <v>51</v>
      </c>
    </row>
    <row r="2" spans="1:26" ht="15">
      <c r="A2" s="5">
        <v>46240.585416666669</v>
      </c>
      <c r="B2" s="4" t="s">
        <v>52</v>
      </c>
      <c r="C2" s="4" t="s">
        <v>53</v>
      </c>
      <c r="D2" s="4" t="s">
        <v>54</v>
      </c>
      <c r="E2" s="4" t="s">
        <v>55</v>
      </c>
      <c r="F2" s="4" t="s">
        <v>3</v>
      </c>
      <c r="G2" s="4" t="s">
        <v>3</v>
      </c>
      <c r="H2" s="4" t="s">
        <v>56</v>
      </c>
      <c r="I2" s="4" t="s">
        <v>57</v>
      </c>
      <c r="J2" s="4" t="s">
        <v>58</v>
      </c>
      <c r="K2" s="4" t="s">
        <v>4</v>
      </c>
      <c r="L2" s="4" t="s">
        <v>59</v>
      </c>
      <c r="M2" s="4" t="s">
        <v>60</v>
      </c>
      <c r="N2" s="4" t="s">
        <v>61</v>
      </c>
      <c r="O2" s="6">
        <v>866000</v>
      </c>
      <c r="P2" s="6">
        <v>39500</v>
      </c>
      <c r="Q2" s="6">
        <v>39500</v>
      </c>
      <c r="R2" s="7">
        <v>46088</v>
      </c>
      <c r="S2" s="4" t="s">
        <v>62</v>
      </c>
      <c r="T2" s="4">
        <v>100</v>
      </c>
      <c r="U2" s="4" t="s">
        <v>63</v>
      </c>
      <c r="V2" s="8" t="s">
        <v>64</v>
      </c>
      <c r="W2" s="8" t="s">
        <v>64</v>
      </c>
      <c r="X2" s="8" t="s">
        <v>64</v>
      </c>
      <c r="Y2" s="4" t="s">
        <v>65</v>
      </c>
      <c r="Z2" s="4" t="s">
        <v>66</v>
      </c>
    </row>
    <row r="3" spans="1:26" ht="15">
      <c r="A3" s="5">
        <v>46302.487500000003</v>
      </c>
      <c r="B3" s="4" t="s">
        <v>67</v>
      </c>
      <c r="C3" s="4" t="s">
        <v>68</v>
      </c>
      <c r="D3" s="4" t="s">
        <v>69</v>
      </c>
      <c r="E3" s="4" t="s">
        <v>55</v>
      </c>
      <c r="F3" s="4" t="s">
        <v>3</v>
      </c>
      <c r="G3" s="4" t="s">
        <v>3</v>
      </c>
      <c r="H3" s="4" t="s">
        <v>56</v>
      </c>
      <c r="I3" s="4" t="s">
        <v>57</v>
      </c>
      <c r="J3" s="4" t="s">
        <v>58</v>
      </c>
      <c r="K3" s="4" t="s">
        <v>4</v>
      </c>
      <c r="L3" s="4" t="s">
        <v>59</v>
      </c>
      <c r="M3" s="4" t="s">
        <v>70</v>
      </c>
      <c r="N3" s="4" t="s">
        <v>61</v>
      </c>
      <c r="O3" s="6">
        <v>1732000</v>
      </c>
      <c r="P3" s="6">
        <v>89000</v>
      </c>
      <c r="Q3" s="6">
        <v>89000</v>
      </c>
      <c r="R3" s="7">
        <v>46302</v>
      </c>
      <c r="S3" s="4" t="s">
        <v>62</v>
      </c>
      <c r="T3" s="4">
        <v>100</v>
      </c>
      <c r="U3" s="4" t="s">
        <v>71</v>
      </c>
      <c r="V3" s="8" t="s">
        <v>64</v>
      </c>
      <c r="W3" s="8" t="s">
        <v>64</v>
      </c>
      <c r="X3" s="8" t="s">
        <v>64</v>
      </c>
      <c r="Y3" s="4" t="s">
        <v>72</v>
      </c>
      <c r="Z3" s="4" t="s">
        <v>66</v>
      </c>
    </row>
    <row r="4" spans="1:26" ht="15">
      <c r="A4" s="4" t="s">
        <v>73</v>
      </c>
      <c r="B4" s="4" t="s">
        <v>74</v>
      </c>
      <c r="C4" s="4" t="s">
        <v>53</v>
      </c>
      <c r="D4" s="4" t="s">
        <v>54</v>
      </c>
      <c r="E4" s="4" t="s">
        <v>75</v>
      </c>
      <c r="F4" s="4" t="s">
        <v>3</v>
      </c>
      <c r="G4" s="4" t="s">
        <v>3</v>
      </c>
      <c r="H4" s="4" t="s">
        <v>56</v>
      </c>
      <c r="I4" s="4" t="s">
        <v>57</v>
      </c>
      <c r="J4" s="4" t="s">
        <v>58</v>
      </c>
      <c r="K4" s="4" t="s">
        <v>4</v>
      </c>
      <c r="L4" s="4" t="s">
        <v>59</v>
      </c>
      <c r="M4" s="4" t="s">
        <v>70</v>
      </c>
      <c r="N4" s="4" t="s">
        <v>61</v>
      </c>
      <c r="O4" s="6">
        <v>2280000</v>
      </c>
      <c r="P4" s="6">
        <v>78000</v>
      </c>
      <c r="Q4" s="6">
        <v>78000</v>
      </c>
      <c r="R4" s="4" t="s">
        <v>76</v>
      </c>
      <c r="S4" s="4" t="s">
        <v>62</v>
      </c>
      <c r="T4" s="4">
        <v>100</v>
      </c>
      <c r="U4" s="4" t="s">
        <v>77</v>
      </c>
      <c r="V4" s="8" t="s">
        <v>64</v>
      </c>
      <c r="W4" s="8" t="s">
        <v>64</v>
      </c>
      <c r="X4" s="8" t="s">
        <v>64</v>
      </c>
      <c r="Y4" s="4" t="s">
        <v>78</v>
      </c>
      <c r="Z4" s="4" t="s">
        <v>66</v>
      </c>
    </row>
    <row r="5" spans="1:26" ht="14.45" customHeight="1">
      <c r="A5" s="9" t="s">
        <v>79</v>
      </c>
      <c r="B5" s="9" t="s">
        <v>80</v>
      </c>
      <c r="C5" s="9" t="s">
        <v>81</v>
      </c>
      <c r="D5" s="9" t="s">
        <v>82</v>
      </c>
      <c r="E5" s="9" t="s">
        <v>83</v>
      </c>
      <c r="F5" s="9" t="s">
        <v>5</v>
      </c>
      <c r="G5" s="9" t="s">
        <v>84</v>
      </c>
      <c r="H5" s="9" t="s">
        <v>85</v>
      </c>
      <c r="I5" s="9" t="s">
        <v>57</v>
      </c>
      <c r="J5" s="9" t="s">
        <v>58</v>
      </c>
      <c r="K5" s="9" t="s">
        <v>9</v>
      </c>
      <c r="L5" s="9" t="s">
        <v>86</v>
      </c>
      <c r="M5" s="9" t="s">
        <v>87</v>
      </c>
      <c r="N5" s="9" t="s">
        <v>61</v>
      </c>
      <c r="O5" s="10">
        <v>682200</v>
      </c>
      <c r="P5" s="10">
        <v>40000</v>
      </c>
      <c r="Q5" s="9">
        <v>0</v>
      </c>
      <c r="R5" s="9" t="s">
        <v>88</v>
      </c>
      <c r="S5" s="9" t="s">
        <v>62</v>
      </c>
      <c r="T5" s="9">
        <v>100</v>
      </c>
      <c r="U5" s="9" t="s">
        <v>89</v>
      </c>
      <c r="V5" s="11" t="s">
        <v>64</v>
      </c>
      <c r="W5" s="11" t="s">
        <v>64</v>
      </c>
      <c r="X5" s="11" t="s">
        <v>64</v>
      </c>
      <c r="Y5" s="12" t="s">
        <v>90</v>
      </c>
      <c r="Z5" s="9" t="s">
        <v>91</v>
      </c>
    </row>
    <row r="6" spans="1:26" ht="14.45" customHeight="1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12" t="s">
        <v>92</v>
      </c>
      <c r="Z6" s="9"/>
    </row>
    <row r="7" spans="1:26" ht="14.4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12" t="s">
        <v>93</v>
      </c>
      <c r="Z7" s="9"/>
    </row>
    <row r="8" spans="1:26" ht="14.45" customHeight="1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12" t="s">
        <v>94</v>
      </c>
      <c r="Z8" s="9"/>
    </row>
    <row r="9" spans="1:26" ht="115.15" customHeight="1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12" t="s">
        <v>95</v>
      </c>
      <c r="Z9" s="9"/>
    </row>
    <row r="10" spans="1:26" ht="15" customHeight="1">
      <c r="A10" s="13">
        <v>46272.654166666667</v>
      </c>
      <c r="B10" s="9" t="s">
        <v>96</v>
      </c>
      <c r="C10" s="9" t="s">
        <v>97</v>
      </c>
      <c r="D10" s="9" t="s">
        <v>98</v>
      </c>
      <c r="E10" s="9" t="s">
        <v>99</v>
      </c>
      <c r="F10" s="9" t="s">
        <v>5</v>
      </c>
      <c r="G10" s="9" t="s">
        <v>84</v>
      </c>
      <c r="H10" s="9" t="s">
        <v>56</v>
      </c>
      <c r="I10" s="9" t="s">
        <v>57</v>
      </c>
      <c r="J10" s="9" t="s">
        <v>58</v>
      </c>
      <c r="K10" s="9" t="s">
        <v>9</v>
      </c>
      <c r="L10" s="9" t="s">
        <v>86</v>
      </c>
      <c r="M10" s="9" t="s">
        <v>87</v>
      </c>
      <c r="N10" s="9" t="s">
        <v>61</v>
      </c>
      <c r="O10" s="10">
        <v>1375387</v>
      </c>
      <c r="P10" s="10">
        <v>200000</v>
      </c>
      <c r="Q10" s="9">
        <v>0</v>
      </c>
      <c r="R10" s="9" t="s">
        <v>88</v>
      </c>
      <c r="S10" s="9" t="s">
        <v>62</v>
      </c>
      <c r="T10" s="9">
        <v>100</v>
      </c>
      <c r="U10" s="9" t="s">
        <v>100</v>
      </c>
      <c r="V10" s="11" t="s">
        <v>64</v>
      </c>
      <c r="W10" s="11" t="s">
        <v>64</v>
      </c>
      <c r="X10" s="11" t="s">
        <v>64</v>
      </c>
      <c r="Y10" s="12" t="s">
        <v>101</v>
      </c>
      <c r="Z10" s="9" t="s">
        <v>91</v>
      </c>
    </row>
    <row r="11" spans="1:26" ht="14.45" customHeigh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12" t="s">
        <v>102</v>
      </c>
      <c r="Z11" s="9"/>
    </row>
    <row r="12" spans="1:26" ht="14.45" customHeight="1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12" t="s">
        <v>103</v>
      </c>
      <c r="Z12" s="9"/>
    </row>
    <row r="13" spans="1:26" ht="14.45" customHeight="1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12" t="s">
        <v>104</v>
      </c>
      <c r="Z13" s="9"/>
    </row>
    <row r="14" spans="1:26" ht="14.45" customHeight="1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12" t="s">
        <v>105</v>
      </c>
      <c r="Z14" s="9"/>
    </row>
    <row r="15" spans="1:26" ht="15" customHeight="1">
      <c r="A15" s="9" t="s">
        <v>106</v>
      </c>
      <c r="B15" s="9" t="s">
        <v>107</v>
      </c>
      <c r="C15" s="9" t="s">
        <v>97</v>
      </c>
      <c r="D15" s="9" t="s">
        <v>98</v>
      </c>
      <c r="E15" s="9" t="s">
        <v>108</v>
      </c>
      <c r="F15" s="9" t="s">
        <v>5</v>
      </c>
      <c r="G15" s="9" t="s">
        <v>84</v>
      </c>
      <c r="H15" s="9" t="s">
        <v>56</v>
      </c>
      <c r="I15" s="9" t="s">
        <v>57</v>
      </c>
      <c r="J15" s="9" t="s">
        <v>58</v>
      </c>
      <c r="K15" s="9" t="s">
        <v>9</v>
      </c>
      <c r="L15" s="9" t="s">
        <v>86</v>
      </c>
      <c r="M15" s="9" t="s">
        <v>87</v>
      </c>
      <c r="N15" s="9" t="s">
        <v>61</v>
      </c>
      <c r="O15" s="10">
        <v>824613</v>
      </c>
      <c r="P15" s="10">
        <v>200000</v>
      </c>
      <c r="Q15" s="9">
        <v>0</v>
      </c>
      <c r="R15" s="9" t="s">
        <v>88</v>
      </c>
      <c r="S15" s="9" t="s">
        <v>62</v>
      </c>
      <c r="T15" s="9">
        <v>100</v>
      </c>
      <c r="U15" s="9" t="s">
        <v>109</v>
      </c>
      <c r="V15" s="11" t="s">
        <v>64</v>
      </c>
      <c r="W15" s="11" t="s">
        <v>64</v>
      </c>
      <c r="X15" s="11" t="s">
        <v>64</v>
      </c>
      <c r="Y15" s="12" t="s">
        <v>101</v>
      </c>
      <c r="Z15" s="9" t="s">
        <v>91</v>
      </c>
    </row>
    <row r="16" spans="1:26" ht="14.45" customHeight="1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12" t="s">
        <v>102</v>
      </c>
      <c r="Z16" s="9"/>
    </row>
    <row r="17" spans="1:26" ht="14.45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12" t="s">
        <v>103</v>
      </c>
      <c r="Z17" s="9"/>
    </row>
    <row r="18" spans="1:26" ht="273.60000000000002" customHeight="1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12" t="s">
        <v>110</v>
      </c>
      <c r="Z18" s="9"/>
    </row>
    <row r="19" spans="1:26" ht="14.45" customHeight="1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12" t="s">
        <v>111</v>
      </c>
      <c r="Z19" s="9"/>
    </row>
    <row r="20" spans="1:26" ht="15">
      <c r="A20" s="4" t="s">
        <v>112</v>
      </c>
      <c r="B20" s="4" t="s">
        <v>113</v>
      </c>
      <c r="C20" s="4" t="s">
        <v>114</v>
      </c>
      <c r="D20" s="4" t="s">
        <v>115</v>
      </c>
      <c r="E20" s="4" t="s">
        <v>116</v>
      </c>
      <c r="F20" s="4" t="s">
        <v>7</v>
      </c>
      <c r="G20" s="4" t="s">
        <v>117</v>
      </c>
      <c r="H20" s="4" t="s">
        <v>56</v>
      </c>
      <c r="I20" s="4" t="s">
        <v>57</v>
      </c>
      <c r="J20" s="4" t="s">
        <v>118</v>
      </c>
      <c r="K20" s="4" t="s">
        <v>9</v>
      </c>
      <c r="L20" s="4" t="s">
        <v>119</v>
      </c>
      <c r="M20" s="4" t="s">
        <v>87</v>
      </c>
      <c r="N20" s="4" t="s">
        <v>61</v>
      </c>
      <c r="O20" s="6">
        <v>189247.31</v>
      </c>
      <c r="P20" s="6">
        <v>17204</v>
      </c>
      <c r="Q20" s="4">
        <v>0</v>
      </c>
      <c r="R20" s="4" t="s">
        <v>120</v>
      </c>
      <c r="S20" s="4" t="s">
        <v>62</v>
      </c>
      <c r="T20" s="4">
        <v>100</v>
      </c>
      <c r="U20" s="8" t="s">
        <v>64</v>
      </c>
      <c r="V20" s="8" t="s">
        <v>64</v>
      </c>
      <c r="W20" s="8" t="s">
        <v>64</v>
      </c>
      <c r="X20" s="8" t="s">
        <v>64</v>
      </c>
      <c r="Y20" s="8" t="s">
        <v>64</v>
      </c>
      <c r="Z20" s="4" t="s">
        <v>121</v>
      </c>
    </row>
    <row r="21" spans="1:26" ht="15">
      <c r="A21" s="4" t="s">
        <v>122</v>
      </c>
      <c r="B21" s="4" t="s">
        <v>123</v>
      </c>
      <c r="C21" s="4" t="s">
        <v>124</v>
      </c>
      <c r="D21" s="4" t="s">
        <v>125</v>
      </c>
      <c r="E21" s="4" t="s">
        <v>126</v>
      </c>
      <c r="F21" s="4" t="s">
        <v>8</v>
      </c>
      <c r="G21" s="4" t="s">
        <v>127</v>
      </c>
      <c r="H21" s="4" t="s">
        <v>56</v>
      </c>
      <c r="I21" s="4" t="s">
        <v>57</v>
      </c>
      <c r="J21" s="4" t="s">
        <v>5</v>
      </c>
      <c r="K21" s="4" t="s">
        <v>9</v>
      </c>
      <c r="L21" s="4" t="s">
        <v>128</v>
      </c>
      <c r="M21" s="4" t="s">
        <v>129</v>
      </c>
      <c r="N21" s="4" t="s">
        <v>61</v>
      </c>
      <c r="O21" s="6">
        <v>33000000</v>
      </c>
      <c r="P21" s="6">
        <v>1796666</v>
      </c>
      <c r="Q21" s="4">
        <v>0</v>
      </c>
      <c r="R21" s="4" t="s">
        <v>130</v>
      </c>
      <c r="S21" s="4" t="s">
        <v>62</v>
      </c>
      <c r="T21" s="4">
        <v>100</v>
      </c>
      <c r="U21" s="8" t="s">
        <v>64</v>
      </c>
      <c r="V21" s="8" t="s">
        <v>64</v>
      </c>
      <c r="W21" s="8" t="s">
        <v>64</v>
      </c>
      <c r="X21" s="8" t="s">
        <v>64</v>
      </c>
      <c r="Y21" s="8" t="s">
        <v>64</v>
      </c>
      <c r="Z21" s="4" t="s">
        <v>131</v>
      </c>
    </row>
    <row r="22" spans="1:26" ht="15">
      <c r="A22" s="5">
        <v>46297.6875</v>
      </c>
      <c r="B22" s="4" t="s">
        <v>132</v>
      </c>
      <c r="C22" s="4" t="s">
        <v>124</v>
      </c>
      <c r="D22" s="4" t="s">
        <v>125</v>
      </c>
      <c r="E22" s="4" t="s">
        <v>133</v>
      </c>
      <c r="F22" s="4" t="s">
        <v>8</v>
      </c>
      <c r="G22" s="4" t="s">
        <v>127</v>
      </c>
      <c r="H22" s="4" t="s">
        <v>56</v>
      </c>
      <c r="I22" s="4" t="s">
        <v>57</v>
      </c>
      <c r="J22" s="4" t="s">
        <v>5</v>
      </c>
      <c r="K22" s="4" t="s">
        <v>9</v>
      </c>
      <c r="L22" s="4" t="s">
        <v>128</v>
      </c>
      <c r="M22" s="4" t="s">
        <v>129</v>
      </c>
      <c r="N22" s="4" t="s">
        <v>61</v>
      </c>
      <c r="O22" s="6">
        <v>33000000</v>
      </c>
      <c r="P22" s="6">
        <v>1796666</v>
      </c>
      <c r="Q22" s="4">
        <v>0</v>
      </c>
      <c r="R22" s="4" t="s">
        <v>130</v>
      </c>
      <c r="S22" s="4" t="s">
        <v>62</v>
      </c>
      <c r="T22" s="4">
        <v>100</v>
      </c>
      <c r="U22" s="8" t="s">
        <v>64</v>
      </c>
      <c r="V22" s="8" t="s">
        <v>64</v>
      </c>
      <c r="W22" s="8" t="s">
        <v>64</v>
      </c>
      <c r="X22" s="8" t="s">
        <v>64</v>
      </c>
      <c r="Y22" s="8" t="s">
        <v>64</v>
      </c>
      <c r="Z22" s="4" t="s">
        <v>131</v>
      </c>
    </row>
    <row r="23" spans="1:26" ht="15">
      <c r="A23" s="5">
        <v>46297.688194444447</v>
      </c>
      <c r="B23" s="4" t="s">
        <v>134</v>
      </c>
      <c r="C23" s="4" t="s">
        <v>124</v>
      </c>
      <c r="D23" s="4" t="s">
        <v>125</v>
      </c>
      <c r="E23" s="4" t="s">
        <v>135</v>
      </c>
      <c r="F23" s="4" t="s">
        <v>8</v>
      </c>
      <c r="G23" s="4" t="s">
        <v>127</v>
      </c>
      <c r="H23" s="4" t="s">
        <v>56</v>
      </c>
      <c r="I23" s="4" t="s">
        <v>57</v>
      </c>
      <c r="J23" s="4" t="s">
        <v>5</v>
      </c>
      <c r="K23" s="4" t="s">
        <v>9</v>
      </c>
      <c r="L23" s="4" t="s">
        <v>128</v>
      </c>
      <c r="M23" s="4" t="s">
        <v>129</v>
      </c>
      <c r="N23" s="4" t="s">
        <v>61</v>
      </c>
      <c r="O23" s="6">
        <v>33000000</v>
      </c>
      <c r="P23" s="6">
        <v>1796666</v>
      </c>
      <c r="Q23" s="4">
        <v>0</v>
      </c>
      <c r="R23" s="4" t="s">
        <v>130</v>
      </c>
      <c r="S23" s="4" t="s">
        <v>62</v>
      </c>
      <c r="T23" s="4">
        <v>100</v>
      </c>
      <c r="U23" s="8" t="s">
        <v>64</v>
      </c>
      <c r="V23" s="8" t="s">
        <v>64</v>
      </c>
      <c r="W23" s="8" t="s">
        <v>64</v>
      </c>
      <c r="X23" s="8" t="s">
        <v>64</v>
      </c>
      <c r="Y23" s="8" t="s">
        <v>64</v>
      </c>
      <c r="Z23" s="4" t="s">
        <v>131</v>
      </c>
    </row>
    <row r="24" spans="1:26" ht="15">
      <c r="A24" s="5">
        <v>46088.62777777778</v>
      </c>
      <c r="B24" s="4" t="s">
        <v>136</v>
      </c>
      <c r="C24" s="4" t="s">
        <v>137</v>
      </c>
      <c r="D24" s="4" t="s">
        <v>138</v>
      </c>
      <c r="E24" s="4" t="s">
        <v>139</v>
      </c>
      <c r="F24" s="4" t="s">
        <v>10</v>
      </c>
      <c r="G24" s="4" t="s">
        <v>140</v>
      </c>
      <c r="H24" s="4" t="s">
        <v>56</v>
      </c>
      <c r="I24" s="4" t="s">
        <v>57</v>
      </c>
      <c r="J24" s="4" t="s">
        <v>118</v>
      </c>
      <c r="K24" s="4" t="s">
        <v>9</v>
      </c>
      <c r="L24" s="4" t="s">
        <v>141</v>
      </c>
      <c r="M24" s="4" t="s">
        <v>142</v>
      </c>
      <c r="N24" s="4" t="s">
        <v>61</v>
      </c>
      <c r="O24" s="6">
        <v>163750</v>
      </c>
      <c r="P24" s="6">
        <v>20000</v>
      </c>
      <c r="Q24" s="4">
        <v>0</v>
      </c>
      <c r="R24" s="4" t="s">
        <v>143</v>
      </c>
      <c r="S24" s="4" t="s">
        <v>62</v>
      </c>
      <c r="T24" s="4">
        <v>100</v>
      </c>
      <c r="U24" s="8" t="s">
        <v>64</v>
      </c>
      <c r="V24" s="8" t="s">
        <v>64</v>
      </c>
      <c r="W24" s="8" t="s">
        <v>64</v>
      </c>
      <c r="X24" s="8" t="s">
        <v>64</v>
      </c>
      <c r="Y24" s="4" t="s">
        <v>144</v>
      </c>
      <c r="Z24" s="4" t="s">
        <v>145</v>
      </c>
    </row>
    <row r="25" spans="1:26" ht="15">
      <c r="A25" s="5">
        <v>46058.467361111114</v>
      </c>
      <c r="B25" s="4" t="s">
        <v>146</v>
      </c>
      <c r="C25" s="4" t="s">
        <v>147</v>
      </c>
      <c r="D25" s="4" t="s">
        <v>148</v>
      </c>
      <c r="E25" s="4" t="s">
        <v>149</v>
      </c>
      <c r="F25" s="4" t="s">
        <v>14</v>
      </c>
      <c r="G25" s="4" t="s">
        <v>150</v>
      </c>
      <c r="H25" s="4" t="s">
        <v>56</v>
      </c>
      <c r="I25" s="4" t="s">
        <v>57</v>
      </c>
      <c r="J25" s="4" t="s">
        <v>118</v>
      </c>
      <c r="K25" s="4" t="s">
        <v>9</v>
      </c>
      <c r="L25" s="4" t="s">
        <v>151</v>
      </c>
      <c r="M25" s="4" t="s">
        <v>152</v>
      </c>
      <c r="N25" s="4" t="s">
        <v>61</v>
      </c>
      <c r="O25" s="6">
        <v>14500000</v>
      </c>
      <c r="P25" s="6">
        <v>1200000</v>
      </c>
      <c r="Q25" s="4">
        <v>0</v>
      </c>
      <c r="R25" s="7">
        <v>46060</v>
      </c>
      <c r="S25" s="4" t="s">
        <v>62</v>
      </c>
      <c r="T25" s="4">
        <v>100</v>
      </c>
      <c r="U25" s="8" t="s">
        <v>64</v>
      </c>
      <c r="V25" s="8" t="s">
        <v>64</v>
      </c>
      <c r="W25" s="8" t="s">
        <v>64</v>
      </c>
      <c r="X25" s="8" t="s">
        <v>64</v>
      </c>
      <c r="Y25" s="8" t="s">
        <v>64</v>
      </c>
      <c r="Z25" s="4" t="s">
        <v>153</v>
      </c>
    </row>
    <row r="26" spans="1:26" ht="15">
      <c r="A26" s="4" t="s">
        <v>154</v>
      </c>
      <c r="B26" s="4" t="s">
        <v>155</v>
      </c>
      <c r="C26" s="4" t="s">
        <v>156</v>
      </c>
      <c r="D26" s="4" t="s">
        <v>157</v>
      </c>
      <c r="E26" s="4" t="s">
        <v>158</v>
      </c>
      <c r="F26" s="4" t="s">
        <v>14</v>
      </c>
      <c r="G26" s="4" t="s">
        <v>150</v>
      </c>
      <c r="H26" s="4" t="s">
        <v>56</v>
      </c>
      <c r="I26" s="4" t="s">
        <v>57</v>
      </c>
      <c r="J26" s="4" t="s">
        <v>5</v>
      </c>
      <c r="K26" s="4" t="s">
        <v>9</v>
      </c>
      <c r="L26" s="4" t="s">
        <v>119</v>
      </c>
      <c r="M26" s="4" t="s">
        <v>87</v>
      </c>
      <c r="N26" s="4" t="s">
        <v>61</v>
      </c>
      <c r="O26" s="6">
        <v>2205000</v>
      </c>
      <c r="P26" s="6">
        <v>100000</v>
      </c>
      <c r="Q26" s="4">
        <v>0</v>
      </c>
      <c r="R26" s="4" t="s">
        <v>159</v>
      </c>
      <c r="S26" s="4" t="s">
        <v>62</v>
      </c>
      <c r="T26" s="4">
        <v>100</v>
      </c>
      <c r="U26" s="8" t="s">
        <v>64</v>
      </c>
      <c r="V26" s="8" t="s">
        <v>64</v>
      </c>
      <c r="W26" s="8" t="s">
        <v>64</v>
      </c>
      <c r="X26" s="8" t="s">
        <v>64</v>
      </c>
      <c r="Y26" s="8" t="s">
        <v>64</v>
      </c>
      <c r="Z26" s="4" t="s">
        <v>153</v>
      </c>
    </row>
    <row r="27" spans="1:26" ht="15">
      <c r="A27" s="4" t="s">
        <v>160</v>
      </c>
      <c r="B27" s="4" t="s">
        <v>161</v>
      </c>
      <c r="C27" s="4" t="s">
        <v>156</v>
      </c>
      <c r="D27" s="4" t="s">
        <v>157</v>
      </c>
      <c r="E27" s="4" t="s">
        <v>162</v>
      </c>
      <c r="F27" s="4" t="s">
        <v>14</v>
      </c>
      <c r="G27" s="4" t="s">
        <v>150</v>
      </c>
      <c r="H27" s="4" t="s">
        <v>56</v>
      </c>
      <c r="I27" s="4" t="s">
        <v>57</v>
      </c>
      <c r="J27" s="4" t="s">
        <v>5</v>
      </c>
      <c r="K27" s="4" t="s">
        <v>9</v>
      </c>
      <c r="L27" s="4" t="s">
        <v>119</v>
      </c>
      <c r="M27" s="4" t="s">
        <v>87</v>
      </c>
      <c r="N27" s="4" t="s">
        <v>61</v>
      </c>
      <c r="O27" s="6">
        <v>1000000</v>
      </c>
      <c r="P27" s="6">
        <v>10000</v>
      </c>
      <c r="Q27" s="4">
        <v>0</v>
      </c>
      <c r="R27" s="4" t="s">
        <v>159</v>
      </c>
      <c r="S27" s="4" t="s">
        <v>62</v>
      </c>
      <c r="T27" s="4">
        <v>100</v>
      </c>
      <c r="U27" s="8" t="s">
        <v>64</v>
      </c>
      <c r="V27" s="8" t="s">
        <v>64</v>
      </c>
      <c r="W27" s="8" t="s">
        <v>64</v>
      </c>
      <c r="X27" s="8" t="s">
        <v>64</v>
      </c>
      <c r="Y27" s="8" t="s">
        <v>64</v>
      </c>
      <c r="Z27" s="4" t="s">
        <v>153</v>
      </c>
    </row>
    <row r="28" spans="1:26" ht="15">
      <c r="A28" s="5">
        <v>45933.534722222219</v>
      </c>
      <c r="B28" s="4" t="s">
        <v>163</v>
      </c>
      <c r="C28" s="4" t="s">
        <v>164</v>
      </c>
      <c r="D28" s="4" t="s">
        <v>165</v>
      </c>
      <c r="E28" s="4" t="s">
        <v>166</v>
      </c>
      <c r="F28" s="4" t="s">
        <v>17</v>
      </c>
      <c r="G28" s="4" t="s">
        <v>167</v>
      </c>
      <c r="H28" s="4" t="s">
        <v>168</v>
      </c>
      <c r="I28" s="4" t="s">
        <v>17</v>
      </c>
      <c r="J28" s="4" t="s">
        <v>118</v>
      </c>
      <c r="K28" s="4" t="s">
        <v>9</v>
      </c>
      <c r="L28" s="4" t="s">
        <v>151</v>
      </c>
      <c r="M28" s="4" t="s">
        <v>87</v>
      </c>
      <c r="N28" s="4" t="s">
        <v>61</v>
      </c>
      <c r="O28" s="6">
        <v>300000000</v>
      </c>
      <c r="P28" s="6">
        <v>24005444</v>
      </c>
      <c r="Q28" s="6">
        <v>6445062.0199999996</v>
      </c>
      <c r="R28" s="7">
        <v>46241</v>
      </c>
      <c r="S28" s="4" t="s">
        <v>62</v>
      </c>
      <c r="T28" s="4">
        <v>100</v>
      </c>
      <c r="U28" s="4" t="s">
        <v>169</v>
      </c>
      <c r="V28" s="8" t="s">
        <v>64</v>
      </c>
      <c r="W28" s="8" t="s">
        <v>64</v>
      </c>
      <c r="X28" s="8" t="s">
        <v>64</v>
      </c>
      <c r="Y28" s="8" t="s">
        <v>64</v>
      </c>
      <c r="Z28" s="4" t="s">
        <v>121</v>
      </c>
    </row>
    <row r="29" spans="1:26" ht="15">
      <c r="A29" s="5">
        <v>46178.661805555559</v>
      </c>
      <c r="B29" s="4" t="s">
        <v>170</v>
      </c>
      <c r="C29" s="4" t="s">
        <v>164</v>
      </c>
      <c r="D29" s="4" t="s">
        <v>165</v>
      </c>
      <c r="E29" s="4" t="s">
        <v>171</v>
      </c>
      <c r="F29" s="4" t="s">
        <v>17</v>
      </c>
      <c r="G29" s="4" t="s">
        <v>167</v>
      </c>
      <c r="H29" s="4" t="s">
        <v>168</v>
      </c>
      <c r="I29" s="4" t="s">
        <v>17</v>
      </c>
      <c r="J29" s="4" t="s">
        <v>118</v>
      </c>
      <c r="K29" s="4" t="s">
        <v>9</v>
      </c>
      <c r="L29" s="4" t="s">
        <v>119</v>
      </c>
      <c r="M29" s="4" t="s">
        <v>87</v>
      </c>
      <c r="N29" s="4" t="s">
        <v>61</v>
      </c>
      <c r="O29" s="6">
        <v>900000</v>
      </c>
      <c r="P29" s="6">
        <v>268000</v>
      </c>
      <c r="Q29" s="6">
        <v>268000</v>
      </c>
      <c r="R29" s="7">
        <v>46060</v>
      </c>
      <c r="S29" s="4" t="s">
        <v>62</v>
      </c>
      <c r="T29" s="4">
        <v>100</v>
      </c>
      <c r="U29" s="4" t="s">
        <v>172</v>
      </c>
      <c r="V29" s="8" t="s">
        <v>64</v>
      </c>
      <c r="W29" s="8" t="s">
        <v>64</v>
      </c>
      <c r="X29" s="8" t="s">
        <v>64</v>
      </c>
      <c r="Y29" s="8" t="s">
        <v>64</v>
      </c>
      <c r="Z29" s="4" t="s">
        <v>121</v>
      </c>
    </row>
    <row r="30" spans="1:26" ht="15">
      <c r="A30" s="5">
        <v>46029.416666666664</v>
      </c>
      <c r="B30" s="4" t="s">
        <v>173</v>
      </c>
      <c r="C30" s="4" t="s">
        <v>174</v>
      </c>
      <c r="D30" s="4" t="s">
        <v>175</v>
      </c>
      <c r="E30" s="4" t="s">
        <v>176</v>
      </c>
      <c r="F30" s="4" t="s">
        <v>18</v>
      </c>
      <c r="G30" s="4" t="s">
        <v>177</v>
      </c>
      <c r="H30" s="4" t="s">
        <v>56</v>
      </c>
      <c r="I30" s="4" t="s">
        <v>57</v>
      </c>
      <c r="J30" s="4" t="s">
        <v>58</v>
      </c>
      <c r="K30" s="4" t="s">
        <v>4</v>
      </c>
      <c r="L30" s="4" t="s">
        <v>178</v>
      </c>
      <c r="M30" s="4" t="s">
        <v>91</v>
      </c>
      <c r="N30" s="4" t="s">
        <v>61</v>
      </c>
      <c r="O30" s="6">
        <v>362400</v>
      </c>
      <c r="P30" s="6">
        <v>60900</v>
      </c>
      <c r="Q30" s="6">
        <v>33400</v>
      </c>
      <c r="R30" s="7">
        <v>46088</v>
      </c>
      <c r="S30" s="4" t="s">
        <v>62</v>
      </c>
      <c r="T30" s="4">
        <v>100</v>
      </c>
      <c r="U30" s="4" t="s">
        <v>179</v>
      </c>
      <c r="V30" s="8" t="s">
        <v>64</v>
      </c>
      <c r="W30" s="8" t="s">
        <v>64</v>
      </c>
      <c r="X30" s="8" t="s">
        <v>64</v>
      </c>
      <c r="Y30" s="4" t="s">
        <v>180</v>
      </c>
      <c r="Z30" s="4" t="s">
        <v>66</v>
      </c>
    </row>
    <row r="31" spans="1:26" ht="15">
      <c r="A31" s="5">
        <v>46028.410416666666</v>
      </c>
      <c r="B31" s="4" t="s">
        <v>181</v>
      </c>
      <c r="C31" s="4" t="s">
        <v>182</v>
      </c>
      <c r="D31" s="4" t="s">
        <v>183</v>
      </c>
      <c r="E31" s="4" t="s">
        <v>184</v>
      </c>
      <c r="F31" s="4" t="s">
        <v>18</v>
      </c>
      <c r="G31" s="4" t="s">
        <v>177</v>
      </c>
      <c r="H31" s="4" t="s">
        <v>56</v>
      </c>
      <c r="I31" s="4" t="s">
        <v>57</v>
      </c>
      <c r="J31" s="4" t="s">
        <v>58</v>
      </c>
      <c r="K31" s="4" t="s">
        <v>9</v>
      </c>
      <c r="L31" s="4" t="s">
        <v>86</v>
      </c>
      <c r="M31" s="4" t="s">
        <v>60</v>
      </c>
      <c r="N31" s="4" t="s">
        <v>61</v>
      </c>
      <c r="O31" s="6">
        <v>17247099.800000001</v>
      </c>
      <c r="P31" s="6">
        <v>2683699.7999999998</v>
      </c>
      <c r="Q31" s="6">
        <v>28599.68</v>
      </c>
      <c r="R31" s="4" t="s">
        <v>130</v>
      </c>
      <c r="S31" s="4" t="s">
        <v>62</v>
      </c>
      <c r="T31" s="4">
        <v>100</v>
      </c>
      <c r="U31" s="4" t="s">
        <v>185</v>
      </c>
      <c r="V31" s="8" t="s">
        <v>64</v>
      </c>
      <c r="W31" s="8" t="s">
        <v>64</v>
      </c>
      <c r="X31" s="8" t="s">
        <v>64</v>
      </c>
      <c r="Y31" s="4" t="s">
        <v>186</v>
      </c>
      <c r="Z31" s="4" t="s">
        <v>66</v>
      </c>
    </row>
    <row r="32" spans="1:26" ht="15">
      <c r="A32" s="5">
        <v>46088.576388888891</v>
      </c>
      <c r="B32" s="4" t="s">
        <v>187</v>
      </c>
      <c r="C32" s="4" t="s">
        <v>188</v>
      </c>
      <c r="D32" s="4" t="s">
        <v>189</v>
      </c>
      <c r="E32" s="4" t="s">
        <v>190</v>
      </c>
      <c r="F32" s="4" t="s">
        <v>18</v>
      </c>
      <c r="G32" s="4" t="s">
        <v>177</v>
      </c>
      <c r="H32" s="4" t="s">
        <v>56</v>
      </c>
      <c r="I32" s="4" t="s">
        <v>57</v>
      </c>
      <c r="J32" s="4" t="s">
        <v>5</v>
      </c>
      <c r="K32" s="4" t="s">
        <v>9</v>
      </c>
      <c r="L32" s="4" t="s">
        <v>191</v>
      </c>
      <c r="M32" s="4" t="s">
        <v>192</v>
      </c>
      <c r="N32" s="4" t="s">
        <v>61</v>
      </c>
      <c r="O32" s="6">
        <v>145000</v>
      </c>
      <c r="P32" s="6">
        <v>20000</v>
      </c>
      <c r="Q32" s="6">
        <v>8000</v>
      </c>
      <c r="R32" s="7">
        <v>46088</v>
      </c>
      <c r="S32" s="4" t="s">
        <v>62</v>
      </c>
      <c r="T32" s="4">
        <v>100</v>
      </c>
      <c r="U32" s="4" t="s">
        <v>193</v>
      </c>
      <c r="V32" s="8" t="s">
        <v>64</v>
      </c>
      <c r="W32" s="8" t="s">
        <v>64</v>
      </c>
      <c r="X32" s="8" t="s">
        <v>64</v>
      </c>
      <c r="Y32" s="4" t="s">
        <v>194</v>
      </c>
      <c r="Z32" s="4" t="s">
        <v>66</v>
      </c>
    </row>
    <row r="33" spans="1:26" ht="14.45" customHeight="1">
      <c r="A33" s="13">
        <v>46088.777083333334</v>
      </c>
      <c r="B33" s="9" t="s">
        <v>195</v>
      </c>
      <c r="C33" s="9" t="s">
        <v>188</v>
      </c>
      <c r="D33" s="9" t="s">
        <v>189</v>
      </c>
      <c r="E33" s="9" t="s">
        <v>196</v>
      </c>
      <c r="F33" s="9" t="s">
        <v>18</v>
      </c>
      <c r="G33" s="9" t="s">
        <v>177</v>
      </c>
      <c r="H33" s="9" t="s">
        <v>56</v>
      </c>
      <c r="I33" s="9" t="s">
        <v>57</v>
      </c>
      <c r="J33" s="9" t="s">
        <v>58</v>
      </c>
      <c r="K33" s="9" t="s">
        <v>9</v>
      </c>
      <c r="L33" s="9" t="s">
        <v>86</v>
      </c>
      <c r="M33" s="9" t="s">
        <v>192</v>
      </c>
      <c r="N33" s="9" t="s">
        <v>61</v>
      </c>
      <c r="O33" s="10">
        <v>631600</v>
      </c>
      <c r="P33" s="10">
        <v>7600</v>
      </c>
      <c r="Q33" s="9">
        <v>0</v>
      </c>
      <c r="R33" s="14">
        <v>46272</v>
      </c>
      <c r="S33" s="9" t="s">
        <v>62</v>
      </c>
      <c r="T33" s="9">
        <v>100</v>
      </c>
      <c r="U33" s="9" t="s">
        <v>197</v>
      </c>
      <c r="V33" s="11" t="s">
        <v>64</v>
      </c>
      <c r="W33" s="11" t="s">
        <v>64</v>
      </c>
      <c r="X33" s="11" t="s">
        <v>64</v>
      </c>
      <c r="Y33" s="12" t="s">
        <v>198</v>
      </c>
      <c r="Z33" s="9" t="s">
        <v>66</v>
      </c>
    </row>
    <row r="34" spans="1:26" ht="14.45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12" t="s">
        <v>199</v>
      </c>
      <c r="Z34" s="9"/>
    </row>
    <row r="35" spans="1:26" ht="15">
      <c r="A35" s="5">
        <v>46241.518750000003</v>
      </c>
      <c r="B35" s="4" t="s">
        <v>200</v>
      </c>
      <c r="C35" s="4" t="s">
        <v>188</v>
      </c>
      <c r="D35" s="4" t="s">
        <v>189</v>
      </c>
      <c r="E35" s="4" t="s">
        <v>201</v>
      </c>
      <c r="F35" s="4" t="s">
        <v>18</v>
      </c>
      <c r="G35" s="4" t="s">
        <v>177</v>
      </c>
      <c r="H35" s="4" t="s">
        <v>56</v>
      </c>
      <c r="I35" s="4" t="s">
        <v>57</v>
      </c>
      <c r="J35" s="4" t="s">
        <v>58</v>
      </c>
      <c r="K35" s="4" t="s">
        <v>9</v>
      </c>
      <c r="L35" s="4" t="s">
        <v>86</v>
      </c>
      <c r="M35" s="4" t="s">
        <v>192</v>
      </c>
      <c r="N35" s="4" t="s">
        <v>61</v>
      </c>
      <c r="O35" s="6">
        <v>1794000</v>
      </c>
      <c r="P35" s="6">
        <v>150000</v>
      </c>
      <c r="Q35" s="6">
        <v>24000</v>
      </c>
      <c r="R35" s="7">
        <v>46272</v>
      </c>
      <c r="S35" s="4" t="s">
        <v>62</v>
      </c>
      <c r="T35" s="4">
        <v>100</v>
      </c>
      <c r="U35" s="4" t="s">
        <v>202</v>
      </c>
      <c r="V35" s="8" t="s">
        <v>64</v>
      </c>
      <c r="W35" s="8" t="s">
        <v>64</v>
      </c>
      <c r="X35" s="8" t="s">
        <v>64</v>
      </c>
      <c r="Y35" s="4" t="s">
        <v>203</v>
      </c>
      <c r="Z35" s="4" t="s">
        <v>66</v>
      </c>
    </row>
    <row r="36" spans="1:26" ht="15">
      <c r="A36" s="5">
        <v>46241.521527777775</v>
      </c>
      <c r="B36" s="4" t="s">
        <v>204</v>
      </c>
      <c r="C36" s="4" t="s">
        <v>188</v>
      </c>
      <c r="D36" s="4" t="s">
        <v>189</v>
      </c>
      <c r="E36" s="4" t="s">
        <v>205</v>
      </c>
      <c r="F36" s="4" t="s">
        <v>18</v>
      </c>
      <c r="G36" s="4" t="s">
        <v>177</v>
      </c>
      <c r="H36" s="4" t="s">
        <v>56</v>
      </c>
      <c r="I36" s="4" t="s">
        <v>57</v>
      </c>
      <c r="J36" s="4" t="s">
        <v>58</v>
      </c>
      <c r="K36" s="4" t="s">
        <v>9</v>
      </c>
      <c r="L36" s="4" t="s">
        <v>86</v>
      </c>
      <c r="M36" s="4" t="s">
        <v>192</v>
      </c>
      <c r="N36" s="4" t="s">
        <v>61</v>
      </c>
      <c r="O36" s="6">
        <v>2025000</v>
      </c>
      <c r="P36" s="6">
        <v>428000</v>
      </c>
      <c r="Q36" s="6">
        <v>428000</v>
      </c>
      <c r="R36" s="7">
        <v>46272</v>
      </c>
      <c r="S36" s="4" t="s">
        <v>62</v>
      </c>
      <c r="T36" s="4">
        <v>100</v>
      </c>
      <c r="U36" s="4" t="s">
        <v>206</v>
      </c>
      <c r="V36" s="8" t="s">
        <v>64</v>
      </c>
      <c r="W36" s="8" t="s">
        <v>64</v>
      </c>
      <c r="X36" s="8" t="s">
        <v>64</v>
      </c>
      <c r="Y36" s="4" t="s">
        <v>207</v>
      </c>
      <c r="Z36" s="4" t="s">
        <v>66</v>
      </c>
    </row>
    <row r="37" spans="1:26" ht="15">
      <c r="A37" s="4" t="s">
        <v>208</v>
      </c>
      <c r="B37" s="4" t="s">
        <v>209</v>
      </c>
      <c r="C37" s="4" t="s">
        <v>210</v>
      </c>
      <c r="D37" s="4" t="s">
        <v>211</v>
      </c>
      <c r="E37" s="4" t="s">
        <v>212</v>
      </c>
      <c r="F37" s="4" t="s">
        <v>18</v>
      </c>
      <c r="G37" s="4" t="s">
        <v>177</v>
      </c>
      <c r="H37" s="4" t="s">
        <v>56</v>
      </c>
      <c r="I37" s="4" t="s">
        <v>57</v>
      </c>
      <c r="J37" s="4" t="s">
        <v>58</v>
      </c>
      <c r="K37" s="4" t="s">
        <v>9</v>
      </c>
      <c r="L37" s="4" t="s">
        <v>86</v>
      </c>
      <c r="M37" s="4" t="s">
        <v>87</v>
      </c>
      <c r="N37" s="4" t="s">
        <v>61</v>
      </c>
      <c r="O37" s="6">
        <v>81650</v>
      </c>
      <c r="P37" s="6">
        <v>5000</v>
      </c>
      <c r="Q37" s="6">
        <v>2175</v>
      </c>
      <c r="R37" s="4" t="s">
        <v>213</v>
      </c>
      <c r="S37" s="4" t="s">
        <v>62</v>
      </c>
      <c r="T37" s="4">
        <v>100</v>
      </c>
      <c r="U37" s="4" t="s">
        <v>214</v>
      </c>
      <c r="V37" s="8" t="s">
        <v>64</v>
      </c>
      <c r="W37" s="8" t="s">
        <v>64</v>
      </c>
      <c r="X37" s="8" t="s">
        <v>64</v>
      </c>
      <c r="Y37" s="4" t="s">
        <v>215</v>
      </c>
      <c r="Z37" s="4" t="s">
        <v>66</v>
      </c>
    </row>
    <row r="38" spans="1:26" ht="15">
      <c r="A38" s="4" t="s">
        <v>216</v>
      </c>
      <c r="B38" s="4" t="s">
        <v>217</v>
      </c>
      <c r="C38" s="4" t="s">
        <v>218</v>
      </c>
      <c r="D38" s="4" t="s">
        <v>219</v>
      </c>
      <c r="E38" s="4" t="s">
        <v>220</v>
      </c>
      <c r="F38" s="4" t="s">
        <v>18</v>
      </c>
      <c r="G38" s="4" t="s">
        <v>177</v>
      </c>
      <c r="H38" s="4" t="s">
        <v>56</v>
      </c>
      <c r="I38" s="4" t="s">
        <v>57</v>
      </c>
      <c r="J38" s="4" t="s">
        <v>58</v>
      </c>
      <c r="K38" s="4" t="s">
        <v>9</v>
      </c>
      <c r="L38" s="4" t="s">
        <v>128</v>
      </c>
      <c r="M38" s="4" t="s">
        <v>192</v>
      </c>
      <c r="N38" s="4" t="s">
        <v>61</v>
      </c>
      <c r="O38" s="6">
        <v>1070000</v>
      </c>
      <c r="P38" s="6">
        <v>100000</v>
      </c>
      <c r="Q38" s="4">
        <v>0</v>
      </c>
      <c r="R38" s="4" t="s">
        <v>120</v>
      </c>
      <c r="S38" s="4" t="s">
        <v>62</v>
      </c>
      <c r="T38" s="4">
        <v>100</v>
      </c>
      <c r="U38" s="4" t="s">
        <v>221</v>
      </c>
      <c r="V38" s="8" t="s">
        <v>64</v>
      </c>
      <c r="W38" s="8" t="s">
        <v>64</v>
      </c>
      <c r="X38" s="8" t="s">
        <v>64</v>
      </c>
      <c r="Y38" s="4" t="s">
        <v>222</v>
      </c>
      <c r="Z38" s="4" t="s">
        <v>66</v>
      </c>
    </row>
    <row r="39" spans="1:26" ht="15">
      <c r="A39" s="5">
        <v>46148.500694444447</v>
      </c>
      <c r="B39" s="4" t="s">
        <v>223</v>
      </c>
      <c r="C39" s="4" t="s">
        <v>224</v>
      </c>
      <c r="D39" s="4" t="s">
        <v>225</v>
      </c>
      <c r="E39" s="4" t="s">
        <v>226</v>
      </c>
      <c r="F39" s="4" t="s">
        <v>19</v>
      </c>
      <c r="G39" s="4" t="s">
        <v>227</v>
      </c>
      <c r="H39" s="4" t="s">
        <v>56</v>
      </c>
      <c r="I39" s="4" t="s">
        <v>57</v>
      </c>
      <c r="J39" s="4" t="s">
        <v>58</v>
      </c>
      <c r="K39" s="4" t="s">
        <v>9</v>
      </c>
      <c r="L39" s="4" t="s">
        <v>228</v>
      </c>
      <c r="M39" s="4" t="s">
        <v>87</v>
      </c>
      <c r="N39" s="4" t="s">
        <v>61</v>
      </c>
      <c r="O39" s="6">
        <v>38348039</v>
      </c>
      <c r="P39" s="6">
        <v>2268547</v>
      </c>
      <c r="Q39" s="4">
        <v>0</v>
      </c>
      <c r="R39" s="4" t="s">
        <v>229</v>
      </c>
      <c r="S39" s="4" t="s">
        <v>62</v>
      </c>
      <c r="T39" s="4">
        <v>100</v>
      </c>
      <c r="U39" s="8" t="s">
        <v>64</v>
      </c>
      <c r="V39" s="8" t="s">
        <v>64</v>
      </c>
      <c r="W39" s="8" t="s">
        <v>64</v>
      </c>
      <c r="X39" s="8" t="s">
        <v>64</v>
      </c>
      <c r="Y39" s="8" t="s">
        <v>64</v>
      </c>
      <c r="Z39" s="4" t="s">
        <v>121</v>
      </c>
    </row>
    <row r="40" spans="1:26" ht="15">
      <c r="A40" s="4" t="s">
        <v>230</v>
      </c>
      <c r="B40" s="4" t="s">
        <v>231</v>
      </c>
      <c r="C40" s="4" t="s">
        <v>232</v>
      </c>
      <c r="D40" s="4" t="s">
        <v>233</v>
      </c>
      <c r="E40" s="4" t="s">
        <v>234</v>
      </c>
      <c r="F40" s="4" t="s">
        <v>20</v>
      </c>
      <c r="G40" s="4" t="s">
        <v>235</v>
      </c>
      <c r="H40" s="4" t="s">
        <v>56</v>
      </c>
      <c r="I40" s="4" t="s">
        <v>57</v>
      </c>
      <c r="J40" s="4" t="s">
        <v>5</v>
      </c>
      <c r="K40" s="4" t="s">
        <v>9</v>
      </c>
      <c r="L40" s="4" t="s">
        <v>86</v>
      </c>
      <c r="M40" s="4" t="s">
        <v>87</v>
      </c>
      <c r="N40" s="4" t="s">
        <v>61</v>
      </c>
      <c r="O40" s="4">
        <v>0</v>
      </c>
      <c r="P40" s="4">
        <v>0</v>
      </c>
      <c r="Q40" s="4">
        <v>0</v>
      </c>
      <c r="R40" s="7">
        <v>46180</v>
      </c>
      <c r="S40" s="4" t="s">
        <v>62</v>
      </c>
      <c r="T40" s="4">
        <v>10</v>
      </c>
      <c r="U40" s="8" t="s">
        <v>64</v>
      </c>
      <c r="V40" s="4" t="s">
        <v>236</v>
      </c>
      <c r="W40" s="4" t="s">
        <v>237</v>
      </c>
      <c r="X40" s="8" t="s">
        <v>64</v>
      </c>
      <c r="Y40" s="8" t="s">
        <v>64</v>
      </c>
      <c r="Z40" s="4" t="s">
        <v>66</v>
      </c>
    </row>
    <row r="41" spans="1:26" ht="15">
      <c r="A41" s="5">
        <v>46088.576388888891</v>
      </c>
      <c r="B41" s="4" t="s">
        <v>238</v>
      </c>
      <c r="C41" s="4" t="s">
        <v>239</v>
      </c>
      <c r="D41" s="4" t="s">
        <v>240</v>
      </c>
      <c r="E41" s="4" t="s">
        <v>241</v>
      </c>
      <c r="F41" s="4" t="s">
        <v>22</v>
      </c>
      <c r="G41" s="4" t="s">
        <v>242</v>
      </c>
      <c r="H41" s="4" t="s">
        <v>56</v>
      </c>
      <c r="I41" s="4" t="s">
        <v>57</v>
      </c>
      <c r="J41" s="4" t="s">
        <v>5</v>
      </c>
      <c r="K41" s="4" t="s">
        <v>9</v>
      </c>
      <c r="L41" s="4" t="s">
        <v>86</v>
      </c>
      <c r="M41" s="4" t="s">
        <v>243</v>
      </c>
      <c r="N41" s="4" t="s">
        <v>61</v>
      </c>
      <c r="O41" s="6">
        <v>1091540.1299999999</v>
      </c>
      <c r="P41" s="6">
        <v>257844.13</v>
      </c>
      <c r="Q41" s="4">
        <v>0</v>
      </c>
      <c r="R41" s="7">
        <v>46088</v>
      </c>
      <c r="S41" s="4" t="s">
        <v>62</v>
      </c>
      <c r="T41" s="4">
        <v>100</v>
      </c>
      <c r="U41" s="4" t="s">
        <v>244</v>
      </c>
      <c r="V41" s="8" t="s">
        <v>64</v>
      </c>
      <c r="W41" s="8" t="s">
        <v>64</v>
      </c>
      <c r="X41" s="8" t="s">
        <v>64</v>
      </c>
      <c r="Y41" s="8" t="s">
        <v>64</v>
      </c>
      <c r="Z41" s="4" t="s">
        <v>131</v>
      </c>
    </row>
    <row r="42" spans="1:26" ht="15">
      <c r="A42" s="4" t="s">
        <v>245</v>
      </c>
      <c r="B42" s="4" t="s">
        <v>246</v>
      </c>
      <c r="C42" s="4" t="s">
        <v>247</v>
      </c>
      <c r="D42" s="4" t="s">
        <v>248</v>
      </c>
      <c r="E42" s="4" t="s">
        <v>249</v>
      </c>
      <c r="F42" s="4" t="s">
        <v>11</v>
      </c>
      <c r="G42" s="4" t="s">
        <v>250</v>
      </c>
      <c r="H42" s="4" t="s">
        <v>56</v>
      </c>
      <c r="I42" s="4" t="s">
        <v>57</v>
      </c>
      <c r="J42" s="4" t="s">
        <v>251</v>
      </c>
      <c r="K42" s="4" t="s">
        <v>9</v>
      </c>
      <c r="L42" s="4" t="s">
        <v>86</v>
      </c>
      <c r="M42" s="4" t="s">
        <v>60</v>
      </c>
      <c r="N42" s="4" t="s">
        <v>61</v>
      </c>
      <c r="O42" s="6">
        <v>168810</v>
      </c>
      <c r="P42" s="6">
        <v>28810</v>
      </c>
      <c r="Q42" s="6">
        <v>28810</v>
      </c>
      <c r="R42" s="4" t="s">
        <v>252</v>
      </c>
      <c r="S42" s="4" t="s">
        <v>62</v>
      </c>
      <c r="T42" s="4">
        <v>90</v>
      </c>
      <c r="U42" s="4" t="s">
        <v>253</v>
      </c>
      <c r="V42" s="8" t="s">
        <v>64</v>
      </c>
      <c r="W42" s="8" t="s">
        <v>64</v>
      </c>
      <c r="X42" s="8" t="s">
        <v>64</v>
      </c>
      <c r="Y42" s="8" t="s">
        <v>64</v>
      </c>
      <c r="Z42" s="4" t="s">
        <v>254</v>
      </c>
    </row>
    <row r="43" spans="1:26" ht="15">
      <c r="A43" s="5">
        <v>46272.648611111108</v>
      </c>
      <c r="B43" s="4" t="s">
        <v>255</v>
      </c>
      <c r="C43" s="4" t="s">
        <v>256</v>
      </c>
      <c r="D43" s="4" t="s">
        <v>257</v>
      </c>
      <c r="E43" s="4" t="s">
        <v>258</v>
      </c>
      <c r="F43" s="4" t="s">
        <v>22</v>
      </c>
      <c r="G43" s="4" t="s">
        <v>259</v>
      </c>
      <c r="H43" s="4" t="s">
        <v>56</v>
      </c>
      <c r="I43" s="4" t="s">
        <v>57</v>
      </c>
      <c r="J43" s="4" t="s">
        <v>5</v>
      </c>
      <c r="K43" s="4" t="s">
        <v>4</v>
      </c>
      <c r="L43" s="4" t="s">
        <v>119</v>
      </c>
      <c r="M43" s="4" t="s">
        <v>87</v>
      </c>
      <c r="N43" s="4" t="s">
        <v>61</v>
      </c>
      <c r="O43" s="6">
        <v>275000</v>
      </c>
      <c r="P43" s="6">
        <v>40000</v>
      </c>
      <c r="Q43" s="6">
        <v>40100</v>
      </c>
      <c r="R43" s="7">
        <v>46272</v>
      </c>
      <c r="S43" s="4" t="s">
        <v>62</v>
      </c>
      <c r="T43" s="4">
        <v>100</v>
      </c>
      <c r="U43" s="4" t="s">
        <v>260</v>
      </c>
      <c r="V43" s="8" t="s">
        <v>64</v>
      </c>
      <c r="W43" s="8" t="s">
        <v>64</v>
      </c>
      <c r="X43" s="8" t="s">
        <v>64</v>
      </c>
      <c r="Y43" s="8" t="s">
        <v>64</v>
      </c>
      <c r="Z43" s="4" t="s">
        <v>131</v>
      </c>
    </row>
    <row r="44" spans="1:26" ht="15">
      <c r="A44" s="4" t="s">
        <v>261</v>
      </c>
      <c r="B44" s="4" t="s">
        <v>262</v>
      </c>
      <c r="C44" s="4" t="s">
        <v>256</v>
      </c>
      <c r="D44" s="4" t="s">
        <v>257</v>
      </c>
      <c r="E44" s="4" t="s">
        <v>263</v>
      </c>
      <c r="F44" s="4" t="s">
        <v>22</v>
      </c>
      <c r="G44" s="4" t="s">
        <v>259</v>
      </c>
      <c r="H44" s="4" t="s">
        <v>56</v>
      </c>
      <c r="I44" s="4" t="s">
        <v>57</v>
      </c>
      <c r="J44" s="4" t="s">
        <v>5</v>
      </c>
      <c r="K44" s="4" t="s">
        <v>4</v>
      </c>
      <c r="L44" s="4" t="s">
        <v>119</v>
      </c>
      <c r="M44" s="4" t="s">
        <v>91</v>
      </c>
      <c r="N44" s="4" t="s">
        <v>61</v>
      </c>
      <c r="O44" s="6">
        <v>275000</v>
      </c>
      <c r="P44" s="6">
        <v>40000</v>
      </c>
      <c r="Q44" s="6">
        <v>40000</v>
      </c>
      <c r="R44" s="4" t="s">
        <v>252</v>
      </c>
      <c r="S44" s="4" t="s">
        <v>62</v>
      </c>
      <c r="T44" s="4">
        <v>100</v>
      </c>
      <c r="U44" s="4" t="s">
        <v>264</v>
      </c>
      <c r="V44" s="8" t="s">
        <v>64</v>
      </c>
      <c r="W44" s="8" t="s">
        <v>64</v>
      </c>
      <c r="X44" s="8" t="s">
        <v>64</v>
      </c>
      <c r="Y44" s="8" t="s">
        <v>64</v>
      </c>
      <c r="Z44" s="4" t="s">
        <v>131</v>
      </c>
    </row>
    <row r="45" spans="1:26" ht="15">
      <c r="A45" s="5">
        <v>46148.52847222222</v>
      </c>
      <c r="B45" s="4" t="s">
        <v>265</v>
      </c>
      <c r="C45" s="4" t="s">
        <v>114</v>
      </c>
      <c r="D45" s="4" t="s">
        <v>115</v>
      </c>
      <c r="E45" s="4" t="s">
        <v>266</v>
      </c>
      <c r="F45" s="4" t="s">
        <v>7</v>
      </c>
      <c r="G45" s="4" t="s">
        <v>7</v>
      </c>
      <c r="H45" s="4" t="s">
        <v>56</v>
      </c>
      <c r="I45" s="4" t="s">
        <v>57</v>
      </c>
      <c r="J45" s="4" t="s">
        <v>58</v>
      </c>
      <c r="K45" s="4" t="s">
        <v>4</v>
      </c>
      <c r="L45" s="4" t="s">
        <v>267</v>
      </c>
      <c r="M45" s="4" t="s">
        <v>87</v>
      </c>
      <c r="N45" s="4" t="s">
        <v>61</v>
      </c>
      <c r="O45" s="6">
        <v>6310392</v>
      </c>
      <c r="P45" s="6">
        <v>357192</v>
      </c>
      <c r="Q45" s="4">
        <v>0</v>
      </c>
      <c r="R45" s="4" t="s">
        <v>268</v>
      </c>
      <c r="S45" s="4" t="s">
        <v>62</v>
      </c>
      <c r="T45" s="4">
        <v>100</v>
      </c>
      <c r="U45" s="8" t="s">
        <v>64</v>
      </c>
      <c r="V45" s="4">
        <v>31422270</v>
      </c>
      <c r="W45" s="4" t="s">
        <v>269</v>
      </c>
      <c r="X45" s="4" t="s">
        <v>270</v>
      </c>
      <c r="Y45" s="8" t="s">
        <v>64</v>
      </c>
      <c r="Z45" s="4" t="s">
        <v>121</v>
      </c>
    </row>
    <row r="46" spans="1:26" ht="15">
      <c r="A46" s="4" t="s">
        <v>271</v>
      </c>
      <c r="B46" s="4" t="s">
        <v>272</v>
      </c>
      <c r="C46" s="4" t="s">
        <v>273</v>
      </c>
      <c r="D46" s="4" t="s">
        <v>274</v>
      </c>
      <c r="E46" s="4" t="s">
        <v>275</v>
      </c>
      <c r="F46" s="4" t="s">
        <v>8</v>
      </c>
      <c r="G46" s="4" t="s">
        <v>8</v>
      </c>
      <c r="H46" s="4" t="s">
        <v>56</v>
      </c>
      <c r="I46" s="4" t="s">
        <v>57</v>
      </c>
      <c r="J46" s="4" t="s">
        <v>58</v>
      </c>
      <c r="K46" s="4" t="s">
        <v>4</v>
      </c>
      <c r="L46" s="4" t="s">
        <v>59</v>
      </c>
      <c r="M46" s="4" t="s">
        <v>87</v>
      </c>
      <c r="N46" s="4" t="s">
        <v>61</v>
      </c>
      <c r="O46" s="6">
        <v>9601500</v>
      </c>
      <c r="P46" s="6">
        <v>476975</v>
      </c>
      <c r="Q46" s="4">
        <v>0</v>
      </c>
      <c r="R46" s="7">
        <v>46088</v>
      </c>
      <c r="S46" s="4" t="s">
        <v>62</v>
      </c>
      <c r="T46" s="4">
        <v>100</v>
      </c>
      <c r="U46" s="8" t="s">
        <v>64</v>
      </c>
      <c r="V46" s="4">
        <v>31068445</v>
      </c>
      <c r="W46" s="4" t="s">
        <v>269</v>
      </c>
      <c r="X46" s="4" t="s">
        <v>159</v>
      </c>
      <c r="Y46" s="8" t="s">
        <v>64</v>
      </c>
      <c r="Z46" s="4" t="s">
        <v>131</v>
      </c>
    </row>
    <row r="47" spans="1:26" ht="15">
      <c r="A47" s="4" t="s">
        <v>276</v>
      </c>
      <c r="B47" s="4" t="s">
        <v>277</v>
      </c>
      <c r="C47" s="4" t="s">
        <v>273</v>
      </c>
      <c r="D47" s="4" t="s">
        <v>274</v>
      </c>
      <c r="E47" s="4" t="s">
        <v>278</v>
      </c>
      <c r="F47" s="4" t="s">
        <v>8</v>
      </c>
      <c r="G47" s="4" t="s">
        <v>8</v>
      </c>
      <c r="H47" s="4" t="s">
        <v>56</v>
      </c>
      <c r="I47" s="4" t="s">
        <v>57</v>
      </c>
      <c r="J47" s="4" t="s">
        <v>58</v>
      </c>
      <c r="K47" s="4" t="s">
        <v>4</v>
      </c>
      <c r="L47" s="4" t="s">
        <v>59</v>
      </c>
      <c r="M47" s="4" t="s">
        <v>279</v>
      </c>
      <c r="N47" s="4" t="s">
        <v>61</v>
      </c>
      <c r="O47" s="6">
        <v>199500</v>
      </c>
      <c r="P47" s="6">
        <v>7000</v>
      </c>
      <c r="Q47" s="4">
        <v>0</v>
      </c>
      <c r="R47" s="7">
        <v>46119</v>
      </c>
      <c r="S47" s="4" t="s">
        <v>62</v>
      </c>
      <c r="T47" s="4">
        <v>100</v>
      </c>
      <c r="U47" s="8" t="s">
        <v>64</v>
      </c>
      <c r="V47" s="8" t="s">
        <v>64</v>
      </c>
      <c r="W47" s="8" t="s">
        <v>64</v>
      </c>
      <c r="X47" s="8" t="s">
        <v>64</v>
      </c>
      <c r="Y47" s="8" t="s">
        <v>64</v>
      </c>
      <c r="Z47" s="4" t="s">
        <v>131</v>
      </c>
    </row>
    <row r="48" spans="1:26" ht="15">
      <c r="A48" s="5">
        <v>46241.925000000003</v>
      </c>
      <c r="B48" s="4" t="s">
        <v>280</v>
      </c>
      <c r="C48" s="4" t="s">
        <v>281</v>
      </c>
      <c r="D48" s="4" t="s">
        <v>282</v>
      </c>
      <c r="E48" s="4" t="s">
        <v>283</v>
      </c>
      <c r="F48" s="4" t="s">
        <v>12</v>
      </c>
      <c r="G48" s="4" t="s">
        <v>12</v>
      </c>
      <c r="H48" s="4" t="s">
        <v>56</v>
      </c>
      <c r="I48" s="4" t="s">
        <v>57</v>
      </c>
      <c r="J48" s="4" t="s">
        <v>58</v>
      </c>
      <c r="K48" s="4" t="s">
        <v>4</v>
      </c>
      <c r="L48" s="4" t="s">
        <v>59</v>
      </c>
      <c r="M48" s="4" t="s">
        <v>91</v>
      </c>
      <c r="N48" s="4" t="s">
        <v>61</v>
      </c>
      <c r="O48" s="6">
        <v>22400</v>
      </c>
      <c r="P48" s="6">
        <v>3200</v>
      </c>
      <c r="Q48" s="6">
        <v>1600</v>
      </c>
      <c r="R48" s="7">
        <v>46241</v>
      </c>
      <c r="S48" s="4" t="s">
        <v>62</v>
      </c>
      <c r="T48" s="4">
        <v>100</v>
      </c>
      <c r="U48" s="4" t="s">
        <v>284</v>
      </c>
      <c r="V48" s="8" t="s">
        <v>64</v>
      </c>
      <c r="W48" s="8" t="s">
        <v>64</v>
      </c>
      <c r="X48" s="8" t="s">
        <v>64</v>
      </c>
      <c r="Y48" s="4" t="s">
        <v>285</v>
      </c>
      <c r="Z48" s="4" t="s">
        <v>91</v>
      </c>
    </row>
    <row r="49" spans="1:26" ht="15">
      <c r="A49" s="4" t="s">
        <v>286</v>
      </c>
      <c r="B49" s="4" t="s">
        <v>287</v>
      </c>
      <c r="C49" s="4" t="s">
        <v>288</v>
      </c>
      <c r="D49" s="4" t="s">
        <v>289</v>
      </c>
      <c r="E49" s="4" t="s">
        <v>290</v>
      </c>
      <c r="F49" s="4" t="s">
        <v>12</v>
      </c>
      <c r="G49" s="4" t="s">
        <v>12</v>
      </c>
      <c r="H49" s="4" t="s">
        <v>56</v>
      </c>
      <c r="I49" s="4" t="s">
        <v>57</v>
      </c>
      <c r="J49" s="4" t="s">
        <v>58</v>
      </c>
      <c r="K49" s="4" t="s">
        <v>4</v>
      </c>
      <c r="L49" s="4" t="s">
        <v>119</v>
      </c>
      <c r="M49" s="4" t="s">
        <v>60</v>
      </c>
      <c r="N49" s="4" t="s">
        <v>61</v>
      </c>
      <c r="O49" s="6">
        <v>32000</v>
      </c>
      <c r="P49" s="6">
        <v>1750</v>
      </c>
      <c r="Q49" s="6">
        <v>3000</v>
      </c>
      <c r="R49" s="4" t="s">
        <v>130</v>
      </c>
      <c r="S49" s="4" t="s">
        <v>62</v>
      </c>
      <c r="T49" s="4">
        <v>100</v>
      </c>
      <c r="U49" s="4" t="s">
        <v>291</v>
      </c>
      <c r="V49" s="8" t="s">
        <v>64</v>
      </c>
      <c r="W49" s="8" t="s">
        <v>64</v>
      </c>
      <c r="X49" s="8" t="s">
        <v>64</v>
      </c>
      <c r="Y49" s="8" t="s">
        <v>64</v>
      </c>
      <c r="Z49" s="4" t="s">
        <v>91</v>
      </c>
    </row>
    <row r="50" spans="1:26" ht="15">
      <c r="A50" s="4" t="s">
        <v>292</v>
      </c>
      <c r="B50" s="4" t="s">
        <v>293</v>
      </c>
      <c r="C50" s="4" t="s">
        <v>288</v>
      </c>
      <c r="D50" s="4" t="s">
        <v>289</v>
      </c>
      <c r="E50" s="4" t="s">
        <v>294</v>
      </c>
      <c r="F50" s="4" t="s">
        <v>12</v>
      </c>
      <c r="G50" s="4" t="s">
        <v>12</v>
      </c>
      <c r="H50" s="4" t="s">
        <v>56</v>
      </c>
      <c r="I50" s="4" t="s">
        <v>57</v>
      </c>
      <c r="J50" s="4" t="s">
        <v>58</v>
      </c>
      <c r="K50" s="4" t="s">
        <v>4</v>
      </c>
      <c r="L50" s="4" t="s">
        <v>119</v>
      </c>
      <c r="M50" s="4" t="s">
        <v>60</v>
      </c>
      <c r="N50" s="4" t="s">
        <v>61</v>
      </c>
      <c r="O50" s="6">
        <v>32000</v>
      </c>
      <c r="P50" s="6">
        <v>1750</v>
      </c>
      <c r="Q50" s="6">
        <v>3000</v>
      </c>
      <c r="R50" s="4" t="s">
        <v>130</v>
      </c>
      <c r="S50" s="4" t="s">
        <v>62</v>
      </c>
      <c r="T50" s="4">
        <v>100</v>
      </c>
      <c r="U50" s="4" t="s">
        <v>295</v>
      </c>
      <c r="V50" s="8" t="s">
        <v>64</v>
      </c>
      <c r="W50" s="8" t="s">
        <v>64</v>
      </c>
      <c r="X50" s="8" t="s">
        <v>64</v>
      </c>
      <c r="Y50" s="8" t="s">
        <v>64</v>
      </c>
      <c r="Z50" s="4" t="s">
        <v>91</v>
      </c>
    </row>
    <row r="51" spans="1:26" ht="15" customHeight="1">
      <c r="A51" s="13">
        <v>46029.463888888888</v>
      </c>
      <c r="B51" s="9" t="s">
        <v>296</v>
      </c>
      <c r="C51" s="9" t="s">
        <v>297</v>
      </c>
      <c r="D51" s="9" t="s">
        <v>298</v>
      </c>
      <c r="E51" s="9" t="s">
        <v>299</v>
      </c>
      <c r="F51" s="9" t="s">
        <v>5</v>
      </c>
      <c r="G51" s="9" t="s">
        <v>300</v>
      </c>
      <c r="H51" s="9" t="s">
        <v>56</v>
      </c>
      <c r="I51" s="9" t="s">
        <v>57</v>
      </c>
      <c r="J51" s="9" t="s">
        <v>58</v>
      </c>
      <c r="K51" s="9" t="s">
        <v>6</v>
      </c>
      <c r="L51" s="9" t="s">
        <v>301</v>
      </c>
      <c r="M51" s="9" t="s">
        <v>302</v>
      </c>
      <c r="N51" s="9" t="s">
        <v>61</v>
      </c>
      <c r="O51" s="10">
        <v>4998498</v>
      </c>
      <c r="P51" s="10">
        <v>500000</v>
      </c>
      <c r="Q51" s="9">
        <v>0</v>
      </c>
      <c r="R51" s="14">
        <v>46029</v>
      </c>
      <c r="S51" s="9" t="s">
        <v>62</v>
      </c>
      <c r="T51" s="9">
        <v>100</v>
      </c>
      <c r="U51" s="9" t="s">
        <v>303</v>
      </c>
      <c r="V51" s="11" t="s">
        <v>64</v>
      </c>
      <c r="W51" s="11" t="s">
        <v>64</v>
      </c>
      <c r="X51" s="11" t="s">
        <v>64</v>
      </c>
      <c r="Y51" s="12" t="s">
        <v>304</v>
      </c>
      <c r="Z51" s="9" t="s">
        <v>91</v>
      </c>
    </row>
    <row r="52" spans="1:26" ht="1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12" t="s">
        <v>305</v>
      </c>
      <c r="Z52" s="9"/>
    </row>
    <row r="53" spans="1:26" ht="1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12" t="s">
        <v>306</v>
      </c>
      <c r="Z53" s="9"/>
    </row>
    <row r="54" spans="1:26" ht="15">
      <c r="A54" s="4" t="s">
        <v>307</v>
      </c>
      <c r="B54" s="4" t="s">
        <v>308</v>
      </c>
      <c r="C54" s="4" t="s">
        <v>309</v>
      </c>
      <c r="D54" s="4" t="s">
        <v>310</v>
      </c>
      <c r="E54" s="4" t="s">
        <v>311</v>
      </c>
      <c r="F54" s="4" t="s">
        <v>312</v>
      </c>
      <c r="G54" s="4" t="s">
        <v>313</v>
      </c>
      <c r="H54" s="4" t="s">
        <v>56</v>
      </c>
      <c r="I54" s="4" t="s">
        <v>57</v>
      </c>
      <c r="J54" s="4" t="s">
        <v>314</v>
      </c>
      <c r="K54" s="4" t="s">
        <v>6</v>
      </c>
      <c r="L54" s="4" t="s">
        <v>301</v>
      </c>
      <c r="M54" s="4" t="s">
        <v>302</v>
      </c>
      <c r="N54" s="4" t="s">
        <v>61</v>
      </c>
      <c r="O54" s="6">
        <v>638000</v>
      </c>
      <c r="P54" s="6">
        <v>125000</v>
      </c>
      <c r="Q54" s="4">
        <v>0</v>
      </c>
      <c r="R54" s="4" t="s">
        <v>268</v>
      </c>
      <c r="S54" s="4" t="s">
        <v>62</v>
      </c>
      <c r="T54" s="4">
        <v>50</v>
      </c>
      <c r="U54" s="8" t="s">
        <v>64</v>
      </c>
      <c r="V54" s="8" t="s">
        <v>64</v>
      </c>
      <c r="W54" s="8" t="s">
        <v>64</v>
      </c>
      <c r="X54" s="8" t="s">
        <v>64</v>
      </c>
      <c r="Y54" s="8" t="s">
        <v>64</v>
      </c>
      <c r="Z54" s="4" t="s">
        <v>254</v>
      </c>
    </row>
    <row r="55" spans="1:26" ht="15">
      <c r="A55" s="4" t="s">
        <v>315</v>
      </c>
      <c r="B55" s="4" t="s">
        <v>316</v>
      </c>
      <c r="C55" s="4" t="s">
        <v>317</v>
      </c>
      <c r="D55" s="4" t="s">
        <v>318</v>
      </c>
      <c r="E55" s="4" t="s">
        <v>319</v>
      </c>
      <c r="F55" s="4" t="s">
        <v>312</v>
      </c>
      <c r="G55" s="4" t="s">
        <v>313</v>
      </c>
      <c r="H55" s="4" t="s">
        <v>56</v>
      </c>
      <c r="I55" s="4" t="s">
        <v>57</v>
      </c>
      <c r="J55" s="4" t="s">
        <v>320</v>
      </c>
      <c r="K55" s="4" t="s">
        <v>6</v>
      </c>
      <c r="L55" s="4" t="s">
        <v>321</v>
      </c>
      <c r="M55" s="4" t="s">
        <v>302</v>
      </c>
      <c r="N55" s="4" t="s">
        <v>61</v>
      </c>
      <c r="O55" s="6">
        <v>13365</v>
      </c>
      <c r="P55" s="6">
        <v>9615</v>
      </c>
      <c r="Q55" s="4">
        <v>0</v>
      </c>
      <c r="R55" s="4" t="s">
        <v>143</v>
      </c>
      <c r="S55" s="4" t="s">
        <v>62</v>
      </c>
      <c r="T55" s="4">
        <v>75</v>
      </c>
      <c r="U55" s="8" t="s">
        <v>64</v>
      </c>
      <c r="V55" s="8" t="s">
        <v>64</v>
      </c>
      <c r="W55" s="8" t="s">
        <v>64</v>
      </c>
      <c r="X55" s="8" t="s">
        <v>64</v>
      </c>
      <c r="Y55" s="8" t="s">
        <v>64</v>
      </c>
      <c r="Z55" s="4" t="s">
        <v>254</v>
      </c>
    </row>
    <row r="56" spans="1:26" ht="15">
      <c r="A56" s="4" t="s">
        <v>322</v>
      </c>
      <c r="B56" s="4" t="s">
        <v>323</v>
      </c>
      <c r="C56" s="4" t="s">
        <v>324</v>
      </c>
      <c r="D56" s="4" t="s">
        <v>325</v>
      </c>
      <c r="E56" s="4" t="s">
        <v>326</v>
      </c>
      <c r="F56" s="4" t="s">
        <v>7</v>
      </c>
      <c r="G56" s="4" t="s">
        <v>327</v>
      </c>
      <c r="H56" s="4" t="s">
        <v>56</v>
      </c>
      <c r="I56" s="4" t="s">
        <v>57</v>
      </c>
      <c r="J56" s="4" t="s">
        <v>320</v>
      </c>
      <c r="K56" s="4" t="s">
        <v>6</v>
      </c>
      <c r="L56" s="4" t="s">
        <v>301</v>
      </c>
      <c r="M56" s="4" t="s">
        <v>302</v>
      </c>
      <c r="N56" s="4" t="s">
        <v>61</v>
      </c>
      <c r="O56" s="6">
        <v>4900000</v>
      </c>
      <c r="P56" s="6">
        <v>536360</v>
      </c>
      <c r="Q56" s="6">
        <v>536360</v>
      </c>
      <c r="R56" s="4" t="s">
        <v>268</v>
      </c>
      <c r="S56" s="4" t="s">
        <v>62</v>
      </c>
      <c r="T56" s="4">
        <v>100</v>
      </c>
      <c r="U56" s="4" t="s">
        <v>328</v>
      </c>
      <c r="V56" s="8" t="s">
        <v>64</v>
      </c>
      <c r="W56" s="8" t="s">
        <v>64</v>
      </c>
      <c r="X56" s="8" t="s">
        <v>64</v>
      </c>
      <c r="Y56" s="4" t="s">
        <v>329</v>
      </c>
      <c r="Z56" s="4" t="s">
        <v>121</v>
      </c>
    </row>
    <row r="57" spans="1:26" ht="15">
      <c r="A57" s="5">
        <v>46058.841666666667</v>
      </c>
      <c r="B57" s="4" t="s">
        <v>330</v>
      </c>
      <c r="C57" s="4" t="s">
        <v>331</v>
      </c>
      <c r="D57" s="4" t="s">
        <v>332</v>
      </c>
      <c r="E57" s="4" t="s">
        <v>333</v>
      </c>
      <c r="F57" s="4" t="s">
        <v>10</v>
      </c>
      <c r="G57" s="4" t="s">
        <v>334</v>
      </c>
      <c r="H57" s="4" t="s">
        <v>56</v>
      </c>
      <c r="I57" s="4" t="s">
        <v>57</v>
      </c>
      <c r="J57" s="4" t="s">
        <v>320</v>
      </c>
      <c r="K57" s="4" t="s">
        <v>6</v>
      </c>
      <c r="L57" s="4" t="s">
        <v>321</v>
      </c>
      <c r="M57" s="4" t="s">
        <v>91</v>
      </c>
      <c r="N57" s="4" t="s">
        <v>61</v>
      </c>
      <c r="O57" s="6">
        <v>169490</v>
      </c>
      <c r="P57" s="6">
        <v>141555</v>
      </c>
      <c r="Q57" s="6">
        <v>139490</v>
      </c>
      <c r="R57" s="7">
        <v>46272</v>
      </c>
      <c r="S57" s="4" t="s">
        <v>62</v>
      </c>
      <c r="T57" s="4">
        <v>100</v>
      </c>
      <c r="U57" s="4" t="s">
        <v>335</v>
      </c>
      <c r="V57" s="8" t="s">
        <v>64</v>
      </c>
      <c r="W57" s="8" t="s">
        <v>64</v>
      </c>
      <c r="X57" s="8" t="s">
        <v>64</v>
      </c>
      <c r="Y57" s="4" t="s">
        <v>336</v>
      </c>
      <c r="Z57" s="4" t="s">
        <v>145</v>
      </c>
    </row>
    <row r="58" spans="1:26" ht="15">
      <c r="A58" s="5">
        <v>46119.706250000003</v>
      </c>
      <c r="B58" s="4" t="s">
        <v>337</v>
      </c>
      <c r="C58" s="4" t="s">
        <v>338</v>
      </c>
      <c r="D58" s="4" t="s">
        <v>339</v>
      </c>
      <c r="E58" s="4" t="s">
        <v>340</v>
      </c>
      <c r="F58" s="4" t="s">
        <v>10</v>
      </c>
      <c r="G58" s="4" t="s">
        <v>334</v>
      </c>
      <c r="H58" s="4" t="s">
        <v>56</v>
      </c>
      <c r="I58" s="4" t="s">
        <v>57</v>
      </c>
      <c r="J58" s="4" t="s">
        <v>341</v>
      </c>
      <c r="K58" s="4" t="s">
        <v>6</v>
      </c>
      <c r="L58" s="4" t="s">
        <v>321</v>
      </c>
      <c r="M58" s="4" t="s">
        <v>91</v>
      </c>
      <c r="N58" s="4" t="s">
        <v>61</v>
      </c>
      <c r="O58" s="6">
        <v>217800</v>
      </c>
      <c r="P58" s="6">
        <v>67800</v>
      </c>
      <c r="Q58" s="6">
        <v>67800</v>
      </c>
      <c r="R58" s="4" t="s">
        <v>252</v>
      </c>
      <c r="S58" s="4" t="s">
        <v>62</v>
      </c>
      <c r="T58" s="4">
        <v>100</v>
      </c>
      <c r="U58" s="4" t="s">
        <v>342</v>
      </c>
      <c r="V58" s="8" t="s">
        <v>64</v>
      </c>
      <c r="W58" s="8" t="s">
        <v>64</v>
      </c>
      <c r="X58" s="8" t="s">
        <v>64</v>
      </c>
      <c r="Y58" s="4" t="s">
        <v>343</v>
      </c>
      <c r="Z58" s="4" t="s">
        <v>145</v>
      </c>
    </row>
    <row r="59" spans="1:26" ht="15">
      <c r="A59" s="5">
        <v>46301.477777777778</v>
      </c>
      <c r="B59" s="4" t="s">
        <v>344</v>
      </c>
      <c r="C59" s="4" t="s">
        <v>345</v>
      </c>
      <c r="D59" s="4" t="s">
        <v>346</v>
      </c>
      <c r="E59" s="4" t="s">
        <v>347</v>
      </c>
      <c r="F59" s="4" t="s">
        <v>348</v>
      </c>
      <c r="G59" s="4" t="s">
        <v>349</v>
      </c>
      <c r="H59" s="4" t="s">
        <v>56</v>
      </c>
      <c r="I59" s="4" t="s">
        <v>57</v>
      </c>
      <c r="J59" s="4" t="s">
        <v>320</v>
      </c>
      <c r="K59" s="4" t="s">
        <v>6</v>
      </c>
      <c r="L59" s="4" t="s">
        <v>301</v>
      </c>
      <c r="M59" s="4" t="s">
        <v>302</v>
      </c>
      <c r="N59" s="4" t="s">
        <v>61</v>
      </c>
      <c r="O59" s="6">
        <v>1040000</v>
      </c>
      <c r="P59" s="6">
        <v>50000</v>
      </c>
      <c r="Q59" s="4">
        <v>0</v>
      </c>
      <c r="R59" s="4" t="s">
        <v>213</v>
      </c>
      <c r="S59" s="4" t="s">
        <v>62</v>
      </c>
      <c r="T59" s="4">
        <v>100</v>
      </c>
      <c r="U59" s="8" t="s">
        <v>64</v>
      </c>
      <c r="V59" s="8" t="s">
        <v>64</v>
      </c>
      <c r="W59" s="8" t="s">
        <v>64</v>
      </c>
      <c r="X59" s="8" t="s">
        <v>64</v>
      </c>
      <c r="Y59" s="8" t="s">
        <v>64</v>
      </c>
      <c r="Z59" s="4" t="s">
        <v>131</v>
      </c>
    </row>
    <row r="60" spans="1:26" ht="15">
      <c r="A60" s="5">
        <v>46302.436111111114</v>
      </c>
      <c r="B60" s="4" t="s">
        <v>350</v>
      </c>
      <c r="C60" s="4" t="s">
        <v>351</v>
      </c>
      <c r="D60" s="4" t="s">
        <v>352</v>
      </c>
      <c r="E60" s="4" t="s">
        <v>353</v>
      </c>
      <c r="F60" s="4" t="s">
        <v>16</v>
      </c>
      <c r="G60" s="4" t="s">
        <v>354</v>
      </c>
      <c r="H60" s="4" t="s">
        <v>355</v>
      </c>
      <c r="I60" s="4" t="s">
        <v>57</v>
      </c>
      <c r="J60" s="4" t="s">
        <v>320</v>
      </c>
      <c r="K60" s="4" t="s">
        <v>6</v>
      </c>
      <c r="L60" s="4" t="s">
        <v>321</v>
      </c>
      <c r="M60" s="4" t="s">
        <v>91</v>
      </c>
      <c r="N60" s="4" t="s">
        <v>61</v>
      </c>
      <c r="O60" s="6">
        <v>45000</v>
      </c>
      <c r="P60" s="6">
        <v>3450</v>
      </c>
      <c r="Q60" s="4">
        <v>0</v>
      </c>
      <c r="R60" s="7">
        <v>46302</v>
      </c>
      <c r="S60" s="4" t="s">
        <v>62</v>
      </c>
      <c r="T60" s="4">
        <v>100</v>
      </c>
      <c r="U60" s="8" t="s">
        <v>64</v>
      </c>
      <c r="V60" s="8" t="s">
        <v>64</v>
      </c>
      <c r="W60" s="8" t="s">
        <v>64</v>
      </c>
      <c r="X60" s="8" t="s">
        <v>64</v>
      </c>
      <c r="Y60" s="8" t="s">
        <v>64</v>
      </c>
      <c r="Z60" s="4" t="s">
        <v>254</v>
      </c>
    </row>
    <row r="61" spans="1:26" ht="15">
      <c r="A61" s="5">
        <v>46028.493750000001</v>
      </c>
      <c r="B61" s="4" t="s">
        <v>356</v>
      </c>
      <c r="C61" s="4" t="s">
        <v>357</v>
      </c>
      <c r="D61" s="4" t="s">
        <v>358</v>
      </c>
      <c r="E61" s="4" t="s">
        <v>359</v>
      </c>
      <c r="F61" s="4" t="s">
        <v>360</v>
      </c>
      <c r="G61" s="4" t="s">
        <v>361</v>
      </c>
      <c r="H61" s="4" t="s">
        <v>56</v>
      </c>
      <c r="I61" s="4" t="s">
        <v>57</v>
      </c>
      <c r="J61" s="4" t="s">
        <v>341</v>
      </c>
      <c r="K61" s="4" t="s">
        <v>362</v>
      </c>
      <c r="L61" s="4" t="s">
        <v>362</v>
      </c>
      <c r="M61" s="4" t="s">
        <v>359</v>
      </c>
      <c r="N61" s="4" t="s">
        <v>61</v>
      </c>
      <c r="O61" s="6">
        <v>1105210</v>
      </c>
      <c r="P61" s="6">
        <v>10000</v>
      </c>
      <c r="Q61" s="4">
        <v>0</v>
      </c>
      <c r="R61" s="7">
        <v>46333</v>
      </c>
      <c r="S61" s="4" t="s">
        <v>62</v>
      </c>
      <c r="T61" s="4">
        <v>100</v>
      </c>
      <c r="U61" s="8" t="s">
        <v>64</v>
      </c>
      <c r="V61" s="8" t="s">
        <v>64</v>
      </c>
      <c r="W61" s="8" t="s">
        <v>64</v>
      </c>
      <c r="X61" s="8" t="s">
        <v>64</v>
      </c>
      <c r="Y61" s="8" t="s">
        <v>64</v>
      </c>
      <c r="Z61" s="4" t="s">
        <v>153</v>
      </c>
    </row>
    <row r="62" spans="1:26" ht="15">
      <c r="A62" s="4" t="s">
        <v>363</v>
      </c>
      <c r="B62" s="4" t="s">
        <v>364</v>
      </c>
      <c r="C62" s="4" t="s">
        <v>365</v>
      </c>
      <c r="D62" s="4" t="s">
        <v>366</v>
      </c>
      <c r="E62" s="4" t="s">
        <v>367</v>
      </c>
      <c r="F62" s="4" t="s">
        <v>368</v>
      </c>
      <c r="G62" s="4" t="s">
        <v>369</v>
      </c>
      <c r="H62" s="4" t="s">
        <v>56</v>
      </c>
      <c r="I62" s="4" t="s">
        <v>57</v>
      </c>
      <c r="J62" s="4" t="s">
        <v>370</v>
      </c>
      <c r="K62" s="4" t="s">
        <v>9</v>
      </c>
      <c r="L62" s="4" t="s">
        <v>151</v>
      </c>
      <c r="M62" s="4" t="s">
        <v>371</v>
      </c>
      <c r="N62" s="4" t="s">
        <v>61</v>
      </c>
      <c r="O62" s="6">
        <v>3192800</v>
      </c>
      <c r="P62" s="6">
        <v>205088</v>
      </c>
      <c r="Q62" s="6">
        <v>237536</v>
      </c>
      <c r="R62" s="4" t="s">
        <v>130</v>
      </c>
      <c r="S62" s="4" t="s">
        <v>62</v>
      </c>
      <c r="T62" s="4">
        <v>100</v>
      </c>
      <c r="U62" s="4" t="s">
        <v>372</v>
      </c>
      <c r="V62" s="8" t="s">
        <v>64</v>
      </c>
      <c r="W62" s="8" t="s">
        <v>64</v>
      </c>
      <c r="X62" s="8" t="s">
        <v>64</v>
      </c>
      <c r="Y62" s="8" t="s">
        <v>64</v>
      </c>
      <c r="Z62" s="4" t="s">
        <v>131</v>
      </c>
    </row>
    <row r="63" spans="1:26" ht="15">
      <c r="A63" s="4" t="s">
        <v>373</v>
      </c>
      <c r="B63" s="4" t="s">
        <v>374</v>
      </c>
      <c r="C63" s="4" t="s">
        <v>375</v>
      </c>
      <c r="D63" s="4" t="s">
        <v>376</v>
      </c>
      <c r="E63" s="4" t="s">
        <v>377</v>
      </c>
      <c r="F63" s="4" t="s">
        <v>15</v>
      </c>
      <c r="G63" s="4" t="s">
        <v>15</v>
      </c>
      <c r="H63" s="4" t="s">
        <v>56</v>
      </c>
      <c r="I63" s="4" t="s">
        <v>57</v>
      </c>
      <c r="J63" s="4" t="s">
        <v>58</v>
      </c>
      <c r="K63" s="4" t="s">
        <v>4</v>
      </c>
      <c r="L63" s="4" t="s">
        <v>119</v>
      </c>
      <c r="M63" s="4" t="s">
        <v>91</v>
      </c>
      <c r="N63" s="4" t="s">
        <v>61</v>
      </c>
      <c r="O63" s="6">
        <v>96000</v>
      </c>
      <c r="P63" s="6">
        <v>10000</v>
      </c>
      <c r="Q63" s="6">
        <v>10000</v>
      </c>
      <c r="R63" s="4" t="s">
        <v>252</v>
      </c>
      <c r="S63" s="4" t="s">
        <v>62</v>
      </c>
      <c r="T63" s="4">
        <v>100</v>
      </c>
      <c r="U63" s="4" t="s">
        <v>378</v>
      </c>
      <c r="V63" s="8" t="s">
        <v>64</v>
      </c>
      <c r="W63" s="8" t="s">
        <v>64</v>
      </c>
      <c r="X63" s="8" t="s">
        <v>64</v>
      </c>
      <c r="Y63" s="8" t="s">
        <v>64</v>
      </c>
      <c r="Z63" s="4" t="s">
        <v>131</v>
      </c>
    </row>
    <row r="64" spans="1:26" ht="15">
      <c r="A64" s="4" t="s">
        <v>379</v>
      </c>
      <c r="B64" s="4" t="s">
        <v>380</v>
      </c>
      <c r="C64" s="4" t="s">
        <v>375</v>
      </c>
      <c r="D64" s="4" t="s">
        <v>376</v>
      </c>
      <c r="E64" s="4" t="s">
        <v>381</v>
      </c>
      <c r="F64" s="4" t="s">
        <v>15</v>
      </c>
      <c r="G64" s="4" t="s">
        <v>15</v>
      </c>
      <c r="H64" s="4" t="s">
        <v>56</v>
      </c>
      <c r="I64" s="4" t="s">
        <v>57</v>
      </c>
      <c r="J64" s="4" t="s">
        <v>58</v>
      </c>
      <c r="K64" s="4" t="s">
        <v>4</v>
      </c>
      <c r="L64" s="4" t="s">
        <v>119</v>
      </c>
      <c r="M64" s="4" t="s">
        <v>91</v>
      </c>
      <c r="N64" s="4" t="s">
        <v>61</v>
      </c>
      <c r="O64" s="6">
        <v>72000</v>
      </c>
      <c r="P64" s="6">
        <v>7500</v>
      </c>
      <c r="Q64" s="6">
        <v>7500</v>
      </c>
      <c r="R64" s="4" t="s">
        <v>229</v>
      </c>
      <c r="S64" s="4" t="s">
        <v>62</v>
      </c>
      <c r="T64" s="4">
        <v>100</v>
      </c>
      <c r="U64" s="4" t="s">
        <v>382</v>
      </c>
      <c r="V64" s="8" t="s">
        <v>64</v>
      </c>
      <c r="W64" s="8" t="s">
        <v>64</v>
      </c>
      <c r="X64" s="8" t="s">
        <v>64</v>
      </c>
      <c r="Y64" s="8" t="s">
        <v>64</v>
      </c>
      <c r="Z64" s="4" t="s">
        <v>131</v>
      </c>
    </row>
    <row r="65" spans="1:26" ht="15">
      <c r="A65" s="4" t="s">
        <v>383</v>
      </c>
      <c r="B65" s="4" t="s">
        <v>384</v>
      </c>
      <c r="C65" s="4" t="s">
        <v>385</v>
      </c>
      <c r="D65" s="4" t="s">
        <v>386</v>
      </c>
      <c r="E65" s="4" t="s">
        <v>387</v>
      </c>
      <c r="F65" s="4" t="s">
        <v>15</v>
      </c>
      <c r="G65" s="4" t="s">
        <v>15</v>
      </c>
      <c r="H65" s="4" t="s">
        <v>56</v>
      </c>
      <c r="I65" s="4" t="s">
        <v>57</v>
      </c>
      <c r="J65" s="4" t="s">
        <v>58</v>
      </c>
      <c r="K65" s="4" t="s">
        <v>4</v>
      </c>
      <c r="L65" s="4" t="s">
        <v>119</v>
      </c>
      <c r="M65" s="4" t="s">
        <v>91</v>
      </c>
      <c r="N65" s="4" t="s">
        <v>61</v>
      </c>
      <c r="O65" s="6">
        <v>148149.15</v>
      </c>
      <c r="P65" s="6">
        <v>8649.15</v>
      </c>
      <c r="Q65" s="4">
        <v>0</v>
      </c>
      <c r="R65" s="4" t="s">
        <v>76</v>
      </c>
      <c r="S65" s="4" t="s">
        <v>62</v>
      </c>
      <c r="T65" s="4">
        <v>100</v>
      </c>
      <c r="U65" s="8" t="s">
        <v>64</v>
      </c>
      <c r="V65" s="8" t="s">
        <v>64</v>
      </c>
      <c r="W65" s="8" t="s">
        <v>64</v>
      </c>
      <c r="X65" s="8" t="s">
        <v>64</v>
      </c>
      <c r="Y65" s="8" t="s">
        <v>64</v>
      </c>
      <c r="Z65" s="4" t="s">
        <v>131</v>
      </c>
    </row>
    <row r="66" spans="1:26" ht="15">
      <c r="A66" s="5">
        <v>46028.713888888888</v>
      </c>
      <c r="B66" s="4" t="s">
        <v>388</v>
      </c>
      <c r="C66" s="4" t="s">
        <v>389</v>
      </c>
      <c r="D66" s="4" t="s">
        <v>390</v>
      </c>
      <c r="E66" s="4" t="s">
        <v>391</v>
      </c>
      <c r="F66" s="4" t="s">
        <v>348</v>
      </c>
      <c r="G66" s="4" t="s">
        <v>348</v>
      </c>
      <c r="H66" s="4" t="s">
        <v>56</v>
      </c>
      <c r="I66" s="4" t="s">
        <v>57</v>
      </c>
      <c r="J66" s="4" t="s">
        <v>58</v>
      </c>
      <c r="K66" s="4" t="s">
        <v>4</v>
      </c>
      <c r="L66" s="4" t="s">
        <v>59</v>
      </c>
      <c r="M66" s="4" t="s">
        <v>70</v>
      </c>
      <c r="N66" s="4" t="s">
        <v>61</v>
      </c>
      <c r="O66" s="6">
        <v>952000</v>
      </c>
      <c r="P66" s="6">
        <v>17600</v>
      </c>
      <c r="Q66" s="6">
        <v>17600</v>
      </c>
      <c r="R66" s="4" t="s">
        <v>88</v>
      </c>
      <c r="S66" s="4" t="s">
        <v>62</v>
      </c>
      <c r="T66" s="4">
        <v>100</v>
      </c>
      <c r="U66" s="4" t="s">
        <v>392</v>
      </c>
      <c r="V66" s="8" t="s">
        <v>64</v>
      </c>
      <c r="W66" s="8" t="s">
        <v>64</v>
      </c>
      <c r="X66" s="8" t="s">
        <v>64</v>
      </c>
      <c r="Y66" s="8" t="s">
        <v>64</v>
      </c>
      <c r="Z66" s="4" t="s">
        <v>131</v>
      </c>
    </row>
    <row r="67" spans="1:26" ht="15">
      <c r="A67" s="4" t="s">
        <v>393</v>
      </c>
      <c r="B67" s="4" t="s">
        <v>394</v>
      </c>
      <c r="C67" s="4" t="s">
        <v>395</v>
      </c>
      <c r="D67" s="4" t="s">
        <v>390</v>
      </c>
      <c r="E67" s="4" t="s">
        <v>396</v>
      </c>
      <c r="F67" s="4" t="s">
        <v>348</v>
      </c>
      <c r="G67" s="4" t="s">
        <v>348</v>
      </c>
      <c r="H67" s="4" t="s">
        <v>56</v>
      </c>
      <c r="I67" s="4" t="s">
        <v>57</v>
      </c>
      <c r="J67" s="4" t="s">
        <v>58</v>
      </c>
      <c r="K67" s="4" t="s">
        <v>4</v>
      </c>
      <c r="L67" s="4" t="s">
        <v>59</v>
      </c>
      <c r="M67" s="4" t="s">
        <v>70</v>
      </c>
      <c r="N67" s="4" t="s">
        <v>61</v>
      </c>
      <c r="O67" s="6">
        <v>901500</v>
      </c>
      <c r="P67" s="6">
        <v>38910</v>
      </c>
      <c r="Q67" s="6">
        <v>6600</v>
      </c>
      <c r="R67" s="4" t="s">
        <v>88</v>
      </c>
      <c r="S67" s="4" t="s">
        <v>62</v>
      </c>
      <c r="T67" s="4">
        <v>100</v>
      </c>
      <c r="U67" s="4" t="s">
        <v>397</v>
      </c>
      <c r="V67" s="8" t="s">
        <v>64</v>
      </c>
      <c r="W67" s="8" t="s">
        <v>64</v>
      </c>
      <c r="X67" s="8" t="s">
        <v>64</v>
      </c>
      <c r="Y67" s="8" t="s">
        <v>64</v>
      </c>
      <c r="Z67" s="4" t="s">
        <v>131</v>
      </c>
    </row>
    <row r="68" spans="1:26" ht="15">
      <c r="A68" s="4" t="s">
        <v>398</v>
      </c>
      <c r="B68" s="4" t="s">
        <v>399</v>
      </c>
      <c r="C68" s="4" t="s">
        <v>389</v>
      </c>
      <c r="D68" s="4" t="s">
        <v>390</v>
      </c>
      <c r="E68" s="4" t="s">
        <v>400</v>
      </c>
      <c r="F68" s="4" t="s">
        <v>348</v>
      </c>
      <c r="G68" s="4" t="s">
        <v>348</v>
      </c>
      <c r="H68" s="4" t="s">
        <v>56</v>
      </c>
      <c r="I68" s="4" t="s">
        <v>57</v>
      </c>
      <c r="J68" s="4" t="s">
        <v>58</v>
      </c>
      <c r="K68" s="4" t="s">
        <v>4</v>
      </c>
      <c r="L68" s="4" t="s">
        <v>59</v>
      </c>
      <c r="M68" s="4" t="s">
        <v>70</v>
      </c>
      <c r="N68" s="4" t="s">
        <v>61</v>
      </c>
      <c r="O68" s="6">
        <v>181500</v>
      </c>
      <c r="P68" s="6">
        <v>10770</v>
      </c>
      <c r="Q68" s="4">
        <v>0</v>
      </c>
      <c r="R68" s="4" t="s">
        <v>88</v>
      </c>
      <c r="S68" s="4" t="s">
        <v>62</v>
      </c>
      <c r="T68" s="4">
        <v>100</v>
      </c>
      <c r="U68" s="8" t="s">
        <v>64</v>
      </c>
      <c r="V68" s="8" t="s">
        <v>64</v>
      </c>
      <c r="W68" s="8" t="s">
        <v>64</v>
      </c>
      <c r="X68" s="8" t="s">
        <v>64</v>
      </c>
      <c r="Y68" s="8" t="s">
        <v>64</v>
      </c>
      <c r="Z68" s="4" t="s">
        <v>131</v>
      </c>
    </row>
    <row r="69" spans="1:26" ht="15">
      <c r="A69" s="4" t="s">
        <v>401</v>
      </c>
      <c r="B69" s="4" t="s">
        <v>402</v>
      </c>
      <c r="C69" s="4" t="s">
        <v>389</v>
      </c>
      <c r="D69" s="4" t="s">
        <v>390</v>
      </c>
      <c r="E69" s="4" t="s">
        <v>403</v>
      </c>
      <c r="F69" s="4" t="s">
        <v>348</v>
      </c>
      <c r="G69" s="4" t="s">
        <v>348</v>
      </c>
      <c r="H69" s="4" t="s">
        <v>56</v>
      </c>
      <c r="I69" s="4" t="s">
        <v>57</v>
      </c>
      <c r="J69" s="4" t="s">
        <v>58</v>
      </c>
      <c r="K69" s="4" t="s">
        <v>4</v>
      </c>
      <c r="L69" s="4" t="s">
        <v>59</v>
      </c>
      <c r="M69" s="4" t="s">
        <v>70</v>
      </c>
      <c r="N69" s="4" t="s">
        <v>61</v>
      </c>
      <c r="O69" s="6">
        <v>8378000</v>
      </c>
      <c r="P69" s="6">
        <v>176940</v>
      </c>
      <c r="Q69" s="6">
        <v>157800</v>
      </c>
      <c r="R69" s="4" t="s">
        <v>120</v>
      </c>
      <c r="S69" s="4" t="s">
        <v>62</v>
      </c>
      <c r="T69" s="4">
        <v>100</v>
      </c>
      <c r="U69" s="4" t="s">
        <v>404</v>
      </c>
      <c r="V69" s="8" t="s">
        <v>64</v>
      </c>
      <c r="W69" s="8" t="s">
        <v>64</v>
      </c>
      <c r="X69" s="8" t="s">
        <v>64</v>
      </c>
      <c r="Y69" s="8" t="s">
        <v>64</v>
      </c>
      <c r="Z69" s="4" t="s">
        <v>131</v>
      </c>
    </row>
    <row r="70" spans="1:26" ht="15">
      <c r="A70" s="4" t="s">
        <v>405</v>
      </c>
      <c r="B70" s="4" t="s">
        <v>406</v>
      </c>
      <c r="C70" s="4" t="s">
        <v>389</v>
      </c>
      <c r="D70" s="4" t="s">
        <v>390</v>
      </c>
      <c r="E70" s="4" t="s">
        <v>407</v>
      </c>
      <c r="F70" s="4" t="s">
        <v>348</v>
      </c>
      <c r="G70" s="4" t="s">
        <v>348</v>
      </c>
      <c r="H70" s="4" t="s">
        <v>56</v>
      </c>
      <c r="I70" s="4" t="s">
        <v>57</v>
      </c>
      <c r="J70" s="4" t="s">
        <v>58</v>
      </c>
      <c r="K70" s="4" t="s">
        <v>4</v>
      </c>
      <c r="L70" s="4" t="s">
        <v>59</v>
      </c>
      <c r="M70" s="4" t="s">
        <v>70</v>
      </c>
      <c r="N70" s="4" t="s">
        <v>61</v>
      </c>
      <c r="O70" s="6">
        <v>1190000</v>
      </c>
      <c r="P70" s="6">
        <v>22000</v>
      </c>
      <c r="Q70" s="4">
        <v>0</v>
      </c>
      <c r="R70" s="4" t="s">
        <v>120</v>
      </c>
      <c r="S70" s="4" t="s">
        <v>62</v>
      </c>
      <c r="T70" s="4">
        <v>100</v>
      </c>
      <c r="U70" s="8" t="s">
        <v>64</v>
      </c>
      <c r="V70" s="8" t="s">
        <v>64</v>
      </c>
      <c r="W70" s="8" t="s">
        <v>64</v>
      </c>
      <c r="X70" s="8" t="s">
        <v>64</v>
      </c>
      <c r="Y70" s="8" t="s">
        <v>64</v>
      </c>
      <c r="Z70" s="4" t="s">
        <v>131</v>
      </c>
    </row>
    <row r="71" spans="1:26" ht="15">
      <c r="A71" s="4" t="s">
        <v>408</v>
      </c>
      <c r="B71" s="4" t="s">
        <v>409</v>
      </c>
      <c r="C71" s="4" t="s">
        <v>389</v>
      </c>
      <c r="D71" s="4" t="s">
        <v>390</v>
      </c>
      <c r="E71" s="4" t="s">
        <v>410</v>
      </c>
      <c r="F71" s="4" t="s">
        <v>348</v>
      </c>
      <c r="G71" s="4" t="s">
        <v>348</v>
      </c>
      <c r="H71" s="4" t="s">
        <v>56</v>
      </c>
      <c r="I71" s="4" t="s">
        <v>57</v>
      </c>
      <c r="J71" s="4" t="s">
        <v>58</v>
      </c>
      <c r="K71" s="4" t="s">
        <v>4</v>
      </c>
      <c r="L71" s="4" t="s">
        <v>59</v>
      </c>
      <c r="M71" s="4" t="s">
        <v>70</v>
      </c>
      <c r="N71" s="4" t="s">
        <v>61</v>
      </c>
      <c r="O71" s="6">
        <v>1797000</v>
      </c>
      <c r="P71" s="6">
        <v>62880</v>
      </c>
      <c r="Q71" s="6">
        <v>19800</v>
      </c>
      <c r="R71" s="4" t="s">
        <v>120</v>
      </c>
      <c r="S71" s="4" t="s">
        <v>62</v>
      </c>
      <c r="T71" s="4">
        <v>100</v>
      </c>
      <c r="U71" s="4" t="s">
        <v>411</v>
      </c>
      <c r="V71" s="8" t="s">
        <v>64</v>
      </c>
      <c r="W71" s="8" t="s">
        <v>64</v>
      </c>
      <c r="X71" s="8" t="s">
        <v>64</v>
      </c>
      <c r="Y71" s="8" t="s">
        <v>64</v>
      </c>
      <c r="Z71" s="4" t="s">
        <v>131</v>
      </c>
    </row>
    <row r="72" spans="1:26" ht="15">
      <c r="A72" s="4" t="s">
        <v>412</v>
      </c>
      <c r="B72" s="4" t="s">
        <v>413</v>
      </c>
      <c r="C72" s="4" t="s">
        <v>389</v>
      </c>
      <c r="D72" s="4" t="s">
        <v>390</v>
      </c>
      <c r="E72" s="4" t="s">
        <v>414</v>
      </c>
      <c r="F72" s="4" t="s">
        <v>348</v>
      </c>
      <c r="G72" s="4" t="s">
        <v>348</v>
      </c>
      <c r="H72" s="4" t="s">
        <v>56</v>
      </c>
      <c r="I72" s="4" t="s">
        <v>57</v>
      </c>
      <c r="J72" s="4" t="s">
        <v>58</v>
      </c>
      <c r="K72" s="4" t="s">
        <v>4</v>
      </c>
      <c r="L72" s="4" t="s">
        <v>59</v>
      </c>
      <c r="M72" s="4" t="s">
        <v>70</v>
      </c>
      <c r="N72" s="4" t="s">
        <v>61</v>
      </c>
      <c r="O72" s="6">
        <v>357000</v>
      </c>
      <c r="P72" s="6">
        <v>6600</v>
      </c>
      <c r="Q72" s="6">
        <v>6600</v>
      </c>
      <c r="R72" s="4" t="s">
        <v>120</v>
      </c>
      <c r="S72" s="4" t="s">
        <v>62</v>
      </c>
      <c r="T72" s="4">
        <v>100</v>
      </c>
      <c r="U72" s="4" t="s">
        <v>415</v>
      </c>
      <c r="V72" s="8" t="s">
        <v>64</v>
      </c>
      <c r="W72" s="8" t="s">
        <v>64</v>
      </c>
      <c r="X72" s="8" t="s">
        <v>64</v>
      </c>
      <c r="Y72" s="8" t="s">
        <v>64</v>
      </c>
      <c r="Z72" s="4" t="s">
        <v>131</v>
      </c>
    </row>
    <row r="73" spans="1:26" ht="15">
      <c r="A73" s="4" t="s">
        <v>416</v>
      </c>
      <c r="B73" s="4" t="s">
        <v>417</v>
      </c>
      <c r="C73" s="4" t="s">
        <v>389</v>
      </c>
      <c r="D73" s="4" t="s">
        <v>390</v>
      </c>
      <c r="E73" s="4" t="s">
        <v>418</v>
      </c>
      <c r="F73" s="4" t="s">
        <v>348</v>
      </c>
      <c r="G73" s="4" t="s">
        <v>348</v>
      </c>
      <c r="H73" s="4" t="s">
        <v>56</v>
      </c>
      <c r="I73" s="4" t="s">
        <v>57</v>
      </c>
      <c r="J73" s="4" t="s">
        <v>58</v>
      </c>
      <c r="K73" s="4" t="s">
        <v>4</v>
      </c>
      <c r="L73" s="4" t="s">
        <v>59</v>
      </c>
      <c r="M73" s="4" t="s">
        <v>70</v>
      </c>
      <c r="N73" s="4" t="s">
        <v>61</v>
      </c>
      <c r="O73" s="6">
        <v>119000</v>
      </c>
      <c r="P73" s="6">
        <v>2200</v>
      </c>
      <c r="Q73" s="6">
        <v>2200</v>
      </c>
      <c r="R73" s="4" t="s">
        <v>120</v>
      </c>
      <c r="S73" s="4" t="s">
        <v>62</v>
      </c>
      <c r="T73" s="4">
        <v>100</v>
      </c>
      <c r="U73" s="4" t="s">
        <v>419</v>
      </c>
      <c r="V73" s="8" t="s">
        <v>64</v>
      </c>
      <c r="W73" s="8" t="s">
        <v>64</v>
      </c>
      <c r="X73" s="8" t="s">
        <v>64</v>
      </c>
      <c r="Y73" s="8" t="s">
        <v>64</v>
      </c>
      <c r="Z73" s="4" t="s">
        <v>131</v>
      </c>
    </row>
    <row r="74" spans="1:26" ht="15">
      <c r="A74" s="4" t="s">
        <v>420</v>
      </c>
      <c r="B74" s="4" t="s">
        <v>421</v>
      </c>
      <c r="C74" s="4" t="s">
        <v>389</v>
      </c>
      <c r="D74" s="4" t="s">
        <v>390</v>
      </c>
      <c r="E74" s="4" t="s">
        <v>422</v>
      </c>
      <c r="F74" s="4" t="s">
        <v>348</v>
      </c>
      <c r="G74" s="4" t="s">
        <v>348</v>
      </c>
      <c r="H74" s="4" t="s">
        <v>56</v>
      </c>
      <c r="I74" s="4" t="s">
        <v>57</v>
      </c>
      <c r="J74" s="4" t="s">
        <v>58</v>
      </c>
      <c r="K74" s="4" t="s">
        <v>4</v>
      </c>
      <c r="L74" s="4" t="s">
        <v>59</v>
      </c>
      <c r="M74" s="4" t="s">
        <v>70</v>
      </c>
      <c r="N74" s="4" t="s">
        <v>61</v>
      </c>
      <c r="O74" s="6">
        <v>5950000</v>
      </c>
      <c r="P74" s="6">
        <v>110000</v>
      </c>
      <c r="Q74" s="6">
        <v>110000</v>
      </c>
      <c r="R74" s="4" t="s">
        <v>120</v>
      </c>
      <c r="S74" s="4" t="s">
        <v>62</v>
      </c>
      <c r="T74" s="4">
        <v>100</v>
      </c>
      <c r="U74" s="4" t="s">
        <v>423</v>
      </c>
      <c r="V74" s="8" t="s">
        <v>64</v>
      </c>
      <c r="W74" s="8" t="s">
        <v>64</v>
      </c>
      <c r="X74" s="8" t="s">
        <v>64</v>
      </c>
      <c r="Y74" s="8" t="s">
        <v>64</v>
      </c>
      <c r="Z74" s="4" t="s">
        <v>131</v>
      </c>
    </row>
    <row r="75" spans="1:26" ht="15">
      <c r="A75" s="4" t="s">
        <v>424</v>
      </c>
      <c r="B75" s="4" t="s">
        <v>425</v>
      </c>
      <c r="C75" s="4" t="s">
        <v>389</v>
      </c>
      <c r="D75" s="4" t="s">
        <v>390</v>
      </c>
      <c r="E75" s="4" t="s">
        <v>426</v>
      </c>
      <c r="F75" s="4" t="s">
        <v>348</v>
      </c>
      <c r="G75" s="4" t="s">
        <v>348</v>
      </c>
      <c r="H75" s="4" t="s">
        <v>56</v>
      </c>
      <c r="I75" s="4" t="s">
        <v>57</v>
      </c>
      <c r="J75" s="4" t="s">
        <v>58</v>
      </c>
      <c r="K75" s="4" t="s">
        <v>4</v>
      </c>
      <c r="L75" s="4" t="s">
        <v>59</v>
      </c>
      <c r="M75" s="4" t="s">
        <v>70</v>
      </c>
      <c r="N75" s="4" t="s">
        <v>61</v>
      </c>
      <c r="O75" s="6">
        <v>5516000</v>
      </c>
      <c r="P75" s="6">
        <v>109200</v>
      </c>
      <c r="Q75" s="6">
        <v>111600</v>
      </c>
      <c r="R75" s="4" t="s">
        <v>120</v>
      </c>
      <c r="S75" s="4" t="s">
        <v>62</v>
      </c>
      <c r="T75" s="4">
        <v>100</v>
      </c>
      <c r="U75" s="4" t="s">
        <v>427</v>
      </c>
      <c r="V75" s="8" t="s">
        <v>64</v>
      </c>
      <c r="W75" s="8" t="s">
        <v>64</v>
      </c>
      <c r="X75" s="8" t="s">
        <v>64</v>
      </c>
      <c r="Y75" s="8" t="s">
        <v>64</v>
      </c>
      <c r="Z75" s="4" t="s">
        <v>131</v>
      </c>
    </row>
    <row r="76" spans="1:26" ht="15">
      <c r="A76" s="4" t="s">
        <v>428</v>
      </c>
      <c r="B76" s="4" t="s">
        <v>429</v>
      </c>
      <c r="C76" s="4" t="s">
        <v>389</v>
      </c>
      <c r="D76" s="4" t="s">
        <v>390</v>
      </c>
      <c r="E76" s="4" t="s">
        <v>430</v>
      </c>
      <c r="F76" s="4" t="s">
        <v>348</v>
      </c>
      <c r="G76" s="4" t="s">
        <v>348</v>
      </c>
      <c r="H76" s="4" t="s">
        <v>56</v>
      </c>
      <c r="I76" s="4" t="s">
        <v>57</v>
      </c>
      <c r="J76" s="4" t="s">
        <v>58</v>
      </c>
      <c r="K76" s="4" t="s">
        <v>4</v>
      </c>
      <c r="L76" s="4" t="s">
        <v>59</v>
      </c>
      <c r="M76" s="4" t="s">
        <v>70</v>
      </c>
      <c r="N76" s="4" t="s">
        <v>61</v>
      </c>
      <c r="O76" s="6">
        <v>1449000</v>
      </c>
      <c r="P76" s="6">
        <v>30400</v>
      </c>
      <c r="Q76" s="6">
        <v>31600</v>
      </c>
      <c r="R76" s="4" t="s">
        <v>120</v>
      </c>
      <c r="S76" s="4" t="s">
        <v>62</v>
      </c>
      <c r="T76" s="4">
        <v>100</v>
      </c>
      <c r="U76" s="4" t="s">
        <v>431</v>
      </c>
      <c r="V76" s="8" t="s">
        <v>64</v>
      </c>
      <c r="W76" s="8" t="s">
        <v>64</v>
      </c>
      <c r="X76" s="8" t="s">
        <v>64</v>
      </c>
      <c r="Y76" s="8" t="s">
        <v>64</v>
      </c>
      <c r="Z76" s="4" t="s">
        <v>131</v>
      </c>
    </row>
    <row r="77" spans="1:26" ht="15">
      <c r="A77" s="4" t="s">
        <v>432</v>
      </c>
      <c r="B77" s="4" t="s">
        <v>433</v>
      </c>
      <c r="C77" s="4" t="s">
        <v>389</v>
      </c>
      <c r="D77" s="4" t="s">
        <v>390</v>
      </c>
      <c r="E77" s="4" t="s">
        <v>434</v>
      </c>
      <c r="F77" s="4" t="s">
        <v>348</v>
      </c>
      <c r="G77" s="4" t="s">
        <v>348</v>
      </c>
      <c r="H77" s="4" t="s">
        <v>56</v>
      </c>
      <c r="I77" s="4" t="s">
        <v>57</v>
      </c>
      <c r="J77" s="4" t="s">
        <v>58</v>
      </c>
      <c r="K77" s="4" t="s">
        <v>4</v>
      </c>
      <c r="L77" s="4" t="s">
        <v>59</v>
      </c>
      <c r="M77" s="4" t="s">
        <v>70</v>
      </c>
      <c r="N77" s="4" t="s">
        <v>61</v>
      </c>
      <c r="O77" s="6">
        <v>952000</v>
      </c>
      <c r="P77" s="6">
        <v>17600</v>
      </c>
      <c r="Q77" s="6">
        <v>17600</v>
      </c>
      <c r="R77" s="4" t="s">
        <v>120</v>
      </c>
      <c r="S77" s="4" t="s">
        <v>62</v>
      </c>
      <c r="T77" s="4">
        <v>100</v>
      </c>
      <c r="U77" s="4" t="s">
        <v>435</v>
      </c>
      <c r="V77" s="8" t="s">
        <v>64</v>
      </c>
      <c r="W77" s="8" t="s">
        <v>64</v>
      </c>
      <c r="X77" s="8" t="s">
        <v>64</v>
      </c>
      <c r="Y77" s="8" t="s">
        <v>64</v>
      </c>
      <c r="Z77" s="4" t="s">
        <v>131</v>
      </c>
    </row>
    <row r="78" spans="1:26" ht="15">
      <c r="A78" s="4" t="s">
        <v>436</v>
      </c>
      <c r="B78" s="4" t="s">
        <v>437</v>
      </c>
      <c r="C78" s="4" t="s">
        <v>389</v>
      </c>
      <c r="D78" s="4" t="s">
        <v>390</v>
      </c>
      <c r="E78" s="4" t="s">
        <v>438</v>
      </c>
      <c r="F78" s="4" t="s">
        <v>348</v>
      </c>
      <c r="G78" s="4" t="s">
        <v>348</v>
      </c>
      <c r="H78" s="4" t="s">
        <v>56</v>
      </c>
      <c r="I78" s="4" t="s">
        <v>57</v>
      </c>
      <c r="J78" s="4" t="s">
        <v>58</v>
      </c>
      <c r="K78" s="4" t="s">
        <v>4</v>
      </c>
      <c r="L78" s="4" t="s">
        <v>59</v>
      </c>
      <c r="M78" s="4" t="s">
        <v>70</v>
      </c>
      <c r="N78" s="4" t="s">
        <v>61</v>
      </c>
      <c r="O78" s="6">
        <v>1449000</v>
      </c>
      <c r="P78" s="6">
        <v>30400</v>
      </c>
      <c r="Q78" s="4">
        <v>0</v>
      </c>
      <c r="R78" s="4" t="s">
        <v>143</v>
      </c>
      <c r="S78" s="4" t="s">
        <v>62</v>
      </c>
      <c r="T78" s="4">
        <v>100</v>
      </c>
      <c r="U78" s="8" t="s">
        <v>64</v>
      </c>
      <c r="V78" s="8" t="s">
        <v>64</v>
      </c>
      <c r="W78" s="8" t="s">
        <v>64</v>
      </c>
      <c r="X78" s="8" t="s">
        <v>64</v>
      </c>
      <c r="Y78" s="8" t="s">
        <v>64</v>
      </c>
      <c r="Z78" s="4" t="s">
        <v>131</v>
      </c>
    </row>
    <row r="79" spans="1:26" ht="15">
      <c r="A79" s="4" t="s">
        <v>439</v>
      </c>
      <c r="B79" s="4" t="s">
        <v>440</v>
      </c>
      <c r="C79" s="4" t="s">
        <v>389</v>
      </c>
      <c r="D79" s="4" t="s">
        <v>390</v>
      </c>
      <c r="E79" s="4" t="s">
        <v>441</v>
      </c>
      <c r="F79" s="4" t="s">
        <v>348</v>
      </c>
      <c r="G79" s="4" t="s">
        <v>348</v>
      </c>
      <c r="H79" s="4" t="s">
        <v>56</v>
      </c>
      <c r="I79" s="4" t="s">
        <v>57</v>
      </c>
      <c r="J79" s="4" t="s">
        <v>58</v>
      </c>
      <c r="K79" s="4" t="s">
        <v>4</v>
      </c>
      <c r="L79" s="4" t="s">
        <v>59</v>
      </c>
      <c r="M79" s="4" t="s">
        <v>70</v>
      </c>
      <c r="N79" s="4" t="s">
        <v>61</v>
      </c>
      <c r="O79" s="6">
        <v>6444000</v>
      </c>
      <c r="P79" s="6">
        <v>163620</v>
      </c>
      <c r="Q79" s="6">
        <v>99000</v>
      </c>
      <c r="R79" s="4" t="s">
        <v>143</v>
      </c>
      <c r="S79" s="4" t="s">
        <v>62</v>
      </c>
      <c r="T79" s="4">
        <v>100</v>
      </c>
      <c r="U79" s="4" t="s">
        <v>442</v>
      </c>
      <c r="V79" s="8" t="s">
        <v>64</v>
      </c>
      <c r="W79" s="8" t="s">
        <v>64</v>
      </c>
      <c r="X79" s="8" t="s">
        <v>64</v>
      </c>
      <c r="Y79" s="8" t="s">
        <v>64</v>
      </c>
      <c r="Z79" s="4" t="s">
        <v>131</v>
      </c>
    </row>
    <row r="80" spans="1:26" ht="15">
      <c r="A80" s="4" t="s">
        <v>443</v>
      </c>
      <c r="B80" s="4" t="s">
        <v>444</v>
      </c>
      <c r="C80" s="4" t="s">
        <v>389</v>
      </c>
      <c r="D80" s="4" t="s">
        <v>390</v>
      </c>
      <c r="E80" s="4" t="s">
        <v>445</v>
      </c>
      <c r="F80" s="4" t="s">
        <v>348</v>
      </c>
      <c r="G80" s="4" t="s">
        <v>348</v>
      </c>
      <c r="H80" s="4" t="s">
        <v>56</v>
      </c>
      <c r="I80" s="4" t="s">
        <v>57</v>
      </c>
      <c r="J80" s="4" t="s">
        <v>58</v>
      </c>
      <c r="K80" s="4" t="s">
        <v>4</v>
      </c>
      <c r="L80" s="4" t="s">
        <v>59</v>
      </c>
      <c r="M80" s="4" t="s">
        <v>70</v>
      </c>
      <c r="N80" s="4" t="s">
        <v>61</v>
      </c>
      <c r="O80" s="6">
        <v>119000</v>
      </c>
      <c r="P80" s="6">
        <v>2200</v>
      </c>
      <c r="Q80" s="6">
        <v>2200</v>
      </c>
      <c r="R80" s="4" t="s">
        <v>143</v>
      </c>
      <c r="S80" s="4" t="s">
        <v>62</v>
      </c>
      <c r="T80" s="4">
        <v>100</v>
      </c>
      <c r="U80" s="4" t="s">
        <v>446</v>
      </c>
      <c r="V80" s="8" t="s">
        <v>64</v>
      </c>
      <c r="W80" s="8" t="s">
        <v>64</v>
      </c>
      <c r="X80" s="8" t="s">
        <v>64</v>
      </c>
      <c r="Y80" s="8" t="s">
        <v>64</v>
      </c>
      <c r="Z80" s="4" t="s">
        <v>131</v>
      </c>
    </row>
    <row r="81" spans="1:26" ht="15">
      <c r="A81" s="4" t="s">
        <v>447</v>
      </c>
      <c r="B81" s="4" t="s">
        <v>448</v>
      </c>
      <c r="C81" s="4" t="s">
        <v>389</v>
      </c>
      <c r="D81" s="4" t="s">
        <v>390</v>
      </c>
      <c r="E81" s="4" t="s">
        <v>449</v>
      </c>
      <c r="F81" s="4" t="s">
        <v>348</v>
      </c>
      <c r="G81" s="4" t="s">
        <v>348</v>
      </c>
      <c r="H81" s="4" t="s">
        <v>56</v>
      </c>
      <c r="I81" s="4" t="s">
        <v>57</v>
      </c>
      <c r="J81" s="4" t="s">
        <v>58</v>
      </c>
      <c r="K81" s="4" t="s">
        <v>4</v>
      </c>
      <c r="L81" s="4" t="s">
        <v>59</v>
      </c>
      <c r="M81" s="4" t="s">
        <v>70</v>
      </c>
      <c r="N81" s="4" t="s">
        <v>61</v>
      </c>
      <c r="O81" s="6">
        <v>476000</v>
      </c>
      <c r="P81" s="6">
        <v>8800</v>
      </c>
      <c r="Q81" s="6">
        <v>8800</v>
      </c>
      <c r="R81" s="4" t="s">
        <v>143</v>
      </c>
      <c r="S81" s="4" t="s">
        <v>62</v>
      </c>
      <c r="T81" s="4">
        <v>100</v>
      </c>
      <c r="U81" s="4" t="s">
        <v>450</v>
      </c>
      <c r="V81" s="8" t="s">
        <v>64</v>
      </c>
      <c r="W81" s="8" t="s">
        <v>64</v>
      </c>
      <c r="X81" s="8" t="s">
        <v>64</v>
      </c>
      <c r="Y81" s="8" t="s">
        <v>64</v>
      </c>
      <c r="Z81" s="4" t="s">
        <v>131</v>
      </c>
    </row>
    <row r="82" spans="1:26" ht="15">
      <c r="A82" s="4" t="s">
        <v>451</v>
      </c>
      <c r="B82" s="4" t="s">
        <v>452</v>
      </c>
      <c r="C82" s="4" t="s">
        <v>453</v>
      </c>
      <c r="D82" s="4" t="s">
        <v>454</v>
      </c>
      <c r="E82" s="4" t="s">
        <v>455</v>
      </c>
      <c r="F82" s="4" t="s">
        <v>348</v>
      </c>
      <c r="G82" s="4" t="s">
        <v>456</v>
      </c>
      <c r="H82" s="4" t="s">
        <v>56</v>
      </c>
      <c r="I82" s="4" t="s">
        <v>57</v>
      </c>
      <c r="J82" s="4" t="s">
        <v>457</v>
      </c>
      <c r="K82" s="4" t="s">
        <v>13</v>
      </c>
      <c r="L82" s="4" t="s">
        <v>458</v>
      </c>
      <c r="M82" s="4" t="s">
        <v>243</v>
      </c>
      <c r="N82" s="4" t="s">
        <v>61</v>
      </c>
      <c r="O82" s="6">
        <v>8950000</v>
      </c>
      <c r="P82" s="6">
        <v>50000</v>
      </c>
      <c r="Q82" s="4">
        <v>0</v>
      </c>
      <c r="R82" s="4" t="s">
        <v>143</v>
      </c>
      <c r="S82" s="4" t="s">
        <v>62</v>
      </c>
      <c r="T82" s="4">
        <v>100</v>
      </c>
      <c r="U82" s="8" t="s">
        <v>64</v>
      </c>
      <c r="V82" s="8" t="s">
        <v>64</v>
      </c>
      <c r="W82" s="8" t="s">
        <v>64</v>
      </c>
      <c r="X82" s="8" t="s">
        <v>64</v>
      </c>
      <c r="Y82" s="8" t="s">
        <v>64</v>
      </c>
      <c r="Z82" s="4" t="s">
        <v>131</v>
      </c>
    </row>
    <row r="83" spans="1:26" ht="15">
      <c r="A83" s="5">
        <v>46055.604861111111</v>
      </c>
      <c r="B83" s="4" t="s">
        <v>459</v>
      </c>
      <c r="C83" s="4" t="s">
        <v>460</v>
      </c>
      <c r="D83" s="4" t="s">
        <v>461</v>
      </c>
      <c r="E83" s="4" t="s">
        <v>462</v>
      </c>
      <c r="F83" s="4" t="s">
        <v>17</v>
      </c>
      <c r="G83" s="4" t="s">
        <v>463</v>
      </c>
      <c r="H83" s="4" t="s">
        <v>168</v>
      </c>
      <c r="I83" s="4" t="s">
        <v>17</v>
      </c>
      <c r="J83" s="4" t="s">
        <v>457</v>
      </c>
      <c r="K83" s="4" t="s">
        <v>13</v>
      </c>
      <c r="L83" s="4" t="s">
        <v>91</v>
      </c>
      <c r="M83" s="4" t="s">
        <v>243</v>
      </c>
      <c r="N83" s="4" t="s">
        <v>61</v>
      </c>
      <c r="O83" s="6">
        <v>80000</v>
      </c>
      <c r="P83" s="4">
        <v>0</v>
      </c>
      <c r="Q83" s="4">
        <v>0</v>
      </c>
      <c r="R83" s="7">
        <v>46060</v>
      </c>
      <c r="S83" s="4" t="s">
        <v>62</v>
      </c>
      <c r="T83" s="4">
        <v>100</v>
      </c>
      <c r="U83" s="4" t="s">
        <v>464</v>
      </c>
      <c r="V83" s="8" t="s">
        <v>64</v>
      </c>
      <c r="W83" s="8" t="s">
        <v>64</v>
      </c>
      <c r="X83" s="8" t="s">
        <v>64</v>
      </c>
      <c r="Y83" s="8" t="s">
        <v>64</v>
      </c>
      <c r="Z83" s="4" t="s">
        <v>121</v>
      </c>
    </row>
    <row r="84" spans="1:26" ht="15">
      <c r="A84" s="4" t="s">
        <v>465</v>
      </c>
      <c r="B84" s="4" t="s">
        <v>466</v>
      </c>
      <c r="C84" s="4" t="s">
        <v>460</v>
      </c>
      <c r="D84" s="4" t="s">
        <v>461</v>
      </c>
      <c r="E84" s="4" t="s">
        <v>467</v>
      </c>
      <c r="F84" s="4" t="s">
        <v>17</v>
      </c>
      <c r="G84" s="4" t="s">
        <v>463</v>
      </c>
      <c r="H84" s="4" t="s">
        <v>168</v>
      </c>
      <c r="I84" s="4" t="s">
        <v>17</v>
      </c>
      <c r="J84" s="4" t="s">
        <v>457</v>
      </c>
      <c r="K84" s="4" t="s">
        <v>13</v>
      </c>
      <c r="L84" s="4" t="s">
        <v>458</v>
      </c>
      <c r="M84" s="4" t="s">
        <v>243</v>
      </c>
      <c r="N84" s="4" t="s">
        <v>61</v>
      </c>
      <c r="O84" s="6">
        <v>748050</v>
      </c>
      <c r="P84" s="6">
        <v>114350</v>
      </c>
      <c r="Q84" s="4">
        <v>0</v>
      </c>
      <c r="R84" s="7">
        <v>46363</v>
      </c>
      <c r="S84" s="4" t="s">
        <v>62</v>
      </c>
      <c r="T84" s="4">
        <v>100</v>
      </c>
      <c r="U84" s="4" t="s">
        <v>468</v>
      </c>
      <c r="V84" s="8" t="s">
        <v>64</v>
      </c>
      <c r="W84" s="8" t="s">
        <v>64</v>
      </c>
      <c r="X84" s="8" t="s">
        <v>64</v>
      </c>
      <c r="Y84" s="8" t="s">
        <v>64</v>
      </c>
      <c r="Z84" s="4" t="s">
        <v>121</v>
      </c>
    </row>
    <row r="85" spans="1:26" ht="15">
      <c r="A85" s="4" t="s">
        <v>469</v>
      </c>
      <c r="B85" s="4" t="s">
        <v>470</v>
      </c>
      <c r="C85" s="4" t="s">
        <v>460</v>
      </c>
      <c r="D85" s="4" t="s">
        <v>461</v>
      </c>
      <c r="E85" s="4" t="s">
        <v>471</v>
      </c>
      <c r="F85" s="4" t="s">
        <v>17</v>
      </c>
      <c r="G85" s="4" t="s">
        <v>463</v>
      </c>
      <c r="H85" s="4" t="s">
        <v>168</v>
      </c>
      <c r="I85" s="4" t="s">
        <v>17</v>
      </c>
      <c r="J85" s="4" t="s">
        <v>457</v>
      </c>
      <c r="K85" s="4" t="s">
        <v>13</v>
      </c>
      <c r="L85" s="4" t="s">
        <v>458</v>
      </c>
      <c r="M85" s="4" t="s">
        <v>243</v>
      </c>
      <c r="N85" s="4" t="s">
        <v>61</v>
      </c>
      <c r="O85" s="6">
        <v>2159406.77</v>
      </c>
      <c r="P85" s="6">
        <v>126467.32</v>
      </c>
      <c r="Q85" s="4">
        <v>0</v>
      </c>
      <c r="R85" s="7">
        <v>46363</v>
      </c>
      <c r="S85" s="4" t="s">
        <v>62</v>
      </c>
      <c r="T85" s="4">
        <v>100</v>
      </c>
      <c r="U85" s="4" t="s">
        <v>472</v>
      </c>
      <c r="V85" s="8" t="s">
        <v>64</v>
      </c>
      <c r="W85" s="8" t="s">
        <v>64</v>
      </c>
      <c r="X85" s="8" t="s">
        <v>64</v>
      </c>
      <c r="Y85" s="8" t="s">
        <v>64</v>
      </c>
      <c r="Z85" s="4" t="s">
        <v>121</v>
      </c>
    </row>
    <row r="86" spans="1:26" ht="15">
      <c r="A86" s="5">
        <v>46241.607638888891</v>
      </c>
      <c r="B86" s="4" t="s">
        <v>473</v>
      </c>
      <c r="C86" s="4" t="s">
        <v>460</v>
      </c>
      <c r="D86" s="4" t="s">
        <v>461</v>
      </c>
      <c r="E86" s="4" t="s">
        <v>474</v>
      </c>
      <c r="F86" s="4" t="s">
        <v>17</v>
      </c>
      <c r="G86" s="4" t="s">
        <v>463</v>
      </c>
      <c r="H86" s="4" t="s">
        <v>168</v>
      </c>
      <c r="I86" s="4" t="s">
        <v>17</v>
      </c>
      <c r="J86" s="4" t="s">
        <v>457</v>
      </c>
      <c r="K86" s="4" t="s">
        <v>13</v>
      </c>
      <c r="L86" s="4" t="s">
        <v>475</v>
      </c>
      <c r="M86" s="4" t="s">
        <v>476</v>
      </c>
      <c r="N86" s="4" t="s">
        <v>61</v>
      </c>
      <c r="O86" s="6">
        <v>455169</v>
      </c>
      <c r="P86" s="6">
        <v>30064</v>
      </c>
      <c r="Q86" s="6">
        <v>36644</v>
      </c>
      <c r="R86" s="7">
        <v>46241</v>
      </c>
      <c r="S86" s="4" t="s">
        <v>62</v>
      </c>
      <c r="T86" s="4">
        <v>100</v>
      </c>
      <c r="U86" s="4" t="s">
        <v>477</v>
      </c>
      <c r="V86" s="8" t="s">
        <v>64</v>
      </c>
      <c r="W86" s="8" t="s">
        <v>64</v>
      </c>
      <c r="X86" s="8" t="s">
        <v>64</v>
      </c>
      <c r="Y86" s="8" t="s">
        <v>64</v>
      </c>
      <c r="Z86" s="4" t="s">
        <v>121</v>
      </c>
    </row>
    <row r="87" spans="1:26" ht="15">
      <c r="A87" s="4" t="s">
        <v>478</v>
      </c>
      <c r="B87" s="4" t="s">
        <v>479</v>
      </c>
      <c r="C87" s="4" t="s">
        <v>460</v>
      </c>
      <c r="D87" s="4" t="s">
        <v>461</v>
      </c>
      <c r="E87" s="4" t="s">
        <v>480</v>
      </c>
      <c r="F87" s="4" t="s">
        <v>17</v>
      </c>
      <c r="G87" s="4" t="s">
        <v>463</v>
      </c>
      <c r="H87" s="4" t="s">
        <v>168</v>
      </c>
      <c r="I87" s="4" t="s">
        <v>17</v>
      </c>
      <c r="J87" s="4" t="s">
        <v>457</v>
      </c>
      <c r="K87" s="4" t="s">
        <v>13</v>
      </c>
      <c r="L87" s="4" t="s">
        <v>458</v>
      </c>
      <c r="M87" s="4" t="s">
        <v>243</v>
      </c>
      <c r="N87" s="4" t="s">
        <v>61</v>
      </c>
      <c r="O87" s="6">
        <v>448626.86</v>
      </c>
      <c r="P87" s="6">
        <v>67106.13</v>
      </c>
      <c r="Q87" s="4">
        <v>0</v>
      </c>
      <c r="R87" s="4" t="s">
        <v>76</v>
      </c>
      <c r="S87" s="4" t="s">
        <v>62</v>
      </c>
      <c r="T87" s="4">
        <v>100</v>
      </c>
      <c r="U87" s="4" t="s">
        <v>481</v>
      </c>
      <c r="V87" s="8" t="s">
        <v>64</v>
      </c>
      <c r="W87" s="8" t="s">
        <v>64</v>
      </c>
      <c r="X87" s="8" t="s">
        <v>64</v>
      </c>
      <c r="Y87" s="8" t="s">
        <v>64</v>
      </c>
      <c r="Z87" s="4" t="s">
        <v>121</v>
      </c>
    </row>
    <row r="88" spans="1:26" ht="15">
      <c r="A88" s="5">
        <v>46088.883333333331</v>
      </c>
      <c r="B88" s="4" t="s">
        <v>482</v>
      </c>
      <c r="C88" s="4" t="s">
        <v>288</v>
      </c>
      <c r="D88" s="4" t="s">
        <v>289</v>
      </c>
      <c r="E88" s="4" t="s">
        <v>483</v>
      </c>
      <c r="F88" s="4" t="s">
        <v>12</v>
      </c>
      <c r="G88" s="4" t="s">
        <v>484</v>
      </c>
      <c r="H88" s="4" t="s">
        <v>56</v>
      </c>
      <c r="I88" s="4" t="s">
        <v>57</v>
      </c>
      <c r="J88" s="4" t="s">
        <v>485</v>
      </c>
      <c r="K88" s="4" t="s">
        <v>13</v>
      </c>
      <c r="L88" s="4" t="s">
        <v>486</v>
      </c>
      <c r="M88" s="4" t="s">
        <v>91</v>
      </c>
      <c r="N88" s="4" t="s">
        <v>61</v>
      </c>
      <c r="O88" s="6">
        <v>92000</v>
      </c>
      <c r="P88" s="6">
        <v>7000</v>
      </c>
      <c r="Q88" s="6">
        <v>7000</v>
      </c>
      <c r="R88" s="7">
        <v>46088</v>
      </c>
      <c r="S88" s="4" t="s">
        <v>62</v>
      </c>
      <c r="T88" s="4">
        <v>100</v>
      </c>
      <c r="U88" s="4" t="s">
        <v>487</v>
      </c>
      <c r="V88" s="8" t="s">
        <v>64</v>
      </c>
      <c r="W88" s="8" t="s">
        <v>64</v>
      </c>
      <c r="X88" s="8" t="s">
        <v>64</v>
      </c>
      <c r="Y88" s="8" t="s">
        <v>64</v>
      </c>
      <c r="Z88" s="4" t="s">
        <v>121</v>
      </c>
    </row>
    <row r="89" spans="1:26" ht="15">
      <c r="A89" s="5">
        <v>46029.672222222223</v>
      </c>
      <c r="B89" s="4" t="s">
        <v>488</v>
      </c>
      <c r="C89" s="4" t="s">
        <v>188</v>
      </c>
      <c r="D89" s="4" t="s">
        <v>189</v>
      </c>
      <c r="E89" s="4" t="s">
        <v>489</v>
      </c>
      <c r="F89" s="4" t="s">
        <v>18</v>
      </c>
      <c r="G89" s="4" t="s">
        <v>490</v>
      </c>
      <c r="H89" s="4" t="s">
        <v>56</v>
      </c>
      <c r="I89" s="4" t="s">
        <v>57</v>
      </c>
      <c r="J89" s="4" t="s">
        <v>58</v>
      </c>
      <c r="K89" s="4" t="s">
        <v>13</v>
      </c>
      <c r="L89" s="4" t="s">
        <v>458</v>
      </c>
      <c r="M89" s="4" t="s">
        <v>243</v>
      </c>
      <c r="N89" s="4" t="s">
        <v>61</v>
      </c>
      <c r="O89" s="6">
        <v>31000</v>
      </c>
      <c r="P89" s="6">
        <v>4000</v>
      </c>
      <c r="Q89" s="6">
        <v>4000</v>
      </c>
      <c r="R89" s="7">
        <v>46060</v>
      </c>
      <c r="S89" s="4" t="s">
        <v>62</v>
      </c>
      <c r="T89" s="4">
        <v>100</v>
      </c>
      <c r="U89" s="4" t="s">
        <v>491</v>
      </c>
      <c r="V89" s="8" t="s">
        <v>64</v>
      </c>
      <c r="W89" s="8" t="s">
        <v>64</v>
      </c>
      <c r="X89" s="8" t="s">
        <v>64</v>
      </c>
      <c r="Y89" s="4" t="s">
        <v>492</v>
      </c>
      <c r="Z89" s="4" t="s">
        <v>66</v>
      </c>
    </row>
    <row r="90" spans="1:26" ht="15">
      <c r="A90" s="5">
        <v>46241.765277777777</v>
      </c>
      <c r="B90" s="4" t="s">
        <v>493</v>
      </c>
      <c r="C90" s="4" t="s">
        <v>188</v>
      </c>
      <c r="D90" s="4" t="s">
        <v>189</v>
      </c>
      <c r="E90" s="4" t="s">
        <v>494</v>
      </c>
      <c r="F90" s="4" t="s">
        <v>18</v>
      </c>
      <c r="G90" s="4" t="s">
        <v>490</v>
      </c>
      <c r="H90" s="4" t="s">
        <v>56</v>
      </c>
      <c r="I90" s="4" t="s">
        <v>57</v>
      </c>
      <c r="J90" s="4" t="s">
        <v>58</v>
      </c>
      <c r="K90" s="4" t="s">
        <v>13</v>
      </c>
      <c r="L90" s="4" t="s">
        <v>475</v>
      </c>
      <c r="M90" s="4" t="s">
        <v>495</v>
      </c>
      <c r="N90" s="4" t="s">
        <v>61</v>
      </c>
      <c r="O90" s="6">
        <v>6349</v>
      </c>
      <c r="P90" s="6">
        <v>1835</v>
      </c>
      <c r="Q90" s="6">
        <v>1835</v>
      </c>
      <c r="R90" s="7">
        <v>46272</v>
      </c>
      <c r="S90" s="4" t="s">
        <v>62</v>
      </c>
      <c r="T90" s="4">
        <v>100</v>
      </c>
      <c r="U90" s="4" t="s">
        <v>496</v>
      </c>
      <c r="V90" s="8" t="s">
        <v>64</v>
      </c>
      <c r="W90" s="8" t="s">
        <v>64</v>
      </c>
      <c r="X90" s="8" t="s">
        <v>64</v>
      </c>
      <c r="Y90" s="4" t="s">
        <v>497</v>
      </c>
      <c r="Z90" s="4" t="s">
        <v>66</v>
      </c>
    </row>
    <row r="91" spans="1:26" ht="15">
      <c r="A91" s="4" t="s">
        <v>498</v>
      </c>
      <c r="B91" s="4" t="s">
        <v>499</v>
      </c>
      <c r="C91" s="4" t="s">
        <v>188</v>
      </c>
      <c r="D91" s="4" t="s">
        <v>189</v>
      </c>
      <c r="E91" s="4" t="s">
        <v>500</v>
      </c>
      <c r="F91" s="4" t="s">
        <v>18</v>
      </c>
      <c r="G91" s="4" t="s">
        <v>490</v>
      </c>
      <c r="H91" s="4" t="s">
        <v>56</v>
      </c>
      <c r="I91" s="4" t="s">
        <v>57</v>
      </c>
      <c r="J91" s="4" t="s">
        <v>58</v>
      </c>
      <c r="K91" s="4" t="s">
        <v>13</v>
      </c>
      <c r="L91" s="4" t="s">
        <v>475</v>
      </c>
      <c r="M91" s="4" t="s">
        <v>495</v>
      </c>
      <c r="N91" s="4" t="s">
        <v>61</v>
      </c>
      <c r="O91" s="6">
        <v>11800</v>
      </c>
      <c r="P91" s="6">
        <v>1920</v>
      </c>
      <c r="Q91" s="4">
        <v>0</v>
      </c>
      <c r="R91" s="4" t="s">
        <v>143</v>
      </c>
      <c r="S91" s="4" t="s">
        <v>62</v>
      </c>
      <c r="T91" s="4">
        <v>100</v>
      </c>
      <c r="U91" s="4" t="s">
        <v>501</v>
      </c>
      <c r="V91" s="8" t="s">
        <v>64</v>
      </c>
      <c r="W91" s="8" t="s">
        <v>64</v>
      </c>
      <c r="X91" s="8" t="s">
        <v>64</v>
      </c>
      <c r="Y91" s="4" t="s">
        <v>502</v>
      </c>
      <c r="Z91" s="4" t="s">
        <v>66</v>
      </c>
    </row>
    <row r="92" spans="1:26" ht="15">
      <c r="A92" s="4" t="s">
        <v>503</v>
      </c>
      <c r="B92" s="4" t="s">
        <v>504</v>
      </c>
      <c r="C92" s="4" t="s">
        <v>188</v>
      </c>
      <c r="D92" s="4" t="s">
        <v>189</v>
      </c>
      <c r="E92" s="4" t="s">
        <v>505</v>
      </c>
      <c r="F92" s="4" t="s">
        <v>18</v>
      </c>
      <c r="G92" s="4" t="s">
        <v>490</v>
      </c>
      <c r="H92" s="4" t="s">
        <v>56</v>
      </c>
      <c r="I92" s="4" t="s">
        <v>57</v>
      </c>
      <c r="J92" s="4" t="s">
        <v>58</v>
      </c>
      <c r="K92" s="4" t="s">
        <v>13</v>
      </c>
      <c r="L92" s="4" t="s">
        <v>475</v>
      </c>
      <c r="M92" s="4" t="s">
        <v>495</v>
      </c>
      <c r="N92" s="4" t="s">
        <v>61</v>
      </c>
      <c r="O92" s="6">
        <v>23112</v>
      </c>
      <c r="P92" s="6">
        <v>6480</v>
      </c>
      <c r="Q92" s="4">
        <v>0</v>
      </c>
      <c r="R92" s="4" t="s">
        <v>143</v>
      </c>
      <c r="S92" s="4" t="s">
        <v>62</v>
      </c>
      <c r="T92" s="4">
        <v>100</v>
      </c>
      <c r="U92" s="4" t="s">
        <v>506</v>
      </c>
      <c r="V92" s="8" t="s">
        <v>64</v>
      </c>
      <c r="W92" s="8" t="s">
        <v>64</v>
      </c>
      <c r="X92" s="8" t="s">
        <v>64</v>
      </c>
      <c r="Y92" s="4" t="s">
        <v>507</v>
      </c>
      <c r="Z92" s="4" t="s">
        <v>66</v>
      </c>
    </row>
    <row r="93" spans="1:26" ht="15">
      <c r="A93" s="5">
        <v>46302.524305555555</v>
      </c>
      <c r="B93" s="4" t="s">
        <v>508</v>
      </c>
      <c r="C93" s="4" t="s">
        <v>182</v>
      </c>
      <c r="D93" s="4" t="s">
        <v>183</v>
      </c>
      <c r="E93" s="4" t="s">
        <v>509</v>
      </c>
      <c r="F93" s="4" t="s">
        <v>20</v>
      </c>
      <c r="G93" s="4" t="s">
        <v>510</v>
      </c>
      <c r="H93" s="4" t="s">
        <v>56</v>
      </c>
      <c r="I93" s="4" t="s">
        <v>57</v>
      </c>
      <c r="J93" s="4" t="s">
        <v>58</v>
      </c>
      <c r="K93" s="4" t="s">
        <v>13</v>
      </c>
      <c r="L93" s="4" t="s">
        <v>486</v>
      </c>
      <c r="M93" s="4" t="s">
        <v>511</v>
      </c>
      <c r="N93" s="4" t="s">
        <v>61</v>
      </c>
      <c r="O93" s="6">
        <v>1440000</v>
      </c>
      <c r="P93" s="6">
        <v>553707</v>
      </c>
      <c r="Q93" s="6">
        <v>551728.04</v>
      </c>
      <c r="R93" s="4" t="s">
        <v>130</v>
      </c>
      <c r="S93" s="4" t="s">
        <v>62</v>
      </c>
      <c r="T93" s="4">
        <v>100</v>
      </c>
      <c r="U93" s="4" t="s">
        <v>512</v>
      </c>
      <c r="V93" s="8" t="s">
        <v>64</v>
      </c>
      <c r="W93" s="8" t="s">
        <v>64</v>
      </c>
      <c r="X93" s="8" t="s">
        <v>64</v>
      </c>
      <c r="Y93" s="4" t="s">
        <v>513</v>
      </c>
      <c r="Z93" s="4" t="s">
        <v>66</v>
      </c>
    </row>
    <row r="94" spans="1:26" ht="15">
      <c r="A94" s="4" t="s">
        <v>514</v>
      </c>
      <c r="B94" s="4" t="s">
        <v>515</v>
      </c>
      <c r="C94" s="4" t="s">
        <v>516</v>
      </c>
      <c r="D94" s="4" t="s">
        <v>517</v>
      </c>
      <c r="E94" s="4" t="s">
        <v>518</v>
      </c>
      <c r="F94" s="4" t="s">
        <v>21</v>
      </c>
      <c r="G94" s="4" t="s">
        <v>519</v>
      </c>
      <c r="H94" s="4" t="s">
        <v>56</v>
      </c>
      <c r="I94" s="4" t="s">
        <v>57</v>
      </c>
      <c r="J94" s="4" t="s">
        <v>251</v>
      </c>
      <c r="K94" s="4" t="s">
        <v>13</v>
      </c>
      <c r="L94" s="4" t="s">
        <v>520</v>
      </c>
      <c r="M94" s="4" t="s">
        <v>521</v>
      </c>
      <c r="N94" s="4" t="s">
        <v>61</v>
      </c>
      <c r="O94" s="6">
        <v>399625</v>
      </c>
      <c r="P94" s="6">
        <v>19980</v>
      </c>
      <c r="Q94" s="6">
        <v>19980.099999999999</v>
      </c>
      <c r="R94" s="7">
        <v>46302</v>
      </c>
      <c r="S94" s="4" t="s">
        <v>62</v>
      </c>
      <c r="T94" s="4">
        <v>100</v>
      </c>
      <c r="U94" s="4" t="s">
        <v>522</v>
      </c>
      <c r="V94" s="8" t="s">
        <v>64</v>
      </c>
      <c r="W94" s="8" t="s">
        <v>64</v>
      </c>
      <c r="X94" s="8" t="s">
        <v>64</v>
      </c>
      <c r="Y94" s="8" t="s">
        <v>64</v>
      </c>
      <c r="Z94" s="4" t="s">
        <v>254</v>
      </c>
    </row>
    <row r="95" spans="1:26" ht="15">
      <c r="A95" s="4" t="s">
        <v>523</v>
      </c>
      <c r="B95" s="4" t="s">
        <v>524</v>
      </c>
      <c r="C95" s="4" t="s">
        <v>525</v>
      </c>
      <c r="D95" s="4" t="s">
        <v>526</v>
      </c>
      <c r="E95" s="4" t="s">
        <v>527</v>
      </c>
      <c r="F95" s="4" t="s">
        <v>21</v>
      </c>
      <c r="G95" s="4" t="s">
        <v>519</v>
      </c>
      <c r="H95" s="4" t="s">
        <v>56</v>
      </c>
      <c r="I95" s="4" t="s">
        <v>57</v>
      </c>
      <c r="J95" s="4" t="s">
        <v>251</v>
      </c>
      <c r="K95" s="4" t="s">
        <v>13</v>
      </c>
      <c r="L95" s="4" t="s">
        <v>528</v>
      </c>
      <c r="M95" s="4" t="s">
        <v>529</v>
      </c>
      <c r="N95" s="4" t="s">
        <v>61</v>
      </c>
      <c r="O95" s="6">
        <v>8600000</v>
      </c>
      <c r="P95" s="6">
        <v>3152788.32</v>
      </c>
      <c r="Q95" s="4">
        <v>0</v>
      </c>
      <c r="R95" s="7">
        <v>46060</v>
      </c>
      <c r="S95" s="4" t="s">
        <v>62</v>
      </c>
      <c r="T95" s="4">
        <v>100</v>
      </c>
      <c r="U95" s="4" t="s">
        <v>530</v>
      </c>
      <c r="V95" s="8" t="s">
        <v>64</v>
      </c>
      <c r="W95" s="8" t="s">
        <v>64</v>
      </c>
      <c r="X95" s="8" t="s">
        <v>64</v>
      </c>
      <c r="Y95" s="8" t="s">
        <v>64</v>
      </c>
      <c r="Z95" s="4" t="s">
        <v>254</v>
      </c>
    </row>
    <row r="96" spans="1:26" ht="15">
      <c r="A96" s="5">
        <v>46088.513194444444</v>
      </c>
      <c r="B96" s="4" t="s">
        <v>531</v>
      </c>
      <c r="C96" s="4" t="s">
        <v>532</v>
      </c>
      <c r="D96" s="4" t="s">
        <v>533</v>
      </c>
      <c r="E96" s="4" t="s">
        <v>534</v>
      </c>
      <c r="F96" s="4" t="s">
        <v>21</v>
      </c>
      <c r="G96" s="4" t="s">
        <v>519</v>
      </c>
      <c r="H96" s="4" t="s">
        <v>56</v>
      </c>
      <c r="I96" s="4" t="s">
        <v>57</v>
      </c>
      <c r="J96" s="4" t="s">
        <v>251</v>
      </c>
      <c r="K96" s="4" t="s">
        <v>13</v>
      </c>
      <c r="L96" s="4" t="s">
        <v>535</v>
      </c>
      <c r="M96" s="4" t="s">
        <v>529</v>
      </c>
      <c r="N96" s="4" t="s">
        <v>61</v>
      </c>
      <c r="O96" s="6">
        <v>112500</v>
      </c>
      <c r="P96" s="6">
        <v>4580</v>
      </c>
      <c r="Q96" s="6">
        <v>40022.559999999998</v>
      </c>
      <c r="R96" s="7">
        <v>46302</v>
      </c>
      <c r="S96" s="4" t="s">
        <v>62</v>
      </c>
      <c r="T96" s="4">
        <v>100</v>
      </c>
      <c r="U96" s="4" t="s">
        <v>536</v>
      </c>
      <c r="V96" s="8" t="s">
        <v>64</v>
      </c>
      <c r="W96" s="8" t="s">
        <v>64</v>
      </c>
      <c r="X96" s="8" t="s">
        <v>64</v>
      </c>
      <c r="Y96" s="8" t="s">
        <v>64</v>
      </c>
      <c r="Z96" s="4" t="s">
        <v>254</v>
      </c>
    </row>
    <row r="97" spans="1:26" ht="15">
      <c r="A97" s="5">
        <v>46300.665972222225</v>
      </c>
      <c r="B97" s="4" t="s">
        <v>537</v>
      </c>
      <c r="C97" s="4" t="s">
        <v>538</v>
      </c>
      <c r="D97" s="4" t="s">
        <v>539</v>
      </c>
      <c r="E97" s="4" t="s">
        <v>540</v>
      </c>
      <c r="F97" s="4" t="s">
        <v>22</v>
      </c>
      <c r="G97" s="4" t="s">
        <v>541</v>
      </c>
      <c r="H97" s="4" t="s">
        <v>56</v>
      </c>
      <c r="I97" s="4" t="s">
        <v>57</v>
      </c>
      <c r="J97" s="4" t="s">
        <v>58</v>
      </c>
      <c r="K97" s="4" t="s">
        <v>13</v>
      </c>
      <c r="L97" s="4" t="s">
        <v>486</v>
      </c>
      <c r="M97" s="4" t="s">
        <v>371</v>
      </c>
      <c r="N97" s="4" t="s">
        <v>61</v>
      </c>
      <c r="O97" s="6">
        <v>16900000</v>
      </c>
      <c r="P97" s="6">
        <v>400000</v>
      </c>
      <c r="Q97" s="4">
        <v>0</v>
      </c>
      <c r="R97" s="7">
        <v>46302</v>
      </c>
      <c r="S97" s="4" t="s">
        <v>62</v>
      </c>
      <c r="T97" s="4">
        <v>100</v>
      </c>
      <c r="U97" s="8" t="s">
        <v>64</v>
      </c>
      <c r="V97" s="8" t="s">
        <v>64</v>
      </c>
      <c r="W97" s="8" t="s">
        <v>64</v>
      </c>
      <c r="X97" s="8" t="s">
        <v>64</v>
      </c>
      <c r="Y97" s="8" t="s">
        <v>64</v>
      </c>
      <c r="Z97" s="4" t="s">
        <v>131</v>
      </c>
    </row>
    <row r="98" spans="1:26" ht="15">
      <c r="A98" s="5">
        <v>46178.630555555559</v>
      </c>
      <c r="B98" s="4" t="s">
        <v>542</v>
      </c>
      <c r="C98" s="4" t="s">
        <v>164</v>
      </c>
      <c r="D98" s="4" t="s">
        <v>543</v>
      </c>
      <c r="E98" s="4" t="s">
        <v>544</v>
      </c>
      <c r="F98" s="4" t="s">
        <v>17</v>
      </c>
      <c r="G98" s="4" t="s">
        <v>17</v>
      </c>
      <c r="H98" s="4" t="s">
        <v>168</v>
      </c>
      <c r="I98" s="4" t="s">
        <v>17</v>
      </c>
      <c r="J98" s="4" t="s">
        <v>58</v>
      </c>
      <c r="K98" s="4" t="s">
        <v>4</v>
      </c>
      <c r="L98" s="4" t="s">
        <v>545</v>
      </c>
      <c r="M98" s="4" t="s">
        <v>546</v>
      </c>
      <c r="N98" s="4" t="s">
        <v>61</v>
      </c>
      <c r="O98" s="6">
        <v>1690000</v>
      </c>
      <c r="P98" s="6">
        <v>62500</v>
      </c>
      <c r="Q98" s="6">
        <v>97500</v>
      </c>
      <c r="R98" s="4" t="s">
        <v>130</v>
      </c>
      <c r="S98" s="4" t="s">
        <v>62</v>
      </c>
      <c r="T98" s="4">
        <v>100</v>
      </c>
      <c r="U98" s="4" t="s">
        <v>547</v>
      </c>
      <c r="V98" s="8" t="s">
        <v>64</v>
      </c>
      <c r="W98" s="8" t="s">
        <v>64</v>
      </c>
      <c r="X98" s="8" t="s">
        <v>64</v>
      </c>
      <c r="Y98" s="4" t="s">
        <v>548</v>
      </c>
      <c r="Z98" s="4" t="s">
        <v>121</v>
      </c>
    </row>
    <row r="99" spans="1:26" ht="15">
      <c r="A99" s="5">
        <v>46060.663888888892</v>
      </c>
      <c r="B99" s="4" t="s">
        <v>549</v>
      </c>
      <c r="C99" s="4" t="s">
        <v>460</v>
      </c>
      <c r="D99" s="4" t="s">
        <v>461</v>
      </c>
      <c r="E99" s="4" t="s">
        <v>550</v>
      </c>
      <c r="F99" s="4" t="s">
        <v>17</v>
      </c>
      <c r="G99" s="4" t="s">
        <v>17</v>
      </c>
      <c r="H99" s="4" t="s">
        <v>168</v>
      </c>
      <c r="I99" s="4" t="s">
        <v>17</v>
      </c>
      <c r="J99" s="4" t="s">
        <v>58</v>
      </c>
      <c r="K99" s="4" t="s">
        <v>4</v>
      </c>
      <c r="L99" s="4" t="s">
        <v>59</v>
      </c>
      <c r="M99" s="4" t="s">
        <v>87</v>
      </c>
      <c r="N99" s="4" t="s">
        <v>61</v>
      </c>
      <c r="O99" s="6">
        <v>800000</v>
      </c>
      <c r="P99" s="6">
        <v>45000</v>
      </c>
      <c r="Q99" s="6">
        <v>45000</v>
      </c>
      <c r="R99" s="7">
        <v>46060</v>
      </c>
      <c r="S99" s="4" t="s">
        <v>62</v>
      </c>
      <c r="T99" s="4">
        <v>100</v>
      </c>
      <c r="U99" s="4" t="s">
        <v>551</v>
      </c>
      <c r="V99" s="8" t="s">
        <v>64</v>
      </c>
      <c r="W99" s="8" t="s">
        <v>64</v>
      </c>
      <c r="X99" s="8" t="s">
        <v>64</v>
      </c>
      <c r="Y99" s="8" t="s">
        <v>64</v>
      </c>
      <c r="Z99" s="4" t="s">
        <v>121</v>
      </c>
    </row>
    <row r="100" spans="1:26" ht="15">
      <c r="A100" s="4" t="s">
        <v>552</v>
      </c>
      <c r="B100" s="4" t="s">
        <v>553</v>
      </c>
      <c r="C100" s="4" t="s">
        <v>554</v>
      </c>
      <c r="D100" s="4" t="s">
        <v>555</v>
      </c>
      <c r="E100" s="4" t="s">
        <v>556</v>
      </c>
      <c r="F100" s="4" t="s">
        <v>19</v>
      </c>
      <c r="G100" s="4" t="s">
        <v>19</v>
      </c>
      <c r="H100" s="4" t="s">
        <v>56</v>
      </c>
      <c r="I100" s="4" t="s">
        <v>57</v>
      </c>
      <c r="J100" s="4" t="s">
        <v>58</v>
      </c>
      <c r="K100" s="4" t="s">
        <v>4</v>
      </c>
      <c r="L100" s="4" t="s">
        <v>59</v>
      </c>
      <c r="M100" s="4" t="s">
        <v>87</v>
      </c>
      <c r="N100" s="4" t="s">
        <v>61</v>
      </c>
      <c r="O100" s="6">
        <v>667800</v>
      </c>
      <c r="P100" s="6">
        <v>31800</v>
      </c>
      <c r="Q100" s="6">
        <v>31800</v>
      </c>
      <c r="R100" s="7">
        <v>46088</v>
      </c>
      <c r="S100" s="4" t="s">
        <v>557</v>
      </c>
      <c r="T100" s="4">
        <v>50</v>
      </c>
      <c r="U100" s="4" t="s">
        <v>558</v>
      </c>
      <c r="V100" s="8" t="s">
        <v>64</v>
      </c>
      <c r="W100" s="8" t="s">
        <v>64</v>
      </c>
      <c r="X100" s="8" t="s">
        <v>64</v>
      </c>
      <c r="Y100" s="8" t="s">
        <v>64</v>
      </c>
      <c r="Z100" s="4" t="s">
        <v>121</v>
      </c>
    </row>
    <row r="101" spans="1:26" ht="15">
      <c r="A101" s="4" t="s">
        <v>559</v>
      </c>
      <c r="B101" s="4" t="s">
        <v>560</v>
      </c>
      <c r="C101" s="4" t="s">
        <v>554</v>
      </c>
      <c r="D101" s="4" t="s">
        <v>561</v>
      </c>
      <c r="E101" s="4" t="s">
        <v>562</v>
      </c>
      <c r="F101" s="4" t="s">
        <v>19</v>
      </c>
      <c r="G101" s="4" t="s">
        <v>19</v>
      </c>
      <c r="H101" s="4" t="s">
        <v>56</v>
      </c>
      <c r="I101" s="4" t="s">
        <v>57</v>
      </c>
      <c r="J101" s="4" t="s">
        <v>58</v>
      </c>
      <c r="K101" s="4" t="s">
        <v>4</v>
      </c>
      <c r="L101" s="4" t="s">
        <v>59</v>
      </c>
      <c r="M101" s="4" t="s">
        <v>60</v>
      </c>
      <c r="N101" s="4" t="s">
        <v>61</v>
      </c>
      <c r="O101" s="6">
        <v>539325</v>
      </c>
      <c r="P101" s="6">
        <v>63948</v>
      </c>
      <c r="Q101" s="6">
        <v>49114.86</v>
      </c>
      <c r="R101" s="4" t="s">
        <v>130</v>
      </c>
      <c r="S101" s="4" t="s">
        <v>62</v>
      </c>
      <c r="T101" s="4">
        <v>100</v>
      </c>
      <c r="U101" s="4" t="s">
        <v>563</v>
      </c>
      <c r="V101" s="8" t="s">
        <v>64</v>
      </c>
      <c r="W101" s="8" t="s">
        <v>64</v>
      </c>
      <c r="X101" s="8" t="s">
        <v>64</v>
      </c>
      <c r="Y101" s="8" t="s">
        <v>64</v>
      </c>
      <c r="Z101" s="4" t="s">
        <v>121</v>
      </c>
    </row>
    <row r="102" spans="1:26" ht="15">
      <c r="A102" s="13">
        <v>46302.520138888889</v>
      </c>
      <c r="B102" s="9" t="s">
        <v>564</v>
      </c>
      <c r="C102" s="9" t="s">
        <v>182</v>
      </c>
      <c r="D102" s="9" t="s">
        <v>183</v>
      </c>
      <c r="E102" s="9" t="s">
        <v>565</v>
      </c>
      <c r="F102" s="9" t="s">
        <v>20</v>
      </c>
      <c r="G102" s="9" t="s">
        <v>20</v>
      </c>
      <c r="H102" s="9" t="s">
        <v>56</v>
      </c>
      <c r="I102" s="9" t="s">
        <v>57</v>
      </c>
      <c r="J102" s="9" t="s">
        <v>58</v>
      </c>
      <c r="K102" s="9" t="s">
        <v>4</v>
      </c>
      <c r="L102" s="9" t="s">
        <v>59</v>
      </c>
      <c r="M102" s="9" t="s">
        <v>60</v>
      </c>
      <c r="N102" s="9" t="s">
        <v>61</v>
      </c>
      <c r="O102" s="10">
        <v>600000</v>
      </c>
      <c r="P102" s="10">
        <v>8800</v>
      </c>
      <c r="Q102" s="10">
        <v>8800</v>
      </c>
      <c r="R102" s="9" t="s">
        <v>130</v>
      </c>
      <c r="S102" s="9" t="s">
        <v>62</v>
      </c>
      <c r="T102" s="9">
        <v>100</v>
      </c>
      <c r="U102" s="9" t="s">
        <v>566</v>
      </c>
      <c r="V102" s="11" t="s">
        <v>64</v>
      </c>
      <c r="W102" s="11" t="s">
        <v>64</v>
      </c>
      <c r="X102" s="11" t="s">
        <v>64</v>
      </c>
      <c r="Y102" s="12" t="s">
        <v>567</v>
      </c>
      <c r="Z102" s="9" t="s">
        <v>66</v>
      </c>
    </row>
    <row r="103" spans="1:26" ht="1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12" t="s">
        <v>568</v>
      </c>
      <c r="Z103" s="9"/>
    </row>
    <row r="104" spans="1:26" ht="15">
      <c r="A104" s="5">
        <v>46297.460416666669</v>
      </c>
      <c r="B104" s="4" t="s">
        <v>569</v>
      </c>
      <c r="C104" s="4" t="s">
        <v>570</v>
      </c>
      <c r="D104" s="4" t="s">
        <v>571</v>
      </c>
      <c r="E104" s="4" t="s">
        <v>572</v>
      </c>
      <c r="F104" s="4" t="s">
        <v>15</v>
      </c>
      <c r="G104" s="4" t="s">
        <v>573</v>
      </c>
      <c r="H104" s="4" t="s">
        <v>56</v>
      </c>
      <c r="I104" s="4" t="s">
        <v>57</v>
      </c>
      <c r="J104" s="4" t="s">
        <v>22</v>
      </c>
      <c r="K104" s="4" t="s">
        <v>4</v>
      </c>
      <c r="L104" s="4" t="s">
        <v>119</v>
      </c>
      <c r="M104" s="4" t="s">
        <v>91</v>
      </c>
      <c r="N104" s="4" t="s">
        <v>61</v>
      </c>
      <c r="O104" s="6">
        <v>3787375</v>
      </c>
      <c r="P104" s="6">
        <v>500000</v>
      </c>
      <c r="Q104" s="4">
        <v>0</v>
      </c>
      <c r="R104" s="4" t="s">
        <v>574</v>
      </c>
      <c r="S104" s="4" t="s">
        <v>62</v>
      </c>
      <c r="T104" s="4">
        <v>100</v>
      </c>
      <c r="U104" s="4" t="s">
        <v>575</v>
      </c>
      <c r="V104" s="4" t="s">
        <v>576</v>
      </c>
      <c r="W104" s="4" t="s">
        <v>577</v>
      </c>
      <c r="X104" s="8" t="s">
        <v>64</v>
      </c>
      <c r="Y104" s="4" t="s">
        <v>578</v>
      </c>
      <c r="Z104" s="4" t="s">
        <v>131</v>
      </c>
    </row>
    <row r="105" spans="1:26" ht="15">
      <c r="A105" s="5">
        <v>46088.563888888886</v>
      </c>
      <c r="B105" s="4" t="s">
        <v>579</v>
      </c>
      <c r="C105" s="4" t="s">
        <v>580</v>
      </c>
      <c r="D105" s="4" t="s">
        <v>581</v>
      </c>
      <c r="E105" s="4" t="s">
        <v>582</v>
      </c>
      <c r="F105" s="4" t="s">
        <v>15</v>
      </c>
      <c r="G105" s="4" t="s">
        <v>573</v>
      </c>
      <c r="H105" s="4" t="s">
        <v>56</v>
      </c>
      <c r="I105" s="4" t="s">
        <v>57</v>
      </c>
      <c r="J105" s="4" t="s">
        <v>22</v>
      </c>
      <c r="K105" s="4" t="s">
        <v>4</v>
      </c>
      <c r="L105" s="4" t="s">
        <v>119</v>
      </c>
      <c r="M105" s="4" t="s">
        <v>91</v>
      </c>
      <c r="N105" s="4" t="s">
        <v>61</v>
      </c>
      <c r="O105" s="6">
        <v>87000</v>
      </c>
      <c r="P105" s="6">
        <v>22500</v>
      </c>
      <c r="Q105" s="6">
        <v>22500</v>
      </c>
      <c r="R105" s="7">
        <v>46088</v>
      </c>
      <c r="S105" s="4" t="s">
        <v>62</v>
      </c>
      <c r="T105" s="4">
        <v>100</v>
      </c>
      <c r="U105" s="4" t="s">
        <v>583</v>
      </c>
      <c r="V105" s="8" t="s">
        <v>64</v>
      </c>
      <c r="W105" s="8" t="s">
        <v>64</v>
      </c>
      <c r="X105" s="8" t="s">
        <v>64</v>
      </c>
      <c r="Y105" s="8" t="s">
        <v>64</v>
      </c>
      <c r="Z105" s="4" t="s">
        <v>131</v>
      </c>
    </row>
    <row r="106" spans="1:26" ht="15">
      <c r="A106" s="4" t="s">
        <v>584</v>
      </c>
      <c r="B106" s="4" t="s">
        <v>585</v>
      </c>
      <c r="C106" s="4" t="s">
        <v>385</v>
      </c>
      <c r="D106" s="4" t="s">
        <v>386</v>
      </c>
      <c r="E106" s="4" t="s">
        <v>586</v>
      </c>
      <c r="F106" s="4" t="s">
        <v>15</v>
      </c>
      <c r="G106" s="4" t="s">
        <v>573</v>
      </c>
      <c r="H106" s="4" t="s">
        <v>56</v>
      </c>
      <c r="I106" s="4" t="s">
        <v>57</v>
      </c>
      <c r="J106" s="4" t="s">
        <v>22</v>
      </c>
      <c r="K106" s="4" t="s">
        <v>4</v>
      </c>
      <c r="L106" s="4" t="s">
        <v>119</v>
      </c>
      <c r="M106" s="4" t="s">
        <v>91</v>
      </c>
      <c r="N106" s="4" t="s">
        <v>61</v>
      </c>
      <c r="O106" s="6">
        <v>132500</v>
      </c>
      <c r="P106" s="6">
        <v>25000</v>
      </c>
      <c r="Q106" s="6">
        <v>25000</v>
      </c>
      <c r="R106" s="4" t="s">
        <v>159</v>
      </c>
      <c r="S106" s="4" t="s">
        <v>62</v>
      </c>
      <c r="T106" s="4">
        <v>100</v>
      </c>
      <c r="U106" s="4" t="s">
        <v>587</v>
      </c>
      <c r="V106" s="8" t="s">
        <v>64</v>
      </c>
      <c r="W106" s="8" t="s">
        <v>64</v>
      </c>
      <c r="X106" s="8" t="s">
        <v>64</v>
      </c>
      <c r="Y106" s="8" t="s">
        <v>64</v>
      </c>
      <c r="Z106" s="4" t="s">
        <v>131</v>
      </c>
    </row>
    <row r="107" spans="1:26" ht="15">
      <c r="A107" s="5">
        <v>46029.624305555553</v>
      </c>
      <c r="B107" s="4" t="s">
        <v>588</v>
      </c>
      <c r="C107" s="4" t="s">
        <v>589</v>
      </c>
      <c r="D107" s="4" t="s">
        <v>590</v>
      </c>
      <c r="E107" s="4" t="s">
        <v>591</v>
      </c>
      <c r="F107" s="4" t="s">
        <v>11</v>
      </c>
      <c r="G107" s="4" t="s">
        <v>592</v>
      </c>
      <c r="H107" s="4" t="s">
        <v>56</v>
      </c>
      <c r="I107" s="4" t="s">
        <v>57</v>
      </c>
      <c r="J107" s="4" t="s">
        <v>251</v>
      </c>
      <c r="K107" s="4" t="s">
        <v>4</v>
      </c>
      <c r="L107" s="4" t="s">
        <v>59</v>
      </c>
      <c r="M107" s="4" t="s">
        <v>60</v>
      </c>
      <c r="N107" s="4" t="s">
        <v>61</v>
      </c>
      <c r="O107" s="6">
        <v>1700</v>
      </c>
      <c r="P107" s="4">
        <v>200</v>
      </c>
      <c r="Q107" s="6">
        <v>1800</v>
      </c>
      <c r="R107" s="7">
        <v>46119</v>
      </c>
      <c r="S107" s="4" t="s">
        <v>62</v>
      </c>
      <c r="T107" s="4">
        <v>80</v>
      </c>
      <c r="U107" s="4" t="s">
        <v>593</v>
      </c>
      <c r="V107" s="8" t="s">
        <v>64</v>
      </c>
      <c r="W107" s="8" t="s">
        <v>64</v>
      </c>
      <c r="X107" s="8" t="s">
        <v>64</v>
      </c>
      <c r="Y107" s="4" t="s">
        <v>594</v>
      </c>
      <c r="Z107" s="4" t="s">
        <v>254</v>
      </c>
    </row>
    <row r="108" spans="1:26" ht="15">
      <c r="A108" s="5">
        <v>46060.731944444444</v>
      </c>
      <c r="B108" s="4" t="s">
        <v>595</v>
      </c>
      <c r="C108" s="4" t="s">
        <v>596</v>
      </c>
      <c r="D108" s="4" t="s">
        <v>597</v>
      </c>
      <c r="E108" s="4" t="s">
        <v>598</v>
      </c>
      <c r="F108" s="4" t="s">
        <v>11</v>
      </c>
      <c r="G108" s="4" t="s">
        <v>592</v>
      </c>
      <c r="H108" s="4" t="s">
        <v>56</v>
      </c>
      <c r="I108" s="4" t="s">
        <v>57</v>
      </c>
      <c r="J108" s="4" t="s">
        <v>251</v>
      </c>
      <c r="K108" s="4" t="s">
        <v>4</v>
      </c>
      <c r="L108" s="4" t="s">
        <v>59</v>
      </c>
      <c r="M108" s="4" t="s">
        <v>70</v>
      </c>
      <c r="N108" s="4" t="s">
        <v>61</v>
      </c>
      <c r="O108" s="6">
        <v>39000</v>
      </c>
      <c r="P108" s="6">
        <v>2000</v>
      </c>
      <c r="Q108" s="6">
        <v>2000</v>
      </c>
      <c r="R108" s="7">
        <v>46272</v>
      </c>
      <c r="S108" s="4" t="s">
        <v>62</v>
      </c>
      <c r="T108" s="4">
        <v>80</v>
      </c>
      <c r="U108" s="4" t="s">
        <v>599</v>
      </c>
      <c r="V108" s="8" t="s">
        <v>64</v>
      </c>
      <c r="W108" s="8" t="s">
        <v>64</v>
      </c>
      <c r="X108" s="8" t="s">
        <v>64</v>
      </c>
      <c r="Y108" s="8" t="s">
        <v>64</v>
      </c>
      <c r="Z108" s="4" t="s">
        <v>254</v>
      </c>
    </row>
    <row r="109" spans="1:26" ht="15">
      <c r="A109" s="5">
        <v>46180.554861111108</v>
      </c>
      <c r="B109" s="4" t="s">
        <v>600</v>
      </c>
      <c r="C109" s="4" t="s">
        <v>601</v>
      </c>
      <c r="D109" s="4" t="s">
        <v>602</v>
      </c>
      <c r="E109" s="4" t="s">
        <v>603</v>
      </c>
      <c r="F109" s="4" t="s">
        <v>11</v>
      </c>
      <c r="G109" s="4" t="s">
        <v>592</v>
      </c>
      <c r="H109" s="4" t="s">
        <v>56</v>
      </c>
      <c r="I109" s="4" t="s">
        <v>57</v>
      </c>
      <c r="J109" s="4" t="s">
        <v>251</v>
      </c>
      <c r="K109" s="4" t="s">
        <v>4</v>
      </c>
      <c r="L109" s="4" t="s">
        <v>267</v>
      </c>
      <c r="M109" s="4" t="s">
        <v>60</v>
      </c>
      <c r="N109" s="4" t="s">
        <v>61</v>
      </c>
      <c r="O109" s="6">
        <v>167954</v>
      </c>
      <c r="P109" s="6">
        <v>6000</v>
      </c>
      <c r="Q109" s="4">
        <v>0</v>
      </c>
      <c r="R109" s="7">
        <v>46180</v>
      </c>
      <c r="S109" s="4" t="s">
        <v>62</v>
      </c>
      <c r="T109" s="4">
        <v>80</v>
      </c>
      <c r="U109" s="8" t="s">
        <v>64</v>
      </c>
      <c r="V109" s="8" t="s">
        <v>64</v>
      </c>
      <c r="W109" s="8" t="s">
        <v>64</v>
      </c>
      <c r="X109" s="8" t="s">
        <v>64</v>
      </c>
      <c r="Y109" s="8" t="s">
        <v>64</v>
      </c>
      <c r="Z109" s="4" t="s">
        <v>254</v>
      </c>
    </row>
    <row r="110" spans="1:26" ht="15">
      <c r="A110" s="5">
        <v>46180.714583333334</v>
      </c>
      <c r="B110" s="4" t="s">
        <v>604</v>
      </c>
      <c r="C110" s="4" t="s">
        <v>605</v>
      </c>
      <c r="D110" s="4" t="s">
        <v>606</v>
      </c>
      <c r="E110" s="4" t="s">
        <v>607</v>
      </c>
      <c r="F110" s="4" t="s">
        <v>11</v>
      </c>
      <c r="G110" s="4" t="s">
        <v>592</v>
      </c>
      <c r="H110" s="4" t="s">
        <v>56</v>
      </c>
      <c r="I110" s="4" t="s">
        <v>57</v>
      </c>
      <c r="J110" s="4" t="s">
        <v>251</v>
      </c>
      <c r="K110" s="4" t="s">
        <v>4</v>
      </c>
      <c r="L110" s="4" t="s">
        <v>59</v>
      </c>
      <c r="M110" s="4" t="s">
        <v>87</v>
      </c>
      <c r="N110" s="4" t="s">
        <v>61</v>
      </c>
      <c r="O110" s="6">
        <v>2519744</v>
      </c>
      <c r="P110" s="6">
        <v>102864</v>
      </c>
      <c r="Q110" s="4">
        <v>0</v>
      </c>
      <c r="R110" s="7">
        <v>46333</v>
      </c>
      <c r="S110" s="4" t="s">
        <v>62</v>
      </c>
      <c r="T110" s="4">
        <v>80</v>
      </c>
      <c r="U110" s="8" t="s">
        <v>64</v>
      </c>
      <c r="V110" s="8" t="s">
        <v>64</v>
      </c>
      <c r="W110" s="8" t="s">
        <v>64</v>
      </c>
      <c r="X110" s="8" t="s">
        <v>64</v>
      </c>
      <c r="Y110" s="8" t="s">
        <v>64</v>
      </c>
      <c r="Z110" s="4" t="s">
        <v>254</v>
      </c>
    </row>
    <row r="111" spans="1:26" ht="15">
      <c r="A111" s="5">
        <v>46060.736111111109</v>
      </c>
      <c r="B111" s="4" t="s">
        <v>608</v>
      </c>
      <c r="C111" s="4" t="s">
        <v>609</v>
      </c>
      <c r="D111" s="4" t="s">
        <v>610</v>
      </c>
      <c r="E111" s="4" t="s">
        <v>611</v>
      </c>
      <c r="F111" s="4" t="s">
        <v>23</v>
      </c>
      <c r="G111" s="4" t="s">
        <v>612</v>
      </c>
      <c r="H111" s="4" t="s">
        <v>613</v>
      </c>
      <c r="I111" s="4" t="s">
        <v>57</v>
      </c>
      <c r="J111" s="4" t="s">
        <v>251</v>
      </c>
      <c r="K111" s="4" t="s">
        <v>4</v>
      </c>
      <c r="L111" s="4" t="s">
        <v>545</v>
      </c>
      <c r="M111" s="4" t="s">
        <v>60</v>
      </c>
      <c r="N111" s="4" t="s">
        <v>61</v>
      </c>
      <c r="O111" s="6">
        <v>210638</v>
      </c>
      <c r="P111" s="6">
        <v>8638</v>
      </c>
      <c r="Q111" s="6">
        <v>8638</v>
      </c>
      <c r="R111" s="7">
        <v>46060</v>
      </c>
      <c r="S111" s="4" t="s">
        <v>62</v>
      </c>
      <c r="T111" s="4">
        <v>100</v>
      </c>
      <c r="U111" s="4" t="s">
        <v>614</v>
      </c>
      <c r="V111" s="8" t="s">
        <v>64</v>
      </c>
      <c r="W111" s="8" t="s">
        <v>64</v>
      </c>
      <c r="X111" s="8" t="s">
        <v>64</v>
      </c>
      <c r="Y111" s="8" t="s">
        <v>64</v>
      </c>
      <c r="Z111" s="4" t="s">
        <v>254</v>
      </c>
    </row>
    <row r="112" spans="1:26" ht="15"/>
  </sheetData>
  <autoFilter ref="F1:F34" xr:uid="{7F052B99-F589-4D59-91C7-98D77E001A85}"/>
  <mergeCells count="150">
    <mergeCell ref="V102:V103"/>
    <mergeCell ref="W102:W103"/>
    <mergeCell ref="X102:X103"/>
    <mergeCell ref="Z102:Z103"/>
    <mergeCell ref="P102:P103"/>
    <mergeCell ref="Q102:Q103"/>
    <mergeCell ref="R102:R103"/>
    <mergeCell ref="S102:S103"/>
    <mergeCell ref="T102:T103"/>
    <mergeCell ref="U102:U103"/>
    <mergeCell ref="J102:J103"/>
    <mergeCell ref="K102:K103"/>
    <mergeCell ref="L102:L103"/>
    <mergeCell ref="M102:M103"/>
    <mergeCell ref="N102:N103"/>
    <mergeCell ref="O102:O103"/>
    <mergeCell ref="Z51:Z53"/>
    <mergeCell ref="A102:A103"/>
    <mergeCell ref="B102:B103"/>
    <mergeCell ref="C102:C103"/>
    <mergeCell ref="D102:D103"/>
    <mergeCell ref="E102:E103"/>
    <mergeCell ref="F102:F103"/>
    <mergeCell ref="G102:G103"/>
    <mergeCell ref="H102:H103"/>
    <mergeCell ref="I102:I103"/>
    <mergeCell ref="S51:S53"/>
    <mergeCell ref="T51:T53"/>
    <mergeCell ref="U51:U53"/>
    <mergeCell ref="V51:V53"/>
    <mergeCell ref="W51:W53"/>
    <mergeCell ref="X51:X53"/>
    <mergeCell ref="M51:M53"/>
    <mergeCell ref="N51:N53"/>
    <mergeCell ref="O51:O53"/>
    <mergeCell ref="P51:P53"/>
    <mergeCell ref="Q51:Q53"/>
    <mergeCell ref="R51:R53"/>
    <mergeCell ref="G51:G53"/>
    <mergeCell ref="H51:H53"/>
    <mergeCell ref="I51:I53"/>
    <mergeCell ref="J51:J53"/>
    <mergeCell ref="K51:K53"/>
    <mergeCell ref="L51:L53"/>
    <mergeCell ref="V33:V34"/>
    <mergeCell ref="W33:W34"/>
    <mergeCell ref="X33:X34"/>
    <mergeCell ref="Z33:Z34"/>
    <mergeCell ref="A51:A53"/>
    <mergeCell ref="B51:B53"/>
    <mergeCell ref="C51:C53"/>
    <mergeCell ref="D51:D53"/>
    <mergeCell ref="E51:E53"/>
    <mergeCell ref="F51:F53"/>
    <mergeCell ref="P33:P34"/>
    <mergeCell ref="Q33:Q34"/>
    <mergeCell ref="R33:R34"/>
    <mergeCell ref="S33:S34"/>
    <mergeCell ref="T33:T34"/>
    <mergeCell ref="U33:U34"/>
    <mergeCell ref="J33:J34"/>
    <mergeCell ref="K33:K34"/>
    <mergeCell ref="L33:L34"/>
    <mergeCell ref="M33:M34"/>
    <mergeCell ref="N33:N34"/>
    <mergeCell ref="O33:O34"/>
    <mergeCell ref="Z15:Z19"/>
    <mergeCell ref="A33:A34"/>
    <mergeCell ref="B33:B34"/>
    <mergeCell ref="C33:C34"/>
    <mergeCell ref="D33:D34"/>
    <mergeCell ref="E33:E34"/>
    <mergeCell ref="F33:F34"/>
    <mergeCell ref="G33:G34"/>
    <mergeCell ref="H33:H34"/>
    <mergeCell ref="I33:I34"/>
    <mergeCell ref="S15:S19"/>
    <mergeCell ref="T15:T19"/>
    <mergeCell ref="U15:U19"/>
    <mergeCell ref="V15:V19"/>
    <mergeCell ref="W15:W19"/>
    <mergeCell ref="X15:X19"/>
    <mergeCell ref="M15:M19"/>
    <mergeCell ref="N15:N19"/>
    <mergeCell ref="O15:O19"/>
    <mergeCell ref="P15:P19"/>
    <mergeCell ref="Q15:Q19"/>
    <mergeCell ref="R15:R19"/>
    <mergeCell ref="G15:G19"/>
    <mergeCell ref="H15:H19"/>
    <mergeCell ref="I15:I19"/>
    <mergeCell ref="J15:J19"/>
    <mergeCell ref="K15:K19"/>
    <mergeCell ref="L15:L19"/>
    <mergeCell ref="V10:V14"/>
    <mergeCell ref="W10:W14"/>
    <mergeCell ref="X10:X14"/>
    <mergeCell ref="Z10:Z14"/>
    <mergeCell ref="A15:A19"/>
    <mergeCell ref="B15:B19"/>
    <mergeCell ref="C15:C19"/>
    <mergeCell ref="D15:D19"/>
    <mergeCell ref="E15:E19"/>
    <mergeCell ref="F15:F19"/>
    <mergeCell ref="P10:P14"/>
    <mergeCell ref="Q10:Q14"/>
    <mergeCell ref="R10:R14"/>
    <mergeCell ref="S10:S14"/>
    <mergeCell ref="T10:T14"/>
    <mergeCell ref="U10:U14"/>
    <mergeCell ref="J10:J14"/>
    <mergeCell ref="K10:K14"/>
    <mergeCell ref="L10:L14"/>
    <mergeCell ref="M10:M14"/>
    <mergeCell ref="N10:N14"/>
    <mergeCell ref="O10:O14"/>
    <mergeCell ref="Z5:Z9"/>
    <mergeCell ref="A10:A14"/>
    <mergeCell ref="B10:B14"/>
    <mergeCell ref="C10:C14"/>
    <mergeCell ref="D10:D14"/>
    <mergeCell ref="E10:E14"/>
    <mergeCell ref="F10:F14"/>
    <mergeCell ref="G10:G14"/>
    <mergeCell ref="H10:H14"/>
    <mergeCell ref="I10:I14"/>
    <mergeCell ref="S5:S9"/>
    <mergeCell ref="T5:T9"/>
    <mergeCell ref="U5:U9"/>
    <mergeCell ref="V5:V9"/>
    <mergeCell ref="W5:W9"/>
    <mergeCell ref="X5:X9"/>
    <mergeCell ref="M5:M9"/>
    <mergeCell ref="N5:N9"/>
    <mergeCell ref="O5:O9"/>
    <mergeCell ref="P5:P9"/>
    <mergeCell ref="Q5:Q9"/>
    <mergeCell ref="R5:R9"/>
    <mergeCell ref="G5:G9"/>
    <mergeCell ref="H5:H9"/>
    <mergeCell ref="I5:I9"/>
    <mergeCell ref="J5:J9"/>
    <mergeCell ref="K5:K9"/>
    <mergeCell ref="L5:L9"/>
    <mergeCell ref="A5:A9"/>
    <mergeCell ref="B5:B9"/>
    <mergeCell ref="C5:C9"/>
    <mergeCell ref="D5:D9"/>
    <mergeCell ref="E5:E9"/>
    <mergeCell ref="F5:F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Dharshini Balasankar</cp:lastModifiedBy>
  <cp:revision/>
  <dcterms:created xsi:type="dcterms:W3CDTF">2026-07-10T12:09:48Z</dcterms:created>
  <dcterms:modified xsi:type="dcterms:W3CDTF">2026-07-27T09:04:32Z</dcterms:modified>
  <cp:category/>
  <cp:contentStatus/>
</cp:coreProperties>
</file>