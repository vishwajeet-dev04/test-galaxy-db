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payai-my.sharepoint.com/personal/shiv_kumar_techpay_ai/Documents/Documents/Office Related/Galaxy Target Letter/"/>
    </mc:Choice>
  </mc:AlternateContent>
  <xr:revisionPtr revIDLastSave="529" documentId="8_{1C3D6251-EB2A-4FAE-9A58-8A7FEB7C3DEE}" xr6:coauthVersionLast="47" xr6:coauthVersionMax="47" xr10:uidLastSave="{06CD9946-3CD5-4630-8EF6-4D8D22349E7E}"/>
  <bookViews>
    <workbookView xWindow="-108" yWindow="-108" windowWidth="23256" windowHeight="12576" activeTab="1" xr2:uid="{EE765818-5582-41EE-A0D7-DB92548EA267}"/>
  </bookViews>
  <sheets>
    <sheet name="Sheet1" sheetId="2" r:id="rId1"/>
    <sheet name="Opportunity Pipeline " sheetId="1" r:id="rId2"/>
  </sheets>
  <definedNames>
    <definedName name="_xlnm._FilterDatabase" localSheetId="1" hidden="1">'Opportunity Pipeline '!$A$1:$Z$148</definedName>
  </definedNames>
  <calcPr calcId="191028"/>
  <pivotCaches>
    <pivotCache cacheId="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3" i="2"/>
</calcChain>
</file>

<file path=xl/sharedStrings.xml><?xml version="1.0" encoding="utf-8"?>
<sst xmlns="http://schemas.openxmlformats.org/spreadsheetml/2006/main" count="2993" uniqueCount="721">
  <si>
    <t>Opportunity Number</t>
  </si>
  <si>
    <t>Organization Name</t>
  </si>
  <si>
    <t>Contact Name</t>
  </si>
  <si>
    <t>Opportunity Name</t>
  </si>
  <si>
    <t>Opportunity Led By</t>
  </si>
  <si>
    <t>Assigned To</t>
  </si>
  <si>
    <t>Lead Source</t>
  </si>
  <si>
    <t>Identifier</t>
  </si>
  <si>
    <t>Supported By</t>
  </si>
  <si>
    <t>Category</t>
  </si>
  <si>
    <t>Sub Category</t>
  </si>
  <si>
    <t>Brand</t>
  </si>
  <si>
    <t>Sales Stage</t>
  </si>
  <si>
    <t>Amount</t>
  </si>
  <si>
    <t>Estimated Bottomline</t>
  </si>
  <si>
    <t>Actual Bottomline -</t>
  </si>
  <si>
    <t>Expected Close Date</t>
  </si>
  <si>
    <t>Deal Category</t>
  </si>
  <si>
    <t>Probability</t>
  </si>
  <si>
    <t>OPF No.</t>
  </si>
  <si>
    <t>Deal ID</t>
  </si>
  <si>
    <t>Deal Status</t>
  </si>
  <si>
    <t>Deal Expiry Date</t>
  </si>
  <si>
    <t>Description</t>
  </si>
  <si>
    <t>POT87070</t>
  </si>
  <si>
    <t>Click Tech Retail</t>
  </si>
  <si>
    <t>Sridhar s</t>
  </si>
  <si>
    <t>Lenovo ThinkBook 14</t>
  </si>
  <si>
    <t>Abrar Memon</t>
  </si>
  <si>
    <t>Self</t>
  </si>
  <si>
    <t>NA</t>
  </si>
  <si>
    <t>None</t>
  </si>
  <si>
    <t>CSG (EndPoint)</t>
  </si>
  <si>
    <t>Laptop</t>
  </si>
  <si>
    <t>HP</t>
  </si>
  <si>
    <t>Closed Won</t>
  </si>
  <si>
    <t>Green</t>
  </si>
  <si>
    <t>CG-AE-0005</t>
  </si>
  <si>
    <t>-</t>
  </si>
  <si>
    <t>OPF no: CG-AE-0005</t>
  </si>
  <si>
    <t>POT87329</t>
  </si>
  <si>
    <t>NEW TRENDS COMMERCE PRIVATE LIMITED</t>
  </si>
  <si>
    <t>Ahil Krishna</t>
  </si>
  <si>
    <t>Lenovo</t>
  </si>
  <si>
    <t>CG-AE-0006</t>
  </si>
  <si>
    <t>OPF no: CG-AE-0006</t>
  </si>
  <si>
    <t>POT86667</t>
  </si>
  <si>
    <t>JSW Group</t>
  </si>
  <si>
    <t>Kamlesh Shera</t>
  </si>
  <si>
    <t>Nutanix Nodes</t>
  </si>
  <si>
    <t>Prachi Mayekar</t>
  </si>
  <si>
    <t>Ajay Patodia+Mukesh Choithani+Prachi Mayekar</t>
  </si>
  <si>
    <t>Mukesh Choithani</t>
  </si>
  <si>
    <t>Data Centre</t>
  </si>
  <si>
    <t>Virtualisation</t>
  </si>
  <si>
    <t>Nutanix</t>
  </si>
  <si>
    <t>POT82475</t>
  </si>
  <si>
    <t>Axis Bank Ltd</t>
  </si>
  <si>
    <t>Tarique Husain</t>
  </si>
  <si>
    <t>Rohit Deshmukh</t>
  </si>
  <si>
    <t>Ajay Patodia+Mukesh Choithani+Rohit Deshmukh</t>
  </si>
  <si>
    <t>Enterprise Coverage</t>
  </si>
  <si>
    <t>Compute</t>
  </si>
  <si>
    <t>Dell</t>
  </si>
  <si>
    <t>DP-RD-0017</t>
  </si>
  <si>
    <t>POT86704</t>
  </si>
  <si>
    <t>40 New Server Installation Services</t>
  </si>
  <si>
    <t>Other OEM Services</t>
  </si>
  <si>
    <t>POT87261</t>
  </si>
  <si>
    <t>Alpha Design Technologies Private Limited ADTL</t>
  </si>
  <si>
    <t>Venkatramana Nettinti</t>
  </si>
  <si>
    <t>LED Display and Accessories</t>
  </si>
  <si>
    <t>Sagar TR</t>
  </si>
  <si>
    <t>Ajay Patodia+Mukesh Choithani+Sagar TR</t>
  </si>
  <si>
    <t>Accessories</t>
  </si>
  <si>
    <t>Others</t>
  </si>
  <si>
    <t>CG-SC-0038</t>
  </si>
  <si>
    <t>OPF no: CG-SC-0038</t>
  </si>
  <si>
    <t>POT87282</t>
  </si>
  <si>
    <t>CHUBB Systems Pvt Ltd</t>
  </si>
  <si>
    <t>sudhindra acharya</t>
  </si>
  <si>
    <t>HPE rental server for 5 months</t>
  </si>
  <si>
    <t>Ajay Patodia</t>
  </si>
  <si>
    <t>Rental</t>
  </si>
  <si>
    <t>HPE/Aruba</t>
  </si>
  <si>
    <t>OPF no: DP-SC-0037</t>
  </si>
  <si>
    <t>POT87290</t>
  </si>
  <si>
    <t>Dell servers and workstation</t>
  </si>
  <si>
    <t>DP-SC-0042</t>
  </si>
  <si>
    <t>POT87317</t>
  </si>
  <si>
    <t>HPE ProLiant DL380 Gen11Â  1PÂ  NC 12LFF 800W PS Server</t>
  </si>
  <si>
    <t>DP-SC-0040</t>
  </si>
  <si>
    <t>OPF no: DP-SC-0040</t>
  </si>
  <si>
    <t>POT87318</t>
  </si>
  <si>
    <t>HPE ProLiant DL380 Gen11 1PÂ  MR408i-o NC 8SFF 800W PS Server</t>
  </si>
  <si>
    <t>DP-SC-0041</t>
  </si>
  <si>
    <t>OPF no: DP-SC-0041</t>
  </si>
  <si>
    <t>POT86852</t>
  </si>
  <si>
    <t>Chanakya University</t>
  </si>
  <si>
    <t>Sachin Goni</t>
  </si>
  <si>
    <t>Dell AI Server</t>
  </si>
  <si>
    <t>Shaik Khadhar</t>
  </si>
  <si>
    <t>Ajay Patodia+Mukesh Choithani+Shaik Khadhar</t>
  </si>
  <si>
    <t>POT87283</t>
  </si>
  <si>
    <t>Bank of India</t>
  </si>
  <si>
    <t>Deepak Prakash</t>
  </si>
  <si>
    <t>Cisco Server AMC Qty 14</t>
  </si>
  <si>
    <t>Tasneem K</t>
  </si>
  <si>
    <t>Ajay Patodia+Mukesh Choithani+Tasneem K</t>
  </si>
  <si>
    <t>CISCO</t>
  </si>
  <si>
    <t>POT87326</t>
  </si>
  <si>
    <t>Bank of india</t>
  </si>
  <si>
    <t>deepesh meetal</t>
  </si>
  <si>
    <t>boi laptop-1</t>
  </si>
  <si>
    <t>Ajay Patodia+Tasneem K</t>
  </si>
  <si>
    <t>CG-TK-0015</t>
  </si>
  <si>
    <t>POT86537</t>
  </si>
  <si>
    <t>The Multi Commodity Exchange Clearing Corporation Limited - (MCXCCL</t>
  </si>
  <si>
    <t>Pramod Kumar</t>
  </si>
  <si>
    <t>Dell - Multi Product RFP( Laptops, Monitors &amp; Wireless Keyboard &amp; Mouse )</t>
  </si>
  <si>
    <t>Chirag Palande</t>
  </si>
  <si>
    <t>Approved</t>
  </si>
  <si>
    <t>POT87154</t>
  </si>
  <si>
    <t>MCXCCL - Laptop 1 qty</t>
  </si>
  <si>
    <t>Samsung</t>
  </si>
  <si>
    <t>POT87324</t>
  </si>
  <si>
    <t>Mirae Asset investment Manager</t>
  </si>
  <si>
    <t>Satish Anchan</t>
  </si>
  <si>
    <t>Rental Laptops - 04</t>
  </si>
  <si>
    <t>Jimesh Shah</t>
  </si>
  <si>
    <t>PO received</t>
  </si>
  <si>
    <t>POT87262</t>
  </si>
  <si>
    <t>SBI Life Insurance Co. Ltd</t>
  </si>
  <si>
    <t>Chandrashekhar Marode</t>
  </si>
  <si>
    <t>Galaxy VMware Support for the Period of 1 Year</t>
  </si>
  <si>
    <t>Jitesh Rajput+Sandeep Makwana+Anil Zachariah+Anoop Pai Dhungat+Ajay Patodia</t>
  </si>
  <si>
    <t>Professional Services</t>
  </si>
  <si>
    <t>Residency Services</t>
  </si>
  <si>
    <t>Galaxy</t>
  </si>
  <si>
    <t>PR-AP-0028</t>
  </si>
  <si>
    <t>POT86673</t>
  </si>
  <si>
    <t>National Chemical Laboratory NCL</t>
  </si>
  <si>
    <t>Sanjay Askar</t>
  </si>
  <si>
    <t>VAPT remediation Services</t>
  </si>
  <si>
    <t>Hrushikesh Bagade</t>
  </si>
  <si>
    <t>Jitesh Rajput+Sandeep Makwana+Anil Zachariah+Hrushikesh Bagade</t>
  </si>
  <si>
    <t>Jitesh Rajput</t>
  </si>
  <si>
    <t>Managed Services</t>
  </si>
  <si>
    <t>EU wants Galaxy services for VAPT remediation, proposal sent , under nego, po received.</t>
  </si>
  <si>
    <t>POT87328</t>
  </si>
  <si>
    <t>Nexus Innovative Solutions Private Limited</t>
  </si>
  <si>
    <t>Praveen S</t>
  </si>
  <si>
    <t>Google zero touch enrolment + services</t>
  </si>
  <si>
    <t>Rima Ingle</t>
  </si>
  <si>
    <t>Jitesh Rajput+Sandeep Makwana+Anil Zachariah+Rima Ingle</t>
  </si>
  <si>
    <t>Professional Services Farming</t>
  </si>
  <si>
    <t>POT85892</t>
  </si>
  <si>
    <t>Tata Motors Limited</t>
  </si>
  <si>
    <t>Sarvesh Shrivastava</t>
  </si>
  <si>
    <t>Cisco ISE Renewal</t>
  </si>
  <si>
    <t>Rocky Braganza+Nishant Jalan+Harshvardhan Dave+Rohit Deshmukh</t>
  </si>
  <si>
    <t>Harshvardhan Dave</t>
  </si>
  <si>
    <t>Cyber Security &amp; Networking</t>
  </si>
  <si>
    <t>POT87320</t>
  </si>
  <si>
    <t>Dharwad Passive RC Supply</t>
  </si>
  <si>
    <t>Passive</t>
  </si>
  <si>
    <t>Commscope</t>
  </si>
  <si>
    <t>POT87294</t>
  </si>
  <si>
    <t>Mirae asset</t>
  </si>
  <si>
    <t>Sameer Mhatre</t>
  </si>
  <si>
    <t>Burpsuit license - On Premise â€“ 1 year Subscription -2</t>
  </si>
  <si>
    <t>Rocky Braganza+Nishant Jalan+Pravin Tapase+Jimesh Shah</t>
  </si>
  <si>
    <t>Pravin Tapase</t>
  </si>
  <si>
    <t>Security</t>
  </si>
  <si>
    <t>POT87264</t>
  </si>
  <si>
    <t>Cisco 1300 Switch</t>
  </si>
  <si>
    <t>Rocky Braganza+Nishant Jalan+Sagar TR</t>
  </si>
  <si>
    <t>Active</t>
  </si>
  <si>
    <t>CP-SC-0036</t>
  </si>
  <si>
    <t>OPF no: CP-SC-0036</t>
  </si>
  <si>
    <t>POT87323</t>
  </si>
  <si>
    <t>Dlink accessories</t>
  </si>
  <si>
    <t>D-Link</t>
  </si>
  <si>
    <t>CP-SC-0039</t>
  </si>
  <si>
    <t>OPF no: CP-SC-0039</t>
  </si>
  <si>
    <t>POT87257</t>
  </si>
  <si>
    <t>Broadcast Audience Research Council</t>
  </si>
  <si>
    <t>Zafar Syed</t>
  </si>
  <si>
    <t>BARC_CheckPOint</t>
  </si>
  <si>
    <t>Shubhangi Srinivasan</t>
  </si>
  <si>
    <t>Rocky Braganza+Nishant Jalan+Shubhangi Srinivasan</t>
  </si>
  <si>
    <t>Yogesh Bhatia</t>
  </si>
  <si>
    <t>Firewall</t>
  </si>
  <si>
    <t>Checkpoint</t>
  </si>
  <si>
    <t>POT86741</t>
  </si>
  <si>
    <t>Bank of Baroda</t>
  </si>
  <si>
    <t>shubham sachan</t>
  </si>
  <si>
    <t>Broadcom API license</t>
  </si>
  <si>
    <t>Rocky Braganza+Nishant Jalan+Tasneem K</t>
  </si>
  <si>
    <t>VMware</t>
  </si>
  <si>
    <t>POT87270</t>
  </si>
  <si>
    <t>Laptops for Palwal Warehouse</t>
  </si>
  <si>
    <t>CG-RD-0015</t>
  </si>
  <si>
    <t>POT87243</t>
  </si>
  <si>
    <t>Reserve Bank of India - IT Cell</t>
  </si>
  <si>
    <t>Altaf H Shaikh</t>
  </si>
  <si>
    <t>Dell AIO RBI</t>
  </si>
  <si>
    <t>Sankeerth Bhargav</t>
  </si>
  <si>
    <t>Grey</t>
  </si>
  <si>
    <t>POT87281</t>
  </si>
  <si>
    <t>INDIAN BANK</t>
  </si>
  <si>
    <t>M.S GUHANA</t>
  </si>
  <si>
    <t>INDIAN BANK-30 biometric</t>
  </si>
  <si>
    <t>Pratik Kadam</t>
  </si>
  <si>
    <t>Tasneem K+Pratik Kadam</t>
  </si>
  <si>
    <t>CG-PM-0039</t>
  </si>
  <si>
    <t>POT87263</t>
  </si>
  <si>
    <t>STCI Finance Limited</t>
  </si>
  <si>
    <t>Umesh Bhosale</t>
  </si>
  <si>
    <t>HP - laptop support</t>
  </si>
  <si>
    <t>Jay Rushi</t>
  </si>
  <si>
    <t>Yogesh Bhatia+Jay Rushi</t>
  </si>
  <si>
    <t>received this from OPF team to process this for OPF</t>
  </si>
  <si>
    <t>POT87271</t>
  </si>
  <si>
    <t>Priya Chemicals</t>
  </si>
  <si>
    <t>Dr. Angle</t>
  </si>
  <si>
    <t>AMC Priya Chemicals</t>
  </si>
  <si>
    <t>POT87309</t>
  </si>
  <si>
    <t>Sterling Wilson</t>
  </si>
  <si>
    <t>Vivek Chavan</t>
  </si>
  <si>
    <t>Workstation and Printer Sterling &amp; Wilson</t>
  </si>
  <si>
    <t>Desktop</t>
  </si>
  <si>
    <t>POT87272</t>
  </si>
  <si>
    <t>Indo Japan Polymers Private Limited</t>
  </si>
  <si>
    <t>Sridhar ramanathan</t>
  </si>
  <si>
    <t>HP Mobile workstation</t>
  </si>
  <si>
    <t>Varunkumar Mishra</t>
  </si>
  <si>
    <t>Yogesh Bhatia+Varunkumar Mishra</t>
  </si>
  <si>
    <t>Customer Reference</t>
  </si>
  <si>
    <t>Workstation</t>
  </si>
  <si>
    <t>CG-VM-0001</t>
  </si>
  <si>
    <t>Division</t>
  </si>
  <si>
    <t>South</t>
  </si>
  <si>
    <t>S2</t>
  </si>
  <si>
    <t>GeoX</t>
  </si>
  <si>
    <t>GB</t>
  </si>
  <si>
    <t>CB</t>
  </si>
  <si>
    <t>S1</t>
  </si>
  <si>
    <t>POT85799</t>
  </si>
  <si>
    <t>BSE LTD(Bombay Stock Exchange)</t>
  </si>
  <si>
    <t>Anjal Dave</t>
  </si>
  <si>
    <t>Netapp 400 TB - Storage upgrade for(PR)</t>
  </si>
  <si>
    <t>Ajay Patodia+Mukesh Choithani+Chirag Palande</t>
  </si>
  <si>
    <t>Storage</t>
  </si>
  <si>
    <t>Netapp</t>
  </si>
  <si>
    <t>POT85984</t>
  </si>
  <si>
    <t>Netapp 400 TB - Storage upgrade for(DR)</t>
  </si>
  <si>
    <t>POT85985</t>
  </si>
  <si>
    <t>Netapp 400 TB - Storage upgrade for (NDR)</t>
  </si>
  <si>
    <t>POT87030</t>
  </si>
  <si>
    <t>IDFC First Bank Limited</t>
  </si>
  <si>
    <t>Jaiprakash Yadav</t>
  </si>
  <si>
    <t>Dell AMC - IDFC</t>
  </si>
  <si>
    <t>Ajay Patodia+Mukesh Choithani+Sankeerth Bhargav</t>
  </si>
  <si>
    <t>Software</t>
  </si>
  <si>
    <t>POT87040</t>
  </si>
  <si>
    <t>Axis Capital Limited</t>
  </si>
  <si>
    <t>Krishnakumar Menon</t>
  </si>
  <si>
    <t>Dell Desktop - 33 Nos</t>
  </si>
  <si>
    <t>Chetna Sharma</t>
  </si>
  <si>
    <t>CP-RD-0019</t>
  </si>
  <si>
    <t>POT87199</t>
  </si>
  <si>
    <t>Jamshedpur Cisco Juniper Passsive RC RFP</t>
  </si>
  <si>
    <t>POT87200</t>
  </si>
  <si>
    <t>Jamshedpur Cisco Switches 13 Qty RC RFP</t>
  </si>
  <si>
    <t>CP-RD-0018</t>
  </si>
  <si>
    <t>POT86698</t>
  </si>
  <si>
    <t>Vishal Shah</t>
  </si>
  <si>
    <t>Microsoft Laptop 7 - 10 Qty</t>
  </si>
  <si>
    <t>Microsoft</t>
  </si>
  <si>
    <t>CG-RD-0020</t>
  </si>
  <si>
    <t>PO Number received. Awaiting formal PO</t>
  </si>
  <si>
    <t>Row Labels</t>
  </si>
  <si>
    <t>(blank)</t>
  </si>
  <si>
    <t>Grand Total</t>
  </si>
  <si>
    <t>Count of Opportunity Led By</t>
  </si>
  <si>
    <t>ï»¿"Created Time"</t>
  </si>
  <si>
    <t>POT87405</t>
  </si>
  <si>
    <t>Lenovo L14 Laptops</t>
  </si>
  <si>
    <t>CG-AE-0007</t>
  </si>
  <si>
    <t>OPF no: CG-AE-0007</t>
  </si>
  <si>
    <t>POT86362</t>
  </si>
  <si>
    <t>Tata Communications Ltd.</t>
  </si>
  <si>
    <t>Rohit Kumar Gupta</t>
  </si>
  <si>
    <t>Dell Server AMC Renewal for ICS Project</t>
  </si>
  <si>
    <t>Ajay Patodia+Mukesh Choithani</t>
  </si>
  <si>
    <t>OEM Lead</t>
  </si>
  <si>
    <t>DP-AP-0030</t>
  </si>
  <si>
    <t>Required Dell Server AMC Renewal with KYD</t>
  </si>
  <si>
    <t>POT87327</t>
  </si>
  <si>
    <t>EIT Services India Private Limited C/o DXC Technology</t>
  </si>
  <si>
    <t>Imtiaz Shaik</t>
  </si>
  <si>
    <t>Dell Server and Storage AMC Renewal for OBG Project</t>
  </si>
  <si>
    <t>DP-AP-0031</t>
  </si>
  <si>
    <t>Shared the AMC Renewal proposal for the Dell Server / Storage / Tape Library / TOR Switches for OBG Project</t>
  </si>
  <si>
    <t>POT87435</t>
  </si>
  <si>
    <t>Dell Server and Storage AMC Renewal for OBG Project - DC</t>
  </si>
  <si>
    <t>DP-AP-0032</t>
  </si>
  <si>
    <t>POT87454</t>
  </si>
  <si>
    <t>AMC for Server - 2 Nos</t>
  </si>
  <si>
    <t>Ajay Patodia+Mukesh Choithani+Chetna Sharma</t>
  </si>
  <si>
    <t>POT87286</t>
  </si>
  <si>
    <t>Bajaj Housing Finance Limited</t>
  </si>
  <si>
    <t>Abid Sayyad</t>
  </si>
  <si>
    <t>Ajay Patodia+Mukesh Choithani+Hrushikesh Bagade</t>
  </si>
  <si>
    <t>Backup &amp; Recovery</t>
  </si>
  <si>
    <t>Commvault</t>
  </si>
  <si>
    <t>EU want Commvault 70 QTY lics for EP, working on price, price sent, waiting for PO. po received.</t>
  </si>
  <si>
    <t>POT87188</t>
  </si>
  <si>
    <t>Accelya Kale Solutions Limited</t>
  </si>
  <si>
    <t>Neha Chavda</t>
  </si>
  <si>
    <t>DELL  AMC (7 servers)</t>
  </si>
  <si>
    <t>POT87360</t>
  </si>
  <si>
    <t>Dell AMC (2 Servers)</t>
  </si>
  <si>
    <t>Broadcom VCF License Renewal - Year 1</t>
  </si>
  <si>
    <t>DD-RD-0022</t>
  </si>
  <si>
    <t>POT86991</t>
  </si>
  <si>
    <t>Astra Microwave Product Limited</t>
  </si>
  <si>
    <t>Aditya Eshwar</t>
  </si>
  <si>
    <t>NAS Storage Synology</t>
  </si>
  <si>
    <t>DP-HS-0004</t>
  </si>
  <si>
    <t>OPF no: DP-HS-0004</t>
  </si>
  <si>
    <t>DP-SC-0037</t>
  </si>
  <si>
    <t>OPF no: DP-SC-0042</t>
  </si>
  <si>
    <t>POT87412</t>
  </si>
  <si>
    <t>NEWTAP FINANCE PRIVATE LIMITED</t>
  </si>
  <si>
    <t>Nithin HP</t>
  </si>
  <si>
    <t>Dell &amp; Logitec Accessories</t>
  </si>
  <si>
    <t>CG-SC-0043</t>
  </si>
  <si>
    <t>OPF no: CG-SC-0043</t>
  </si>
  <si>
    <t>POT87439</t>
  </si>
  <si>
    <t>FIDROX TECHNOLOGIES PRIVATE LIMITED</t>
  </si>
  <si>
    <t>Vyshnavi Hebbar</t>
  </si>
  <si>
    <t>HPE ProLiant DL360 server</t>
  </si>
  <si>
    <t>DP-SC-0044</t>
  </si>
  <si>
    <t>OPF no: DP-SC-0044</t>
  </si>
  <si>
    <t>31346508 / 31352495</t>
  </si>
  <si>
    <t>Rejected / Rejected / Approved</t>
  </si>
  <si>
    <t>DC-TK-13/14</t>
  </si>
  <si>
    <t>POT87385</t>
  </si>
  <si>
    <t>RIBBON Communication</t>
  </si>
  <si>
    <t>Sandip Deo</t>
  </si>
  <si>
    <t>Ribbon - HP motherboard</t>
  </si>
  <si>
    <t>Ajay Patodia+Mukesh Choithani+Yogesh Bhatia+Jay Rushi</t>
  </si>
  <si>
    <t>CG-JU-0019</t>
  </si>
  <si>
    <t>POT87388</t>
  </si>
  <si>
    <t>BOI laptop -1 repeat</t>
  </si>
  <si>
    <t>CG-TK-0018</t>
  </si>
  <si>
    <t>5.9.2026</t>
  </si>
  <si>
    <t>CG-JS-0007</t>
  </si>
  <si>
    <t>POT87370</t>
  </si>
  <si>
    <t>Sharekhan - HP Printer - 1</t>
  </si>
  <si>
    <t>CG-JS-0008</t>
  </si>
  <si>
    <t>POT87371</t>
  </si>
  <si>
    <t>Sharekhan - HP Printer - 1- delhi</t>
  </si>
  <si>
    <t>CG-JS-0009</t>
  </si>
  <si>
    <t>Required Galaxy L1/ L2 VMWare Support with 24X7 Support for  the period of 1 Year</t>
  </si>
  <si>
    <t>POT85796</t>
  </si>
  <si>
    <t>Dell International Services India Private Limited</t>
  </si>
  <si>
    <t>Eshaa Patnaik</t>
  </si>
  <si>
    <t>Dell - JP Morgan  - FMS</t>
  </si>
  <si>
    <t>Ashish Singh</t>
  </si>
  <si>
    <t>Jitesh Rajput+Sandeep Makwana+Anil Zachariah+Ashish Singh</t>
  </si>
  <si>
    <t>Sandeep Makwana</t>
  </si>
  <si>
    <t>POT87470</t>
  </si>
  <si>
    <t>Graphic Arts Technology &amp; Education</t>
  </si>
  <si>
    <t>Kiran Prayagi</t>
  </si>
  <si>
    <t>AMC</t>
  </si>
  <si>
    <t>POT87381</t>
  </si>
  <si>
    <t>Axis Finance Limited</t>
  </si>
  <si>
    <t>Sandeep Suryavanshi</t>
  </si>
  <si>
    <t>Galaxy Resident Engineer - Storage &amp; Backup - Onsite - 2 Nos.</t>
  </si>
  <si>
    <t>Jitesh Rajput+Sandeep Makwana+Anil Zachariah+Chetna Sharma</t>
  </si>
  <si>
    <t>PR-CH-0011</t>
  </si>
  <si>
    <t>Margin taken all</t>
  </si>
  <si>
    <t>PM-HB-0053</t>
  </si>
  <si>
    <t>POT87305</t>
  </si>
  <si>
    <t>Kalyani Technoforge Limited</t>
  </si>
  <si>
    <t>Nazar Pathan</t>
  </si>
  <si>
    <t>Galaxy MS for Commvault</t>
  </si>
  <si>
    <t>Anoop Pai Dhungat</t>
  </si>
  <si>
    <t>PM-HB-0055</t>
  </si>
  <si>
    <t>renewal of MS, price sent, under nego, closer would be in July 26. waiting for PO. po received.</t>
  </si>
  <si>
    <t>POT87087</t>
  </si>
  <si>
    <t>Grasim Chemicals</t>
  </si>
  <si>
    <t>Rahul Chandak</t>
  </si>
  <si>
    <t>cyber resource renewal</t>
  </si>
  <si>
    <t>Richa Tiwari</t>
  </si>
  <si>
    <t>Jitesh Rajput+Sandeep Makwana+Anil Zachariah+Richa Tiwari</t>
  </si>
  <si>
    <t>POT86999</t>
  </si>
  <si>
    <t>Indira IVF Fertility Centre</t>
  </si>
  <si>
    <t>Mahesh Sharma</t>
  </si>
  <si>
    <t>AWS</t>
  </si>
  <si>
    <t>Shilpa Kavde</t>
  </si>
  <si>
    <t>Jitesh Rajput+Sandeep Makwana+Anil Zachariah+Shilpa Kavde</t>
  </si>
  <si>
    <t>Cloud</t>
  </si>
  <si>
    <t>POT87252</t>
  </si>
  <si>
    <t>Godrej &amp; Boyce Manufacturing Company Limited</t>
  </si>
  <si>
    <t>Parth Rathod</t>
  </si>
  <si>
    <t>VMware renewal - 208 core</t>
  </si>
  <si>
    <t>Raj Matondkar</t>
  </si>
  <si>
    <t>Prashant Dudugu+Raj Matondkar</t>
  </si>
  <si>
    <t>Prashant Dudugu</t>
  </si>
  <si>
    <t>DP-RN-0001</t>
  </si>
  <si>
    <t>POT87389</t>
  </si>
  <si>
    <t>Rajsthan gramin bank</t>
  </si>
  <si>
    <t>Laxman singh</t>
  </si>
  <si>
    <t>RGB ajmer-40 biometric</t>
  </si>
  <si>
    <t>CG-PM-0042</t>
  </si>
  <si>
    <t>POT87408</t>
  </si>
  <si>
    <t>RGB JALORE-30</t>
  </si>
  <si>
    <t>CG-PM-0043</t>
  </si>
  <si>
    <t>POT87461</t>
  </si>
  <si>
    <t>PUNJAB AND SINDH BANK</t>
  </si>
  <si>
    <t>Vijay kumar</t>
  </si>
  <si>
    <t>PSB-9 TABLET</t>
  </si>
  <si>
    <t>POT87002</t>
  </si>
  <si>
    <t>Tata Power Company Ltd</t>
  </si>
  <si>
    <t>sandeep karnavat</t>
  </si>
  <si>
    <t>Profile 1 qty 08 IEL Jharkhand</t>
  </si>
  <si>
    <t>CG-RT-0049</t>
  </si>
  <si>
    <t>POT87429</t>
  </si>
  <si>
    <t>Tata Power Ajmer Distribution Limited (TPADL)</t>
  </si>
  <si>
    <t>tp ajmer laptop profile 1 qty 3 profile 3 qty 3</t>
  </si>
  <si>
    <t>CG-RT-0050</t>
  </si>
  <si>
    <t>POT87434</t>
  </si>
  <si>
    <t>Laptop Profile 3 qty 1 Raipur</t>
  </si>
  <si>
    <t>POT87441</t>
  </si>
  <si>
    <t>tp maithon profile 1 qty 65 profile 2 qty 2 profile 3 qty 2</t>
  </si>
  <si>
    <t>CG-RT-0052</t>
  </si>
  <si>
    <t>POT87443</t>
  </si>
  <si>
    <t>tp powerlinks profile 1 qty 10</t>
  </si>
  <si>
    <t>POT87444</t>
  </si>
  <si>
    <t>tp trading profile 1 qty 9 profile 3 qty 4</t>
  </si>
  <si>
    <t>CG-RT-0054</t>
  </si>
  <si>
    <t>POT87445</t>
  </si>
  <si>
    <t>Profile 1 qty 3 tp trading mumbai</t>
  </si>
  <si>
    <t>CG-RT-0055</t>
  </si>
  <si>
    <t>POT87448</t>
  </si>
  <si>
    <t>profile 1 qty 1 tp gopalpur</t>
  </si>
  <si>
    <t>CG-RT-0056</t>
  </si>
  <si>
    <t>POT87449</t>
  </si>
  <si>
    <t>profile 1 qty 50 tp mumbai</t>
  </si>
  <si>
    <t>CG-RT-0057</t>
  </si>
  <si>
    <t>POT87450</t>
  </si>
  <si>
    <t>profile 1 qty 44 profile 2 qty 2 tp mumbai</t>
  </si>
  <si>
    <t>CG-RT-0058</t>
  </si>
  <si>
    <t>POT87451</t>
  </si>
  <si>
    <t>profile 1 qty 11 profile 2 qty 1 tp gujarat</t>
  </si>
  <si>
    <t>CG-RT-0059</t>
  </si>
  <si>
    <t>POT87452</t>
  </si>
  <si>
    <t>profile 1 qty 8 tp noida</t>
  </si>
  <si>
    <t>CG-RT-0060</t>
  </si>
  <si>
    <t>POT87467</t>
  </si>
  <si>
    <t>profile 1 qty 11 profile 2 qty 1- mumbai</t>
  </si>
  <si>
    <t>POT87468</t>
  </si>
  <si>
    <t>profile 1 qty 45 profile 3 qty 6 tp jharkhand jojobera</t>
  </si>
  <si>
    <t>CG-RT-0062</t>
  </si>
  <si>
    <t>POT87469</t>
  </si>
  <si>
    <t>profile 1 qty 1 tp paradeep iel</t>
  </si>
  <si>
    <t>CG-RT-0063</t>
  </si>
  <si>
    <t>POT87471</t>
  </si>
  <si>
    <t>profile 1 qty 4 tp up prayagraj</t>
  </si>
  <si>
    <t>CG-RT-0064</t>
  </si>
  <si>
    <t>POT87237</t>
  </si>
  <si>
    <t>Aditya Birla Sun Life Insurance Company Limited</t>
  </si>
  <si>
    <t>satish rathod</t>
  </si>
  <si>
    <t>lotus office switches- cisco</t>
  </si>
  <si>
    <t>Rocky Braganza+Nishant Jalan+Harshvardhan Dave+Richa Tiwari</t>
  </si>
  <si>
    <t>CP-RD-0021</t>
  </si>
  <si>
    <t>CP-RD-002324</t>
  </si>
  <si>
    <t>POT87463</t>
  </si>
  <si>
    <t>Jamshedpur RC Cisco Switche 1 Qty RC RFP</t>
  </si>
  <si>
    <t>CP-RD-002526</t>
  </si>
  <si>
    <t>CP-JS-0006</t>
  </si>
  <si>
    <t>POT87472</t>
  </si>
  <si>
    <t>Dlink Accessories</t>
  </si>
  <si>
    <t>CP-SC-0046</t>
  </si>
  <si>
    <t>OPF no: CP-SC-0046</t>
  </si>
  <si>
    <t>POT87473</t>
  </si>
  <si>
    <t>Dlink Acessories</t>
  </si>
  <si>
    <t>CP-SC-0047</t>
  </si>
  <si>
    <t>OPF no: CP-SC-0047</t>
  </si>
  <si>
    <t>POT87334</t>
  </si>
  <si>
    <t>FortiGate40F Firewall</t>
  </si>
  <si>
    <t>Rocky Braganza+Nishant Jalan+Shaik Khadhar</t>
  </si>
  <si>
    <t>Fortinet</t>
  </si>
  <si>
    <t>CP-HS-0005</t>
  </si>
  <si>
    <t>OPF no: CP-HS-0005</t>
  </si>
  <si>
    <t>POT87194</t>
  </si>
  <si>
    <t>NCDEX e Markets Ltd. (NeML)</t>
  </si>
  <si>
    <t>Malay Sen</t>
  </si>
  <si>
    <t>NCDEX</t>
  </si>
  <si>
    <t>PAM</t>
  </si>
  <si>
    <t>Iraje</t>
  </si>
  <si>
    <t>CP-SU-0017</t>
  </si>
  <si>
    <t>CP-SU-0013</t>
  </si>
  <si>
    <t>POT87276</t>
  </si>
  <si>
    <t>CFM Asset Reconstruction Pvt Ltd</t>
  </si>
  <si>
    <t>Shirish Shinde</t>
  </si>
  <si>
    <t>CFM_CP_Apr&amp;May</t>
  </si>
  <si>
    <t>Endpoint &amp; Email Security</t>
  </si>
  <si>
    <t>CP-SU-0014</t>
  </si>
  <si>
    <t>CG-SE-0005</t>
  </si>
  <si>
    <t>POT87375</t>
  </si>
  <si>
    <t>Afzal Sorathiya</t>
  </si>
  <si>
    <t>HP Omen</t>
  </si>
  <si>
    <t>CG-SE-0006</t>
  </si>
  <si>
    <t>POT87333</t>
  </si>
  <si>
    <t>HP Proobook 450 G10</t>
  </si>
  <si>
    <t>CG-HS-0006</t>
  </si>
  <si>
    <t>OPF no: CG-HS-0006</t>
  </si>
  <si>
    <t>POT85982</t>
  </si>
  <si>
    <t>Bank of Maharashtra</t>
  </si>
  <si>
    <t>shashikant Dhengale</t>
  </si>
  <si>
    <t>bank of maharshtra- desktop monitor</t>
  </si>
  <si>
    <t>CG-PM-0041</t>
  </si>
  <si>
    <t>30715074 / 30722739</t>
  </si>
  <si>
    <t>Rejected / Rejected /Rejected</t>
  </si>
  <si>
    <t>order load</t>
  </si>
  <si>
    <t>POT87362</t>
  </si>
  <si>
    <t>PSB -50 L0 device</t>
  </si>
  <si>
    <t>CG-PM-0040</t>
  </si>
  <si>
    <t>PM-JU-0015</t>
  </si>
  <si>
    <t>PM-JU-0016</t>
  </si>
  <si>
    <t>POT87312</t>
  </si>
  <si>
    <t>E-Freight Global</t>
  </si>
  <si>
    <t>Sanket Nar</t>
  </si>
  <si>
    <t>Dell laptops - E freight Global</t>
  </si>
  <si>
    <t>POT87431</t>
  </si>
  <si>
    <t>Tata Consultancy Services Ltd.</t>
  </si>
  <si>
    <t>Amrish Patel</t>
  </si>
  <si>
    <t>VMWare SAM and TAM Support</t>
  </si>
  <si>
    <t>DP-AP-0035</t>
  </si>
  <si>
    <t>Requried VMWare SAM and TAM Support for period of 11 months from 01.08.2026 to 30.06.2027</t>
  </si>
  <si>
    <t>POT87438</t>
  </si>
  <si>
    <t>Dell VepNetworking Appliance Renewal</t>
  </si>
  <si>
    <t>DP-AP-0034</t>
  </si>
  <si>
    <t>Requried Dell Vep Networking applaiance AMC renewal</t>
  </si>
  <si>
    <t>POT87442</t>
  </si>
  <si>
    <t>Jewelex India Pvt Ltd.</t>
  </si>
  <si>
    <t>Krupesh kore</t>
  </si>
  <si>
    <t>Veeam Data Platform Renewal Contract # 3491406</t>
  </si>
  <si>
    <t>DP-AP-0033</t>
  </si>
  <si>
    <t>Required renewal of Veeam Data Platform Foundation Universal Subscription License against contract ID # # 03725629 from 11.08.2026 to 10.08.2027 and Contract # 3725630 from 13.07.2026 to 12.07.2027</t>
  </si>
  <si>
    <t>POT86683</t>
  </si>
  <si>
    <t>Serum Institiute India Pvt Ltd</t>
  </si>
  <si>
    <t>Tejas Karandikar</t>
  </si>
  <si>
    <t>DELL Servers AMC</t>
  </si>
  <si>
    <t>EU wants to have 9 QTY DELL Server AMC quote - B2B from DELL. working on price. Proposal sent, waiting for EU response, waiting for po. po received.</t>
  </si>
  <si>
    <t>Commvault 65 addon n 35 RNWL QTY lics for EP</t>
  </si>
  <si>
    <t>DP-HB-0056</t>
  </si>
  <si>
    <t>DP-PC-0014</t>
  </si>
  <si>
    <t>DP-PC-0015</t>
  </si>
  <si>
    <t>POT84524</t>
  </si>
  <si>
    <t>AU SMALL FINANCE BANK LIMITED</t>
  </si>
  <si>
    <t>Vikrant Sharma</t>
  </si>
  <si>
    <t>VMWare Renewal</t>
  </si>
  <si>
    <t>Sanjeev Kohli</t>
  </si>
  <si>
    <t>Ajay Patodia+Mukesh Choithani+Sanjeev Kohli</t>
  </si>
  <si>
    <t>Amber</t>
  </si>
  <si>
    <t>CG-CP-0004</t>
  </si>
  <si>
    <t>POT87536</t>
  </si>
  <si>
    <t>Sharekhan - HP Printer - 1- Coimbatore</t>
  </si>
  <si>
    <t>PR-AH-0011</t>
  </si>
  <si>
    <t>POT87519</t>
  </si>
  <si>
    <t>Connect Info Solutions India Private Limited</t>
  </si>
  <si>
    <t>Jayant Kaup</t>
  </si>
  <si>
    <t>Consulting-PS</t>
  </si>
  <si>
    <t>Consultancy Services</t>
  </si>
  <si>
    <t>PM-RM-0001</t>
  </si>
  <si>
    <t>POT87415</t>
  </si>
  <si>
    <t>ITMantra TechIntellect Pvt Ltd</t>
  </si>
  <si>
    <t>Meenakshi J</t>
  </si>
  <si>
    <t>Engineer visit charges for the Month of June 2026</t>
  </si>
  <si>
    <t>POT87553</t>
  </si>
  <si>
    <t>RBL FinServe Limited</t>
  </si>
  <si>
    <t>Pradnya Shetty</t>
  </si>
  <si>
    <t>DELL Desktop 15350 (60)</t>
  </si>
  <si>
    <t>POT87554</t>
  </si>
  <si>
    <t>DELL Desktop 15349 (10)</t>
  </si>
  <si>
    <t>POT87555</t>
  </si>
  <si>
    <t>Dell Desktop 15351 (40)</t>
  </si>
  <si>
    <t>POT87556</t>
  </si>
  <si>
    <t>Dell Desktop 15352 (10)</t>
  </si>
  <si>
    <t>POT87557</t>
  </si>
  <si>
    <t>Dell Desktop 15353 (10)</t>
  </si>
  <si>
    <t>POT87558</t>
  </si>
  <si>
    <t>Dell Desktop 15354 (45)</t>
  </si>
  <si>
    <t>POT87559</t>
  </si>
  <si>
    <t>Dell Desktop 15355 (24)</t>
  </si>
  <si>
    <t>POT87560</t>
  </si>
  <si>
    <t>Dell Desktop 15356 (36)</t>
  </si>
  <si>
    <t>POT87561</t>
  </si>
  <si>
    <t>Dell Desktop 15357 (20)</t>
  </si>
  <si>
    <t>POT87562</t>
  </si>
  <si>
    <t>Dell Desktop 15358 (10)</t>
  </si>
  <si>
    <t>POT87563</t>
  </si>
  <si>
    <t>Dell Desktop 15359 (35)</t>
  </si>
  <si>
    <t>POT87564</t>
  </si>
  <si>
    <t>Dell Desktop 15360 (17)</t>
  </si>
  <si>
    <t>POT87565</t>
  </si>
  <si>
    <t>Dell Desktop 15361 (25)</t>
  </si>
  <si>
    <t>POT87566</t>
  </si>
  <si>
    <t>Dell Desktop 15362 (68)</t>
  </si>
  <si>
    <t>POT87567</t>
  </si>
  <si>
    <t>Dell Desktop 15363 (50)</t>
  </si>
  <si>
    <t>POT87569</t>
  </si>
  <si>
    <t>Dell Desktop 15364 (40)</t>
  </si>
  <si>
    <t>POT87570</t>
  </si>
  <si>
    <t>Dell Desktop 15365 (20)</t>
  </si>
  <si>
    <t>POT87571</t>
  </si>
  <si>
    <t>DEll Desktop 15366 (70)</t>
  </si>
  <si>
    <t>POT87572</t>
  </si>
  <si>
    <t>Dell Desktop 15367 (15)</t>
  </si>
  <si>
    <t>POT87573</t>
  </si>
  <si>
    <t>Dell Desktop 15368 (50)</t>
  </si>
  <si>
    <t>POT87574</t>
  </si>
  <si>
    <t>Dell Desktop 15369 (20)</t>
  </si>
  <si>
    <t>POT87575</t>
  </si>
  <si>
    <t>Dell Desktop 15370 (17)</t>
  </si>
  <si>
    <t>POT87577</t>
  </si>
  <si>
    <t>Dell Desktop 15371 (38)</t>
  </si>
  <si>
    <t>POT87578</t>
  </si>
  <si>
    <t>DEll Desktop 15372 (20)</t>
  </si>
  <si>
    <t>POT87526</t>
  </si>
  <si>
    <t>RGB BARAN -40 LOT1</t>
  </si>
  <si>
    <t>POT87527</t>
  </si>
  <si>
    <t>RGB BARAN -40 LOT 2</t>
  </si>
  <si>
    <t>POT87528</t>
  </si>
  <si>
    <t>indian bank -15 qty</t>
  </si>
  <si>
    <t>CG-RT-0053</t>
  </si>
  <si>
    <t>CG-RT-0065</t>
  </si>
  <si>
    <t>POT87523</t>
  </si>
  <si>
    <t>profile 1 qty 2 tp lucknow</t>
  </si>
  <si>
    <t>CG-RT-0067</t>
  </si>
  <si>
    <t>POT87524</t>
  </si>
  <si>
    <t>profile 1 qty 23 profile 2 qty 14 profile 3 qty 4 tp mumabi</t>
  </si>
  <si>
    <t>CG-RT-0068</t>
  </si>
  <si>
    <t>POT87525</t>
  </si>
  <si>
    <t>profile 1 qty 2 tp noida</t>
  </si>
  <si>
    <t>POT86805</t>
  </si>
  <si>
    <t>Axis Securities Ltd</t>
  </si>
  <si>
    <t>Rajan Kale</t>
  </si>
  <si>
    <t>Akamai WAF Renewal - 3 Years</t>
  </si>
  <si>
    <t>Rocky Braganza+Nishant Jalan+Diksha Bhilare+Chetna Sharma</t>
  </si>
  <si>
    <t>Diksha Bhilare</t>
  </si>
  <si>
    <t>Akamai</t>
  </si>
  <si>
    <t>POT86895</t>
  </si>
  <si>
    <t>Checkpoint  AMC IDFC Bank</t>
  </si>
  <si>
    <t>Rocky Braganza+Nishant Jalan+Diksha Bhilare+Sankeerth Bhargav</t>
  </si>
  <si>
    <t>POT87196</t>
  </si>
  <si>
    <t>Aditya Birla Capital</t>
  </si>
  <si>
    <t>Renewal of Palo Alto FW - WM</t>
  </si>
  <si>
    <t>PaloAlto</t>
  </si>
  <si>
    <t>POT87505</t>
  </si>
  <si>
    <t>Jamshedpur Passsive RC RFP</t>
  </si>
  <si>
    <t>POT87530</t>
  </si>
  <si>
    <t>Godrej Industries Ltd</t>
  </si>
  <si>
    <t>Turang Ladhani</t>
  </si>
  <si>
    <t>CISCO Mic Pro_3 QTY</t>
  </si>
  <si>
    <t>Rocky Braganza+Nishant Jalan+Prashant Dudugu+Raj Matondkar</t>
  </si>
  <si>
    <t>Collaboration</t>
  </si>
  <si>
    <t>POT86676</t>
  </si>
  <si>
    <t>Capri Global Capital Limited</t>
  </si>
  <si>
    <t>sumit Jagtap</t>
  </si>
  <si>
    <t>PIM/ PAM Solution</t>
  </si>
  <si>
    <t>Rocky Braganza+Nishant Jalan+Pravin Tapase+Shilpa Kavde</t>
  </si>
  <si>
    <t>POT87506</t>
  </si>
  <si>
    <t>Dlink 9U rack</t>
  </si>
  <si>
    <t>CP-SC-0048</t>
  </si>
  <si>
    <t>OPF no: CP-SC-0048</t>
  </si>
  <si>
    <t>POT87532</t>
  </si>
  <si>
    <t>CP-SC-0049</t>
  </si>
  <si>
    <t>OPF no: CP-SC-0049</t>
  </si>
  <si>
    <t>CP-TK-0016</t>
  </si>
  <si>
    <t>POT87521</t>
  </si>
  <si>
    <t>Larsen &amp; Toubro Limited</t>
  </si>
  <si>
    <t>Vinayak Patil</t>
  </si>
  <si>
    <t>Iraje PAM for L&amp;T for May 26 to Apr27</t>
  </si>
  <si>
    <t>Rocky Braganza+Nishant Jalan+Yogesh Bhatia+Rima Ingle</t>
  </si>
  <si>
    <t>CP-RM-0003</t>
  </si>
  <si>
    <t>POT87260</t>
  </si>
  <si>
    <t>Balram Maurya</t>
  </si>
  <si>
    <t>AP Requirement</t>
  </si>
  <si>
    <t>Rocky Braganza+Nishant Jalan+Yogesh Bhatia+Varunkumar Mishra</t>
  </si>
  <si>
    <t>Wireless</t>
  </si>
  <si>
    <t>POT87533</t>
  </si>
  <si>
    <t>Lenovo Workstation P2</t>
  </si>
  <si>
    <t>CG-SC-0050</t>
  </si>
  <si>
    <t>OPF no: CG-SC-0050</t>
  </si>
  <si>
    <t>POT87507</t>
  </si>
  <si>
    <t>laptop</t>
  </si>
  <si>
    <t>Sanjay Patodia+Shilpa Kavde</t>
  </si>
  <si>
    <t>Sanjay Patodia</t>
  </si>
  <si>
    <t>CG-SL-0034</t>
  </si>
  <si>
    <t>POT87551</t>
  </si>
  <si>
    <t>CG-HS-0007</t>
  </si>
  <si>
    <t>OPF no: CG-HS-0007</t>
  </si>
  <si>
    <t>POT87466</t>
  </si>
  <si>
    <t>Atos India Pvt Ltd</t>
  </si>
  <si>
    <t>Tulsiram zade</t>
  </si>
  <si>
    <t>NVIDIA DGX Spark</t>
  </si>
  <si>
    <t>CG-JU-0020</t>
  </si>
  <si>
    <t>CG-JU-0018</t>
  </si>
  <si>
    <t>POT87504</t>
  </si>
  <si>
    <t>Priya Chemicals - Printer</t>
  </si>
  <si>
    <t>IoT</t>
  </si>
  <si>
    <t>CG-JU-0021</t>
  </si>
  <si>
    <t>Sum of Amount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</si>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</sst>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8" fillId="0" borderId="0" xfId="0" applyFont="1"/>
    <xf numFmtId="22" fontId="18" fillId="0" borderId="0" xfId="0" applyNumberFormat="1" applyFont="1"/>
    <xf numFmtId="4" fontId="18" fillId="0" borderId="0" xfId="0" applyNumberFormat="1" applyFont="1"/>
    <xf numFmtId="14" fontId="18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 applyAlignment="1">
      <alignment wrapText="1"/>
    </xf>
    <xf numFmtId="0" fontId="18" fillId="0" borderId="0" xfId="0" applyFont="1" applyAlignment="1">
      <alignment horizontal="left"/>
    </xf>
    <xf numFmtId="0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arshini " refreshedDate="46237.554208564812" createdVersion="8" refreshedVersion="8" minRefreshableVersion="3" recordCount="172" xr:uid="{F9FF0B2C-50AF-4B36-BF4B-3DE51B424A17}">
  <cacheSource type="worksheet">
    <worksheetSource ref="A1:Z148" sheet="Opportunity Pipeline "/>
  </cacheSource>
  <cacheFields count="26">
    <cacheField name="ï»¿&quot;Created Time&quot;" numFmtId="22">
      <sharedItems containsNonDate="0" containsDate="1" containsString="0" containsBlank="1" minDate="2025-03-10T12:50:00" maxDate="2026-08-03T10:33:00"/>
    </cacheField>
    <cacheField name="Opportunity Number" numFmtId="0">
      <sharedItems containsBlank="1"/>
    </cacheField>
    <cacheField name="Organization Name" numFmtId="0">
      <sharedItems containsBlank="1"/>
    </cacheField>
    <cacheField name="Contact Name" numFmtId="0">
      <sharedItems containsBlank="1"/>
    </cacheField>
    <cacheField name="Opportunity Name" numFmtId="0">
      <sharedItems containsBlank="1"/>
    </cacheField>
    <cacheField name="Opportunity Led By" numFmtId="0">
      <sharedItems containsBlank="1" count="24">
        <s v="Abrar Memon"/>
        <s v="Ajay Patodia"/>
        <m/>
        <s v="Chetna Sharma"/>
        <s v="Chirag Palande"/>
        <s v="Hrushikesh Bagade"/>
        <s v="Prachi Mayekar"/>
        <s v="Rohit Deshmukh"/>
        <s v="Sagar TR"/>
        <s v="Sanjeev Kohli"/>
        <s v="Sankeerth Bhargav"/>
        <s v="Shaik Khadhar"/>
        <s v="Tasneem K"/>
        <s v="Jay Rushi"/>
        <s v="Jimesh Shah"/>
        <s v="Ashish Singh"/>
        <s v="Richa Tiwari"/>
        <s v="Rima Ingle"/>
        <s v="Shilpa Kavde"/>
        <s v="Raj Matondkar"/>
        <s v="Pratik Kadam"/>
        <s v="Shubhangi Srinivasan"/>
        <s v="Varunkumar Mishra"/>
        <s v="Yogesh Bhatia"/>
      </sharedItems>
    </cacheField>
    <cacheField name="Assigned To" numFmtId="0">
      <sharedItems containsBlank="1"/>
    </cacheField>
    <cacheField name="Lead Source" numFmtId="0">
      <sharedItems containsBlank="1"/>
    </cacheField>
    <cacheField name="Identifier" numFmtId="0">
      <sharedItems containsBlank="1"/>
    </cacheField>
    <cacheField name="Supported By" numFmtId="0">
      <sharedItems containsBlank="1"/>
    </cacheField>
    <cacheField name="Category" numFmtId="0">
      <sharedItems containsBlank="1" count="6">
        <s v="CSG (EndPoint)"/>
        <s v="Data Centre"/>
        <m/>
        <s v="Professional Services"/>
        <s v="Cloud"/>
        <s v="Cyber Security &amp; Networking"/>
      </sharedItems>
    </cacheField>
    <cacheField name="Sub Category" numFmtId="0">
      <sharedItems containsBlank="1"/>
    </cacheField>
    <cacheField name="Brand" numFmtId="0">
      <sharedItems containsBlank="1"/>
    </cacheField>
    <cacheField name="Sales Stage" numFmtId="0">
      <sharedItems containsBlank="1"/>
    </cacheField>
    <cacheField name="Amount" numFmtId="0">
      <sharedItems containsString="0" containsBlank="1" containsNumber="1" minValue="0" maxValue="300000000"/>
    </cacheField>
    <cacheField name="Estimated Bottomline" numFmtId="0">
      <sharedItems containsString="0" containsBlank="1" containsNumber="1" minValue="0" maxValue="24005444"/>
    </cacheField>
    <cacheField name="Actual Bottomline -" numFmtId="0">
      <sharedItems containsString="0" containsBlank="1" containsNumber="1" minValue="0" maxValue="6445062.0199999996"/>
    </cacheField>
    <cacheField name="Expected Close Date" numFmtId="14">
      <sharedItems containsNonDate="0" containsDate="1" containsString="0" containsBlank="1" minDate="2026-07-01T00:00:00" maxDate="2026-08-02T00:00:00"/>
    </cacheField>
    <cacheField name="Deal Category" numFmtId="0">
      <sharedItems containsBlank="1"/>
    </cacheField>
    <cacheField name="Probability" numFmtId="0">
      <sharedItems containsString="0" containsBlank="1" containsNumber="1" containsInteger="1" minValue="10" maxValue="100"/>
    </cacheField>
    <cacheField name="OPF No." numFmtId="0">
      <sharedItems containsBlank="1"/>
    </cacheField>
    <cacheField name="Deal ID" numFmtId="0">
      <sharedItems containsBlank="1" containsMixedTypes="1" containsNumber="1" containsInteger="1" minValue="31068445" maxValue="31422270"/>
    </cacheField>
    <cacheField name="Deal Status" numFmtId="0">
      <sharedItems containsBlank="1"/>
    </cacheField>
    <cacheField name="Deal Expiry Date" numFmtId="0">
      <sharedItems containsDate="1" containsBlank="1" containsMixedTypes="1" minDate="2026-07-13T00:00:00" maxDate="2026-07-14T00:00:00"/>
    </cacheField>
    <cacheField name="Description" numFmtId="0">
      <sharedItems/>
    </cacheField>
    <cacheField name="Divisio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d v="2026-06-08T14:03:00"/>
    <s v="POT87070"/>
    <s v="Click Tech Retail"/>
    <s v="Sridhar s"/>
    <s v="Lenovo ThinkBook 14"/>
    <x v="0"/>
    <s v="Abrar Memon"/>
    <s v="Self"/>
    <s v="NA"/>
    <s v="None"/>
    <x v="0"/>
    <s v="Laptop"/>
    <s v="HP"/>
    <s v="Closed Won"/>
    <n v="866000"/>
    <n v="39500"/>
    <n v="39500"/>
    <d v="2026-07-03T00:00:00"/>
    <s v="Green"/>
    <n v="100"/>
    <s v="CG-AE-0005"/>
    <s v="-"/>
    <s v="-"/>
    <s v="-"/>
    <s v="OPF no: CG-AE-0005"/>
    <s v="South"/>
  </r>
  <r>
    <d v="2026-07-10T11:42:00"/>
    <s v="POT87329"/>
    <s v="NEW TRENDS COMMERCE PRIVATE LIMITED"/>
    <s v="Ahil Krishna"/>
    <s v="Lenovo ThinkBook 14"/>
    <x v="0"/>
    <s v="Abrar Memon"/>
    <s v="Self"/>
    <s v="NA"/>
    <s v="None"/>
    <x v="0"/>
    <s v="Laptop"/>
    <s v="Lenovo"/>
    <s v="Closed Won"/>
    <n v="1732000"/>
    <n v="89000"/>
    <n v="89000"/>
    <d v="2026-07-10T00:00:00"/>
    <s v="Green"/>
    <n v="100"/>
    <s v="CG-AE-0006"/>
    <s v="-"/>
    <s v="-"/>
    <s v="-"/>
    <s v="OPF no: CG-AE-0006"/>
    <s v="South"/>
  </r>
  <r>
    <d v="2026-07-18T11:24:00"/>
    <s v="POT87405"/>
    <s v="Click Tech Retail"/>
    <s v="Sridhar s"/>
    <s v="Lenovo L14 Laptops"/>
    <x v="0"/>
    <s v="Abrar Memon"/>
    <s v="Self"/>
    <s v="NA"/>
    <s v="None"/>
    <x v="0"/>
    <s v="Laptop"/>
    <s v="Lenovo"/>
    <s v="Closed Won"/>
    <n v="2280000"/>
    <n v="78000"/>
    <n v="78000"/>
    <d v="2026-07-23T00:00:00"/>
    <s v="Green"/>
    <n v="100"/>
    <s v="CG-AE-0007"/>
    <s v="-"/>
    <s v="-"/>
    <s v="-"/>
    <s v="OPF no: CG-AE-0007"/>
    <s v="South"/>
  </r>
  <r>
    <d v="2026-03-27T18:15:00"/>
    <s v="POT86362"/>
    <s v="Tata Communications Ltd."/>
    <s v="Rohit Kumar Gupta"/>
    <s v="Dell Server AMC Renewal for ICS Project"/>
    <x v="1"/>
    <s v="Ajay Patodia+Mukesh Choithani"/>
    <s v="OEM Lead"/>
    <s v="NA"/>
    <s v="None"/>
    <x v="1"/>
    <s v="Compute"/>
    <s v="Dell"/>
    <s v="Closed Won"/>
    <n v="682200"/>
    <n v="40000"/>
    <n v="0"/>
    <d v="2026-07-21T00:00:00"/>
    <s v="Green"/>
    <n v="100"/>
    <s v="DP-AP-0030"/>
    <s v="-"/>
    <s v="-"/>
    <s v="-"/>
    <s v="Required Dell Server AMC Renewal with KYD"/>
    <s v="Others"/>
  </r>
  <r>
    <m/>
    <m/>
    <m/>
    <m/>
    <m/>
    <x v="2"/>
    <m/>
    <m/>
    <m/>
    <m/>
    <x v="2"/>
    <m/>
    <m/>
    <m/>
    <m/>
    <m/>
    <m/>
    <m/>
    <m/>
    <m/>
    <m/>
    <m/>
    <m/>
    <m/>
    <s v="Shared the Renewal proposal with KYD for the period of 1 year from 01.04.2026 to 31.03.2027"/>
    <m/>
  </r>
  <r>
    <m/>
    <m/>
    <m/>
    <m/>
    <m/>
    <x v="2"/>
    <m/>
    <m/>
    <m/>
    <m/>
    <x v="2"/>
    <m/>
    <m/>
    <m/>
    <m/>
    <m/>
    <m/>
    <m/>
    <m/>
    <m/>
    <m/>
    <m/>
    <m/>
    <m/>
    <s v="Server Counts - 11nos"/>
    <m/>
  </r>
  <r>
    <m/>
    <m/>
    <m/>
    <m/>
    <m/>
    <x v="2"/>
    <m/>
    <m/>
    <m/>
    <m/>
    <x v="2"/>
    <m/>
    <m/>
    <m/>
    <m/>
    <m/>
    <m/>
    <m/>
    <m/>
    <m/>
    <m/>
    <m/>
    <m/>
    <m/>
    <s v="Shared the revised renewal proposal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0"/>
    <m/>
  </r>
  <r>
    <d v="2026-07-09T15:42:00"/>
    <s v="POT87327"/>
    <s v="EIT Services India Private Limited C/o DXC Technology"/>
    <s v="Imtiaz Shaik"/>
    <s v="Dell Server and Storage AMC Renewal for OBG Project"/>
    <x v="1"/>
    <s v="Ajay Patodia+Mukesh Choithani"/>
    <s v="Self"/>
    <s v="NA"/>
    <s v="None"/>
    <x v="1"/>
    <s v="Compute"/>
    <s v="Dell"/>
    <s v="Closed Won"/>
    <n v="1375387"/>
    <n v="200000"/>
    <n v="0"/>
    <d v="2026-07-21T00:00:00"/>
    <s v="Green"/>
    <n v="100"/>
    <s v="DP-AP-0031"/>
    <s v="-"/>
    <s v="-"/>
    <s v="-"/>
    <s v="Shared the AMC Renewal proposal for the Dell Server / Storage / Tape Library / TOR Switches for OBG Project"/>
    <s v="Others"/>
  </r>
  <r>
    <m/>
    <m/>
    <m/>
    <m/>
    <m/>
    <x v="2"/>
    <m/>
    <m/>
    <m/>
    <m/>
    <x v="2"/>
    <m/>
    <m/>
    <m/>
    <m/>
    <m/>
    <m/>
    <m/>
    <m/>
    <m/>
    <m/>
    <m/>
    <m/>
    <m/>
    <s v="AMC Proposal shared for 1 year with 100% OEM back to back support."/>
    <m/>
  </r>
  <r>
    <m/>
    <m/>
    <m/>
    <m/>
    <m/>
    <x v="2"/>
    <m/>
    <m/>
    <m/>
    <m/>
    <x v="2"/>
    <m/>
    <m/>
    <m/>
    <m/>
    <m/>
    <m/>
    <m/>
    <m/>
    <m/>
    <m/>
    <m/>
    <m/>
    <m/>
    <s v="Mail confirmation received, awaiting for formal PO"/>
    <m/>
  </r>
  <r>
    <m/>
    <m/>
    <m/>
    <m/>
    <m/>
    <x v="2"/>
    <m/>
    <m/>
    <m/>
    <m/>
    <x v="2"/>
    <m/>
    <m/>
    <m/>
    <m/>
    <m/>
    <m/>
    <m/>
    <m/>
    <m/>
    <m/>
    <m/>
    <m/>
    <m/>
    <s v="Received  two separate PO for DC and DR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1"/>
    <m/>
  </r>
  <r>
    <d v="2026-07-21T11:07:00"/>
    <s v="POT87431"/>
    <s v="Tata Consultancy Services Ltd."/>
    <s v="Amrish Patel"/>
    <s v="VMWare SAM and TAM Support"/>
    <x v="1"/>
    <s v="Ajay Patodia+Mukesh Choithani"/>
    <s v="OEM Lead"/>
    <s v="NA"/>
    <s v="None"/>
    <x v="1"/>
    <s v="Virtualisation"/>
    <s v="VMware"/>
    <s v="Closed Won"/>
    <n v="21600000"/>
    <n v="500000"/>
    <n v="0"/>
    <d v="2026-07-31T00:00:00"/>
    <s v="Green"/>
    <n v="100"/>
    <s v="DP-AP-0035"/>
    <s v="-"/>
    <s v="-"/>
    <s v="-"/>
    <s v="Requried VMWare SAM and TAM Support for period of 11 months from 01.08.2026 to 30.06.2027"/>
    <s v="Others"/>
  </r>
  <r>
    <m/>
    <m/>
    <m/>
    <m/>
    <m/>
    <x v="2"/>
    <m/>
    <m/>
    <m/>
    <m/>
    <x v="2"/>
    <m/>
    <m/>
    <m/>
    <m/>
    <m/>
    <m/>
    <m/>
    <m/>
    <m/>
    <m/>
    <m/>
    <m/>
    <m/>
    <s v="Shared the proposal for the same in USD"/>
    <m/>
  </r>
  <r>
    <m/>
    <m/>
    <m/>
    <m/>
    <m/>
    <x v="2"/>
    <m/>
    <m/>
    <m/>
    <m/>
    <x v="2"/>
    <m/>
    <m/>
    <m/>
    <m/>
    <m/>
    <m/>
    <m/>
    <m/>
    <m/>
    <m/>
    <m/>
    <m/>
    <m/>
    <s v="USD 252,162.08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5"/>
    <m/>
  </r>
  <r>
    <m/>
    <m/>
    <m/>
    <m/>
    <m/>
    <x v="2"/>
    <m/>
    <m/>
    <m/>
    <m/>
    <x v="2"/>
    <m/>
    <m/>
    <m/>
    <m/>
    <m/>
    <m/>
    <m/>
    <m/>
    <m/>
    <m/>
    <m/>
    <m/>
    <m/>
    <s v="Dollar rate: 90"/>
    <m/>
  </r>
  <r>
    <d v="2026-07-21T15:10:00"/>
    <s v="POT87435"/>
    <s v="EIT Services India Private Limited C/o DXC Technology"/>
    <s v="Imtiaz Shaik"/>
    <s v="Dell Server and Storage AMC Renewal for OBG Project - DC"/>
    <x v="1"/>
    <s v="Ajay Patodia+Mukesh Choithani"/>
    <s v="Self"/>
    <s v="NA"/>
    <s v="None"/>
    <x v="1"/>
    <s v="Compute"/>
    <s v="Dell"/>
    <s v="Closed Won"/>
    <n v="824613"/>
    <n v="200000"/>
    <n v="0"/>
    <d v="2026-07-21T00:00:00"/>
    <s v="Green"/>
    <n v="100"/>
    <s v="DP-AP-0032"/>
    <s v="-"/>
    <s v="-"/>
    <s v="-"/>
    <s v="Shared the AMC Renewal proposal for the Dell Server / Storage / Tape Library / TOR Switches for OBG Project"/>
    <s v="Others"/>
  </r>
  <r>
    <m/>
    <m/>
    <m/>
    <m/>
    <m/>
    <x v="2"/>
    <m/>
    <m/>
    <m/>
    <m/>
    <x v="2"/>
    <m/>
    <m/>
    <m/>
    <m/>
    <m/>
    <m/>
    <m/>
    <m/>
    <m/>
    <m/>
    <m/>
    <m/>
    <m/>
    <s v="AMC Proposal shared for 1 year with 100% OEM back to back support."/>
    <m/>
  </r>
  <r>
    <m/>
    <m/>
    <m/>
    <m/>
    <m/>
    <x v="2"/>
    <m/>
    <m/>
    <m/>
    <m/>
    <x v="2"/>
    <m/>
    <m/>
    <m/>
    <m/>
    <m/>
    <m/>
    <m/>
    <m/>
    <m/>
    <m/>
    <m/>
    <m/>
    <m/>
    <s v="Mail confirmation received, awaiting for formal PO"/>
    <m/>
  </r>
  <r>
    <m/>
    <m/>
    <m/>
    <m/>
    <m/>
    <x v="2"/>
    <m/>
    <m/>
    <m/>
    <m/>
    <x v="2"/>
    <m/>
    <m/>
    <m/>
    <m/>
    <m/>
    <m/>
    <m/>
    <m/>
    <m/>
    <m/>
    <m/>
    <m/>
    <m/>
    <s v="Received two separate PO for DC and DR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2"/>
    <m/>
  </r>
  <r>
    <d v="2026-07-22T12:10:00"/>
    <s v="POT87438"/>
    <s v="Tata Communications Ltd."/>
    <s v="Rohit Kumar Gupta"/>
    <s v="Dell VepNetworking Appliance Renewal"/>
    <x v="1"/>
    <s v="Ajay Patodia+Mukesh Choithani"/>
    <s v="OEM Lead"/>
    <s v="NA"/>
    <s v="None"/>
    <x v="1"/>
    <s v="Compute"/>
    <s v="Dell"/>
    <s v="Closed Won"/>
    <n v="1429578.32"/>
    <n v="100000"/>
    <n v="43917.67"/>
    <d v="2026-07-30T00:00:00"/>
    <s v="Green"/>
    <n v="100"/>
    <s v="DP-AP-0034"/>
    <s v="-"/>
    <s v="-"/>
    <s v="-"/>
    <s v="Requried Dell Vep Networking applaiance AMC renewal"/>
    <s v="Others"/>
  </r>
  <r>
    <m/>
    <m/>
    <m/>
    <m/>
    <m/>
    <x v="2"/>
    <m/>
    <m/>
    <m/>
    <m/>
    <x v="2"/>
    <m/>
    <m/>
    <m/>
    <m/>
    <m/>
    <m/>
    <m/>
    <m/>
    <m/>
    <m/>
    <m/>
    <m/>
    <m/>
    <s v="Qty 30nos"/>
    <m/>
  </r>
  <r>
    <m/>
    <m/>
    <m/>
    <m/>
    <m/>
    <x v="2"/>
    <m/>
    <m/>
    <m/>
    <m/>
    <x v="2"/>
    <m/>
    <m/>
    <m/>
    <m/>
    <m/>
    <m/>
    <m/>
    <m/>
    <m/>
    <m/>
    <m/>
    <m/>
    <m/>
    <s v="Shared the renewal proposal for the same.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4"/>
    <m/>
  </r>
  <r>
    <d v="2026-07-22T12:56:00"/>
    <s v="POT87442"/>
    <s v="Jewelex India Pvt Ltd."/>
    <s v="Krupesh kore"/>
    <s v="Veeam Data Platform Renewal Contract # 3491406"/>
    <x v="1"/>
    <s v="Ajay Patodia+Mukesh Choithani"/>
    <s v="Self"/>
    <s v="NA"/>
    <s v="None"/>
    <x v="1"/>
    <s v="Backup &amp; Recovery"/>
    <s v="Others"/>
    <s v="Closed Won"/>
    <n v="510000"/>
    <n v="50000"/>
    <n v="55683.360000000001"/>
    <d v="2026-07-28T00:00:00"/>
    <s v="Green"/>
    <n v="100"/>
    <s v="DP-AP-0033"/>
    <s v="-"/>
    <s v="-"/>
    <s v="-"/>
    <s v="Required renewal of Veeam Data Platform Foundation Universal Subscription License against contract ID # # 03725629 from 11.08.2026 to 10.08.2027 and Contract # 3725630 from 13.07.2026 to 12.07.2027"/>
    <s v="Others"/>
  </r>
  <r>
    <m/>
    <m/>
    <m/>
    <m/>
    <m/>
    <x v="2"/>
    <m/>
    <m/>
    <m/>
    <m/>
    <x v="2"/>
    <m/>
    <m/>
    <m/>
    <m/>
    <m/>
    <m/>
    <m/>
    <m/>
    <m/>
    <m/>
    <m/>
    <m/>
    <m/>
    <s v="Shared the renewal proposal for noth the contract"/>
    <m/>
  </r>
  <r>
    <m/>
    <m/>
    <m/>
    <m/>
    <m/>
    <x v="2"/>
    <m/>
    <m/>
    <m/>
    <m/>
    <x v="2"/>
    <m/>
    <m/>
    <m/>
    <m/>
    <m/>
    <m/>
    <m/>
    <m/>
    <m/>
    <m/>
    <m/>
    <m/>
    <m/>
    <s v="OPF no: DP-AP-0033"/>
    <m/>
  </r>
  <r>
    <d v="2026-07-22T22:06:00"/>
    <s v="POT87454"/>
    <s v="Axis Capital Limited"/>
    <s v="Krishnakumar Menon"/>
    <s v="AMC for Server - 2 Nos"/>
    <x v="3"/>
    <s v="Ajay Patodia+Mukesh Choithani+Chetna Sharma"/>
    <s v="Self"/>
    <s v="NA"/>
    <s v="Mukesh Choithani"/>
    <x v="1"/>
    <s v="Other OEM Services"/>
    <s v="Dell"/>
    <s v="Closed Won"/>
    <n v="189247.31"/>
    <n v="17204"/>
    <n v="0"/>
    <d v="2026-07-22T00:00:00"/>
    <s v="Green"/>
    <n v="100"/>
    <s v="-"/>
    <s v="-"/>
    <s v="-"/>
    <s v="-"/>
    <s v="-"/>
    <s v="S2"/>
  </r>
  <r>
    <d v="2026-01-27T11:07:00"/>
    <s v="POT85799"/>
    <s v="BSE LTD(Bombay Stock Exchange)"/>
    <s v="Anjal Dave"/>
    <s v="Netapp 400 TB - Storage upgrade for(PR)"/>
    <x v="4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s v="S1"/>
  </r>
  <r>
    <d v="2026-02-10T16:30:00"/>
    <s v="POT85984"/>
    <s v="BSE LTD(Bombay Stock Exchange)"/>
    <s v="Anjal Dave"/>
    <s v="Netapp 400 TB - Storage upgrade for(DR)"/>
    <x v="4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s v="S1"/>
  </r>
  <r>
    <d v="2026-02-10T16:31:00"/>
    <s v="POT85985"/>
    <s v="BSE LTD(Bombay Stock Exchange)"/>
    <s v="Anjal Dave"/>
    <s v="Netapp 400 TB - Storage upgrade for (NDR)"/>
    <x v="4"/>
    <s v="Ajay Patodia+Mukesh Choithani+Chirag Palande"/>
    <s v="Self"/>
    <s v="NA"/>
    <s v="Ajay Patodia"/>
    <x v="1"/>
    <s v="Storage"/>
    <s v="Netapp"/>
    <s v="Closed Won"/>
    <n v="33000000"/>
    <n v="1796666"/>
    <n v="0"/>
    <d v="2026-07-15T00:00:00"/>
    <s v="Green"/>
    <n v="100"/>
    <s v="-"/>
    <s v="-"/>
    <s v="-"/>
    <s v="-"/>
    <s v="-"/>
    <s v="S1"/>
  </r>
  <r>
    <d v="2026-05-04T14:57:00"/>
    <s v="POT86683"/>
    <s v="Serum Institiute India Pvt Ltd"/>
    <s v="Tejas Karandikar"/>
    <s v="DELL Servers AMC"/>
    <x v="5"/>
    <s v="Ajay Patodia+Mukesh Choithani+Hrushikesh Bagade"/>
    <s v="Self"/>
    <s v="NA"/>
    <s v="Mukesh Choithani"/>
    <x v="1"/>
    <s v="Compute"/>
    <s v="Dell"/>
    <s v="Closed Won"/>
    <n v="2587458"/>
    <n v="262128.2"/>
    <n v="0"/>
    <d v="2026-07-30T00:00:00"/>
    <s v="Green"/>
    <n v="100"/>
    <s v="-"/>
    <s v="-"/>
    <s v="-"/>
    <s v="-"/>
    <s v="EU wants to have 9 QTY DELL Server AMC quote - B2B from DELL. working on price. Proposal sent, waiting for EU response, waiting for po. po received."/>
    <s v="GeoX"/>
  </r>
  <r>
    <d v="2026-07-03T15:04:00"/>
    <s v="POT87286"/>
    <s v="Bajaj Housing Finance Limited"/>
    <s v="Abid Sayyad"/>
    <s v="Commvault 65 addon n 35 RNWL QTY lics for EP"/>
    <x v="5"/>
    <s v="Ajay Patodia+Mukesh Choithani+Hrushikesh Bagade"/>
    <s v="Self"/>
    <s v="NA"/>
    <s v="Mukesh Choithani"/>
    <x v="1"/>
    <s v="Backup &amp; Recovery"/>
    <s v="Commvault"/>
    <s v="Closed Won"/>
    <n v="163750"/>
    <n v="24000"/>
    <n v="29500"/>
    <d v="2026-07-24T00:00:00"/>
    <s v="Green"/>
    <n v="100"/>
    <s v="DP-HB-0056"/>
    <s v="-"/>
    <s v="-"/>
    <s v="-"/>
    <s v="EU want Commvault 70 QTY lics for EP, working on price, price sent, waiting for PO. po received."/>
    <s v="GeoX"/>
  </r>
  <r>
    <d v="2026-05-02T11:13:00"/>
    <s v="POT86667"/>
    <s v="JSW Group"/>
    <s v="Kamlesh Shera"/>
    <s v="Nutanix Nodes"/>
    <x v="6"/>
    <s v="Ajay Patodia+Mukesh Choithani+Prachi Mayekar"/>
    <s v="Self"/>
    <s v="NA"/>
    <s v="Mukesh Choithani"/>
    <x v="1"/>
    <s v="Virtualisation"/>
    <s v="Nutanix"/>
    <s v="Closed Won"/>
    <n v="14500000"/>
    <n v="1200000"/>
    <n v="0"/>
    <d v="2026-07-02T00:00:00"/>
    <s v="Green"/>
    <n v="100"/>
    <s v="-"/>
    <s v="-"/>
    <s v="-"/>
    <s v="-"/>
    <s v="-"/>
    <s v="CB"/>
  </r>
  <r>
    <d v="2026-06-21T18:00:00"/>
    <s v="POT87188"/>
    <s v="Accelya Kale Solutions Limited"/>
    <s v="Neha Chavda"/>
    <s v="DELL  AMC (7 servers)"/>
    <x v="6"/>
    <s v="Ajay Patodia+Mukesh Choithani+Prachi Mayekar"/>
    <s v="Self"/>
    <s v="NA"/>
    <s v="Ajay Patodia"/>
    <x v="1"/>
    <s v="Other OEM Services"/>
    <s v="Dell"/>
    <s v="Closed Won"/>
    <n v="2205000"/>
    <n v="100000"/>
    <n v="496125"/>
    <d v="2026-07-13T00:00:00"/>
    <s v="Green"/>
    <n v="100"/>
    <s v="DP-PC-0014"/>
    <s v="-"/>
    <s v="-"/>
    <s v="-"/>
    <s v="-"/>
    <s v="CB"/>
  </r>
  <r>
    <d v="2026-07-13T15:50:00"/>
    <s v="POT87360"/>
    <s v="Accelya Kale Solutions Limited"/>
    <s v="Neha Chavda"/>
    <s v="Dell AMC (2 Servers)"/>
    <x v="6"/>
    <s v="Ajay Patodia+Mukesh Choithani+Prachi Mayekar"/>
    <s v="Self"/>
    <s v="NA"/>
    <s v="Ajay Patodia"/>
    <x v="1"/>
    <s v="Other OEM Services"/>
    <s v="Dell"/>
    <s v="Closed Won"/>
    <n v="1000000"/>
    <n v="10000"/>
    <n v="100000"/>
    <d v="2026-07-13T00:00:00"/>
    <s v="Green"/>
    <n v="100"/>
    <s v="DP-PC-0015"/>
    <s v="-"/>
    <s v="-"/>
    <s v="-"/>
    <s v="-"/>
    <s v="CB"/>
  </r>
  <r>
    <d v="2025-03-10T12:50:00"/>
    <s v="POT82475"/>
    <s v="Axis Bank Ltd"/>
    <s v="Tarique Husain"/>
    <s v="Broadcom VCF License Renewal - Year 1"/>
    <x v="7"/>
    <s v="Ajay Patodia+Mukesh Choithani+Rohit Deshmukh"/>
    <s v="Enterprise Coverage"/>
    <s v="Rohit Deshmukh"/>
    <s v="Mukesh Choithani"/>
    <x v="1"/>
    <s v="Virtualisation"/>
    <s v="Dell"/>
    <s v="Closed Won"/>
    <n v="300000000"/>
    <n v="24005444"/>
    <n v="6445062.0199999996"/>
    <d v="2026-07-08T00:00:00"/>
    <s v="Green"/>
    <n v="100"/>
    <s v="DP-RD-0017"/>
    <s v="-"/>
    <s v="-"/>
    <s v="-"/>
    <s v="-"/>
    <s v="S2"/>
  </r>
  <r>
    <d v="2026-05-06T15:53:00"/>
    <s v="POT86704"/>
    <s v="Axis Bank Ltd"/>
    <s v="Tarique Husain"/>
    <s v="40 New Server Installation Services"/>
    <x v="7"/>
    <s v="Ajay Patodia+Mukesh Choithani+Rohit Deshmukh"/>
    <s v="Enterprise Coverage"/>
    <s v="Rohit Deshmukh"/>
    <s v="Mukesh Choithani"/>
    <x v="1"/>
    <s v="Other OEM Services"/>
    <s v="Dell"/>
    <s v="Closed Won"/>
    <n v="900000"/>
    <n v="268000"/>
    <n v="268000"/>
    <d v="2026-07-02T00:00:00"/>
    <s v="Green"/>
    <n v="100"/>
    <s v="DD-RD-0022"/>
    <s v="-"/>
    <s v="-"/>
    <s v="-"/>
    <s v="-"/>
    <s v="S2"/>
  </r>
  <r>
    <d v="2026-07-01T10:00:00"/>
    <s v="POT87261"/>
    <s v="Alpha Design Technologies Private Limited ADTL"/>
    <s v="Venkatramana Nettinti"/>
    <s v="LED Display and Accessories"/>
    <x v="8"/>
    <s v="Ajay Patodia+Mukesh Choithani+Sagar TR"/>
    <s v="Self"/>
    <s v="NA"/>
    <s v="None"/>
    <x v="0"/>
    <s v="Accessories"/>
    <s v="Others"/>
    <s v="Closed Won"/>
    <n v="362400"/>
    <n v="60900"/>
    <n v="33400"/>
    <d v="2026-07-03T00:00:00"/>
    <s v="Green"/>
    <n v="100"/>
    <s v="CG-SC-0038"/>
    <s v="-"/>
    <s v="-"/>
    <s v="-"/>
    <s v="OPF no: CG-SC-0038"/>
    <s v="South"/>
  </r>
  <r>
    <d v="2026-06-01T09:51:00"/>
    <s v="POT86991"/>
    <s v="Astra Microwave Product Limited"/>
    <s v="Aditya Eshwar"/>
    <s v="NAS Storage Synology"/>
    <x v="8"/>
    <s v="Ajay Patodia+Mukesh Choithani+Sagar TR"/>
    <s v="Self"/>
    <s v="NA"/>
    <s v="None"/>
    <x v="1"/>
    <s v="Compute"/>
    <s v="HP"/>
    <s v="Closed Won"/>
    <n v="17247099.800000001"/>
    <n v="2683699.7999999998"/>
    <n v="28599.68"/>
    <d v="2026-07-15T00:00:00"/>
    <s v="Green"/>
    <n v="100"/>
    <s v="DP-HS-0004"/>
    <s v="-"/>
    <s v="-"/>
    <s v="-"/>
    <s v="OPF no: DP-HS-0004"/>
    <s v="South"/>
  </r>
  <r>
    <d v="2026-07-03T13:50:00"/>
    <s v="POT87282"/>
    <s v="CHUBB Systems Pvt Ltd"/>
    <s v="sudhindra acharya"/>
    <s v="HPE rental server for 5 months"/>
    <x v="8"/>
    <s v="Ajay Patodia+Mukesh Choithani+Sagar TR"/>
    <s v="Self"/>
    <s v="NA"/>
    <s v="Ajay Patodia"/>
    <x v="1"/>
    <s v="Rental"/>
    <s v="HPE/Aruba"/>
    <s v="Closed Won"/>
    <n v="145000"/>
    <n v="20000"/>
    <n v="12000"/>
    <d v="2026-07-03T00:00:00"/>
    <s v="Green"/>
    <n v="100"/>
    <s v="DP-SC-0037"/>
    <s v="-"/>
    <s v="-"/>
    <s v="-"/>
    <s v="OPF no: DP-SC-0037"/>
    <s v="South"/>
  </r>
  <r>
    <d v="2026-07-03T18:39:00"/>
    <s v="POT87290"/>
    <s v="CHUBB Systems Pvt Ltd"/>
    <s v="sudhindra acharya"/>
    <s v="Dell servers and workstation"/>
    <x v="8"/>
    <s v="Ajay Patodia+Mukesh Choithani+Sagar TR"/>
    <s v="Self"/>
    <s v="NA"/>
    <s v="None"/>
    <x v="1"/>
    <s v="Compute"/>
    <s v="HPE/Aruba"/>
    <s v="Closed Won"/>
    <n v="631600"/>
    <n v="7600"/>
    <n v="0"/>
    <d v="2026-07-09T00:00:00"/>
    <s v="Green"/>
    <n v="100"/>
    <s v="DP-SC-0042"/>
    <s v="-"/>
    <s v="-"/>
    <s v="-"/>
    <s v="OPF no: DP-SC-0042"/>
    <s v="South"/>
  </r>
  <r>
    <m/>
    <m/>
    <m/>
    <m/>
    <m/>
    <x v="2"/>
    <m/>
    <m/>
    <m/>
    <m/>
    <x v="2"/>
    <m/>
    <m/>
    <m/>
    <m/>
    <m/>
    <m/>
    <m/>
    <m/>
    <m/>
    <m/>
    <m/>
    <m/>
    <m/>
    <s v="Margin is covered under OPF DP-SC-0041"/>
    <m/>
  </r>
  <r>
    <d v="2026-07-08T12:27:00"/>
    <s v="POT87317"/>
    <s v="CHUBB Systems Pvt Ltd"/>
    <s v="sudhindra acharya"/>
    <s v="HPE ProLiant DL380 Gen11Â  1PÂ  NC 12LFF 800W PS Server"/>
    <x v="8"/>
    <s v="Ajay Patodia+Mukesh Choithani+Sagar TR"/>
    <s v="Self"/>
    <s v="NA"/>
    <s v="None"/>
    <x v="1"/>
    <s v="Compute"/>
    <s v="HPE/Aruba"/>
    <s v="Closed Won"/>
    <n v="1794000"/>
    <n v="150000"/>
    <n v="24000"/>
    <d v="2026-07-09T00:00:00"/>
    <s v="Green"/>
    <n v="100"/>
    <s v="DP-SC-0040"/>
    <s v="-"/>
    <s v="-"/>
    <s v="-"/>
    <s v="OPF no: DP-SC-0040"/>
    <s v="South"/>
  </r>
  <r>
    <d v="2026-07-08T12:31:00"/>
    <s v="POT87318"/>
    <s v="CHUBB Systems Pvt Ltd"/>
    <s v="sudhindra acharya"/>
    <s v="HPE ProLiant DL380 Gen11 1PÂ  MR408i-o NC 8SFF 800W PS Server"/>
    <x v="8"/>
    <s v="Ajay Patodia+Mukesh Choithani+Sagar TR"/>
    <s v="Self"/>
    <s v="NA"/>
    <s v="None"/>
    <x v="1"/>
    <s v="Compute"/>
    <s v="HPE/Aruba"/>
    <s v="Closed Won"/>
    <n v="2025000"/>
    <n v="428000"/>
    <n v="428000"/>
    <d v="2026-07-09T00:00:00"/>
    <s v="Green"/>
    <n v="100"/>
    <s v="DP-SC-0041"/>
    <s v="-"/>
    <s v="-"/>
    <s v="-"/>
    <s v="OPF no: DP-SC-0041"/>
    <s v="South"/>
  </r>
  <r>
    <d v="2026-07-20T10:08:00"/>
    <s v="POT87412"/>
    <s v="NEWTAP FINANCE PRIVATE LIMITED"/>
    <s v="Nithin HP"/>
    <s v="Dell &amp; Logitec Accessories"/>
    <x v="8"/>
    <s v="Ajay Patodia+Mukesh Choithani+Sagar TR"/>
    <s v="Self"/>
    <s v="NA"/>
    <s v="None"/>
    <x v="1"/>
    <s v="Compute"/>
    <s v="Dell"/>
    <s v="Closed Won"/>
    <n v="81650"/>
    <n v="5000"/>
    <n v="2175"/>
    <d v="2026-07-20T00:00:00"/>
    <s v="Green"/>
    <n v="100"/>
    <s v="CG-SC-0043"/>
    <s v="-"/>
    <s v="-"/>
    <s v="-"/>
    <s v="OPF no: CG-SC-0043"/>
    <s v="South"/>
  </r>
  <r>
    <d v="2026-07-22T12:36:00"/>
    <s v="POT87439"/>
    <s v="FIDROX TECHNOLOGIES PRIVATE LIMITED"/>
    <s v="Vyshnavi Hebbar"/>
    <s v="HPE ProLiant DL360 server"/>
    <x v="8"/>
    <s v="Ajay Patodia+Mukesh Choithani+Sagar TR"/>
    <s v="Self"/>
    <s v="NA"/>
    <s v="None"/>
    <x v="1"/>
    <s v="Storage"/>
    <s v="HPE/Aruba"/>
    <s v="Closed Won"/>
    <n v="1070000"/>
    <n v="100000"/>
    <n v="0"/>
    <d v="2026-07-22T00:00:00"/>
    <s v="Green"/>
    <n v="100"/>
    <s v="DP-SC-0044"/>
    <s v="-"/>
    <s v="-"/>
    <s v="-"/>
    <s v="OPF no: DP-SC-0044"/>
    <s v="South"/>
  </r>
  <r>
    <d v="2025-09-13T13:14:00"/>
    <s v="POT84524"/>
    <s v="AU SMALL FINANCE BANK LIMITED"/>
    <s v="Vikrant Sharma"/>
    <s v="VMWare Renewal"/>
    <x v="9"/>
    <s v="Ajay Patodia+Mukesh Choithani+Sanjeev Kohli"/>
    <s v="OEM Lead"/>
    <s v="NA"/>
    <s v="Ajay Patodia"/>
    <x v="1"/>
    <s v="Virtualisation"/>
    <s v="VMware"/>
    <s v="Closed Won"/>
    <n v="170056432"/>
    <n v="7500000"/>
    <n v="0"/>
    <d v="2026-07-31T00:00:00"/>
    <s v="Amber"/>
    <n v="50"/>
    <s v="-"/>
    <s v="-"/>
    <s v="-"/>
    <s v="-"/>
    <s v="-"/>
    <s v="GeoX"/>
  </r>
  <r>
    <d v="2026-06-05T12:01:00"/>
    <s v="POT87030"/>
    <s v="IDFC First Bank Limited"/>
    <s v="Jaiprakash Yadav"/>
    <s v="Dell AMC - IDFC"/>
    <x v="10"/>
    <s v="Ajay Patodia+Mukesh Choithani+Sankeerth Bhargav"/>
    <s v="Self"/>
    <s v="NA"/>
    <s v="None"/>
    <x v="1"/>
    <s v="Software"/>
    <s v="Dell"/>
    <s v="Closed Won"/>
    <n v="38348039"/>
    <n v="2268547"/>
    <n v="0"/>
    <d v="2026-07-18T00:00:00"/>
    <s v="Green"/>
    <n v="100"/>
    <s v="-"/>
    <s v="-"/>
    <s v="-"/>
    <s v="-"/>
    <s v="-"/>
    <s v="S2"/>
  </r>
  <r>
    <d v="2026-05-21T15:10:00"/>
    <s v="POT86852"/>
    <s v="Chanakya University"/>
    <s v="Sachin Goni"/>
    <s v="Dell AI Server"/>
    <x v="11"/>
    <s v="Ajay Patodia+Mukesh Choithani+Shaik Khadhar"/>
    <s v="Self"/>
    <s v="NA"/>
    <s v="Ajay Patodia"/>
    <x v="1"/>
    <s v="Compute"/>
    <s v="Dell"/>
    <s v="Closed Won"/>
    <n v="0"/>
    <n v="0"/>
    <n v="0"/>
    <d v="2026-07-06T00:00:00"/>
    <s v="Green"/>
    <n v="10"/>
    <s v="-"/>
    <s v="31346508 / 31352495"/>
    <s v="Rejected / Rejected / Approved"/>
    <s v="-"/>
    <s v="-"/>
    <s v="South"/>
  </r>
  <r>
    <d v="2026-07-03T13:50:00"/>
    <s v="POT87283"/>
    <s v="Bank of India"/>
    <s v="Deepak Prakash"/>
    <s v="Cisco Server AMC Qty 14"/>
    <x v="12"/>
    <s v="Ajay Patodia+Mukesh Choithani+Tasneem K"/>
    <s v="Self"/>
    <s v="NA"/>
    <s v="Ajay Patodia"/>
    <x v="1"/>
    <s v="Compute"/>
    <s v="CISCO"/>
    <s v="Closed Won"/>
    <n v="1091540.1299999999"/>
    <n v="257844.13"/>
    <n v="0"/>
    <d v="2026-07-03T00:00:00"/>
    <s v="Green"/>
    <n v="100"/>
    <s v="DC-TK-13/14"/>
    <s v="-"/>
    <s v="-"/>
    <s v="-"/>
    <s v="-"/>
    <s v="S1"/>
  </r>
  <r>
    <d v="2026-07-17T11:57:00"/>
    <s v="POT87385"/>
    <s v="RIBBON Communication"/>
    <s v="Sandip Deo"/>
    <s v="Ribbon - HP motherboard"/>
    <x v="13"/>
    <s v="Ajay Patodia+Mukesh Choithani+Yogesh Bhatia+Jay Rushi"/>
    <s v="Self"/>
    <s v="NA"/>
    <s v="Yogesh Bhatia"/>
    <x v="1"/>
    <s v="Compute"/>
    <s v="HP"/>
    <s v="Closed Won"/>
    <n v="168810"/>
    <n v="28810"/>
    <n v="28810"/>
    <d v="2026-07-17T00:00:00"/>
    <s v="Green"/>
    <n v="90"/>
    <s v="CG-JU-0019"/>
    <s v="-"/>
    <s v="-"/>
    <s v="-"/>
    <s v="-"/>
    <s v="GB"/>
  </r>
  <r>
    <d v="2026-07-09T15:34:00"/>
    <s v="POT87326"/>
    <s v="Bank of India"/>
    <s v="deepesh meetal"/>
    <s v="boi laptop-1"/>
    <x v="12"/>
    <s v="Ajay Patodia+Tasneem K"/>
    <s v="Self"/>
    <s v="NA"/>
    <s v="Ajay Patodia"/>
    <x v="0"/>
    <s v="Other OEM Services"/>
    <s v="Dell"/>
    <s v="Closed Won"/>
    <n v="275000"/>
    <n v="40000"/>
    <n v="40100"/>
    <d v="2026-07-09T00:00:00"/>
    <s v="Green"/>
    <n v="100"/>
    <s v="CG-TK-0015"/>
    <s v="-"/>
    <s v="-"/>
    <s v="-"/>
    <s v="-"/>
    <s v="S1"/>
  </r>
  <r>
    <d v="2026-07-17T12:23:00"/>
    <s v="POT87388"/>
    <s v="Bank of India"/>
    <s v="deepesh meetal"/>
    <s v="BOI laptop -1 repeat"/>
    <x v="12"/>
    <s v="Ajay Patodia+Tasneem K"/>
    <s v="Self"/>
    <s v="NA"/>
    <s v="Ajay Patodia"/>
    <x v="0"/>
    <s v="Other OEM Services"/>
    <s v="Others"/>
    <s v="Closed Won"/>
    <n v="275000"/>
    <n v="40000"/>
    <n v="40000"/>
    <d v="2026-07-17T00:00:00"/>
    <s v="Green"/>
    <n v="100"/>
    <s v="CG-TK-0018"/>
    <s v="-"/>
    <s v="-"/>
    <s v="-"/>
    <s v="-"/>
    <s v="S1"/>
  </r>
  <r>
    <d v="2026-06-05T12:41:00"/>
    <s v="POT87040"/>
    <s v="Axis Capital Limited"/>
    <s v="Krishnakumar Menon"/>
    <s v="Dell Desktop - 33 Nos"/>
    <x v="3"/>
    <s v="Chetna Sharma"/>
    <s v="Self"/>
    <s v="NA"/>
    <s v="None"/>
    <x v="0"/>
    <s v="Desktop"/>
    <s v="Dell"/>
    <s v="Closed Won"/>
    <n v="6310392"/>
    <n v="357192"/>
    <n v="0"/>
    <d v="2026-07-16T00:00:00"/>
    <s v="Green"/>
    <n v="100"/>
    <s v="-"/>
    <n v="31422270"/>
    <s v="Approved"/>
    <s v="5.9.2026"/>
    <s v="-"/>
    <s v="S2"/>
  </r>
  <r>
    <d v="2026-04-14T15:11:00"/>
    <s v="POT86537"/>
    <s v="The Multi Commodity Exchange Clearing Corporation Limited - (MCXCCL"/>
    <s v="Pramod Kumar"/>
    <s v="Dell - Multi Product RFP( Laptops, Monitors &amp; Wireless Keyboard &amp; Mouse )"/>
    <x v="4"/>
    <s v="Chirag Palande"/>
    <s v="Self"/>
    <s v="NA"/>
    <s v="None"/>
    <x v="0"/>
    <s v="Laptop"/>
    <s v="Dell"/>
    <s v="Closed Won"/>
    <n v="9601500"/>
    <n v="476975"/>
    <n v="476975"/>
    <d v="2026-07-03T00:00:00"/>
    <s v="Green"/>
    <n v="100"/>
    <s v="CG-CP-0004"/>
    <n v="31068445"/>
    <s v="Approved"/>
    <d v="2026-07-13T00:00:00"/>
    <s v="-"/>
    <s v="S1"/>
  </r>
  <r>
    <d v="2026-06-19T16:11:00"/>
    <s v="POT87154"/>
    <s v="The Multi Commodity Exchange Clearing Corporation Limited - (MCXCCL"/>
    <s v="Pramod Kumar"/>
    <s v="MCXCCL - Laptop 1 qty"/>
    <x v="4"/>
    <s v="Chirag Palande"/>
    <s v="Self"/>
    <s v="NA"/>
    <s v="None"/>
    <x v="0"/>
    <s v="Laptop"/>
    <s v="Samsung"/>
    <s v="Closed Won"/>
    <n v="199500"/>
    <n v="7000"/>
    <n v="0"/>
    <d v="2026-07-04T00:00:00"/>
    <s v="Green"/>
    <n v="100"/>
    <s v="-"/>
    <s v="-"/>
    <s v="-"/>
    <s v="-"/>
    <s v="-"/>
    <s v="S1"/>
  </r>
  <r>
    <d v="2026-07-08T22:12:00"/>
    <s v="POT87324"/>
    <s v="Mirae Asset investment Manager"/>
    <s v="Satish Anchan"/>
    <s v="Rental Laptops - 04"/>
    <x v="14"/>
    <s v="Jimesh Shah"/>
    <s v="Self"/>
    <s v="NA"/>
    <s v="None"/>
    <x v="0"/>
    <s v="Laptop"/>
    <s v="Others"/>
    <s v="Closed Won"/>
    <n v="22400"/>
    <n v="3200"/>
    <n v="1600"/>
    <d v="2026-07-08T00:00:00"/>
    <s v="Green"/>
    <n v="100"/>
    <s v="CG-JS-0007"/>
    <s v="-"/>
    <s v="-"/>
    <s v="-"/>
    <s v="PO received"/>
    <s v="CB"/>
  </r>
  <r>
    <d v="2026-07-15T10:47:00"/>
    <s v="POT87370"/>
    <s v="Mirae asset"/>
    <s v="Sameer Mhatre"/>
    <s v="Sharekhan - HP Printer - 1"/>
    <x v="14"/>
    <s v="Jimesh Shah"/>
    <s v="Self"/>
    <s v="NA"/>
    <s v="None"/>
    <x v="0"/>
    <s v="Other OEM Services"/>
    <s v="HP"/>
    <s v="Closed Won"/>
    <n v="32000"/>
    <n v="1750"/>
    <n v="3000"/>
    <d v="2026-07-15T00:00:00"/>
    <s v="Green"/>
    <n v="100"/>
    <s v="CG-JS-0008"/>
    <s v="-"/>
    <s v="-"/>
    <s v="-"/>
    <s v="-"/>
    <s v="CB"/>
  </r>
  <r>
    <d v="2026-07-15T10:48:00"/>
    <s v="POT87371"/>
    <s v="Mirae asset"/>
    <s v="Sameer Mhatre"/>
    <s v="Sharekhan - HP Printer - 1- delhi"/>
    <x v="14"/>
    <s v="Jimesh Shah"/>
    <s v="Self"/>
    <s v="NA"/>
    <s v="None"/>
    <x v="0"/>
    <s v="Other OEM Services"/>
    <s v="HP"/>
    <s v="Closed Won"/>
    <n v="32000"/>
    <n v="1750"/>
    <n v="3000"/>
    <d v="2026-07-15T00:00:00"/>
    <s v="Green"/>
    <n v="100"/>
    <s v="CG-JS-0009"/>
    <s v="-"/>
    <s v="-"/>
    <s v="-"/>
    <s v="-"/>
    <s v="CB"/>
  </r>
  <r>
    <d v="2026-07-31T17:15:00"/>
    <s v="POT87536"/>
    <s v="Mirae asset"/>
    <s v="Sameer Mhatre"/>
    <s v="Sharekhan - HP Printer - 1- Coimbatore"/>
    <x v="14"/>
    <s v="Jimesh Shah"/>
    <s v="Self"/>
    <s v="NA"/>
    <s v="None"/>
    <x v="0"/>
    <s v="Other OEM Services"/>
    <s v="HP"/>
    <s v="Closed Won"/>
    <n v="32000"/>
    <n v="2000"/>
    <n v="0"/>
    <d v="2026-07-31T00:00:00"/>
    <s v="Green"/>
    <n v="100"/>
    <s v="-"/>
    <s v="-"/>
    <s v="-"/>
    <s v="-"/>
    <s v="-"/>
    <s v="CB"/>
  </r>
  <r>
    <d v="2026-07-01T11:08:00"/>
    <s v="POT87262"/>
    <s v="SBI Life Insurance Co. Ltd"/>
    <s v="Chandrashekhar Marode"/>
    <s v="Galaxy VMware Support for the Period of 1 Year"/>
    <x v="1"/>
    <s v="Jitesh Rajput+Sandeep Makwana+Anil Zachariah+Anoop Pai Dhungat+Ajay Patodia"/>
    <s v="Self"/>
    <s v="NA"/>
    <s v="None"/>
    <x v="3"/>
    <s v="Residency Services"/>
    <s v="Galaxy"/>
    <s v="Closed Won"/>
    <n v="4998498"/>
    <n v="500000"/>
    <n v="0"/>
    <d v="2026-07-01T00:00:00"/>
    <s v="Green"/>
    <n v="100"/>
    <s v="PR-AP-0028"/>
    <s v="-"/>
    <s v="-"/>
    <s v="-"/>
    <s v="Required Galaxy L1/ L2 VMWare Support with 24X7 Support for  the period of 1 Year"/>
    <s v="Others"/>
  </r>
  <r>
    <m/>
    <m/>
    <m/>
    <m/>
    <m/>
    <x v="2"/>
    <m/>
    <m/>
    <m/>
    <m/>
    <x v="2"/>
    <m/>
    <m/>
    <m/>
    <m/>
    <m/>
    <m/>
    <m/>
    <m/>
    <m/>
    <m/>
    <m/>
    <m/>
    <m/>
    <s v="OPF no: PR-AP-0028"/>
    <m/>
  </r>
  <r>
    <m/>
    <m/>
    <m/>
    <m/>
    <m/>
    <x v="2"/>
    <m/>
    <m/>
    <m/>
    <m/>
    <x v="2"/>
    <m/>
    <m/>
    <m/>
    <m/>
    <m/>
    <m/>
    <m/>
    <m/>
    <m/>
    <m/>
    <m/>
    <m/>
    <m/>
    <s v="Shared the Galaxy RE proposal with 24*7 support"/>
    <m/>
  </r>
  <r>
    <d v="2026-01-24T17:36:00"/>
    <s v="POT85796"/>
    <s v="Dell International Services India Private Limited"/>
    <s v="Eshaa Patnaik"/>
    <s v="Dell - JP Morgan  - FMS"/>
    <x v="15"/>
    <s v="Jitesh Rajput+Sandeep Makwana+Anil Zachariah+Ashish Singh"/>
    <s v="Self"/>
    <s v="NA"/>
    <s v="Sandeep Makwana"/>
    <x v="3"/>
    <s v="Residency Services"/>
    <s v="Galaxy"/>
    <s v="Closed Won"/>
    <n v="638000"/>
    <n v="125000"/>
    <n v="125000"/>
    <d v="2026-07-16T00:00:00"/>
    <s v="Green"/>
    <n v="50"/>
    <s v="PR-AH-0011"/>
    <s v="-"/>
    <s v="-"/>
    <s v="-"/>
    <s v="Margin taken all"/>
    <s v="GB"/>
  </r>
  <r>
    <d v="2026-07-24T14:55:00"/>
    <s v="POT87470"/>
    <s v="Graphic Arts Technology &amp; Education"/>
    <s v="Kiran Prayagi"/>
    <s v="AMC"/>
    <x v="15"/>
    <s v="Jitesh Rajput+Sandeep Makwana+Anil Zachariah+Ashish Singh"/>
    <s v="Self"/>
    <s v="NA"/>
    <s v="Jitesh Rajput"/>
    <x v="3"/>
    <s v="Managed Services"/>
    <s v="Galaxy"/>
    <s v="Closed Won"/>
    <n v="13365"/>
    <n v="9615"/>
    <n v="0"/>
    <d v="2026-07-24T00:00:00"/>
    <s v="Green"/>
    <n v="75"/>
    <s v="-"/>
    <s v="-"/>
    <s v="-"/>
    <s v="-"/>
    <s v="-"/>
    <s v="GB"/>
  </r>
  <r>
    <d v="2026-07-29T21:11:00"/>
    <s v="POT87519"/>
    <s v="Connect Info Solutions India Private Limited"/>
    <s v="Jayant Kaup"/>
    <s v="Consulting-PS"/>
    <x v="15"/>
    <s v="Jitesh Rajput+Sandeep Makwana+Anil Zachariah+Ashish Singh"/>
    <s v="Self"/>
    <s v="NA"/>
    <s v="Jitesh Rajput"/>
    <x v="3"/>
    <s v="Consultancy Services"/>
    <s v="Galaxy"/>
    <s v="Closed Won"/>
    <n v="133665"/>
    <n v="133665"/>
    <n v="0"/>
    <d v="2026-07-30T00:00:00"/>
    <s v="Green"/>
    <n v="75"/>
    <s v="-"/>
    <s v="-"/>
    <s v="-"/>
    <s v="-"/>
    <s v="-"/>
    <s v="GB"/>
  </r>
  <r>
    <d v="2026-07-16T19:09:00"/>
    <s v="POT87381"/>
    <s v="Axis Finance Limited"/>
    <s v="Sandeep Suryavanshi"/>
    <s v="Galaxy Resident Engineer - Storage &amp; Backup - Onsite - 2 Nos."/>
    <x v="3"/>
    <s v="Jitesh Rajput+Sandeep Makwana+Anil Zachariah+Chetna Sharma"/>
    <s v="Self"/>
    <s v="NA"/>
    <s v="Jitesh Rajput"/>
    <x v="3"/>
    <s v="Residency Services"/>
    <s v="Galaxy"/>
    <s v="Closed Won"/>
    <n v="4900000"/>
    <n v="536360"/>
    <n v="536360"/>
    <d v="2026-07-16T00:00:00"/>
    <s v="Green"/>
    <n v="100"/>
    <s v="PR-CH-0011"/>
    <s v="-"/>
    <s v="-"/>
    <s v="-"/>
    <s v="Margin taken all"/>
    <s v="S2"/>
  </r>
  <r>
    <d v="2026-05-02T20:12:00"/>
    <s v="POT86673"/>
    <s v="National Chemical Laboratory NCL"/>
    <s v="Sanjay Askar"/>
    <s v="VAPT remediation Services"/>
    <x v="5"/>
    <s v="Jitesh Rajput+Sandeep Makwana+Anil Zachariah+Hrushikesh Bagade"/>
    <s v="Self"/>
    <s v="NA"/>
    <s v="Jitesh Rajput"/>
    <x v="3"/>
    <s v="Managed Services"/>
    <s v="Others"/>
    <s v="Closed Won"/>
    <n v="169490"/>
    <n v="141555"/>
    <n v="139490"/>
    <d v="2026-07-09T00:00:00"/>
    <s v="Green"/>
    <n v="100"/>
    <s v="PM-HB-0053"/>
    <s v="-"/>
    <s v="-"/>
    <s v="-"/>
    <s v="EU wants Galaxy services for VAPT remediation, proposal sent , under nego, po received."/>
    <s v="GeoX"/>
  </r>
  <r>
    <d v="2026-07-04T16:57:00"/>
    <s v="POT87305"/>
    <s v="Kalyani Technoforge Limited"/>
    <s v="Nazar Pathan"/>
    <s v="Galaxy MS for Commvault"/>
    <x v="5"/>
    <s v="Jitesh Rajput+Sandeep Makwana+Anil Zachariah+Hrushikesh Bagade"/>
    <s v="Self"/>
    <s v="NA"/>
    <s v="Anoop Pai Dhungat"/>
    <x v="3"/>
    <s v="Managed Services"/>
    <s v="Others"/>
    <s v="Closed Won"/>
    <n v="217800"/>
    <n v="67800"/>
    <n v="67800"/>
    <d v="2026-07-17T00:00:00"/>
    <s v="Green"/>
    <n v="100"/>
    <s v="PM-HB-0055"/>
    <s v="-"/>
    <s v="-"/>
    <s v="-"/>
    <s v="renewal of MS, price sent, under nego, closer would be in July 26. waiting for PO. po received."/>
    <s v="GeoX"/>
  </r>
  <r>
    <d v="2026-06-10T11:28:00"/>
    <s v="POT87087"/>
    <s v="Grasim Chemicals"/>
    <s v="Rahul Chandak"/>
    <s v="cyber resource renewal"/>
    <x v="16"/>
    <s v="Jitesh Rajput+Sandeep Makwana+Anil Zachariah+Richa Tiwari"/>
    <s v="Self"/>
    <s v="NA"/>
    <s v="Jitesh Rajput"/>
    <x v="3"/>
    <s v="Residency Services"/>
    <s v="Galaxy"/>
    <s v="Closed Won"/>
    <n v="1040000"/>
    <n v="50000"/>
    <n v="0"/>
    <d v="2026-07-20T00:00:00"/>
    <s v="Green"/>
    <n v="100"/>
    <s v="-"/>
    <s v="-"/>
    <s v="-"/>
    <s v="-"/>
    <s v="-"/>
    <s v="S1"/>
  </r>
  <r>
    <d v="2026-07-10T10:28:00"/>
    <s v="POT87328"/>
    <s v="Nexus Innovative Solutions Private Limited"/>
    <s v="Praveen S"/>
    <s v="Google zero touch enrolment + services"/>
    <x v="17"/>
    <s v="Jitesh Rajput+Sandeep Makwana+Anil Zachariah+Rima Ingle"/>
    <s v="Professional Services Farming"/>
    <s v="NA"/>
    <s v="Jitesh Rajput"/>
    <x v="3"/>
    <s v="Managed Services"/>
    <s v="Others"/>
    <s v="Closed Won"/>
    <n v="45000"/>
    <n v="3450"/>
    <n v="3000"/>
    <d v="2026-07-10T00:00:00"/>
    <s v="Green"/>
    <n v="100"/>
    <s v="PM-RM-0001"/>
    <s v="-"/>
    <s v="-"/>
    <s v="-"/>
    <s v="-"/>
    <s v="GB"/>
  </r>
  <r>
    <d v="2026-07-20T10:44:00"/>
    <s v="POT87415"/>
    <s v="ITMantra TechIntellect Pvt Ltd"/>
    <s v="Meenakshi J"/>
    <s v="Engineer visit charges for the Month of June 2026"/>
    <x v="17"/>
    <s v="Jitesh Rajput+Sandeep Makwana+Anil Zachariah+Rima Ingle"/>
    <s v="Self"/>
    <s v="NA"/>
    <s v="Jitesh Rajput"/>
    <x v="3"/>
    <s v="Managed Services"/>
    <s v="Lenovo"/>
    <s v="Closed Won"/>
    <n v="1800"/>
    <n v="1368"/>
    <n v="0"/>
    <d v="2026-07-09T00:00:00"/>
    <s v="Amber"/>
    <n v="90"/>
    <s v="-"/>
    <s v="-"/>
    <s v="-"/>
    <s v="-"/>
    <s v="-"/>
    <s v="GB"/>
  </r>
  <r>
    <d v="2026-06-01T11:51:00"/>
    <s v="POT86999"/>
    <s v="Indira IVF Fertility Centre"/>
    <s v="Mahesh Sharma"/>
    <s v="AWS"/>
    <x v="18"/>
    <s v="Jitesh Rajput+Sandeep Makwana+Anil Zachariah+Shilpa Kavde"/>
    <s v="Self"/>
    <s v="NA"/>
    <s v="Anoop Pai Dhungat"/>
    <x v="4"/>
    <s v="Cloud"/>
    <s v="AWS"/>
    <s v="Closed Won"/>
    <n v="1105210"/>
    <n v="10000"/>
    <n v="0"/>
    <d v="2026-07-11T00:00:00"/>
    <s v="Green"/>
    <n v="100"/>
    <s v="-"/>
    <s v="-"/>
    <s v="-"/>
    <s v="-"/>
    <s v="-"/>
    <s v="GB"/>
  </r>
  <r>
    <d v="2026-08-03T09:44:00"/>
    <s v="POT87553"/>
    <s v="RBL FinServe Limited"/>
    <s v="Pradnya Shetty"/>
    <s v="DELL Desktop 15350 (60)"/>
    <x v="6"/>
    <s v="Prachi Mayekar"/>
    <s v="Self"/>
    <s v="NA"/>
    <s v="None"/>
    <x v="0"/>
    <s v="Desktop"/>
    <s v="Dell"/>
    <s v="Closed Won"/>
    <n v="6018000"/>
    <n v="10000"/>
    <n v="0"/>
    <d v="2026-07-31T00:00:00"/>
    <s v="Green"/>
    <n v="10"/>
    <s v="-"/>
    <s v="-"/>
    <s v="-"/>
    <s v="-"/>
    <s v="-"/>
    <s v="CB"/>
  </r>
  <r>
    <d v="2026-08-03T09:47:00"/>
    <s v="POT87554"/>
    <s v="RBL FinServe Limited"/>
    <s v="Pradnya Shetty"/>
    <s v="DELL Desktop 15349 (10)"/>
    <x v="6"/>
    <s v="Prachi Mayekar"/>
    <s v="Self"/>
    <s v="NA"/>
    <s v="None"/>
    <x v="0"/>
    <s v="Desktop"/>
    <s v="Dell"/>
    <s v="Closed Won"/>
    <n v="1003000"/>
    <n v="10000"/>
    <n v="0"/>
    <d v="2026-07-31T00:00:00"/>
    <s v="Green"/>
    <n v="100"/>
    <s v="-"/>
    <s v="-"/>
    <s v="-"/>
    <s v="-"/>
    <s v="-"/>
    <s v="CB"/>
  </r>
  <r>
    <d v="2026-08-03T09:50:00"/>
    <s v="POT87555"/>
    <s v="RBL FinServe Limited"/>
    <s v="Pradnya Shetty"/>
    <s v="Dell Desktop 15351 (40)"/>
    <x v="6"/>
    <s v="Prachi Mayekar"/>
    <s v="Self"/>
    <s v="NA"/>
    <s v="None"/>
    <x v="0"/>
    <s v="Desktop"/>
    <s v="Dell"/>
    <s v="Closed Won"/>
    <n v="4012000"/>
    <n v="10000"/>
    <n v="0"/>
    <d v="2026-07-31T00:00:00"/>
    <s v="Green"/>
    <n v="100"/>
    <s v="-"/>
    <s v="-"/>
    <s v="-"/>
    <s v="-"/>
    <s v="-"/>
    <s v="CB"/>
  </r>
  <r>
    <d v="2026-08-03T09:52:00"/>
    <s v="POT87556"/>
    <s v="RBL FinServe Limited"/>
    <s v="Pradnya Shetty"/>
    <s v="Dell Desktop 15352 (10)"/>
    <x v="6"/>
    <s v="Prachi Mayekar"/>
    <s v="Self"/>
    <s v="NA"/>
    <s v="None"/>
    <x v="0"/>
    <s v="Desktop"/>
    <s v="Dell"/>
    <s v="Closed Won"/>
    <n v="1003000"/>
    <n v="10000"/>
    <n v="0"/>
    <d v="2026-07-31T00:00:00"/>
    <s v="Green"/>
    <n v="100"/>
    <s v="-"/>
    <s v="-"/>
    <s v="-"/>
    <s v="-"/>
    <s v="-"/>
    <s v="CB"/>
  </r>
  <r>
    <d v="2026-08-03T09:55:00"/>
    <s v="POT87557"/>
    <s v="RBL FinServe Limited"/>
    <s v="Pradnya Shetty"/>
    <s v="Dell Desktop 15353 (10)"/>
    <x v="6"/>
    <s v="Prachi Mayekar"/>
    <s v="Self"/>
    <s v="NA"/>
    <s v="None"/>
    <x v="0"/>
    <s v="Desktop"/>
    <s v="Dell"/>
    <s v="Closed Won"/>
    <n v="1003000"/>
    <n v="10000"/>
    <n v="0"/>
    <d v="2026-07-31T00:00:00"/>
    <s v="Green"/>
    <n v="100"/>
    <s v="-"/>
    <s v="-"/>
    <s v="-"/>
    <s v="-"/>
    <s v="-"/>
    <s v="CB"/>
  </r>
  <r>
    <d v="2026-08-03T09:58:00"/>
    <s v="POT87558"/>
    <s v="RBL FinServe Limited"/>
    <s v="Pradnya Shetty"/>
    <s v="Dell Desktop 15354 (45)"/>
    <x v="6"/>
    <s v="Prachi Mayekar"/>
    <s v="Self"/>
    <s v="NA"/>
    <s v="None"/>
    <x v="0"/>
    <s v="Desktop"/>
    <s v="Dell"/>
    <s v="Closed Won"/>
    <n v="4513500"/>
    <n v="10000"/>
    <n v="0"/>
    <d v="2026-07-31T00:00:00"/>
    <s v="Green"/>
    <n v="100"/>
    <s v="-"/>
    <s v="-"/>
    <s v="-"/>
    <s v="-"/>
    <s v="-"/>
    <s v="CB"/>
  </r>
  <r>
    <d v="2026-08-03T09:59:00"/>
    <s v="POT87559"/>
    <s v="RBL FinServe Limited"/>
    <s v="Pradnya Shetty"/>
    <s v="Dell Desktop 15355 (24)"/>
    <x v="6"/>
    <s v="Prachi Mayekar"/>
    <s v="Self"/>
    <s v="NA"/>
    <s v="None"/>
    <x v="0"/>
    <s v="Desktop"/>
    <s v="Dell"/>
    <s v="Closed Won"/>
    <n v="2407200"/>
    <n v="10000"/>
    <n v="0"/>
    <d v="2026-07-31T00:00:00"/>
    <s v="Green"/>
    <n v="100"/>
    <s v="-"/>
    <s v="-"/>
    <s v="-"/>
    <s v="-"/>
    <s v="-"/>
    <s v="CB"/>
  </r>
  <r>
    <d v="2026-08-03T10:01:00"/>
    <s v="POT87560"/>
    <s v="RBL FinServe Limited"/>
    <s v="Pradnya Shetty"/>
    <s v="Dell Desktop 15356 (36)"/>
    <x v="6"/>
    <s v="Prachi Mayekar"/>
    <s v="Self"/>
    <s v="NA"/>
    <s v="None"/>
    <x v="0"/>
    <s v="Desktop"/>
    <s v="Dell"/>
    <s v="Closed Won"/>
    <n v="3610800"/>
    <n v="10000"/>
    <n v="0"/>
    <d v="2026-07-31T00:00:00"/>
    <s v="Green"/>
    <n v="100"/>
    <s v="-"/>
    <s v="-"/>
    <s v="-"/>
    <s v="-"/>
    <s v="-"/>
    <s v="CB"/>
  </r>
  <r>
    <d v="2026-08-03T10:03:00"/>
    <s v="POT87561"/>
    <s v="RBL FinServe Limited"/>
    <s v="Pradnya Shetty"/>
    <s v="Dell Desktop 15357 (20)"/>
    <x v="6"/>
    <s v="Prachi Mayekar"/>
    <s v="Self"/>
    <s v="NA"/>
    <s v="None"/>
    <x v="0"/>
    <s v="Desktop"/>
    <s v="Dell"/>
    <s v="Closed Won"/>
    <n v="2006000"/>
    <n v="10000"/>
    <n v="0"/>
    <d v="2026-07-31T00:00:00"/>
    <s v="Green"/>
    <n v="100"/>
    <s v="-"/>
    <s v="-"/>
    <s v="-"/>
    <s v="-"/>
    <s v="-"/>
    <s v="CB"/>
  </r>
  <r>
    <d v="2026-08-03T10:05:00"/>
    <s v="POT87562"/>
    <s v="RBL FinServe Limited"/>
    <s v="Pradnya Shetty"/>
    <s v="Dell Desktop 15358 (10)"/>
    <x v="6"/>
    <s v="Prachi Mayekar"/>
    <s v="Self"/>
    <s v="NA"/>
    <s v="None"/>
    <x v="0"/>
    <s v="Desktop"/>
    <s v="Dell"/>
    <s v="Closed Won"/>
    <n v="1003000"/>
    <n v="10000"/>
    <n v="0"/>
    <d v="2026-07-31T00:00:00"/>
    <s v="Green"/>
    <n v="100"/>
    <s v="-"/>
    <s v="-"/>
    <s v="-"/>
    <s v="-"/>
    <s v="-"/>
    <s v="CB"/>
  </r>
  <r>
    <d v="2026-08-03T10:08:00"/>
    <s v="POT87563"/>
    <s v="RBL FinServe Limited"/>
    <s v="Pradnya Shetty"/>
    <s v="Dell Desktop 15359 (35)"/>
    <x v="6"/>
    <s v="Prachi Mayekar"/>
    <s v="Self"/>
    <s v="NA"/>
    <s v="None"/>
    <x v="0"/>
    <s v="Desktop"/>
    <s v="Dell"/>
    <s v="Closed Won"/>
    <n v="3510500"/>
    <n v="10000"/>
    <n v="0"/>
    <d v="2026-07-31T00:00:00"/>
    <s v="Green"/>
    <n v="100"/>
    <s v="-"/>
    <s v="-"/>
    <s v="-"/>
    <s v="-"/>
    <s v="-"/>
    <s v="CB"/>
  </r>
  <r>
    <d v="2026-08-03T10:10:00"/>
    <s v="POT87564"/>
    <s v="RBL FinServe Limited"/>
    <s v="Pradnya Shetty"/>
    <s v="Dell Desktop 15360 (17)"/>
    <x v="6"/>
    <s v="Prachi Mayekar"/>
    <s v="Self"/>
    <s v="NA"/>
    <s v="None"/>
    <x v="0"/>
    <s v="Desktop"/>
    <s v="Dell"/>
    <s v="Closed Won"/>
    <n v="1705100"/>
    <n v="10000"/>
    <n v="0"/>
    <d v="2026-07-31T00:00:00"/>
    <s v="Green"/>
    <n v="100"/>
    <s v="-"/>
    <s v="-"/>
    <s v="-"/>
    <s v="-"/>
    <s v="-"/>
    <s v="CB"/>
  </r>
  <r>
    <d v="2026-08-03T10:12:00"/>
    <s v="POT87565"/>
    <s v="RBL FinServe Limited"/>
    <s v="Pradnya Shetty"/>
    <s v="Dell Desktop 15361 (25)"/>
    <x v="6"/>
    <s v="Prachi Mayekar"/>
    <s v="Self"/>
    <s v="NA"/>
    <s v="None"/>
    <x v="0"/>
    <s v="Desktop"/>
    <s v="Dell"/>
    <s v="Closed Won"/>
    <n v="2125000"/>
    <n v="10000"/>
    <n v="0"/>
    <d v="2026-07-31T00:00:00"/>
    <s v="Green"/>
    <n v="100"/>
    <s v="-"/>
    <s v="-"/>
    <s v="-"/>
    <s v="-"/>
    <s v="-"/>
    <s v="CB"/>
  </r>
  <r>
    <d v="2026-08-03T10:14:00"/>
    <s v="POT87566"/>
    <s v="RBL FinServe Limited"/>
    <s v="Pradnya Shetty"/>
    <s v="Dell Desktop 15362 (68)"/>
    <x v="6"/>
    <s v="Prachi Mayekar"/>
    <s v="Self"/>
    <s v="NA"/>
    <s v="None"/>
    <x v="0"/>
    <s v="Desktop"/>
    <s v="Dell"/>
    <s v="Closed Won"/>
    <n v="5780000"/>
    <n v="10000"/>
    <n v="0"/>
    <d v="2026-07-31T00:00:00"/>
    <s v="Green"/>
    <n v="100"/>
    <s v="-"/>
    <s v="-"/>
    <s v="-"/>
    <s v="-"/>
    <s v="-"/>
    <s v="CB"/>
  </r>
  <r>
    <d v="2026-08-03T10:15:00"/>
    <s v="POT87567"/>
    <s v="RBL FinServe Limited"/>
    <s v="Pradnya Shetty"/>
    <s v="Dell Desktop 15363 (50)"/>
    <x v="6"/>
    <s v="Prachi Mayekar"/>
    <s v="Self"/>
    <s v="NA"/>
    <s v="None"/>
    <x v="0"/>
    <s v="Desktop"/>
    <s v="Dell"/>
    <s v="Closed Won"/>
    <n v="4250000"/>
    <n v="10000"/>
    <n v="0"/>
    <d v="2026-07-31T00:00:00"/>
    <s v="Green"/>
    <n v="100"/>
    <s v="-"/>
    <s v="-"/>
    <s v="-"/>
    <s v="-"/>
    <s v="-"/>
    <s v="CB"/>
  </r>
  <r>
    <d v="2026-08-03T10:18:00"/>
    <s v="POT87569"/>
    <s v="RBL FinServe Limited"/>
    <s v="Pradnya Shetty"/>
    <s v="Dell Desktop 15364 (40)"/>
    <x v="6"/>
    <s v="Prachi Mayekar"/>
    <s v="Self"/>
    <s v="NA"/>
    <s v="None"/>
    <x v="0"/>
    <s v="Desktop"/>
    <s v="Dell"/>
    <s v="Closed Won"/>
    <n v="3825000"/>
    <n v="1000"/>
    <n v="0"/>
    <d v="2026-07-31T00:00:00"/>
    <s v="Green"/>
    <n v="100"/>
    <s v="-"/>
    <s v="-"/>
    <s v="-"/>
    <s v="-"/>
    <s v="-"/>
    <s v="CB"/>
  </r>
  <r>
    <d v="2026-08-03T10:19:00"/>
    <s v="POT87570"/>
    <s v="RBL FinServe Limited"/>
    <s v="Pradnya Shetty"/>
    <s v="Dell Desktop 15365 (20)"/>
    <x v="6"/>
    <s v="Prachi Mayekar"/>
    <s v="Self"/>
    <s v="NA"/>
    <s v="None"/>
    <x v="0"/>
    <s v="Desktop"/>
    <s v="Dell"/>
    <s v="Closed Won"/>
    <n v="1700000"/>
    <n v="10000"/>
    <n v="0"/>
    <d v="2026-07-31T00:00:00"/>
    <s v="Green"/>
    <n v="100"/>
    <s v="-"/>
    <s v="-"/>
    <s v="-"/>
    <s v="-"/>
    <s v="-"/>
    <s v="CB"/>
  </r>
  <r>
    <d v="2026-08-03T10:22:00"/>
    <s v="POT87571"/>
    <s v="RBL FinServe Limited"/>
    <s v="Pradnya Shetty"/>
    <s v="DEll Desktop 15366 (70)"/>
    <x v="6"/>
    <s v="Prachi Mayekar"/>
    <s v="Self"/>
    <s v="NA"/>
    <s v="None"/>
    <x v="0"/>
    <s v="Desktop"/>
    <s v="Dell"/>
    <s v="Closed Won"/>
    <n v="5950000"/>
    <n v="10000"/>
    <n v="0"/>
    <d v="2026-07-31T00:00:00"/>
    <s v="Green"/>
    <n v="100"/>
    <s v="-"/>
    <s v="-"/>
    <s v="-"/>
    <s v="-"/>
    <s v="-"/>
    <s v="CB"/>
  </r>
  <r>
    <d v="2026-08-03T10:24:00"/>
    <s v="POT87572"/>
    <s v="RBL FinServe Limited"/>
    <s v="Pradnya Shetty"/>
    <s v="Dell Desktop 15367 (15)"/>
    <x v="6"/>
    <s v="Prachi Mayekar"/>
    <s v="Self"/>
    <s v="NA"/>
    <s v="None"/>
    <x v="0"/>
    <s v="Desktop"/>
    <s v="Dell"/>
    <s v="Closed Won"/>
    <n v="1275000"/>
    <n v="10000"/>
    <n v="0"/>
    <d v="2026-07-31T00:00:00"/>
    <s v="Green"/>
    <n v="100"/>
    <s v="-"/>
    <s v="-"/>
    <s v="-"/>
    <s v="-"/>
    <s v="-"/>
    <s v="CB"/>
  </r>
  <r>
    <d v="2026-08-03T10:26:00"/>
    <s v="POT87573"/>
    <s v="RBL FinServe Limited"/>
    <s v="Pradnya Shetty"/>
    <s v="Dell Desktop 15368 (50)"/>
    <x v="6"/>
    <s v="Prachi Mayekar"/>
    <s v="Self"/>
    <s v="NA"/>
    <s v="None"/>
    <x v="0"/>
    <s v="Desktop"/>
    <s v="Dell"/>
    <s v="Closed Won"/>
    <n v="4250000"/>
    <n v="10000"/>
    <n v="0"/>
    <d v="2026-07-31T00:00:00"/>
    <s v="Green"/>
    <n v="100"/>
    <s v="-"/>
    <s v="-"/>
    <s v="-"/>
    <s v="-"/>
    <s v="-"/>
    <s v="CB"/>
  </r>
  <r>
    <d v="2026-08-03T10:27:00"/>
    <s v="POT87574"/>
    <s v="RBL FinServe Limited"/>
    <s v="Pradnya Shetty"/>
    <s v="Dell Desktop 15369 (20)"/>
    <x v="6"/>
    <s v="Prachi Mayekar"/>
    <s v="Self"/>
    <s v="NA"/>
    <s v="None"/>
    <x v="0"/>
    <s v="Desktop"/>
    <s v="Dell"/>
    <s v="Closed Won"/>
    <n v="1700000"/>
    <n v="10000"/>
    <n v="0"/>
    <d v="2026-07-31T00:00:00"/>
    <s v="Green"/>
    <n v="100"/>
    <s v="-"/>
    <s v="-"/>
    <s v="-"/>
    <s v="-"/>
    <s v="-"/>
    <s v="CB"/>
  </r>
  <r>
    <d v="2026-08-03T10:30:00"/>
    <s v="POT87575"/>
    <s v="RBL FinServe Limited"/>
    <s v="Pradnya Shetty"/>
    <s v="Dell Desktop 15370 (17)"/>
    <x v="6"/>
    <s v="Prachi Mayekar"/>
    <s v="Self"/>
    <s v="NA"/>
    <s v="None"/>
    <x v="0"/>
    <s v="Desktop"/>
    <s v="Dell"/>
    <s v="Closed Won"/>
    <n v="1445000"/>
    <n v="1000"/>
    <n v="0"/>
    <d v="2026-07-31T00:00:00"/>
    <s v="Green"/>
    <n v="100"/>
    <s v="-"/>
    <s v="-"/>
    <s v="-"/>
    <s v="-"/>
    <s v="-"/>
    <s v="CB"/>
  </r>
  <r>
    <d v="2026-08-03T10:32:00"/>
    <s v="POT87577"/>
    <s v="RBL FinServe Limited"/>
    <s v="Pradnya Shetty"/>
    <s v="Dell Desktop 15371 (38)"/>
    <x v="6"/>
    <s v="Prachi Mayekar"/>
    <s v="Self"/>
    <s v="NA"/>
    <s v="None"/>
    <x v="0"/>
    <s v="Desktop"/>
    <s v="Dell"/>
    <s v="Closed Won"/>
    <n v="3230000"/>
    <n v="10000"/>
    <n v="0"/>
    <d v="2026-07-31T00:00:00"/>
    <s v="Green"/>
    <n v="100"/>
    <s v="-"/>
    <s v="-"/>
    <s v="-"/>
    <s v="-"/>
    <s v="-"/>
    <s v="CB"/>
  </r>
  <r>
    <d v="2026-08-03T10:33:00"/>
    <s v="POT87578"/>
    <s v="RBL FinServe Limited"/>
    <s v="Pradnya Shetty"/>
    <s v="DEll Desktop 15372 (20)"/>
    <x v="6"/>
    <s v="Prachi Mayekar"/>
    <s v="Self"/>
    <s v="NA"/>
    <s v="None"/>
    <x v="0"/>
    <s v="Desktop"/>
    <s v="Dell"/>
    <s v="Closed Won"/>
    <n v="1700000"/>
    <n v="1000"/>
    <n v="0"/>
    <d v="2026-07-31T00:00:00"/>
    <s v="Green"/>
    <n v="100"/>
    <s v="-"/>
    <s v="-"/>
    <s v="-"/>
    <s v="-"/>
    <s v="-"/>
    <s v="CB"/>
  </r>
  <r>
    <d v="2026-06-29T15:19:00"/>
    <s v="POT87252"/>
    <s v="Godrej &amp; Boyce Manufacturing Company Limited"/>
    <s v="Parth Rathod"/>
    <s v="VMware renewal - 208 core"/>
    <x v="19"/>
    <s v="Prashant Dudugu+Raj Matondkar"/>
    <s v="Self"/>
    <s v="NA"/>
    <s v="Prashant Dudugu"/>
    <x v="1"/>
    <s v="Virtualisation"/>
    <s v="VMware"/>
    <s v="Closed Won"/>
    <n v="3192800"/>
    <n v="205088"/>
    <n v="237536"/>
    <d v="2026-07-15T00:00:00"/>
    <s v="Green"/>
    <n v="100"/>
    <s v="DP-RN-0001"/>
    <s v="-"/>
    <s v="-"/>
    <s v="-"/>
    <s v="-"/>
    <s v="S1"/>
  </r>
  <r>
    <d v="2026-07-17T12:35:00"/>
    <s v="POT87389"/>
    <s v="Rajsthan gramin bank"/>
    <s v="Laxman singh"/>
    <s v="RGB ajmer-40 biometric"/>
    <x v="20"/>
    <s v="Pratik Kadam"/>
    <s v="Self"/>
    <s v="NA"/>
    <s v="None"/>
    <x v="0"/>
    <s v="Other OEM Services"/>
    <s v="Others"/>
    <s v="Closed Won"/>
    <n v="96000"/>
    <n v="10000"/>
    <n v="10000"/>
    <d v="2026-07-17T00:00:00"/>
    <s v="Green"/>
    <n v="100"/>
    <s v="CG-PM-0042"/>
    <s v="-"/>
    <s v="-"/>
    <s v="-"/>
    <s v="-"/>
    <s v="S1"/>
  </r>
  <r>
    <d v="2026-07-18T12:14:00"/>
    <s v="POT87408"/>
    <s v="Rajsthan gramin bank"/>
    <s v="Laxman singh"/>
    <s v="RGB JALORE-30"/>
    <x v="20"/>
    <s v="Pratik Kadam"/>
    <s v="Self"/>
    <s v="NA"/>
    <s v="None"/>
    <x v="0"/>
    <s v="Other OEM Services"/>
    <s v="Others"/>
    <s v="Closed Won"/>
    <n v="72000"/>
    <n v="7500"/>
    <n v="7500"/>
    <d v="2026-07-18T00:00:00"/>
    <s v="Green"/>
    <n v="100"/>
    <s v="CG-PM-0043"/>
    <s v="-"/>
    <s v="-"/>
    <s v="-"/>
    <s v="-"/>
    <s v="S1"/>
  </r>
  <r>
    <d v="2026-07-23T16:07:00"/>
    <s v="POT87461"/>
    <s v="PUNJAB AND SINDH BANK"/>
    <s v="Vijay kumar"/>
    <s v="PSB-9 TABLET"/>
    <x v="20"/>
    <s v="Pratik Kadam"/>
    <s v="Self"/>
    <s v="NA"/>
    <s v="None"/>
    <x v="0"/>
    <s v="Other OEM Services"/>
    <s v="Others"/>
    <s v="Closed Won"/>
    <n v="148149.15"/>
    <n v="8649.15"/>
    <n v="0"/>
    <d v="2026-07-23T00:00:00"/>
    <s v="Green"/>
    <n v="100"/>
    <s v="-"/>
    <s v="-"/>
    <s v="-"/>
    <s v="-"/>
    <s v="-"/>
    <s v="S1"/>
  </r>
  <r>
    <d v="2026-07-30T15:03:00"/>
    <s v="POT87526"/>
    <s v="Rajsthan gramin bank"/>
    <s v="Laxman singh"/>
    <s v="RGB BARAN -40 LOT1"/>
    <x v="20"/>
    <s v="Pratik Kadam"/>
    <s v="Self"/>
    <s v="NA"/>
    <s v="None"/>
    <x v="0"/>
    <s v="Other OEM Services"/>
    <s v="Others"/>
    <s v="Closed Won"/>
    <n v="96000"/>
    <n v="10000"/>
    <n v="0"/>
    <d v="2026-07-30T00:00:00"/>
    <s v="Green"/>
    <n v="100"/>
    <s v="-"/>
    <s v="-"/>
    <s v="-"/>
    <s v="-"/>
    <s v="-"/>
    <s v="S1"/>
  </r>
  <r>
    <d v="2026-07-30T15:04:00"/>
    <s v="POT87527"/>
    <s v="Rajsthan gramin bank"/>
    <s v="Laxman singh"/>
    <s v="RGB BARAN -40 LOT 2"/>
    <x v="20"/>
    <s v="Pratik Kadam"/>
    <s v="Self"/>
    <s v="NA"/>
    <s v="None"/>
    <x v="0"/>
    <s v="Other OEM Services"/>
    <s v="Others"/>
    <s v="Closed Won"/>
    <n v="96000"/>
    <n v="10000"/>
    <n v="0"/>
    <d v="2026-07-30T00:00:00"/>
    <s v="Green"/>
    <n v="100"/>
    <s v="-"/>
    <s v="-"/>
    <s v="-"/>
    <s v="-"/>
    <s v="-"/>
    <s v="S1"/>
  </r>
  <r>
    <d v="2026-07-30T15:21:00"/>
    <s v="POT87528"/>
    <s v="INDIAN BANK"/>
    <s v="M.S GUHANA"/>
    <s v="indian bank -15 qty"/>
    <x v="20"/>
    <s v="Pratik Kadam"/>
    <s v="Self"/>
    <s v="NA"/>
    <s v="None"/>
    <x v="0"/>
    <s v="Other OEM Services"/>
    <s v="Others"/>
    <s v="Closed Won"/>
    <n v="39750"/>
    <n v="7500"/>
    <n v="0"/>
    <d v="2026-07-30T00:00:00"/>
    <s v="Green"/>
    <n v="100"/>
    <s v="-"/>
    <s v="-"/>
    <s v="-"/>
    <s v="-"/>
    <s v="-"/>
    <s v="S1"/>
  </r>
  <r>
    <d v="2026-06-01T17:08:00"/>
    <s v="POT87002"/>
    <s v="Tata Power Company Ltd"/>
    <s v="sandeep karnavat"/>
    <s v="Profile 1 qty 08 IEL Jharkhand"/>
    <x v="16"/>
    <s v="Richa Tiwari"/>
    <s v="Self"/>
    <s v="NA"/>
    <s v="None"/>
    <x v="0"/>
    <s v="Laptop"/>
    <s v="Lenovo"/>
    <s v="Closed Won"/>
    <n v="952000"/>
    <n v="17600"/>
    <n v="17600"/>
    <d v="2026-07-21T00:00:00"/>
    <s v="Green"/>
    <n v="100"/>
    <s v="CG-RT-0049"/>
    <s v="-"/>
    <s v="-"/>
    <s v="-"/>
    <s v="-"/>
    <s v="S1"/>
  </r>
  <r>
    <d v="2026-07-21T09:33:00"/>
    <s v="POT87429"/>
    <s v="Tata Power Ajmer Distribution Limited (TPADL)"/>
    <s v="sandeep karnavat"/>
    <s v="tp ajmer laptop profile 1 qty 3 profile 3 qty 3"/>
    <x v="16"/>
    <s v="Richa Tiwari"/>
    <s v="Self"/>
    <s v="NA"/>
    <s v="None"/>
    <x v="0"/>
    <s v="Laptop"/>
    <s v="Lenovo"/>
    <s v="Closed Won"/>
    <n v="901500"/>
    <n v="38910"/>
    <n v="6600"/>
    <d v="2026-07-21T00:00:00"/>
    <s v="Green"/>
    <n v="100"/>
    <s v="CG-RT-0050"/>
    <s v="-"/>
    <s v="-"/>
    <s v="-"/>
    <s v="-"/>
    <s v="S1"/>
  </r>
  <r>
    <d v="2026-07-21T12:28:00"/>
    <s v="POT87434"/>
    <s v="Tata Power Company Ltd"/>
    <s v="sandeep karnavat"/>
    <s v="Laptop Profile 3 qty 1 Raipur"/>
    <x v="16"/>
    <s v="Richa Tiwari"/>
    <s v="Self"/>
    <s v="NA"/>
    <s v="None"/>
    <x v="0"/>
    <s v="Laptop"/>
    <s v="Lenovo"/>
    <s v="Closed Won"/>
    <n v="181500"/>
    <n v="10770"/>
    <n v="0"/>
    <d v="2026-07-21T00:00:00"/>
    <s v="Green"/>
    <n v="100"/>
    <s v="-"/>
    <s v="-"/>
    <s v="-"/>
    <s v="-"/>
    <s v="-"/>
    <s v="S1"/>
  </r>
  <r>
    <d v="2026-07-22T12:54:00"/>
    <s v="POT87441"/>
    <s v="Tata Power Company Ltd"/>
    <s v="sandeep karnavat"/>
    <s v="tp maithon profile 1 qty 65 profile 2 qty 2 profile 3 qty 2"/>
    <x v="16"/>
    <s v="Richa Tiwari"/>
    <s v="Self"/>
    <s v="NA"/>
    <s v="None"/>
    <x v="0"/>
    <s v="Laptop"/>
    <s v="Lenovo"/>
    <s v="Closed Won"/>
    <n v="8378000"/>
    <n v="176940"/>
    <n v="157800"/>
    <d v="2026-07-22T00:00:00"/>
    <s v="Green"/>
    <n v="100"/>
    <s v="CG-RT-0052"/>
    <s v="-"/>
    <s v="-"/>
    <s v="-"/>
    <s v="-"/>
    <s v="S1"/>
  </r>
  <r>
    <d v="2026-07-22T13:14:00"/>
    <s v="POT87443"/>
    <s v="Tata Power Company Ltd"/>
    <s v="sandeep karnavat"/>
    <s v="tp powerlinks profile 1 qty 10"/>
    <x v="16"/>
    <s v="Richa Tiwari"/>
    <s v="Self"/>
    <s v="NA"/>
    <s v="None"/>
    <x v="0"/>
    <s v="Laptop"/>
    <s v="Lenovo"/>
    <s v="Closed Won"/>
    <n v="1190000"/>
    <n v="22000"/>
    <n v="22000"/>
    <d v="2026-07-22T00:00:00"/>
    <s v="Green"/>
    <n v="100"/>
    <s v="CG-RT-0053"/>
    <s v="-"/>
    <s v="-"/>
    <s v="-"/>
    <s v="-"/>
    <s v="S1"/>
  </r>
  <r>
    <d v="2026-07-22T13:40:00"/>
    <s v="POT87444"/>
    <s v="Tata Power Company Ltd"/>
    <s v="sandeep karnavat"/>
    <s v="tp trading profile 1 qty 9 profile 3 qty 4"/>
    <x v="16"/>
    <s v="Richa Tiwari"/>
    <s v="Self"/>
    <s v="NA"/>
    <s v="None"/>
    <x v="0"/>
    <s v="Laptop"/>
    <s v="Lenovo"/>
    <s v="Closed Won"/>
    <n v="1797000"/>
    <n v="62880"/>
    <n v="19800"/>
    <d v="2026-07-22T00:00:00"/>
    <s v="Green"/>
    <n v="100"/>
    <s v="CG-RT-0054"/>
    <s v="-"/>
    <s v="-"/>
    <s v="-"/>
    <s v="-"/>
    <s v="S1"/>
  </r>
  <r>
    <d v="2026-07-22T14:57:00"/>
    <s v="POT87445"/>
    <s v="Tata Power Company Ltd"/>
    <s v="sandeep karnavat"/>
    <s v="Profile 1 qty 3 tp trading mumbai"/>
    <x v="16"/>
    <s v="Richa Tiwari"/>
    <s v="Self"/>
    <s v="NA"/>
    <s v="None"/>
    <x v="0"/>
    <s v="Laptop"/>
    <s v="Lenovo"/>
    <s v="Closed Won"/>
    <n v="357000"/>
    <n v="6600"/>
    <n v="6600"/>
    <d v="2026-07-22T00:00:00"/>
    <s v="Green"/>
    <n v="100"/>
    <s v="CG-RT-0055"/>
    <s v="-"/>
    <s v="-"/>
    <s v="-"/>
    <s v="-"/>
    <s v="S1"/>
  </r>
  <r>
    <d v="2026-07-22T15:30:00"/>
    <s v="POT87448"/>
    <s v="Tata Power Company Ltd"/>
    <s v="sandeep karnavat"/>
    <s v="profile 1 qty 1 tp gopalpur"/>
    <x v="16"/>
    <s v="Richa Tiwari"/>
    <s v="Self"/>
    <s v="NA"/>
    <s v="None"/>
    <x v="0"/>
    <s v="Laptop"/>
    <s v="Lenovo"/>
    <s v="Closed Won"/>
    <n v="119000"/>
    <n v="2200"/>
    <n v="2200"/>
    <d v="2026-07-22T00:00:00"/>
    <s v="Green"/>
    <n v="100"/>
    <s v="CG-RT-0056"/>
    <s v="-"/>
    <s v="-"/>
    <s v="-"/>
    <s v="-"/>
    <s v="S1"/>
  </r>
  <r>
    <d v="2026-07-22T16:01:00"/>
    <s v="POT87449"/>
    <s v="Tata Power Company Ltd"/>
    <s v="sandeep karnavat"/>
    <s v="profile 1 qty 50 tp mumbai"/>
    <x v="16"/>
    <s v="Richa Tiwari"/>
    <s v="Self"/>
    <s v="NA"/>
    <s v="None"/>
    <x v="0"/>
    <s v="Laptop"/>
    <s v="Lenovo"/>
    <s v="Closed Won"/>
    <n v="5950000"/>
    <n v="110000"/>
    <n v="110000"/>
    <d v="2026-07-22T00:00:00"/>
    <s v="Green"/>
    <n v="100"/>
    <s v="CG-RT-0057"/>
    <s v="-"/>
    <s v="-"/>
    <s v="-"/>
    <s v="-"/>
    <s v="S1"/>
  </r>
  <r>
    <d v="2026-07-22T16:26:00"/>
    <s v="POT87450"/>
    <s v="Tata Power Company Ltd"/>
    <s v="sandeep karnavat"/>
    <s v="profile 1 qty 44 profile 2 qty 2 tp mumbai"/>
    <x v="16"/>
    <s v="Richa Tiwari"/>
    <s v="Self"/>
    <s v="NA"/>
    <s v="None"/>
    <x v="0"/>
    <s v="Laptop"/>
    <s v="Lenovo"/>
    <s v="Closed Won"/>
    <n v="5516000"/>
    <n v="109200"/>
    <n v="111600"/>
    <d v="2026-07-22T00:00:00"/>
    <s v="Green"/>
    <n v="100"/>
    <s v="CG-RT-0058"/>
    <s v="-"/>
    <s v="-"/>
    <s v="-"/>
    <s v="-"/>
    <s v="S1"/>
  </r>
  <r>
    <d v="2026-07-22T16:42:00"/>
    <s v="POT87451"/>
    <s v="Tata Power Company Ltd"/>
    <s v="sandeep karnavat"/>
    <s v="profile 1 qty 11 profile 2 qty 1 tp gujarat"/>
    <x v="16"/>
    <s v="Richa Tiwari"/>
    <s v="Self"/>
    <s v="NA"/>
    <s v="None"/>
    <x v="0"/>
    <s v="Laptop"/>
    <s v="Lenovo"/>
    <s v="Closed Won"/>
    <n v="1449000"/>
    <n v="30400"/>
    <n v="31600"/>
    <d v="2026-07-22T00:00:00"/>
    <s v="Green"/>
    <n v="100"/>
    <s v="CG-RT-0059"/>
    <s v="-"/>
    <s v="-"/>
    <s v="-"/>
    <s v="-"/>
    <s v="S1"/>
  </r>
  <r>
    <d v="2026-07-22T16:56:00"/>
    <s v="POT87452"/>
    <s v="Tata Power Company Ltd"/>
    <s v="sandeep karnavat"/>
    <s v="profile 1 qty 8 tp noida"/>
    <x v="16"/>
    <s v="Richa Tiwari"/>
    <s v="Self"/>
    <s v="NA"/>
    <s v="None"/>
    <x v="0"/>
    <s v="Laptop"/>
    <s v="Lenovo"/>
    <s v="Closed Won"/>
    <n v="952000"/>
    <n v="17600"/>
    <n v="17600"/>
    <d v="2026-07-22T00:00:00"/>
    <s v="Green"/>
    <n v="100"/>
    <s v="CG-RT-0060"/>
    <s v="-"/>
    <s v="-"/>
    <s v="-"/>
    <s v="-"/>
    <s v="S1"/>
  </r>
  <r>
    <d v="2026-07-24T14:30:00"/>
    <s v="POT87467"/>
    <s v="Tata Power Company Ltd"/>
    <s v="sandeep karnavat"/>
    <s v="profile 1 qty 11 profile 2 qty 1- mumbai"/>
    <x v="16"/>
    <s v="Richa Tiwari"/>
    <s v="Self"/>
    <s v="NA"/>
    <s v="None"/>
    <x v="0"/>
    <s v="Laptop"/>
    <s v="Lenovo"/>
    <s v="Closed Won"/>
    <n v="1449000"/>
    <n v="30400"/>
    <n v="31600"/>
    <d v="2026-07-24T00:00:00"/>
    <s v="Green"/>
    <n v="100"/>
    <s v="CG-RT-0065"/>
    <s v="-"/>
    <s v="-"/>
    <s v="-"/>
    <s v="-"/>
    <s v="S1"/>
  </r>
  <r>
    <d v="2026-07-24T14:42:00"/>
    <s v="POT87468"/>
    <s v="Tata Power Company Ltd"/>
    <s v="sandeep karnavat"/>
    <s v="profile 1 qty 45 profile 3 qty 6 tp jharkhand jojobera"/>
    <x v="16"/>
    <s v="Richa Tiwari"/>
    <s v="Self"/>
    <s v="NA"/>
    <s v="None"/>
    <x v="0"/>
    <s v="Laptop"/>
    <s v="Lenovo"/>
    <s v="Closed Won"/>
    <n v="6444000"/>
    <n v="163620"/>
    <n v="99000"/>
    <d v="2026-07-24T00:00:00"/>
    <s v="Green"/>
    <n v="100"/>
    <s v="CG-RT-0062"/>
    <s v="-"/>
    <s v="-"/>
    <s v="-"/>
    <s v="-"/>
    <s v="S1"/>
  </r>
  <r>
    <d v="2026-07-24T14:51:00"/>
    <s v="POT87469"/>
    <s v="Tata Power Company Ltd"/>
    <s v="sandeep karnavat"/>
    <s v="profile 1 qty 1 tp paradeep iel"/>
    <x v="16"/>
    <s v="Richa Tiwari"/>
    <s v="Self"/>
    <s v="NA"/>
    <s v="None"/>
    <x v="0"/>
    <s v="Laptop"/>
    <s v="Lenovo"/>
    <s v="Closed Won"/>
    <n v="119000"/>
    <n v="2200"/>
    <n v="2200"/>
    <d v="2026-07-24T00:00:00"/>
    <s v="Green"/>
    <n v="100"/>
    <s v="CG-RT-0063"/>
    <s v="-"/>
    <s v="-"/>
    <s v="-"/>
    <s v="-"/>
    <s v="S1"/>
  </r>
  <r>
    <d v="2026-07-24T15:02:00"/>
    <s v="POT87471"/>
    <s v="Tata Power Company Ltd"/>
    <s v="sandeep karnavat"/>
    <s v="profile 1 qty 4 tp up prayagraj"/>
    <x v="16"/>
    <s v="Richa Tiwari"/>
    <s v="Self"/>
    <s v="NA"/>
    <s v="None"/>
    <x v="0"/>
    <s v="Laptop"/>
    <s v="Lenovo"/>
    <s v="Closed Won"/>
    <n v="476000"/>
    <n v="8800"/>
    <n v="8800"/>
    <d v="2026-07-24T00:00:00"/>
    <s v="Green"/>
    <n v="100"/>
    <s v="CG-RT-0064"/>
    <s v="-"/>
    <s v="-"/>
    <s v="-"/>
    <s v="-"/>
    <s v="S1"/>
  </r>
  <r>
    <d v="2026-07-30T13:40:00"/>
    <s v="POT87523"/>
    <s v="Tata Power Company Ltd"/>
    <s v="sandeep karnavat"/>
    <s v="profile 1 qty 2 tp lucknow"/>
    <x v="16"/>
    <s v="Richa Tiwari"/>
    <s v="Self"/>
    <s v="NA"/>
    <s v="None"/>
    <x v="0"/>
    <s v="Laptop"/>
    <s v="Lenovo"/>
    <s v="Closed Won"/>
    <n v="238000"/>
    <n v="4400"/>
    <n v="4400"/>
    <d v="2026-07-30T00:00:00"/>
    <s v="Green"/>
    <n v="100"/>
    <s v="CG-RT-0067"/>
    <s v="-"/>
    <s v="-"/>
    <s v="-"/>
    <s v="-"/>
    <s v="S1"/>
  </r>
  <r>
    <d v="2026-07-30T13:57:00"/>
    <s v="POT87524"/>
    <s v="Tata Power Company Ltd"/>
    <s v="sandeep karnavat"/>
    <s v="profile 1 qty 23 profile 2 qty 14 profile 3 qty 4 tp mumabi"/>
    <x v="16"/>
    <s v="Richa Tiwari"/>
    <s v="Self"/>
    <s v="NA"/>
    <s v="None"/>
    <x v="0"/>
    <s v="Laptop"/>
    <s v="Lenovo"/>
    <s v="Closed Won"/>
    <n v="5423000"/>
    <n v="180480"/>
    <n v="375400"/>
    <d v="2026-07-30T00:00:00"/>
    <s v="Green"/>
    <n v="100"/>
    <s v="CG-RT-0068"/>
    <s v="-"/>
    <s v="-"/>
    <s v="-"/>
    <s v="-"/>
    <s v="S1"/>
  </r>
  <r>
    <d v="2026-07-30T14:10:00"/>
    <s v="POT87525"/>
    <s v="Tata Power Company Ltd"/>
    <s v="sandeep karnavat"/>
    <s v="profile 1 qty 2 tp noida"/>
    <x v="16"/>
    <s v="Richa Tiwari"/>
    <s v="Self"/>
    <s v="NA"/>
    <s v="None"/>
    <x v="0"/>
    <s v="Laptop"/>
    <s v="Lenovo"/>
    <s v="Closed Won"/>
    <n v="238000"/>
    <n v="4400"/>
    <n v="0"/>
    <d v="2026-07-30T00:00:00"/>
    <s v="Green"/>
    <n v="100"/>
    <s v="-"/>
    <s v="-"/>
    <s v="-"/>
    <s v="-"/>
    <s v="-"/>
    <s v="S1"/>
  </r>
  <r>
    <d v="2026-05-15T19:48:00"/>
    <s v="POT86805"/>
    <s v="Axis Securities Ltd"/>
    <s v="Rajan Kale"/>
    <s v="Akamai WAF Renewal - 3 Years"/>
    <x v="3"/>
    <s v="Rocky Braganza+Nishant Jalan+Diksha Bhilare+Chetna Sharma"/>
    <s v="Self"/>
    <s v="NA"/>
    <s v="Diksha Bhilare"/>
    <x v="5"/>
    <s v="Security"/>
    <s v="Akamai"/>
    <s v="Closed Won"/>
    <n v="73800000"/>
    <n v="3282349"/>
    <n v="0"/>
    <d v="2026-07-28T00:00:00"/>
    <s v="Green"/>
    <n v="100"/>
    <s v="-"/>
    <s v="-"/>
    <s v="-"/>
    <s v="-"/>
    <s v="-"/>
    <s v="S2"/>
  </r>
  <r>
    <d v="2026-05-25T11:22:00"/>
    <s v="POT86895"/>
    <s v="IDFC First Bank Limited"/>
    <s v="Jaiprakash Yadav"/>
    <s v="Checkpoint  AMC IDFC Bank"/>
    <x v="10"/>
    <s v="Rocky Braganza+Nishant Jalan+Diksha Bhilare+Sankeerth Bhargav"/>
    <s v="Self"/>
    <s v="NA"/>
    <s v="Diksha Bhilare"/>
    <x v="5"/>
    <s v="Security"/>
    <s v="Checkpoint"/>
    <s v="Closed Won"/>
    <n v="627467"/>
    <n v="18275"/>
    <n v="0"/>
    <d v="2026-07-29T00:00:00"/>
    <s v="Grey"/>
    <n v="10"/>
    <s v="-"/>
    <s v="-"/>
    <s v="-"/>
    <s v="-"/>
    <s v="-"/>
    <s v="S2"/>
  </r>
  <r>
    <d v="2026-06-22T13:07:00"/>
    <s v="POT87196"/>
    <s v="Aditya Birla Capital"/>
    <s v="satish rathod"/>
    <s v="Renewal of Palo Alto FW - WM"/>
    <x v="16"/>
    <s v="Rocky Braganza+Nishant Jalan+Harshvardhan Dave+Richa Tiwari"/>
    <s v="Self"/>
    <s v="NA"/>
    <s v="Harshvardhan Dave"/>
    <x v="5"/>
    <s v="Firewall"/>
    <s v="PaloAlto"/>
    <s v="Closed Won"/>
    <n v="6900000"/>
    <n v="50000"/>
    <n v="0"/>
    <d v="2026-07-31T00:00:00"/>
    <s v="Green"/>
    <n v="100"/>
    <s v="-"/>
    <s v="-"/>
    <s v="-"/>
    <s v="-"/>
    <s v="-"/>
    <s v="S1"/>
  </r>
  <r>
    <d v="2026-06-28T20:36:00"/>
    <s v="POT87237"/>
    <s v="Aditya Birla Sun Life Insurance Company Limited"/>
    <s v="satish rathod"/>
    <s v="lotus office switches- cisco"/>
    <x v="16"/>
    <s v="Rocky Braganza+Nishant Jalan+Harshvardhan Dave+Richa Tiwari"/>
    <s v="Self"/>
    <s v="NA"/>
    <s v="Harshvardhan Dave"/>
    <x v="5"/>
    <s v="Active"/>
    <s v="CISCO"/>
    <s v="Closed Won"/>
    <n v="8950000"/>
    <n v="50000"/>
    <n v="0"/>
    <d v="2026-07-24T00:00:00"/>
    <s v="Green"/>
    <n v="100"/>
    <s v="-"/>
    <s v="-"/>
    <s v="-"/>
    <s v="-"/>
    <s v="-"/>
    <s v="S1"/>
  </r>
  <r>
    <d v="2026-02-02T14:31:00"/>
    <s v="POT85892"/>
    <s v="Tata Motors Limited"/>
    <s v="Sarvesh Shrivastava"/>
    <s v="Cisco ISE Renewal"/>
    <x v="7"/>
    <s v="Rocky Braganza+Nishant Jalan+Harshvardhan Dave+Rohit Deshmukh"/>
    <s v="Enterprise Coverage"/>
    <s v="Rohit Deshmukh"/>
    <s v="Harshvardhan Dave"/>
    <x v="5"/>
    <s v="Others"/>
    <s v="CISCO"/>
    <s v="Closed Won"/>
    <n v="80000"/>
    <n v="0"/>
    <n v="0"/>
    <d v="2026-07-02T00:00:00"/>
    <s v="Green"/>
    <n v="100"/>
    <s v="CP-RD-0019"/>
    <s v="-"/>
    <s v="-"/>
    <s v="-"/>
    <s v="-"/>
    <s v="S2"/>
  </r>
  <r>
    <d v="2026-06-22T14:42:00"/>
    <s v="POT87199"/>
    <s v="Tata Motors Limited"/>
    <s v="Sarvesh Shrivastava"/>
    <s v="Jamshedpur Cisco Juniper Passsive RC RFP"/>
    <x v="7"/>
    <s v="Rocky Braganza+Nishant Jalan+Harshvardhan Dave+Rohit Deshmukh"/>
    <s v="Enterprise Coverage"/>
    <s v="Rohit Deshmukh"/>
    <s v="Harshvardhan Dave"/>
    <x v="5"/>
    <s v="Active"/>
    <s v="CISCO"/>
    <s v="Closed Won"/>
    <n v="748050"/>
    <n v="114350"/>
    <n v="120850"/>
    <d v="2026-07-12T00:00:00"/>
    <s v="Green"/>
    <n v="100"/>
    <s v="CP-RD-0021"/>
    <s v="-"/>
    <s v="-"/>
    <s v="-"/>
    <s v="-"/>
    <s v="S2"/>
  </r>
  <r>
    <d v="2026-06-22T14:45:00"/>
    <s v="POT87200"/>
    <s v="Tata Motors Limited"/>
    <s v="Sarvesh Shrivastava"/>
    <s v="Jamshedpur Cisco Switches 13 Qty RC RFP"/>
    <x v="7"/>
    <s v="Rocky Braganza+Nishant Jalan+Harshvardhan Dave+Rohit Deshmukh"/>
    <s v="Enterprise Coverage"/>
    <s v="Rohit Deshmukh"/>
    <s v="Harshvardhan Dave"/>
    <x v="5"/>
    <s v="Active"/>
    <s v="CISCO"/>
    <s v="Closed Won"/>
    <n v="2159406.77"/>
    <n v="126467.32"/>
    <n v="0"/>
    <d v="2026-07-12T00:00:00"/>
    <s v="Green"/>
    <n v="100"/>
    <s v="CP-RD-002324"/>
    <s v="-"/>
    <s v="-"/>
    <s v="-"/>
    <s v="-"/>
    <s v="S2"/>
  </r>
  <r>
    <d v="2026-07-08T14:35:00"/>
    <s v="POT87320"/>
    <s v="Tata Motors Limited"/>
    <s v="Sarvesh Shrivastava"/>
    <s v="Dharwad Passive RC Supply"/>
    <x v="7"/>
    <s v="Rocky Braganza+Nishant Jalan+Harshvardhan Dave+Rohit Deshmukh"/>
    <s v="Enterprise Coverage"/>
    <s v="Rohit Deshmukh"/>
    <s v="Harshvardhan Dave"/>
    <x v="5"/>
    <s v="Passive"/>
    <s v="Commscope"/>
    <s v="Closed Won"/>
    <n v="455169"/>
    <n v="30064"/>
    <n v="36644"/>
    <d v="2026-07-08T00:00:00"/>
    <s v="Green"/>
    <n v="100"/>
    <s v="CP-RD-0018"/>
    <s v="-"/>
    <s v="-"/>
    <s v="-"/>
    <s v="-"/>
    <s v="S2"/>
  </r>
  <r>
    <d v="2026-07-23T21:14:00"/>
    <s v="POT87463"/>
    <s v="Tata Motors Limited"/>
    <s v="Sarvesh Shrivastava"/>
    <s v="Jamshedpur RC Cisco Switche 1 Qty RC RFP"/>
    <x v="7"/>
    <s v="Rocky Braganza+Nishant Jalan+Harshvardhan Dave+Rohit Deshmukh"/>
    <s v="Enterprise Coverage"/>
    <s v="Rohit Deshmukh"/>
    <s v="Harshvardhan Dave"/>
    <x v="5"/>
    <s v="Active"/>
    <s v="CISCO"/>
    <s v="Closed Won"/>
    <n v="448626.86"/>
    <n v="67106.13"/>
    <n v="0"/>
    <d v="2026-07-23T00:00:00"/>
    <s v="Green"/>
    <n v="100"/>
    <s v="CP-RD-002526"/>
    <s v="-"/>
    <s v="-"/>
    <s v="-"/>
    <s v="-"/>
    <s v="S2"/>
  </r>
  <r>
    <d v="2026-07-28T09:49:00"/>
    <s v="POT87505"/>
    <s v="Tata Motors Limited"/>
    <s v="Sarvesh Shrivastava"/>
    <s v="Jamshedpur Passsive RC RFP"/>
    <x v="7"/>
    <s v="Rocky Braganza+Nishant Jalan+Harshvardhan Dave+Rohit Deshmukh"/>
    <s v="Enterprise Coverage"/>
    <s v="Rohit Deshmukh"/>
    <s v="Harshvardhan Dave"/>
    <x v="5"/>
    <s v="Passive"/>
    <s v="CISCO"/>
    <s v="Closed Won"/>
    <n v="382650"/>
    <n v="59803.5"/>
    <n v="0"/>
    <d v="2026-07-28T00:00:00"/>
    <s v="Green"/>
    <n v="100"/>
    <s v="-"/>
    <s v="-"/>
    <s v="-"/>
    <s v="-"/>
    <s v="-"/>
    <s v="S2"/>
  </r>
  <r>
    <d v="2026-07-30T16:01:00"/>
    <s v="POT87530"/>
    <s v="Godrej Industries Ltd"/>
    <s v="Turang Ladhani"/>
    <s v="CISCO Mic Pro_3 QTY"/>
    <x v="19"/>
    <s v="Rocky Braganza+Nishant Jalan+Prashant Dudugu+Raj Matondkar"/>
    <s v="Self"/>
    <s v="NA"/>
    <s v="Prashant Dudugu"/>
    <x v="5"/>
    <s v="Collaboration"/>
    <s v="CISCO"/>
    <s v="Closed Won"/>
    <n v="534320"/>
    <n v="30320"/>
    <n v="0"/>
    <d v="2026-07-31T00:00:00"/>
    <s v="Green"/>
    <n v="100"/>
    <s v="-"/>
    <s v="-"/>
    <s v="-"/>
    <s v="-"/>
    <s v="-"/>
    <s v="S1"/>
  </r>
  <r>
    <d v="2026-07-03T21:12:00"/>
    <s v="POT87294"/>
    <s v="Mirae asset"/>
    <s v="Sameer Mhatre"/>
    <s v="Burpsuit license - On Premise â€“ 1 year Subscription -2"/>
    <x v="14"/>
    <s v="Rocky Braganza+Nishant Jalan+Pravin Tapase+Jimesh Shah"/>
    <s v="Self"/>
    <s v="NA"/>
    <s v="Pravin Tapase"/>
    <x v="5"/>
    <s v="Security"/>
    <s v="Others"/>
    <s v="Closed Won"/>
    <n v="92000"/>
    <n v="7000"/>
    <n v="7000"/>
    <d v="2026-07-03T00:00:00"/>
    <s v="Green"/>
    <n v="100"/>
    <s v="CP-JS-0006"/>
    <s v="-"/>
    <s v="-"/>
    <s v="-"/>
    <s v="-"/>
    <s v="CB"/>
  </r>
  <r>
    <d v="2026-05-04T10:21:00"/>
    <s v="POT86676"/>
    <s v="Capri Global Capital Limited"/>
    <s v="sumit Jagtap"/>
    <s v="PIM/ PAM Solution"/>
    <x v="18"/>
    <s v="Rocky Braganza+Nishant Jalan+Pravin Tapase+Shilpa Kavde"/>
    <s v="Self"/>
    <s v="NA"/>
    <s v="Pravin Tapase"/>
    <x v="5"/>
    <s v="Security"/>
    <s v="Iraje"/>
    <s v="Closed Won"/>
    <n v="1550000"/>
    <n v="10000"/>
    <n v="0"/>
    <d v="2026-07-31T00:00:00"/>
    <s v="Green"/>
    <n v="50"/>
    <s v="-"/>
    <s v="-"/>
    <s v="-"/>
    <s v="-"/>
    <s v="-"/>
    <s v="GB"/>
  </r>
  <r>
    <d v="2026-07-01T16:08:00"/>
    <s v="POT87264"/>
    <s v="CHUBB Systems Pvt Ltd"/>
    <s v="sudhindra acharya"/>
    <s v="Cisco 1300 Switch"/>
    <x v="8"/>
    <s v="Rocky Braganza+Nishant Jalan+Sagar TR"/>
    <s v="Self"/>
    <s v="NA"/>
    <s v="None"/>
    <x v="5"/>
    <s v="Active"/>
    <s v="CISCO"/>
    <s v="Closed Won"/>
    <n v="31000"/>
    <n v="4000"/>
    <n v="4000"/>
    <d v="2026-07-02T00:00:00"/>
    <s v="Green"/>
    <n v="100"/>
    <s v="CP-SC-0036"/>
    <s v="-"/>
    <s v="-"/>
    <s v="-"/>
    <s v="OPF no: CP-SC-0036"/>
    <s v="South"/>
  </r>
  <r>
    <d v="2026-07-08T18:22:00"/>
    <s v="POT87323"/>
    <s v="CHUBB Systems Pvt Ltd"/>
    <s v="sudhindra acharya"/>
    <s v="Dlink accessories"/>
    <x v="8"/>
    <s v="Rocky Braganza+Nishant Jalan+Sagar TR"/>
    <s v="Self"/>
    <s v="NA"/>
    <s v="None"/>
    <x v="5"/>
    <s v="Passive"/>
    <s v="D-Link"/>
    <s v="Closed Won"/>
    <n v="6349"/>
    <n v="1835"/>
    <n v="1835"/>
    <d v="2026-07-09T00:00:00"/>
    <s v="Green"/>
    <n v="100"/>
    <s v="CP-SC-0039"/>
    <s v="-"/>
    <s v="-"/>
    <s v="-"/>
    <s v="OPF no: CP-SC-0039"/>
    <s v="South"/>
  </r>
  <r>
    <d v="2026-07-24T15:03:00"/>
    <s v="POT87472"/>
    <s v="CHUBB Systems Pvt Ltd"/>
    <s v="sudhindra acharya"/>
    <s v="Dlink Accessories"/>
    <x v="8"/>
    <s v="Rocky Braganza+Nishant Jalan+Sagar TR"/>
    <s v="Self"/>
    <s v="NA"/>
    <s v="None"/>
    <x v="5"/>
    <s v="Passive"/>
    <s v="D-Link"/>
    <s v="Closed Won"/>
    <n v="11800"/>
    <n v="1920"/>
    <n v="1920"/>
    <d v="2026-07-24T00:00:00"/>
    <s v="Green"/>
    <n v="100"/>
    <s v="CP-SC-0046"/>
    <s v="-"/>
    <s v="-"/>
    <s v="-"/>
    <s v="OPF no: CP-SC-0046"/>
    <s v="South"/>
  </r>
  <r>
    <d v="2026-07-24T15:11:00"/>
    <s v="POT87473"/>
    <s v="CHUBB Systems Pvt Ltd"/>
    <s v="sudhindra acharya"/>
    <s v="Dlink Acessories"/>
    <x v="8"/>
    <s v="Rocky Braganza+Nishant Jalan+Sagar TR"/>
    <s v="Self"/>
    <s v="NA"/>
    <s v="None"/>
    <x v="5"/>
    <s v="Passive"/>
    <s v="D-Link"/>
    <s v="Closed Won"/>
    <n v="23112"/>
    <n v="6480"/>
    <n v="6804"/>
    <d v="2026-07-24T00:00:00"/>
    <s v="Green"/>
    <n v="100"/>
    <s v="CP-SC-0047"/>
    <s v="-"/>
    <s v="-"/>
    <s v="-"/>
    <s v="OPF no: CP-SC-0047"/>
    <s v="South"/>
  </r>
  <r>
    <d v="2026-07-28T11:24:00"/>
    <s v="POT87506"/>
    <s v="CHUBB Systems Pvt Ltd"/>
    <s v="sudhindra acharya"/>
    <s v="Dlink 9U rack"/>
    <x v="8"/>
    <s v="Rocky Braganza+Nishant Jalan+Sagar TR"/>
    <s v="Self"/>
    <s v="NA"/>
    <s v="None"/>
    <x v="5"/>
    <s v="Passive"/>
    <s v="D-Link"/>
    <s v="Closed Won"/>
    <n v="56000"/>
    <n v="9000"/>
    <n v="0"/>
    <d v="2026-07-30T00:00:00"/>
    <s v="Green"/>
    <n v="100"/>
    <s v="CP-SC-0048"/>
    <s v="-"/>
    <s v="-"/>
    <s v="-"/>
    <s v="OPF no: CP-SC-0048"/>
    <s v="South"/>
  </r>
  <r>
    <d v="2026-07-31T10:20:00"/>
    <s v="POT87532"/>
    <s v="CHUBB Systems Pvt Ltd"/>
    <s v="sudhindra acharya"/>
    <s v="Dlink Accessories"/>
    <x v="8"/>
    <s v="Rocky Braganza+Nishant Jalan+Sagar TR"/>
    <s v="Self"/>
    <s v="NA"/>
    <s v="None"/>
    <x v="5"/>
    <s v="Passive"/>
    <s v="D-Link"/>
    <s v="Closed Won"/>
    <n v="7938"/>
    <n v="1660"/>
    <n v="0"/>
    <d v="2026-07-31T00:00:00"/>
    <s v="Green"/>
    <n v="100"/>
    <s v="CP-SC-0049"/>
    <s v="-"/>
    <s v="-"/>
    <s v="-"/>
    <s v="OPF no: CP-SC-0049"/>
    <s v="South"/>
  </r>
  <r>
    <d v="2026-07-10T12:35:00"/>
    <s v="POT87334"/>
    <s v="Astra Microwave Product Limited"/>
    <s v="Aditya Eshwar"/>
    <s v="FortiGate40F Firewall"/>
    <x v="11"/>
    <s v="Rocky Braganza+Nishant Jalan+Shaik Khadhar"/>
    <s v="Self"/>
    <s v="NA"/>
    <s v="None"/>
    <x v="5"/>
    <s v="Security"/>
    <s v="Fortinet"/>
    <s v="Closed Won"/>
    <n v="1440000"/>
    <n v="553707"/>
    <n v="551728.04"/>
    <d v="2026-07-15T00:00:00"/>
    <s v="Green"/>
    <n v="100"/>
    <s v="CP-HS-0005"/>
    <s v="-"/>
    <s v="-"/>
    <s v="-"/>
    <s v="OPF no: CP-HS-0005"/>
    <s v="South"/>
  </r>
  <r>
    <d v="2026-06-22T12:31:00"/>
    <s v="POT87194"/>
    <s v="NCDEX e Markets Ltd. (NeML)"/>
    <s v="Malay Sen"/>
    <s v="NCDEX"/>
    <x v="21"/>
    <s v="Rocky Braganza+Nishant Jalan+Shubhangi Srinivasan"/>
    <s v="Self"/>
    <s v="NA"/>
    <s v="Yogesh Bhatia"/>
    <x v="5"/>
    <s v="PAM"/>
    <s v="Iraje"/>
    <s v="Closed Won"/>
    <n v="399625"/>
    <n v="19980"/>
    <n v="19980.099999999999"/>
    <d v="2026-07-10T00:00:00"/>
    <s v="Green"/>
    <n v="100"/>
    <s v="CP-SU-0017"/>
    <s v="-"/>
    <s v="-"/>
    <s v="-"/>
    <s v="-"/>
    <s v="GB"/>
  </r>
  <r>
    <d v="2026-06-30T13:08:00"/>
    <s v="POT87257"/>
    <s v="Broadcast Audience Research Council"/>
    <s v="Zafar Syed"/>
    <s v="BARC_CheckPOint"/>
    <x v="21"/>
    <s v="Rocky Braganza+Nishant Jalan+Shubhangi Srinivasan"/>
    <s v="Self"/>
    <s v="NA"/>
    <s v="Yogesh Bhatia"/>
    <x v="5"/>
    <s v="Firewall"/>
    <s v="Checkpoint"/>
    <s v="Closed Won"/>
    <n v="8600000"/>
    <n v="3152788.32"/>
    <n v="0"/>
    <d v="2026-07-02T00:00:00"/>
    <s v="Green"/>
    <n v="100"/>
    <s v="CP-SU-0013"/>
    <s v="-"/>
    <s v="-"/>
    <s v="-"/>
    <s v="-"/>
    <s v="GB"/>
  </r>
  <r>
    <d v="2026-07-03T12:19:00"/>
    <s v="POT87276"/>
    <s v="CFM Asset Reconstruction Pvt Ltd"/>
    <s v="Shirish Shinde"/>
    <s v="CFM_CP_Apr&amp;May"/>
    <x v="21"/>
    <s v="Rocky Braganza+Nishant Jalan+Shubhangi Srinivasan"/>
    <s v="Self"/>
    <s v="NA"/>
    <s v="Yogesh Bhatia"/>
    <x v="5"/>
    <s v="Endpoint &amp; Email Security"/>
    <s v="Checkpoint"/>
    <s v="Closed Won"/>
    <n v="112500"/>
    <n v="4580"/>
    <n v="40022.559999999998"/>
    <d v="2026-07-10T00:00:00"/>
    <s v="Green"/>
    <n v="100"/>
    <s v="CP-SU-0014"/>
    <s v="-"/>
    <s v="-"/>
    <s v="-"/>
    <s v="-"/>
    <s v="GB"/>
  </r>
  <r>
    <d v="2026-05-10T15:59:00"/>
    <s v="POT86741"/>
    <s v="Bank of Baroda"/>
    <s v="shubham sachan"/>
    <s v="Broadcom API license"/>
    <x v="12"/>
    <s v="Rocky Braganza+Nishant Jalan+Tasneem K"/>
    <s v="Self"/>
    <s v="NA"/>
    <s v="None"/>
    <x v="5"/>
    <s v="Security"/>
    <s v="VMware"/>
    <s v="Closed Won"/>
    <n v="16900000"/>
    <n v="400000"/>
    <n v="0"/>
    <d v="2026-07-10T00:00:00"/>
    <s v="Green"/>
    <n v="100"/>
    <s v="CP-TK-0016"/>
    <s v="-"/>
    <s v="-"/>
    <s v="-"/>
    <s v="-"/>
    <s v="S1"/>
  </r>
  <r>
    <d v="2026-07-30T11:58:00"/>
    <s v="POT87521"/>
    <s v="Larsen &amp; Toubro Limited"/>
    <s v="Vinayak Patil"/>
    <s v="Iraje PAM for L&amp;T for May 26 to Apr27"/>
    <x v="17"/>
    <s v="Rocky Braganza+Nishant Jalan+Yogesh Bhatia+Rima Ingle"/>
    <s v="Self"/>
    <s v="NA"/>
    <s v="Yogesh Bhatia"/>
    <x v="5"/>
    <s v="PAM"/>
    <s v="Iraje"/>
    <s v="Closed Won"/>
    <n v="2249710"/>
    <n v="2024740"/>
    <n v="0"/>
    <d v="2026-07-29T00:00:00"/>
    <s v="Amber"/>
    <n v="100"/>
    <s v="CP-RM-0003"/>
    <s v="-"/>
    <s v="-"/>
    <s v="-"/>
    <s v="-"/>
    <s v="GB"/>
  </r>
  <r>
    <d v="2026-06-30T15:26:00"/>
    <s v="POT87260"/>
    <s v="NCDEX e Markets Ltd. (NeML)"/>
    <s v="Balram Maurya"/>
    <s v="AP Requirement"/>
    <x v="22"/>
    <s v="Rocky Braganza+Nishant Jalan+Yogesh Bhatia+Varunkumar Mishra"/>
    <s v="Customer Reference"/>
    <s v="NA"/>
    <s v="Yogesh Bhatia"/>
    <x v="5"/>
    <s v="Wireless"/>
    <s v="CISCO"/>
    <s v="Closed Won"/>
    <n v="744990"/>
    <n v="73654"/>
    <n v="0"/>
    <d v="2026-07-31T00:00:00"/>
    <s v="Green"/>
    <n v="100"/>
    <s v="-"/>
    <s v="-"/>
    <s v="-"/>
    <s v="-"/>
    <s v="-"/>
    <s v="GB"/>
  </r>
  <r>
    <d v="2026-05-06T15:08:00"/>
    <s v="POT86698"/>
    <s v="Axis Bank Ltd"/>
    <s v="Vishal Shah"/>
    <s v="Microsoft Laptop 7 - 10 Qty"/>
    <x v="7"/>
    <s v="Rohit Deshmukh"/>
    <s v="Enterprise Coverage"/>
    <s v="Rohit Deshmukh"/>
    <s v="None"/>
    <x v="0"/>
    <s v="Workstation"/>
    <s v="Microsoft"/>
    <s v="Closed Won"/>
    <n v="1690000"/>
    <n v="62500"/>
    <n v="97500"/>
    <d v="2026-07-15T00:00:00"/>
    <s v="Green"/>
    <n v="100"/>
    <s v="CG-RD-0020"/>
    <s v="-"/>
    <s v="-"/>
    <s v="-"/>
    <s v="PO Number received. Awaiting formal PO"/>
    <s v="S2"/>
  </r>
  <r>
    <d v="2026-07-02T15:56:00"/>
    <s v="POT87270"/>
    <s v="Tata Motors Limited"/>
    <s v="Sarvesh Shrivastava"/>
    <s v="Laptops for Palwal Warehouse"/>
    <x v="7"/>
    <s v="Rohit Deshmukh"/>
    <s v="Enterprise Coverage"/>
    <s v="Rohit Deshmukh"/>
    <s v="None"/>
    <x v="0"/>
    <s v="Laptop"/>
    <s v="Dell"/>
    <s v="Closed Won"/>
    <n v="800000"/>
    <n v="45000"/>
    <n v="45000"/>
    <d v="2026-07-02T00:00:00"/>
    <s v="Green"/>
    <n v="100"/>
    <s v="CG-RD-0015"/>
    <s v="-"/>
    <s v="-"/>
    <s v="-"/>
    <s v="-"/>
    <s v="S2"/>
  </r>
  <r>
    <d v="2026-07-31T13:59:00"/>
    <s v="POT87533"/>
    <s v="CHUBB Systems Pvt Ltd"/>
    <s v="sudhindra acharya"/>
    <s v="Lenovo Workstation P2"/>
    <x v="8"/>
    <s v="Sagar TR"/>
    <s v="Self"/>
    <s v="NA"/>
    <s v="None"/>
    <x v="0"/>
    <s v="Workstation"/>
    <s v="Lenovo"/>
    <s v="Closed Won"/>
    <n v="195000"/>
    <n v="11000"/>
    <n v="0"/>
    <d v="2026-07-31T00:00:00"/>
    <s v="Green"/>
    <n v="100"/>
    <s v="CG-SC-0050"/>
    <s v="-"/>
    <s v="-"/>
    <s v="-"/>
    <s v="OPF no: CG-SC-0050"/>
    <s v="South"/>
  </r>
  <r>
    <d v="2026-07-28T17:05:00"/>
    <s v="POT87507"/>
    <s v="Indira IVF Fertility Centre"/>
    <s v="Mahesh Sharma"/>
    <s v="laptop"/>
    <x v="18"/>
    <s v="Sanjay Patodia+Shilpa Kavde"/>
    <s v="Self"/>
    <s v="NA"/>
    <s v="Sanjay Patodia"/>
    <x v="0"/>
    <s v="Laptop"/>
    <s v="Lenovo"/>
    <s v="Closed Won"/>
    <n v="460000"/>
    <n v="30000"/>
    <n v="61832"/>
    <d v="2026-07-28T00:00:00"/>
    <s v="Green"/>
    <n v="100"/>
    <s v="CG-SL-0034"/>
    <s v="-"/>
    <s v="-"/>
    <s v="-"/>
    <s v="-"/>
    <s v="GB"/>
  </r>
  <r>
    <d v="2026-06-29T10:35:00"/>
    <s v="POT87243"/>
    <s v="Reserve Bank of India - IT Cell"/>
    <s v="Altaf H Shaikh"/>
    <s v="Dell AIO RBI"/>
    <x v="10"/>
    <s v="Sankeerth Bhargav"/>
    <s v="Self"/>
    <s v="NA"/>
    <s v="None"/>
    <x v="0"/>
    <s v="Laptop"/>
    <s v="Dell"/>
    <s v="Closed Won"/>
    <n v="667800"/>
    <n v="31800"/>
    <n v="31800"/>
    <d v="2026-07-03T00:00:00"/>
    <s v="Grey"/>
    <n v="50"/>
    <s v="CG-SE-0005"/>
    <s v="-"/>
    <s v="-"/>
    <s v="-"/>
    <s v="-"/>
    <s v="S2"/>
  </r>
  <r>
    <d v="2026-07-15T17:29:00"/>
    <s v="POT87375"/>
    <s v="Reserve Bank of India - IT Cell"/>
    <s v="Afzal Sorathiya"/>
    <s v="HP Omen"/>
    <x v="10"/>
    <s v="Sankeerth Bhargav"/>
    <s v="Self"/>
    <s v="NA"/>
    <s v="None"/>
    <x v="0"/>
    <s v="Laptop"/>
    <s v="HP"/>
    <s v="Closed Won"/>
    <n v="539325"/>
    <n v="63948"/>
    <n v="49114.86"/>
    <d v="2026-07-15T00:00:00"/>
    <s v="Green"/>
    <n v="100"/>
    <s v="CG-SE-0006"/>
    <s v="-"/>
    <s v="-"/>
    <s v="-"/>
    <s v="-"/>
    <s v="S2"/>
  </r>
  <r>
    <d v="2026-07-10T12:29:00"/>
    <s v="POT87333"/>
    <s v="Astra Microwave Product Limited"/>
    <s v="Aditya Eshwar"/>
    <s v="HP Proobook 450 G10"/>
    <x v="11"/>
    <s v="Shaik Khadhar"/>
    <s v="Self"/>
    <s v="NA"/>
    <s v="None"/>
    <x v="0"/>
    <s v="Laptop"/>
    <s v="HP"/>
    <s v="Closed Won"/>
    <n v="600000"/>
    <n v="8800"/>
    <n v="8800"/>
    <d v="2026-07-15T00:00:00"/>
    <s v="Green"/>
    <n v="100"/>
    <s v="CG-HS-0006"/>
    <s v="-"/>
    <s v="-"/>
    <s v="-"/>
    <s v="OPF no: CG-HS-0006"/>
    <s v="South"/>
  </r>
  <r>
    <m/>
    <m/>
    <m/>
    <m/>
    <m/>
    <x v="2"/>
    <m/>
    <m/>
    <m/>
    <m/>
    <x v="2"/>
    <m/>
    <m/>
    <m/>
    <m/>
    <m/>
    <m/>
    <m/>
    <m/>
    <m/>
    <m/>
    <m/>
    <m/>
    <m/>
    <s v="Margin is covered under OPF CP-HS-0005"/>
    <m/>
  </r>
  <r>
    <d v="2026-08-01T15:50:00"/>
    <s v="POT87551"/>
    <s v="Astra Microwave Product Limited"/>
    <s v="Aditya Eshwar"/>
    <s v="Accessories"/>
    <x v="11"/>
    <s v="Shaik Khadhar"/>
    <s v="Self"/>
    <s v="NA"/>
    <s v="None"/>
    <x v="0"/>
    <s v="Accessories"/>
    <s v="Others"/>
    <s v="Closed Won"/>
    <n v="537250"/>
    <n v="12200"/>
    <n v="0"/>
    <d v="2026-08-01T00:00:00"/>
    <s v="Green"/>
    <n v="100"/>
    <s v="CG-HS-0007"/>
    <s v="-"/>
    <s v="-"/>
    <s v="-"/>
    <s v="OPF no: CG-HS-0007"/>
    <s v="South"/>
  </r>
  <r>
    <d v="2026-02-10T11:03:00"/>
    <s v="POT85982"/>
    <s v="Bank of Maharashtra"/>
    <s v="shashikant Dhengale"/>
    <s v="bank of maharshtra- desktop monitor"/>
    <x v="20"/>
    <s v="Tasneem K+Pratik Kadam"/>
    <s v="Self"/>
    <s v="NA"/>
    <s v="Tasneem K"/>
    <x v="0"/>
    <s v="Other OEM Services"/>
    <s v="Others"/>
    <s v="Closed Won"/>
    <n v="3787375"/>
    <n v="500000"/>
    <n v="0"/>
    <d v="2026-07-14T00:00:00"/>
    <s v="Green"/>
    <n v="100"/>
    <s v="CG-PM-0041"/>
    <s v="30715074 / 30722739"/>
    <s v="Rejected / Rejected /Rejected"/>
    <s v="-"/>
    <s v="order load"/>
    <s v="S1"/>
  </r>
  <r>
    <d v="2026-07-03T13:32:00"/>
    <s v="POT87281"/>
    <s v="INDIAN BANK"/>
    <s v="M.S GUHANA"/>
    <s v="INDIAN BANK-30 biometric"/>
    <x v="20"/>
    <s v="Tasneem K+Pratik Kadam"/>
    <s v="Self"/>
    <s v="NA"/>
    <s v="Tasneem K"/>
    <x v="0"/>
    <s v="Other OEM Services"/>
    <s v="Others"/>
    <s v="Closed Won"/>
    <n v="87000"/>
    <n v="22500"/>
    <n v="22500"/>
    <d v="2026-07-03T00:00:00"/>
    <s v="Green"/>
    <n v="100"/>
    <s v="CG-PM-0039"/>
    <s v="-"/>
    <s v="-"/>
    <s v="-"/>
    <s v="-"/>
    <s v="S1"/>
  </r>
  <r>
    <d v="2026-07-13T17:07:00"/>
    <s v="POT87362"/>
    <s v="PUNJAB AND SINDH BANK"/>
    <s v="Vijay kumar"/>
    <s v="PSB -50 L0 device"/>
    <x v="20"/>
    <s v="Tasneem K+Pratik Kadam"/>
    <s v="Self"/>
    <s v="NA"/>
    <s v="Tasneem K"/>
    <x v="0"/>
    <s v="Other OEM Services"/>
    <s v="Others"/>
    <s v="Closed Won"/>
    <n v="132500"/>
    <n v="25000"/>
    <n v="25000"/>
    <d v="2026-07-13T00:00:00"/>
    <s v="Green"/>
    <n v="100"/>
    <s v="CG-PM-0040"/>
    <s v="-"/>
    <s v="-"/>
    <s v="-"/>
    <s v="-"/>
    <s v="S1"/>
  </r>
  <r>
    <d v="2026-07-24T13:11:00"/>
    <s v="POT87466"/>
    <s v="Atos India Pvt Ltd"/>
    <s v="Tulsiram zade"/>
    <s v="NVIDIA DGX Spark"/>
    <x v="23"/>
    <s v="Yogesh Bhatia"/>
    <s v="Self"/>
    <s v="NA"/>
    <s v="Yogesh Bhatia"/>
    <x v="0"/>
    <s v="Workstation"/>
    <s v="HP"/>
    <s v="Closed Won"/>
    <n v="465000"/>
    <n v="25000"/>
    <n v="24850"/>
    <d v="2026-07-24T00:00:00"/>
    <s v="Green"/>
    <n v="100"/>
    <s v="CG-JU-0020"/>
    <s v="-"/>
    <s v="-"/>
    <s v="-"/>
    <s v="-"/>
    <s v="Others"/>
  </r>
  <r>
    <d v="2026-07-01T14:59:00"/>
    <s v="POT87263"/>
    <s v="STCI Finance Limited"/>
    <s v="Umesh Bhosale"/>
    <s v="HP - laptop support"/>
    <x v="13"/>
    <s v="Yogesh Bhatia+Jay Rushi"/>
    <s v="Self"/>
    <s v="NA"/>
    <s v="Yogesh Bhatia"/>
    <x v="0"/>
    <s v="Laptop"/>
    <s v="HP"/>
    <s v="Closed Won"/>
    <n v="1700"/>
    <n v="200"/>
    <n v="1800"/>
    <d v="2026-07-04T00:00:00"/>
    <s v="Green"/>
    <n v="80"/>
    <s v="PM-JU-0015"/>
    <s v="-"/>
    <s v="-"/>
    <s v="-"/>
    <s v="received this from OPF team to process this for OPF"/>
    <s v="GB"/>
  </r>
  <r>
    <d v="2026-07-02T17:34:00"/>
    <s v="POT87271"/>
    <s v="Priya Chemicals"/>
    <s v="Dr. Angle"/>
    <s v="AMC Priya Chemicals"/>
    <x v="13"/>
    <s v="Yogesh Bhatia+Jay Rushi"/>
    <s v="Self"/>
    <s v="NA"/>
    <s v="Yogesh Bhatia"/>
    <x v="0"/>
    <s v="Laptop"/>
    <s v="Lenovo"/>
    <s v="Closed Won"/>
    <n v="39000"/>
    <n v="2000"/>
    <n v="2000"/>
    <d v="2026-07-09T00:00:00"/>
    <s v="Green"/>
    <n v="80"/>
    <s v="PM-JU-0016"/>
    <s v="-"/>
    <s v="-"/>
    <s v="-"/>
    <s v="-"/>
    <s v="GB"/>
  </r>
  <r>
    <d v="2026-07-06T13:19:00"/>
    <s v="POT87309"/>
    <s v="Sterling Wilson"/>
    <s v="Vivek Chavan"/>
    <s v="Workstation and Printer Sterling &amp; Wilson"/>
    <x v="13"/>
    <s v="Yogesh Bhatia+Jay Rushi"/>
    <s v="Self"/>
    <s v="NA"/>
    <s v="Yogesh Bhatia"/>
    <x v="0"/>
    <s v="Desktop"/>
    <s v="HP"/>
    <s v="Closed Won"/>
    <n v="167954"/>
    <n v="6000"/>
    <n v="14805.69"/>
    <d v="2026-07-06T00:00:00"/>
    <s v="Green"/>
    <n v="80"/>
    <s v="CG-JU-0018"/>
    <s v="-"/>
    <s v="-"/>
    <s v="-"/>
    <s v="-"/>
    <s v="GB"/>
  </r>
  <r>
    <d v="2026-07-06T17:09:00"/>
    <s v="POT87312"/>
    <s v="E-Freight Global"/>
    <s v="Sanket Nar"/>
    <s v="Dell laptops - E freight Global"/>
    <x v="13"/>
    <s v="Yogesh Bhatia+Jay Rushi"/>
    <s v="Self"/>
    <s v="NA"/>
    <s v="Yogesh Bhatia"/>
    <x v="0"/>
    <s v="Laptop"/>
    <s v="Dell"/>
    <s v="Closed Won"/>
    <n v="2519744"/>
    <n v="102864"/>
    <n v="0"/>
    <d v="2026-07-11T00:00:00"/>
    <s v="Green"/>
    <n v="80"/>
    <s v="-"/>
    <s v="-"/>
    <s v="-"/>
    <s v="-"/>
    <s v="-"/>
    <s v="GB"/>
  </r>
  <r>
    <d v="2026-07-27T18:07:00"/>
    <s v="POT87504"/>
    <s v="Priya Chemicals"/>
    <s v="Dr. Angle"/>
    <s v="Priya Chemicals - Printer"/>
    <x v="13"/>
    <s v="Yogesh Bhatia+Jay Rushi"/>
    <s v="Self"/>
    <s v="NA"/>
    <s v="Yogesh Bhatia"/>
    <x v="0"/>
    <s v="IoT"/>
    <s v="Others"/>
    <s v="Closed Won"/>
    <n v="3233"/>
    <n v="690"/>
    <n v="690.63"/>
    <d v="2026-07-29T00:00:00"/>
    <s v="Green"/>
    <n v="80"/>
    <s v="CG-JU-0021"/>
    <s v="-"/>
    <s v="-"/>
    <s v="-"/>
    <s v="-"/>
    <s v="GB"/>
  </r>
  <r>
    <d v="2026-07-02T17:40:00"/>
    <s v="POT87272"/>
    <s v="Indo Japan Polymers Private Limited"/>
    <s v="Sridhar ramanathan"/>
    <s v="HP Mobile workstation"/>
    <x v="22"/>
    <s v="Yogesh Bhatia+Varunkumar Mishra"/>
    <s v="Customer Reference"/>
    <s v="NA"/>
    <s v="Yogesh Bhatia"/>
    <x v="0"/>
    <s v="Workstation"/>
    <s v="HP"/>
    <s v="Closed Won"/>
    <n v="210638"/>
    <n v="8638"/>
    <n v="8638"/>
    <d v="2026-07-02T00:00:00"/>
    <s v="Green"/>
    <n v="100"/>
    <s v="CG-VM-0001"/>
    <s v="-"/>
    <s v="-"/>
    <s v="-"/>
    <s v="-"/>
    <s v="GB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35E176-5D0C-4400-AE02-3ACB79D4B293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8" firstHeaderRow="0" firstDataRow="1" firstDataCol="1" rowPageCount="1" colPageCount="1"/>
  <pivotFields count="26">
    <pivotField showAll="0"/>
    <pivotField showAll="0"/>
    <pivotField showAll="0"/>
    <pivotField showAll="0"/>
    <pivotField showAll="0"/>
    <pivotField axis="axisRow" dataField="1" showAll="0">
      <items count="25">
        <item x="0"/>
        <item x="1"/>
        <item x="15"/>
        <item x="3"/>
        <item x="4"/>
        <item x="5"/>
        <item x="13"/>
        <item x="14"/>
        <item x="6"/>
        <item x="20"/>
        <item x="19"/>
        <item x="16"/>
        <item x="17"/>
        <item x="7"/>
        <item x="8"/>
        <item x="9"/>
        <item x="10"/>
        <item x="11"/>
        <item x="18"/>
        <item x="21"/>
        <item x="12"/>
        <item x="22"/>
        <item x="23"/>
        <item x="2"/>
        <item t="default"/>
      </items>
    </pivotField>
    <pivotField showAll="0"/>
    <pivotField showAll="0"/>
    <pivotField showAll="0"/>
    <pivotField showAll="0"/>
    <pivotField axis="axisPage" showAll="0">
      <items count="7">
        <item x="4"/>
        <item x="0"/>
        <item x="5"/>
        <item x="1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pageFields count="1">
    <pageField fld="10" hier="-1"/>
  </pageFields>
  <dataFields count="2">
    <dataField name="Sum of Amount" fld="14" baseField="0" baseItem="0"/>
    <dataField name="Count of Opportunity Led By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33D2-356E-4468-832D-8DA3914EDC51}">
  <dimension ref="A1:E28"/>
  <sheetViews>
    <sheetView zoomScale="85" zoomScaleNormal="85" workbookViewId="0">
      <selection activeCell="B21" sqref="B21"/>
    </sheetView>
  </sheetViews>
  <sheetFormatPr defaultRowHeight="14.4" x14ac:dyDescent="0.3"/>
  <cols>
    <col min="1" max="1" width="19.109375" bestFit="1" customWidth="1"/>
    <col min="2" max="2" width="14.109375" bestFit="1" customWidth="1"/>
    <col min="3" max="3" width="24.77734375" bestFit="1" customWidth="1"/>
    <col min="4" max="4" width="12.88671875" bestFit="1" customWidth="1"/>
    <col min="10" max="10" width="12" bestFit="1" customWidth="1"/>
  </cols>
  <sheetData>
    <row r="1" spans="1:5" x14ac:dyDescent="0.3">
      <c r="A1" s="5" t="s">
        <v>9</v>
      </c>
      <c r="B1" t="s">
        <v>720</v>
      </c>
    </row>
    <row r="3" spans="1:5" x14ac:dyDescent="0.3">
      <c r="A3" s="5" t="s">
        <v>282</v>
      </c>
      <c r="B3" t="s">
        <v>719</v>
      </c>
      <c r="C3" t="s">
        <v>285</v>
      </c>
      <c r="D3" s="10">
        <v>4878000</v>
      </c>
      <c r="E3" s="10">
        <f>D3/10^7</f>
        <v>0.48780000000000001</v>
      </c>
    </row>
    <row r="4" spans="1:5" x14ac:dyDescent="0.3">
      <c r="A4" s="6" t="s">
        <v>28</v>
      </c>
      <c r="B4" s="9">
        <v>4878000</v>
      </c>
      <c r="C4" s="9">
        <v>3</v>
      </c>
      <c r="D4" s="10">
        <v>31420276.32</v>
      </c>
      <c r="E4" s="10">
        <f t="shared" ref="E4:E25" si="0">D4/10^7</f>
        <v>3.142027632</v>
      </c>
    </row>
    <row r="5" spans="1:5" x14ac:dyDescent="0.3">
      <c r="A5" s="6" t="s">
        <v>82</v>
      </c>
      <c r="B5" s="9">
        <v>31420276.32</v>
      </c>
      <c r="C5" s="9">
        <v>7</v>
      </c>
      <c r="D5" s="10">
        <v>785030</v>
      </c>
      <c r="E5" s="10">
        <f t="shared" si="0"/>
        <v>7.8503000000000003E-2</v>
      </c>
    </row>
    <row r="6" spans="1:5" x14ac:dyDescent="0.3">
      <c r="A6" s="6" t="s">
        <v>371</v>
      </c>
      <c r="B6" s="9">
        <v>785030</v>
      </c>
      <c r="C6" s="9">
        <v>3</v>
      </c>
      <c r="D6" s="10">
        <v>85199639.310000002</v>
      </c>
      <c r="E6" s="10">
        <f t="shared" si="0"/>
        <v>8.5199639309999995</v>
      </c>
    </row>
    <row r="7" spans="1:5" x14ac:dyDescent="0.3">
      <c r="A7" s="6" t="s">
        <v>269</v>
      </c>
      <c r="B7" s="9">
        <v>85199639.310000002</v>
      </c>
      <c r="C7" s="9">
        <v>4</v>
      </c>
      <c r="D7" s="10">
        <v>108801000</v>
      </c>
      <c r="E7" s="10">
        <f t="shared" si="0"/>
        <v>10.880100000000001</v>
      </c>
    </row>
    <row r="8" spans="1:5" x14ac:dyDescent="0.3">
      <c r="A8" s="6" t="s">
        <v>120</v>
      </c>
      <c r="B8" s="9">
        <v>108801000</v>
      </c>
      <c r="C8" s="9">
        <v>5</v>
      </c>
      <c r="D8" s="10">
        <v>3138498</v>
      </c>
      <c r="E8" s="10">
        <f t="shared" si="0"/>
        <v>0.31384980000000001</v>
      </c>
    </row>
    <row r="9" spans="1:5" x14ac:dyDescent="0.3">
      <c r="A9" s="6" t="s">
        <v>144</v>
      </c>
      <c r="B9" s="9">
        <v>3138498</v>
      </c>
      <c r="C9" s="9">
        <v>4</v>
      </c>
      <c r="D9" s="10">
        <v>2900441</v>
      </c>
      <c r="E9" s="10">
        <f t="shared" si="0"/>
        <v>0.29004410000000003</v>
      </c>
    </row>
    <row r="10" spans="1:5" x14ac:dyDescent="0.3">
      <c r="A10" s="6" t="s">
        <v>220</v>
      </c>
      <c r="B10" s="9">
        <v>2900441</v>
      </c>
      <c r="C10" s="9">
        <v>6</v>
      </c>
      <c r="D10" s="10">
        <v>210400</v>
      </c>
      <c r="E10" s="10">
        <f t="shared" si="0"/>
        <v>2.104E-2</v>
      </c>
    </row>
    <row r="11" spans="1:5" x14ac:dyDescent="0.3">
      <c r="A11" s="6" t="s">
        <v>129</v>
      </c>
      <c r="B11" s="9">
        <v>210400</v>
      </c>
      <c r="C11" s="9">
        <v>5</v>
      </c>
      <c r="D11" s="10">
        <v>86730100</v>
      </c>
      <c r="E11" s="10">
        <f t="shared" si="0"/>
        <v>8.6730099999999997</v>
      </c>
    </row>
    <row r="12" spans="1:5" x14ac:dyDescent="0.3">
      <c r="A12" s="6" t="s">
        <v>50</v>
      </c>
      <c r="B12" s="9">
        <v>86730100</v>
      </c>
      <c r="C12" s="9">
        <v>27</v>
      </c>
      <c r="D12" s="10">
        <v>4554774.1500000004</v>
      </c>
      <c r="E12" s="10">
        <f t="shared" si="0"/>
        <v>0.45547741500000005</v>
      </c>
    </row>
    <row r="13" spans="1:5" x14ac:dyDescent="0.3">
      <c r="A13" s="6" t="s">
        <v>213</v>
      </c>
      <c r="B13" s="9">
        <v>4554774.1500000004</v>
      </c>
      <c r="C13" s="9">
        <v>9</v>
      </c>
      <c r="D13" s="10">
        <v>3727120</v>
      </c>
      <c r="E13" s="10">
        <f t="shared" si="0"/>
        <v>0.37271199999999999</v>
      </c>
    </row>
    <row r="14" spans="1:5" x14ac:dyDescent="0.3">
      <c r="A14" s="6" t="s">
        <v>410</v>
      </c>
      <c r="B14" s="9">
        <v>3727120</v>
      </c>
      <c r="C14" s="9">
        <v>2</v>
      </c>
      <c r="D14" s="10">
        <v>59020000</v>
      </c>
      <c r="E14" s="10">
        <f t="shared" si="0"/>
        <v>5.9020000000000001</v>
      </c>
    </row>
    <row r="15" spans="1:5" x14ac:dyDescent="0.3">
      <c r="A15" s="6" t="s">
        <v>397</v>
      </c>
      <c r="B15" s="9">
        <v>59020000</v>
      </c>
      <c r="C15" s="9">
        <v>22</v>
      </c>
      <c r="D15" s="10">
        <v>2296510</v>
      </c>
      <c r="E15" s="10">
        <f t="shared" si="0"/>
        <v>0.22965099999999999</v>
      </c>
    </row>
    <row r="16" spans="1:5" x14ac:dyDescent="0.3">
      <c r="A16" s="6" t="s">
        <v>153</v>
      </c>
      <c r="B16" s="9">
        <v>2296510</v>
      </c>
      <c r="C16" s="9">
        <v>3</v>
      </c>
      <c r="D16" s="10">
        <v>307663902.63</v>
      </c>
      <c r="E16" s="10">
        <f t="shared" si="0"/>
        <v>30.766390262999998</v>
      </c>
    </row>
    <row r="17" spans="1:5" x14ac:dyDescent="0.3">
      <c r="A17" s="6" t="s">
        <v>59</v>
      </c>
      <c r="B17" s="9">
        <v>307663902.63</v>
      </c>
      <c r="C17" s="9">
        <v>10</v>
      </c>
      <c r="D17" s="10">
        <v>23687948.800000001</v>
      </c>
      <c r="E17" s="10">
        <f t="shared" si="0"/>
        <v>2.3687948800000003</v>
      </c>
    </row>
    <row r="18" spans="1:5" x14ac:dyDescent="0.3">
      <c r="A18" s="6" t="s">
        <v>72</v>
      </c>
      <c r="B18" s="9">
        <v>23687948.800000001</v>
      </c>
      <c r="C18" s="9">
        <v>15</v>
      </c>
      <c r="D18" s="10">
        <v>170056432</v>
      </c>
      <c r="E18" s="10">
        <f t="shared" si="0"/>
        <v>17.005643200000002</v>
      </c>
    </row>
    <row r="19" spans="1:5" x14ac:dyDescent="0.3">
      <c r="A19" s="6" t="s">
        <v>568</v>
      </c>
      <c r="B19" s="9">
        <v>170056432</v>
      </c>
      <c r="C19" s="9">
        <v>1</v>
      </c>
      <c r="D19" s="10">
        <v>40182631</v>
      </c>
      <c r="E19" s="10">
        <f t="shared" si="0"/>
        <v>4.0182631000000004</v>
      </c>
    </row>
    <row r="20" spans="1:5" x14ac:dyDescent="0.3">
      <c r="A20" s="6" t="s">
        <v>207</v>
      </c>
      <c r="B20" s="9">
        <v>40182631</v>
      </c>
      <c r="C20" s="9">
        <v>4</v>
      </c>
      <c r="D20" s="10">
        <v>2577250</v>
      </c>
      <c r="E20" s="10">
        <f t="shared" si="0"/>
        <v>0.25772499999999998</v>
      </c>
    </row>
    <row r="21" spans="1:5" x14ac:dyDescent="0.3">
      <c r="A21" s="6" t="s">
        <v>101</v>
      </c>
      <c r="B21" s="9">
        <v>2577250</v>
      </c>
      <c r="C21" s="9">
        <v>4</v>
      </c>
      <c r="D21" s="10">
        <v>3115210</v>
      </c>
      <c r="E21" s="10">
        <f t="shared" si="0"/>
        <v>0.31152099999999999</v>
      </c>
    </row>
    <row r="22" spans="1:5" x14ac:dyDescent="0.3">
      <c r="A22" s="6" t="s">
        <v>403</v>
      </c>
      <c r="B22" s="9">
        <v>3115210</v>
      </c>
      <c r="C22" s="9">
        <v>3</v>
      </c>
      <c r="D22" s="10">
        <v>9112125</v>
      </c>
      <c r="E22" s="10">
        <f t="shared" si="0"/>
        <v>0.91121249999999998</v>
      </c>
    </row>
    <row r="23" spans="1:5" x14ac:dyDescent="0.3">
      <c r="A23" s="6" t="s">
        <v>189</v>
      </c>
      <c r="B23" s="9">
        <v>9112125</v>
      </c>
      <c r="C23" s="9">
        <v>3</v>
      </c>
      <c r="D23" s="10">
        <v>18541540.129999999</v>
      </c>
      <c r="E23" s="10">
        <f t="shared" si="0"/>
        <v>1.8541540129999998</v>
      </c>
    </row>
    <row r="24" spans="1:5" x14ac:dyDescent="0.3">
      <c r="A24" s="6" t="s">
        <v>107</v>
      </c>
      <c r="B24" s="9">
        <v>18541540.129999999</v>
      </c>
      <c r="C24" s="9">
        <v>4</v>
      </c>
      <c r="D24" s="10">
        <v>955628</v>
      </c>
      <c r="E24" s="10">
        <f t="shared" si="0"/>
        <v>9.5562800000000003E-2</v>
      </c>
    </row>
    <row r="25" spans="1:5" x14ac:dyDescent="0.3">
      <c r="A25" s="6" t="s">
        <v>236</v>
      </c>
      <c r="B25" s="9">
        <v>955628</v>
      </c>
      <c r="C25" s="9">
        <v>2</v>
      </c>
      <c r="D25" s="10">
        <v>465000</v>
      </c>
      <c r="E25" s="10">
        <f t="shared" si="0"/>
        <v>4.65E-2</v>
      </c>
    </row>
    <row r="26" spans="1:5" x14ac:dyDescent="0.3">
      <c r="A26" s="6" t="s">
        <v>191</v>
      </c>
      <c r="B26" s="9">
        <v>465000</v>
      </c>
      <c r="C26" s="9">
        <v>1</v>
      </c>
      <c r="D26" s="10"/>
    </row>
    <row r="27" spans="1:5" x14ac:dyDescent="0.3">
      <c r="A27" s="6" t="s">
        <v>283</v>
      </c>
      <c r="B27" s="9"/>
      <c r="C27" s="9"/>
      <c r="D27" s="10"/>
      <c r="E27" s="10">
        <f>SUM(E3:E25)</f>
        <v>97.001945633999966</v>
      </c>
    </row>
    <row r="28" spans="1:5" x14ac:dyDescent="0.3">
      <c r="A28" s="6" t="s">
        <v>284</v>
      </c>
      <c r="B28" s="9">
        <v>970019456.33999991</v>
      </c>
      <c r="C28" s="9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2B99-F589-4D59-91C7-98D77E001A85}">
  <sheetPr filterMode="1"/>
  <dimension ref="A1:Z1048551"/>
  <sheetViews>
    <sheetView tabSelected="1" topLeftCell="M1" zoomScale="70" zoomScaleNormal="70" workbookViewId="0">
      <selection activeCell="V161" sqref="V161"/>
    </sheetView>
  </sheetViews>
  <sheetFormatPr defaultRowHeight="14.4" x14ac:dyDescent="0.3"/>
  <cols>
    <col min="1" max="1" width="18.33203125" bestFit="1" customWidth="1"/>
    <col min="2" max="2" width="17.44140625" bestFit="1" customWidth="1"/>
    <col min="3" max="3" width="58.88671875" bestFit="1" customWidth="1"/>
    <col min="4" max="4" width="21" bestFit="1" customWidth="1"/>
    <col min="5" max="5" width="60.77734375" bestFit="1" customWidth="1"/>
    <col min="6" max="6" width="18.109375" bestFit="1" customWidth="1"/>
    <col min="7" max="7" width="67.6640625" bestFit="1" customWidth="1"/>
    <col min="8" max="8" width="25.44140625" bestFit="1" customWidth="1"/>
    <col min="9" max="9" width="14.109375" bestFit="1" customWidth="1"/>
    <col min="10" max="10" width="16.77734375" bestFit="1" customWidth="1"/>
    <col min="11" max="11" width="23.77734375" bestFit="1" customWidth="1"/>
    <col min="12" max="12" width="21.44140625" bestFit="1" customWidth="1"/>
    <col min="13" max="13" width="11.21875" bestFit="1" customWidth="1"/>
    <col min="14" max="14" width="12.33203125" bestFit="1" customWidth="1"/>
    <col min="15" max="15" width="15.33203125" bestFit="1" customWidth="1"/>
    <col min="16" max="16" width="20.44140625" bestFit="1" customWidth="1"/>
    <col min="17" max="17" width="18.44140625" bestFit="1" customWidth="1"/>
    <col min="18" max="18" width="19.77734375" bestFit="1" customWidth="1"/>
    <col min="19" max="19" width="14.33203125" bestFit="1" customWidth="1"/>
    <col min="20" max="20" width="11.6640625" bestFit="1" customWidth="1"/>
    <col min="21" max="21" width="13.109375" bestFit="1" customWidth="1"/>
    <col min="22" max="22" width="18.5546875" bestFit="1" customWidth="1"/>
    <col min="23" max="23" width="25.88671875" bestFit="1" customWidth="1"/>
    <col min="24" max="24" width="16.109375" bestFit="1" customWidth="1"/>
    <col min="25" max="25" width="77.88671875" customWidth="1"/>
    <col min="26" max="26" width="12.109375" style="6" bestFit="1" customWidth="1"/>
  </cols>
  <sheetData>
    <row r="1" spans="1:26" x14ac:dyDescent="0.3">
      <c r="A1" s="1" t="s">
        <v>286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6" t="s">
        <v>241</v>
      </c>
    </row>
    <row r="2" spans="1:26" hidden="1" x14ac:dyDescent="0.3">
      <c r="A2" s="2">
        <v>46181.585416666669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3">
        <v>866000</v>
      </c>
      <c r="P2" s="3">
        <v>39500</v>
      </c>
      <c r="Q2" s="3">
        <v>39500</v>
      </c>
      <c r="R2" s="4">
        <v>46206</v>
      </c>
      <c r="S2" s="1" t="s">
        <v>36</v>
      </c>
      <c r="T2" s="1">
        <v>100</v>
      </c>
      <c r="U2" s="1" t="s">
        <v>37</v>
      </c>
      <c r="V2" s="1" t="s">
        <v>38</v>
      </c>
      <c r="W2" s="1" t="s">
        <v>38</v>
      </c>
      <c r="X2" s="1" t="s">
        <v>38</v>
      </c>
      <c r="Y2" s="1" t="s">
        <v>39</v>
      </c>
      <c r="Z2" s="6" t="s">
        <v>242</v>
      </c>
    </row>
    <row r="3" spans="1:26" hidden="1" x14ac:dyDescent="0.3">
      <c r="A3" s="2">
        <v>46213.487500000003</v>
      </c>
      <c r="B3" s="1" t="s">
        <v>40</v>
      </c>
      <c r="C3" s="1" t="s">
        <v>41</v>
      </c>
      <c r="D3" s="1" t="s">
        <v>42</v>
      </c>
      <c r="E3" s="1" t="s">
        <v>27</v>
      </c>
      <c r="F3" s="1" t="s">
        <v>28</v>
      </c>
      <c r="G3" s="1" t="s">
        <v>28</v>
      </c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43</v>
      </c>
      <c r="N3" s="1" t="s">
        <v>35</v>
      </c>
      <c r="O3" s="3">
        <v>1732000</v>
      </c>
      <c r="P3" s="3">
        <v>89000</v>
      </c>
      <c r="Q3" s="3">
        <v>89000</v>
      </c>
      <c r="R3" s="4">
        <v>46213</v>
      </c>
      <c r="S3" s="1" t="s">
        <v>36</v>
      </c>
      <c r="T3" s="1">
        <v>100</v>
      </c>
      <c r="U3" s="1" t="s">
        <v>44</v>
      </c>
      <c r="V3" s="1" t="s">
        <v>38</v>
      </c>
      <c r="W3" s="1" t="s">
        <v>38</v>
      </c>
      <c r="X3" s="1" t="s">
        <v>38</v>
      </c>
      <c r="Y3" s="1" t="s">
        <v>45</v>
      </c>
      <c r="Z3" s="6" t="s">
        <v>242</v>
      </c>
    </row>
    <row r="4" spans="1:26" hidden="1" x14ac:dyDescent="0.3">
      <c r="A4" s="2">
        <v>46221.474999999999</v>
      </c>
      <c r="B4" s="1" t="s">
        <v>287</v>
      </c>
      <c r="C4" s="1" t="s">
        <v>25</v>
      </c>
      <c r="D4" s="1" t="s">
        <v>26</v>
      </c>
      <c r="E4" s="1" t="s">
        <v>288</v>
      </c>
      <c r="F4" s="1" t="s">
        <v>28</v>
      </c>
      <c r="G4" s="1" t="s">
        <v>28</v>
      </c>
      <c r="H4" s="1" t="s">
        <v>29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43</v>
      </c>
      <c r="N4" s="1" t="s">
        <v>35</v>
      </c>
      <c r="O4" s="3">
        <v>2280000</v>
      </c>
      <c r="P4" s="3">
        <v>78000</v>
      </c>
      <c r="Q4" s="3">
        <v>78000</v>
      </c>
      <c r="R4" s="4">
        <v>46226</v>
      </c>
      <c r="S4" s="1" t="s">
        <v>36</v>
      </c>
      <c r="T4" s="1">
        <v>100</v>
      </c>
      <c r="U4" s="1" t="s">
        <v>289</v>
      </c>
      <c r="V4" s="1" t="s">
        <v>38</v>
      </c>
      <c r="W4" s="1" t="s">
        <v>38</v>
      </c>
      <c r="X4" s="1" t="s">
        <v>38</v>
      </c>
      <c r="Y4" s="1" t="s">
        <v>290</v>
      </c>
      <c r="Z4" s="6" t="s">
        <v>242</v>
      </c>
    </row>
    <row r="5" spans="1:26" hidden="1" x14ac:dyDescent="0.3">
      <c r="A5" s="2">
        <v>46108.760416666664</v>
      </c>
      <c r="B5" s="1" t="s">
        <v>291</v>
      </c>
      <c r="C5" s="1" t="s">
        <v>292</v>
      </c>
      <c r="D5" s="1" t="s">
        <v>293</v>
      </c>
      <c r="E5" s="1" t="s">
        <v>294</v>
      </c>
      <c r="F5" s="1" t="s">
        <v>82</v>
      </c>
      <c r="G5" s="1" t="s">
        <v>295</v>
      </c>
      <c r="H5" s="1" t="s">
        <v>296</v>
      </c>
      <c r="I5" s="1" t="s">
        <v>30</v>
      </c>
      <c r="J5" s="1" t="s">
        <v>31</v>
      </c>
      <c r="K5" s="1" t="s">
        <v>53</v>
      </c>
      <c r="L5" s="1" t="s">
        <v>62</v>
      </c>
      <c r="M5" s="1" t="s">
        <v>63</v>
      </c>
      <c r="N5" s="1" t="s">
        <v>35</v>
      </c>
      <c r="O5" s="3">
        <v>682200</v>
      </c>
      <c r="P5" s="3">
        <v>40000</v>
      </c>
      <c r="Q5" s="1">
        <v>0</v>
      </c>
      <c r="R5" s="4">
        <v>46224</v>
      </c>
      <c r="S5" s="1" t="s">
        <v>36</v>
      </c>
      <c r="T5" s="1">
        <v>100</v>
      </c>
      <c r="U5" s="1" t="s">
        <v>297</v>
      </c>
      <c r="V5" s="1" t="s">
        <v>38</v>
      </c>
      <c r="W5" s="1" t="s">
        <v>38</v>
      </c>
      <c r="X5" s="1" t="s">
        <v>38</v>
      </c>
      <c r="Y5" s="7" t="s">
        <v>298</v>
      </c>
      <c r="Z5" s="6" t="s">
        <v>75</v>
      </c>
    </row>
    <row r="6" spans="1:26" ht="28.8" hidden="1" x14ac:dyDescent="0.3">
      <c r="A6" s="2">
        <v>46212.654166666667</v>
      </c>
      <c r="B6" s="1" t="s">
        <v>299</v>
      </c>
      <c r="C6" s="1" t="s">
        <v>300</v>
      </c>
      <c r="D6" s="1" t="s">
        <v>301</v>
      </c>
      <c r="E6" s="1" t="s">
        <v>302</v>
      </c>
      <c r="F6" s="1" t="s">
        <v>82</v>
      </c>
      <c r="G6" s="1" t="s">
        <v>295</v>
      </c>
      <c r="H6" s="1" t="s">
        <v>29</v>
      </c>
      <c r="I6" s="1" t="s">
        <v>30</v>
      </c>
      <c r="J6" s="1" t="s">
        <v>31</v>
      </c>
      <c r="K6" s="1" t="s">
        <v>53</v>
      </c>
      <c r="L6" s="1" t="s">
        <v>62</v>
      </c>
      <c r="M6" s="1" t="s">
        <v>63</v>
      </c>
      <c r="N6" s="1" t="s">
        <v>35</v>
      </c>
      <c r="O6" s="3">
        <v>1375387</v>
      </c>
      <c r="P6" s="3">
        <v>200000</v>
      </c>
      <c r="Q6" s="1">
        <v>0</v>
      </c>
      <c r="R6" s="4">
        <v>46224</v>
      </c>
      <c r="S6" s="1" t="s">
        <v>36</v>
      </c>
      <c r="T6" s="1">
        <v>100</v>
      </c>
      <c r="U6" s="1" t="s">
        <v>303</v>
      </c>
      <c r="V6" s="1" t="s">
        <v>38</v>
      </c>
      <c r="W6" s="1" t="s">
        <v>38</v>
      </c>
      <c r="X6" s="1" t="s">
        <v>38</v>
      </c>
      <c r="Y6" s="7" t="s">
        <v>304</v>
      </c>
      <c r="Z6" s="6" t="s">
        <v>75</v>
      </c>
    </row>
    <row r="7" spans="1:26" ht="28.8" hidden="1" x14ac:dyDescent="0.3">
      <c r="A7" s="2">
        <v>46224.463194444441</v>
      </c>
      <c r="B7" s="1" t="s">
        <v>539</v>
      </c>
      <c r="C7" s="1" t="s">
        <v>540</v>
      </c>
      <c r="D7" s="1" t="s">
        <v>541</v>
      </c>
      <c r="E7" s="1" t="s">
        <v>542</v>
      </c>
      <c r="F7" s="1" t="s">
        <v>82</v>
      </c>
      <c r="G7" s="1" t="s">
        <v>295</v>
      </c>
      <c r="H7" s="1" t="s">
        <v>296</v>
      </c>
      <c r="I7" s="1" t="s">
        <v>30</v>
      </c>
      <c r="J7" s="1" t="s">
        <v>31</v>
      </c>
      <c r="K7" s="1" t="s">
        <v>53</v>
      </c>
      <c r="L7" s="1" t="s">
        <v>54</v>
      </c>
      <c r="M7" s="1" t="s">
        <v>199</v>
      </c>
      <c r="N7" s="1" t="s">
        <v>35</v>
      </c>
      <c r="O7" s="3">
        <v>21600000</v>
      </c>
      <c r="P7" s="3">
        <v>500000</v>
      </c>
      <c r="Q7" s="1">
        <v>0</v>
      </c>
      <c r="R7" s="4">
        <v>46234</v>
      </c>
      <c r="S7" s="1" t="s">
        <v>36</v>
      </c>
      <c r="T7" s="1">
        <v>100</v>
      </c>
      <c r="U7" s="1" t="s">
        <v>543</v>
      </c>
      <c r="V7" s="1" t="s">
        <v>38</v>
      </c>
      <c r="W7" s="1" t="s">
        <v>38</v>
      </c>
      <c r="X7" s="1" t="s">
        <v>38</v>
      </c>
      <c r="Y7" s="7" t="s">
        <v>544</v>
      </c>
      <c r="Z7" s="6" t="s">
        <v>75</v>
      </c>
    </row>
    <row r="8" spans="1:26" ht="28.8" hidden="1" x14ac:dyDescent="0.3">
      <c r="A8" s="2">
        <v>46224.631944444445</v>
      </c>
      <c r="B8" s="1" t="s">
        <v>305</v>
      </c>
      <c r="C8" s="1" t="s">
        <v>300</v>
      </c>
      <c r="D8" s="1" t="s">
        <v>301</v>
      </c>
      <c r="E8" s="1" t="s">
        <v>306</v>
      </c>
      <c r="F8" s="1" t="s">
        <v>82</v>
      </c>
      <c r="G8" s="1" t="s">
        <v>295</v>
      </c>
      <c r="H8" s="1" t="s">
        <v>29</v>
      </c>
      <c r="I8" s="1" t="s">
        <v>30</v>
      </c>
      <c r="J8" s="1" t="s">
        <v>31</v>
      </c>
      <c r="K8" s="1" t="s">
        <v>53</v>
      </c>
      <c r="L8" s="1" t="s">
        <v>62</v>
      </c>
      <c r="M8" s="1" t="s">
        <v>63</v>
      </c>
      <c r="N8" s="1" t="s">
        <v>35</v>
      </c>
      <c r="O8" s="3">
        <v>824613</v>
      </c>
      <c r="P8" s="3">
        <v>200000</v>
      </c>
      <c r="Q8" s="1">
        <v>0</v>
      </c>
      <c r="R8" s="4">
        <v>46224</v>
      </c>
      <c r="S8" s="1" t="s">
        <v>36</v>
      </c>
      <c r="T8" s="1">
        <v>100</v>
      </c>
      <c r="U8" s="1" t="s">
        <v>307</v>
      </c>
      <c r="V8" s="1" t="s">
        <v>38</v>
      </c>
      <c r="W8" s="1" t="s">
        <v>38</v>
      </c>
      <c r="X8" s="1" t="s">
        <v>38</v>
      </c>
      <c r="Y8" s="7" t="s">
        <v>304</v>
      </c>
      <c r="Z8" s="6" t="s">
        <v>75</v>
      </c>
    </row>
    <row r="9" spans="1:26" hidden="1" x14ac:dyDescent="0.3">
      <c r="A9" s="2">
        <v>46225.506944444445</v>
      </c>
      <c r="B9" s="1" t="s">
        <v>545</v>
      </c>
      <c r="C9" s="1" t="s">
        <v>292</v>
      </c>
      <c r="D9" s="1" t="s">
        <v>293</v>
      </c>
      <c r="E9" s="1" t="s">
        <v>546</v>
      </c>
      <c r="F9" s="1" t="s">
        <v>82</v>
      </c>
      <c r="G9" s="1" t="s">
        <v>295</v>
      </c>
      <c r="H9" s="1" t="s">
        <v>296</v>
      </c>
      <c r="I9" s="1" t="s">
        <v>30</v>
      </c>
      <c r="J9" s="1" t="s">
        <v>31</v>
      </c>
      <c r="K9" s="1" t="s">
        <v>53</v>
      </c>
      <c r="L9" s="1" t="s">
        <v>62</v>
      </c>
      <c r="M9" s="1" t="s">
        <v>63</v>
      </c>
      <c r="N9" s="1" t="s">
        <v>35</v>
      </c>
      <c r="O9" s="3">
        <v>1429578.32</v>
      </c>
      <c r="P9" s="3">
        <v>100000</v>
      </c>
      <c r="Q9" s="3">
        <v>43917.67</v>
      </c>
      <c r="R9" s="4">
        <v>46233</v>
      </c>
      <c r="S9" s="1" t="s">
        <v>36</v>
      </c>
      <c r="T9" s="1">
        <v>100</v>
      </c>
      <c r="U9" s="1" t="s">
        <v>547</v>
      </c>
      <c r="V9" s="1" t="s">
        <v>38</v>
      </c>
      <c r="W9" s="1" t="s">
        <v>38</v>
      </c>
      <c r="X9" s="1" t="s">
        <v>38</v>
      </c>
      <c r="Y9" s="7" t="s">
        <v>548</v>
      </c>
      <c r="Z9" s="6" t="s">
        <v>75</v>
      </c>
    </row>
    <row r="10" spans="1:26" ht="43.2" hidden="1" x14ac:dyDescent="0.3">
      <c r="A10" s="2">
        <v>46225.538888888892</v>
      </c>
      <c r="B10" s="1" t="s">
        <v>549</v>
      </c>
      <c r="C10" s="1" t="s">
        <v>550</v>
      </c>
      <c r="D10" s="1" t="s">
        <v>551</v>
      </c>
      <c r="E10" s="1" t="s">
        <v>552</v>
      </c>
      <c r="F10" s="1" t="s">
        <v>82</v>
      </c>
      <c r="G10" s="1" t="s">
        <v>295</v>
      </c>
      <c r="H10" s="1" t="s">
        <v>29</v>
      </c>
      <c r="I10" s="1" t="s">
        <v>30</v>
      </c>
      <c r="J10" s="1" t="s">
        <v>31</v>
      </c>
      <c r="K10" s="1" t="s">
        <v>53</v>
      </c>
      <c r="L10" s="1" t="s">
        <v>315</v>
      </c>
      <c r="M10" s="1" t="s">
        <v>75</v>
      </c>
      <c r="N10" s="1" t="s">
        <v>35</v>
      </c>
      <c r="O10" s="3">
        <v>510000</v>
      </c>
      <c r="P10" s="3">
        <v>50000</v>
      </c>
      <c r="Q10" s="3">
        <v>55683.360000000001</v>
      </c>
      <c r="R10" s="4">
        <v>46231</v>
      </c>
      <c r="S10" s="1" t="s">
        <v>36</v>
      </c>
      <c r="T10" s="1">
        <v>100</v>
      </c>
      <c r="U10" s="1" t="s">
        <v>553</v>
      </c>
      <c r="V10" s="1" t="s">
        <v>38</v>
      </c>
      <c r="W10" s="1" t="s">
        <v>38</v>
      </c>
      <c r="X10" s="1" t="s">
        <v>38</v>
      </c>
      <c r="Y10" s="7" t="s">
        <v>554</v>
      </c>
      <c r="Z10" s="6" t="s">
        <v>75</v>
      </c>
    </row>
    <row r="11" spans="1:26" hidden="1" x14ac:dyDescent="0.3">
      <c r="A11" s="2">
        <v>46225.92083333333</v>
      </c>
      <c r="B11" s="1" t="s">
        <v>308</v>
      </c>
      <c r="C11" s="1" t="s">
        <v>266</v>
      </c>
      <c r="D11" s="1" t="s">
        <v>267</v>
      </c>
      <c r="E11" s="1" t="s">
        <v>309</v>
      </c>
      <c r="F11" s="1" t="s">
        <v>269</v>
      </c>
      <c r="G11" s="1" t="s">
        <v>310</v>
      </c>
      <c r="H11" s="1" t="s">
        <v>29</v>
      </c>
      <c r="I11" s="1" t="s">
        <v>30</v>
      </c>
      <c r="J11" s="1" t="s">
        <v>52</v>
      </c>
      <c r="K11" s="1" t="s">
        <v>53</v>
      </c>
      <c r="L11" s="1" t="s">
        <v>67</v>
      </c>
      <c r="M11" s="1" t="s">
        <v>63</v>
      </c>
      <c r="N11" s="1" t="s">
        <v>35</v>
      </c>
      <c r="O11" s="3">
        <v>189247.31</v>
      </c>
      <c r="P11" s="3">
        <v>17204</v>
      </c>
      <c r="Q11" s="1">
        <v>0</v>
      </c>
      <c r="R11" s="4">
        <v>46225</v>
      </c>
      <c r="S11" s="1" t="s">
        <v>36</v>
      </c>
      <c r="T11" s="1">
        <v>100</v>
      </c>
      <c r="U11" s="1" t="s">
        <v>38</v>
      </c>
      <c r="V11" s="1" t="s">
        <v>38</v>
      </c>
      <c r="W11" s="1" t="s">
        <v>38</v>
      </c>
      <c r="X11" s="1" t="s">
        <v>38</v>
      </c>
      <c r="Y11" s="1" t="s">
        <v>38</v>
      </c>
      <c r="Z11" s="6" t="s">
        <v>243</v>
      </c>
    </row>
    <row r="12" spans="1:26" hidden="1" x14ac:dyDescent="0.3">
      <c r="A12" s="2">
        <v>46049.463194444441</v>
      </c>
      <c r="B12" s="1" t="s">
        <v>248</v>
      </c>
      <c r="C12" s="1" t="s">
        <v>249</v>
      </c>
      <c r="D12" s="1" t="s">
        <v>250</v>
      </c>
      <c r="E12" s="1" t="s">
        <v>251</v>
      </c>
      <c r="F12" s="1" t="s">
        <v>120</v>
      </c>
      <c r="G12" s="1" t="s">
        <v>252</v>
      </c>
      <c r="H12" s="1" t="s">
        <v>29</v>
      </c>
      <c r="I12" s="1" t="s">
        <v>30</v>
      </c>
      <c r="J12" s="1" t="s">
        <v>82</v>
      </c>
      <c r="K12" s="1" t="s">
        <v>53</v>
      </c>
      <c r="L12" s="1" t="s">
        <v>253</v>
      </c>
      <c r="M12" s="1" t="s">
        <v>254</v>
      </c>
      <c r="N12" s="1" t="s">
        <v>35</v>
      </c>
      <c r="O12" s="3">
        <v>33000000</v>
      </c>
      <c r="P12" s="3">
        <v>1796666</v>
      </c>
      <c r="Q12" s="1">
        <v>0</v>
      </c>
      <c r="R12" s="4">
        <v>46218</v>
      </c>
      <c r="S12" s="1" t="s">
        <v>36</v>
      </c>
      <c r="T12" s="1">
        <v>100</v>
      </c>
      <c r="U12" s="1" t="s">
        <v>38</v>
      </c>
      <c r="V12" s="1" t="s">
        <v>38</v>
      </c>
      <c r="W12" s="1" t="s">
        <v>38</v>
      </c>
      <c r="X12" s="1" t="s">
        <v>38</v>
      </c>
      <c r="Y12" s="1" t="s">
        <v>38</v>
      </c>
      <c r="Z12" s="6" t="s">
        <v>247</v>
      </c>
    </row>
    <row r="13" spans="1:26" hidden="1" x14ac:dyDescent="0.3">
      <c r="A13" s="2">
        <v>46063.6875</v>
      </c>
      <c r="B13" s="1" t="s">
        <v>255</v>
      </c>
      <c r="C13" s="1" t="s">
        <v>249</v>
      </c>
      <c r="D13" s="1" t="s">
        <v>250</v>
      </c>
      <c r="E13" s="1" t="s">
        <v>256</v>
      </c>
      <c r="F13" s="1" t="s">
        <v>120</v>
      </c>
      <c r="G13" s="1" t="s">
        <v>252</v>
      </c>
      <c r="H13" s="1" t="s">
        <v>29</v>
      </c>
      <c r="I13" s="1" t="s">
        <v>30</v>
      </c>
      <c r="J13" s="1" t="s">
        <v>82</v>
      </c>
      <c r="K13" s="1" t="s">
        <v>53</v>
      </c>
      <c r="L13" s="1" t="s">
        <v>253</v>
      </c>
      <c r="M13" s="1" t="s">
        <v>254</v>
      </c>
      <c r="N13" s="1" t="s">
        <v>35</v>
      </c>
      <c r="O13" s="3">
        <v>33000000</v>
      </c>
      <c r="P13" s="3">
        <v>1796666</v>
      </c>
      <c r="Q13" s="1">
        <v>0</v>
      </c>
      <c r="R13" s="4">
        <v>46218</v>
      </c>
      <c r="S13" s="1" t="s">
        <v>36</v>
      </c>
      <c r="T13" s="1">
        <v>100</v>
      </c>
      <c r="U13" s="1" t="s">
        <v>38</v>
      </c>
      <c r="V13" s="1" t="s">
        <v>38</v>
      </c>
      <c r="W13" s="1" t="s">
        <v>38</v>
      </c>
      <c r="X13" s="1" t="s">
        <v>38</v>
      </c>
      <c r="Y13" s="1" t="s">
        <v>38</v>
      </c>
      <c r="Z13" s="6" t="s">
        <v>247</v>
      </c>
    </row>
    <row r="14" spans="1:26" hidden="1" x14ac:dyDescent="0.3">
      <c r="A14" s="2">
        <v>46063.688194444447</v>
      </c>
      <c r="B14" s="1" t="s">
        <v>257</v>
      </c>
      <c r="C14" s="1" t="s">
        <v>249</v>
      </c>
      <c r="D14" s="1" t="s">
        <v>250</v>
      </c>
      <c r="E14" s="1" t="s">
        <v>258</v>
      </c>
      <c r="F14" s="1" t="s">
        <v>120</v>
      </c>
      <c r="G14" s="1" t="s">
        <v>252</v>
      </c>
      <c r="H14" s="1" t="s">
        <v>29</v>
      </c>
      <c r="I14" s="1" t="s">
        <v>30</v>
      </c>
      <c r="J14" s="1" t="s">
        <v>82</v>
      </c>
      <c r="K14" s="1" t="s">
        <v>53</v>
      </c>
      <c r="L14" s="1" t="s">
        <v>253</v>
      </c>
      <c r="M14" s="1" t="s">
        <v>254</v>
      </c>
      <c r="N14" s="1" t="s">
        <v>35</v>
      </c>
      <c r="O14" s="3">
        <v>33000000</v>
      </c>
      <c r="P14" s="3">
        <v>1796666</v>
      </c>
      <c r="Q14" s="1">
        <v>0</v>
      </c>
      <c r="R14" s="4">
        <v>46218</v>
      </c>
      <c r="S14" s="1" t="s">
        <v>36</v>
      </c>
      <c r="T14" s="1">
        <v>100</v>
      </c>
      <c r="U14" s="1" t="s">
        <v>38</v>
      </c>
      <c r="V14" s="1" t="s">
        <v>38</v>
      </c>
      <c r="W14" s="1" t="s">
        <v>38</v>
      </c>
      <c r="X14" s="1" t="s">
        <v>38</v>
      </c>
      <c r="Y14" s="1" t="s">
        <v>38</v>
      </c>
      <c r="Z14" s="6" t="s">
        <v>247</v>
      </c>
    </row>
    <row r="15" spans="1:26" x14ac:dyDescent="0.3">
      <c r="A15" s="2">
        <v>46146.622916666667</v>
      </c>
      <c r="B15" s="1" t="s">
        <v>555</v>
      </c>
      <c r="C15" s="1" t="s">
        <v>556</v>
      </c>
      <c r="D15" s="1" t="s">
        <v>557</v>
      </c>
      <c r="E15" s="1" t="s">
        <v>558</v>
      </c>
      <c r="F15" s="1" t="s">
        <v>144</v>
      </c>
      <c r="G15" s="1" t="s">
        <v>314</v>
      </c>
      <c r="H15" s="1" t="s">
        <v>29</v>
      </c>
      <c r="I15" s="1" t="s">
        <v>30</v>
      </c>
      <c r="J15" s="1" t="s">
        <v>52</v>
      </c>
      <c r="K15" s="1" t="s">
        <v>53</v>
      </c>
      <c r="L15" s="1" t="s">
        <v>62</v>
      </c>
      <c r="M15" s="1" t="s">
        <v>63</v>
      </c>
      <c r="N15" s="1" t="s">
        <v>35</v>
      </c>
      <c r="O15" s="3">
        <v>2587458</v>
      </c>
      <c r="P15" s="3">
        <v>262128.2</v>
      </c>
      <c r="Q15" s="1">
        <v>0</v>
      </c>
      <c r="R15" s="4">
        <v>46233</v>
      </c>
      <c r="S15" s="1" t="s">
        <v>36</v>
      </c>
      <c r="T15" s="1">
        <v>100</v>
      </c>
      <c r="U15" s="1" t="s">
        <v>38</v>
      </c>
      <c r="V15" s="1" t="s">
        <v>38</v>
      </c>
      <c r="W15" s="1" t="s">
        <v>38</v>
      </c>
      <c r="X15" s="1" t="s">
        <v>38</v>
      </c>
      <c r="Y15" s="1" t="s">
        <v>559</v>
      </c>
      <c r="Z15" s="6" t="s">
        <v>244</v>
      </c>
    </row>
    <row r="16" spans="1:26" x14ac:dyDescent="0.3">
      <c r="A16" s="2">
        <v>46206.62777777778</v>
      </c>
      <c r="B16" s="1" t="s">
        <v>311</v>
      </c>
      <c r="C16" s="1" t="s">
        <v>312</v>
      </c>
      <c r="D16" s="1" t="s">
        <v>313</v>
      </c>
      <c r="E16" s="1" t="s">
        <v>560</v>
      </c>
      <c r="F16" s="1" t="s">
        <v>144</v>
      </c>
      <c r="G16" s="1" t="s">
        <v>314</v>
      </c>
      <c r="H16" s="1" t="s">
        <v>29</v>
      </c>
      <c r="I16" s="1" t="s">
        <v>30</v>
      </c>
      <c r="J16" s="1" t="s">
        <v>52</v>
      </c>
      <c r="K16" s="1" t="s">
        <v>53</v>
      </c>
      <c r="L16" s="1" t="s">
        <v>315</v>
      </c>
      <c r="M16" s="1" t="s">
        <v>316</v>
      </c>
      <c r="N16" s="1" t="s">
        <v>35</v>
      </c>
      <c r="O16" s="3">
        <v>163750</v>
      </c>
      <c r="P16" s="3">
        <v>24000</v>
      </c>
      <c r="Q16" s="3">
        <v>29500</v>
      </c>
      <c r="R16" s="4">
        <v>46227</v>
      </c>
      <c r="S16" s="1" t="s">
        <v>36</v>
      </c>
      <c r="T16" s="1">
        <v>100</v>
      </c>
      <c r="U16" s="1" t="s">
        <v>561</v>
      </c>
      <c r="V16" s="1" t="s">
        <v>38</v>
      </c>
      <c r="W16" s="1" t="s">
        <v>38</v>
      </c>
      <c r="X16" s="1" t="s">
        <v>38</v>
      </c>
      <c r="Y16" s="1" t="s">
        <v>317</v>
      </c>
      <c r="Z16" s="6" t="s">
        <v>244</v>
      </c>
    </row>
    <row r="17" spans="1:26" hidden="1" x14ac:dyDescent="0.3">
      <c r="A17" s="2">
        <v>46144.467361111114</v>
      </c>
      <c r="B17" s="1" t="s">
        <v>46</v>
      </c>
      <c r="C17" s="1" t="s">
        <v>47</v>
      </c>
      <c r="D17" s="1" t="s">
        <v>48</v>
      </c>
      <c r="E17" s="1" t="s">
        <v>49</v>
      </c>
      <c r="F17" s="1" t="s">
        <v>50</v>
      </c>
      <c r="G17" s="1" t="s">
        <v>51</v>
      </c>
      <c r="H17" s="1" t="s">
        <v>29</v>
      </c>
      <c r="I17" s="1" t="s">
        <v>30</v>
      </c>
      <c r="J17" s="1" t="s">
        <v>52</v>
      </c>
      <c r="K17" s="1" t="s">
        <v>53</v>
      </c>
      <c r="L17" s="1" t="s">
        <v>54</v>
      </c>
      <c r="M17" s="1" t="s">
        <v>55</v>
      </c>
      <c r="N17" s="1" t="s">
        <v>35</v>
      </c>
      <c r="O17" s="3">
        <v>14500000</v>
      </c>
      <c r="P17" s="3">
        <v>1200000</v>
      </c>
      <c r="Q17" s="1">
        <v>0</v>
      </c>
      <c r="R17" s="4">
        <v>46205</v>
      </c>
      <c r="S17" s="1" t="s">
        <v>36</v>
      </c>
      <c r="T17" s="1">
        <v>100</v>
      </c>
      <c r="U17" s="1" t="s">
        <v>38</v>
      </c>
      <c r="V17" s="1" t="s">
        <v>38</v>
      </c>
      <c r="W17" s="1" t="s">
        <v>38</v>
      </c>
      <c r="X17" s="1" t="s">
        <v>38</v>
      </c>
      <c r="Y17" s="1" t="s">
        <v>38</v>
      </c>
      <c r="Z17" s="6" t="s">
        <v>246</v>
      </c>
    </row>
    <row r="18" spans="1:26" hidden="1" x14ac:dyDescent="0.3">
      <c r="A18" s="2">
        <v>46194.75</v>
      </c>
      <c r="B18" s="1" t="s">
        <v>318</v>
      </c>
      <c r="C18" s="1" t="s">
        <v>319</v>
      </c>
      <c r="D18" s="1" t="s">
        <v>320</v>
      </c>
      <c r="E18" s="1" t="s">
        <v>321</v>
      </c>
      <c r="F18" s="1" t="s">
        <v>50</v>
      </c>
      <c r="G18" s="1" t="s">
        <v>51</v>
      </c>
      <c r="H18" s="1" t="s">
        <v>29</v>
      </c>
      <c r="I18" s="1" t="s">
        <v>30</v>
      </c>
      <c r="J18" s="1" t="s">
        <v>82</v>
      </c>
      <c r="K18" s="1" t="s">
        <v>53</v>
      </c>
      <c r="L18" s="1" t="s">
        <v>67</v>
      </c>
      <c r="M18" s="1" t="s">
        <v>63</v>
      </c>
      <c r="N18" s="1" t="s">
        <v>35</v>
      </c>
      <c r="O18" s="3">
        <v>2205000</v>
      </c>
      <c r="P18" s="3">
        <v>100000</v>
      </c>
      <c r="Q18" s="3">
        <v>496125</v>
      </c>
      <c r="R18" s="4">
        <v>46216</v>
      </c>
      <c r="S18" s="1" t="s">
        <v>36</v>
      </c>
      <c r="T18" s="1">
        <v>100</v>
      </c>
      <c r="U18" s="1" t="s">
        <v>562</v>
      </c>
      <c r="V18" s="1" t="s">
        <v>38</v>
      </c>
      <c r="W18" s="1" t="s">
        <v>38</v>
      </c>
      <c r="X18" s="1" t="s">
        <v>38</v>
      </c>
      <c r="Y18" s="1" t="s">
        <v>38</v>
      </c>
      <c r="Z18" s="6" t="s">
        <v>246</v>
      </c>
    </row>
    <row r="19" spans="1:26" hidden="1" x14ac:dyDescent="0.3">
      <c r="A19" s="2">
        <v>46216.659722222219</v>
      </c>
      <c r="B19" s="1" t="s">
        <v>322</v>
      </c>
      <c r="C19" s="1" t="s">
        <v>319</v>
      </c>
      <c r="D19" s="1" t="s">
        <v>320</v>
      </c>
      <c r="E19" s="1" t="s">
        <v>323</v>
      </c>
      <c r="F19" s="1" t="s">
        <v>50</v>
      </c>
      <c r="G19" s="1" t="s">
        <v>51</v>
      </c>
      <c r="H19" s="1" t="s">
        <v>29</v>
      </c>
      <c r="I19" s="1" t="s">
        <v>30</v>
      </c>
      <c r="J19" s="1" t="s">
        <v>82</v>
      </c>
      <c r="K19" s="1" t="s">
        <v>53</v>
      </c>
      <c r="L19" s="1" t="s">
        <v>67</v>
      </c>
      <c r="M19" s="1" t="s">
        <v>63</v>
      </c>
      <c r="N19" s="1" t="s">
        <v>35</v>
      </c>
      <c r="O19" s="3">
        <v>1000000</v>
      </c>
      <c r="P19" s="3">
        <v>10000</v>
      </c>
      <c r="Q19" s="3">
        <v>100000</v>
      </c>
      <c r="R19" s="4">
        <v>46216</v>
      </c>
      <c r="S19" s="1" t="s">
        <v>36</v>
      </c>
      <c r="T19" s="1">
        <v>100</v>
      </c>
      <c r="U19" s="1" t="s">
        <v>563</v>
      </c>
      <c r="V19" s="1" t="s">
        <v>38</v>
      </c>
      <c r="W19" s="1" t="s">
        <v>38</v>
      </c>
      <c r="X19" s="1" t="s">
        <v>38</v>
      </c>
      <c r="Y19" s="1" t="s">
        <v>38</v>
      </c>
      <c r="Z19" s="6" t="s">
        <v>246</v>
      </c>
    </row>
    <row r="20" spans="1:26" hidden="1" x14ac:dyDescent="0.3">
      <c r="A20" s="2">
        <v>45726.534722222219</v>
      </c>
      <c r="B20" s="1" t="s">
        <v>56</v>
      </c>
      <c r="C20" s="1" t="s">
        <v>57</v>
      </c>
      <c r="D20" s="1" t="s">
        <v>58</v>
      </c>
      <c r="E20" s="1" t="s">
        <v>324</v>
      </c>
      <c r="F20" s="1" t="s">
        <v>59</v>
      </c>
      <c r="G20" s="1" t="s">
        <v>60</v>
      </c>
      <c r="H20" s="1" t="s">
        <v>61</v>
      </c>
      <c r="I20" s="1" t="s">
        <v>59</v>
      </c>
      <c r="J20" s="1" t="s">
        <v>52</v>
      </c>
      <c r="K20" s="1" t="s">
        <v>53</v>
      </c>
      <c r="L20" s="1" t="s">
        <v>54</v>
      </c>
      <c r="M20" s="1" t="s">
        <v>63</v>
      </c>
      <c r="N20" s="1" t="s">
        <v>35</v>
      </c>
      <c r="O20" s="3">
        <v>300000000</v>
      </c>
      <c r="P20" s="3">
        <v>24005444</v>
      </c>
      <c r="Q20" s="3">
        <v>6445062.0199999996</v>
      </c>
      <c r="R20" s="4">
        <v>46211</v>
      </c>
      <c r="S20" s="1" t="s">
        <v>36</v>
      </c>
      <c r="T20" s="1">
        <v>100</v>
      </c>
      <c r="U20" s="1" t="s">
        <v>64</v>
      </c>
      <c r="V20" s="1" t="s">
        <v>38</v>
      </c>
      <c r="W20" s="1" t="s">
        <v>38</v>
      </c>
      <c r="X20" s="1" t="s">
        <v>38</v>
      </c>
      <c r="Y20" s="1" t="s">
        <v>38</v>
      </c>
      <c r="Z20" s="6" t="s">
        <v>243</v>
      </c>
    </row>
    <row r="21" spans="1:26" hidden="1" x14ac:dyDescent="0.3">
      <c r="A21" s="2">
        <v>46148.661805555559</v>
      </c>
      <c r="B21" s="1" t="s">
        <v>65</v>
      </c>
      <c r="C21" s="1" t="s">
        <v>57</v>
      </c>
      <c r="D21" s="1" t="s">
        <v>58</v>
      </c>
      <c r="E21" s="1" t="s">
        <v>66</v>
      </c>
      <c r="F21" s="1" t="s">
        <v>59</v>
      </c>
      <c r="G21" s="1" t="s">
        <v>60</v>
      </c>
      <c r="H21" s="1" t="s">
        <v>61</v>
      </c>
      <c r="I21" s="1" t="s">
        <v>59</v>
      </c>
      <c r="J21" s="1" t="s">
        <v>52</v>
      </c>
      <c r="K21" s="1" t="s">
        <v>53</v>
      </c>
      <c r="L21" s="1" t="s">
        <v>67</v>
      </c>
      <c r="M21" s="1" t="s">
        <v>63</v>
      </c>
      <c r="N21" s="1" t="s">
        <v>35</v>
      </c>
      <c r="O21" s="3">
        <v>900000</v>
      </c>
      <c r="P21" s="3">
        <v>268000</v>
      </c>
      <c r="Q21" s="3">
        <v>268000</v>
      </c>
      <c r="R21" s="4">
        <v>46205</v>
      </c>
      <c r="S21" s="1" t="s">
        <v>36</v>
      </c>
      <c r="T21" s="1">
        <v>100</v>
      </c>
      <c r="U21" s="1" t="s">
        <v>325</v>
      </c>
      <c r="V21" s="1" t="s">
        <v>38</v>
      </c>
      <c r="W21" s="1" t="s">
        <v>38</v>
      </c>
      <c r="X21" s="1" t="s">
        <v>38</v>
      </c>
      <c r="Y21" s="1" t="s">
        <v>38</v>
      </c>
      <c r="Z21" s="6" t="s">
        <v>243</v>
      </c>
    </row>
    <row r="22" spans="1:26" hidden="1" x14ac:dyDescent="0.3">
      <c r="A22" s="2">
        <v>46204.416666666664</v>
      </c>
      <c r="B22" s="1" t="s">
        <v>68</v>
      </c>
      <c r="C22" s="1" t="s">
        <v>69</v>
      </c>
      <c r="D22" s="1" t="s">
        <v>70</v>
      </c>
      <c r="E22" s="1" t="s">
        <v>71</v>
      </c>
      <c r="F22" s="1" t="s">
        <v>72</v>
      </c>
      <c r="G22" s="1" t="s">
        <v>73</v>
      </c>
      <c r="H22" s="1" t="s">
        <v>29</v>
      </c>
      <c r="I22" s="1" t="s">
        <v>30</v>
      </c>
      <c r="J22" s="1" t="s">
        <v>31</v>
      </c>
      <c r="K22" s="1" t="s">
        <v>32</v>
      </c>
      <c r="L22" s="1" t="s">
        <v>74</v>
      </c>
      <c r="M22" s="1" t="s">
        <v>75</v>
      </c>
      <c r="N22" s="1" t="s">
        <v>35</v>
      </c>
      <c r="O22" s="3">
        <v>362400</v>
      </c>
      <c r="P22" s="3">
        <v>60900</v>
      </c>
      <c r="Q22" s="3">
        <v>33400</v>
      </c>
      <c r="R22" s="4">
        <v>46206</v>
      </c>
      <c r="S22" s="1" t="s">
        <v>36</v>
      </c>
      <c r="T22" s="1">
        <v>100</v>
      </c>
      <c r="U22" s="1" t="s">
        <v>76</v>
      </c>
      <c r="V22" s="1" t="s">
        <v>38</v>
      </c>
      <c r="W22" s="1" t="s">
        <v>38</v>
      </c>
      <c r="X22" s="1" t="s">
        <v>38</v>
      </c>
      <c r="Y22" s="1" t="s">
        <v>77</v>
      </c>
      <c r="Z22" s="6" t="s">
        <v>242</v>
      </c>
    </row>
    <row r="23" spans="1:26" hidden="1" x14ac:dyDescent="0.3">
      <c r="A23" s="2">
        <v>46174.410416666666</v>
      </c>
      <c r="B23" s="1" t="s">
        <v>326</v>
      </c>
      <c r="C23" s="1" t="s">
        <v>327</v>
      </c>
      <c r="D23" s="1" t="s">
        <v>328</v>
      </c>
      <c r="E23" s="1" t="s">
        <v>329</v>
      </c>
      <c r="F23" s="1" t="s">
        <v>72</v>
      </c>
      <c r="G23" s="1" t="s">
        <v>73</v>
      </c>
      <c r="H23" s="1" t="s">
        <v>29</v>
      </c>
      <c r="I23" s="1" t="s">
        <v>30</v>
      </c>
      <c r="J23" s="1" t="s">
        <v>31</v>
      </c>
      <c r="K23" s="1" t="s">
        <v>53</v>
      </c>
      <c r="L23" s="1" t="s">
        <v>62</v>
      </c>
      <c r="M23" s="1" t="s">
        <v>34</v>
      </c>
      <c r="N23" s="1" t="s">
        <v>35</v>
      </c>
      <c r="O23" s="3">
        <v>17247099.800000001</v>
      </c>
      <c r="P23" s="3">
        <v>2683699.7999999998</v>
      </c>
      <c r="Q23" s="3">
        <v>28599.68</v>
      </c>
      <c r="R23" s="4">
        <v>46218</v>
      </c>
      <c r="S23" s="1" t="s">
        <v>36</v>
      </c>
      <c r="T23" s="1">
        <v>100</v>
      </c>
      <c r="U23" s="1" t="s">
        <v>330</v>
      </c>
      <c r="V23" s="1" t="s">
        <v>38</v>
      </c>
      <c r="W23" s="1" t="s">
        <v>38</v>
      </c>
      <c r="X23" s="1" t="s">
        <v>38</v>
      </c>
      <c r="Y23" s="1" t="s">
        <v>331</v>
      </c>
      <c r="Z23" s="6" t="s">
        <v>242</v>
      </c>
    </row>
    <row r="24" spans="1:26" hidden="1" x14ac:dyDescent="0.3">
      <c r="A24" s="2">
        <v>46206.576388888891</v>
      </c>
      <c r="B24" s="1" t="s">
        <v>78</v>
      </c>
      <c r="C24" s="1" t="s">
        <v>79</v>
      </c>
      <c r="D24" s="1" t="s">
        <v>80</v>
      </c>
      <c r="E24" s="1" t="s">
        <v>81</v>
      </c>
      <c r="F24" s="1" t="s">
        <v>72</v>
      </c>
      <c r="G24" s="1" t="s">
        <v>73</v>
      </c>
      <c r="H24" s="1" t="s">
        <v>29</v>
      </c>
      <c r="I24" s="1" t="s">
        <v>30</v>
      </c>
      <c r="J24" s="1" t="s">
        <v>82</v>
      </c>
      <c r="K24" s="1" t="s">
        <v>53</v>
      </c>
      <c r="L24" s="1" t="s">
        <v>83</v>
      </c>
      <c r="M24" s="1" t="s">
        <v>84</v>
      </c>
      <c r="N24" s="1" t="s">
        <v>35</v>
      </c>
      <c r="O24" s="3">
        <v>145000</v>
      </c>
      <c r="P24" s="3">
        <v>20000</v>
      </c>
      <c r="Q24" s="3">
        <v>12000</v>
      </c>
      <c r="R24" s="4">
        <v>46206</v>
      </c>
      <c r="S24" s="1" t="s">
        <v>36</v>
      </c>
      <c r="T24" s="1">
        <v>100</v>
      </c>
      <c r="U24" s="1" t="s">
        <v>332</v>
      </c>
      <c r="V24" s="1" t="s">
        <v>38</v>
      </c>
      <c r="W24" s="1" t="s">
        <v>38</v>
      </c>
      <c r="X24" s="1" t="s">
        <v>38</v>
      </c>
      <c r="Y24" s="1" t="s">
        <v>85</v>
      </c>
      <c r="Z24" s="6" t="s">
        <v>242</v>
      </c>
    </row>
    <row r="25" spans="1:26" hidden="1" x14ac:dyDescent="0.3">
      <c r="A25" s="2">
        <v>46206.777083333334</v>
      </c>
      <c r="B25" s="1" t="s">
        <v>86</v>
      </c>
      <c r="C25" s="1" t="s">
        <v>79</v>
      </c>
      <c r="D25" s="1" t="s">
        <v>80</v>
      </c>
      <c r="E25" s="1" t="s">
        <v>87</v>
      </c>
      <c r="F25" s="1" t="s">
        <v>72</v>
      </c>
      <c r="G25" s="1" t="s">
        <v>73</v>
      </c>
      <c r="H25" s="1" t="s">
        <v>29</v>
      </c>
      <c r="I25" s="1" t="s">
        <v>30</v>
      </c>
      <c r="J25" s="1" t="s">
        <v>31</v>
      </c>
      <c r="K25" s="1" t="s">
        <v>53</v>
      </c>
      <c r="L25" s="1" t="s">
        <v>62</v>
      </c>
      <c r="M25" s="1" t="s">
        <v>84</v>
      </c>
      <c r="N25" s="1" t="s">
        <v>35</v>
      </c>
      <c r="O25" s="3">
        <v>631600</v>
      </c>
      <c r="P25" s="3">
        <v>7600</v>
      </c>
      <c r="Q25" s="1">
        <v>0</v>
      </c>
      <c r="R25" s="4">
        <v>46212</v>
      </c>
      <c r="S25" s="1" t="s">
        <v>36</v>
      </c>
      <c r="T25" s="1">
        <v>100</v>
      </c>
      <c r="U25" s="1" t="s">
        <v>88</v>
      </c>
      <c r="V25" s="1" t="s">
        <v>38</v>
      </c>
      <c r="W25" s="1" t="s">
        <v>38</v>
      </c>
      <c r="X25" s="1" t="s">
        <v>38</v>
      </c>
      <c r="Y25" s="7" t="s">
        <v>333</v>
      </c>
      <c r="Z25" s="6" t="s">
        <v>242</v>
      </c>
    </row>
    <row r="26" spans="1:26" hidden="1" x14ac:dyDescent="0.3">
      <c r="A26" s="2">
        <v>46211.518750000003</v>
      </c>
      <c r="B26" s="1" t="s">
        <v>89</v>
      </c>
      <c r="C26" s="1" t="s">
        <v>79</v>
      </c>
      <c r="D26" s="1" t="s">
        <v>80</v>
      </c>
      <c r="E26" s="1" t="s">
        <v>90</v>
      </c>
      <c r="F26" s="1" t="s">
        <v>72</v>
      </c>
      <c r="G26" s="1" t="s">
        <v>73</v>
      </c>
      <c r="H26" s="1" t="s">
        <v>29</v>
      </c>
      <c r="I26" s="1" t="s">
        <v>30</v>
      </c>
      <c r="J26" s="1" t="s">
        <v>31</v>
      </c>
      <c r="K26" s="1" t="s">
        <v>53</v>
      </c>
      <c r="L26" s="1" t="s">
        <v>62</v>
      </c>
      <c r="M26" s="1" t="s">
        <v>84</v>
      </c>
      <c r="N26" s="1" t="s">
        <v>35</v>
      </c>
      <c r="O26" s="3">
        <v>1794000</v>
      </c>
      <c r="P26" s="3">
        <v>150000</v>
      </c>
      <c r="Q26" s="3">
        <v>24000</v>
      </c>
      <c r="R26" s="4">
        <v>46212</v>
      </c>
      <c r="S26" s="1" t="s">
        <v>36</v>
      </c>
      <c r="T26" s="1">
        <v>100</v>
      </c>
      <c r="U26" s="1" t="s">
        <v>91</v>
      </c>
      <c r="V26" s="1" t="s">
        <v>38</v>
      </c>
      <c r="W26" s="1" t="s">
        <v>38</v>
      </c>
      <c r="X26" s="1" t="s">
        <v>38</v>
      </c>
      <c r="Y26" s="1" t="s">
        <v>92</v>
      </c>
      <c r="Z26" s="6" t="s">
        <v>242</v>
      </c>
    </row>
    <row r="27" spans="1:26" hidden="1" x14ac:dyDescent="0.3">
      <c r="A27" s="2">
        <v>46211.521527777775</v>
      </c>
      <c r="B27" s="1" t="s">
        <v>93</v>
      </c>
      <c r="C27" s="1" t="s">
        <v>79</v>
      </c>
      <c r="D27" s="1" t="s">
        <v>80</v>
      </c>
      <c r="E27" s="1" t="s">
        <v>94</v>
      </c>
      <c r="F27" s="1" t="s">
        <v>72</v>
      </c>
      <c r="G27" s="1" t="s">
        <v>73</v>
      </c>
      <c r="H27" s="1" t="s">
        <v>29</v>
      </c>
      <c r="I27" s="1" t="s">
        <v>30</v>
      </c>
      <c r="J27" s="1" t="s">
        <v>31</v>
      </c>
      <c r="K27" s="1" t="s">
        <v>53</v>
      </c>
      <c r="L27" s="1" t="s">
        <v>62</v>
      </c>
      <c r="M27" s="1" t="s">
        <v>84</v>
      </c>
      <c r="N27" s="1" t="s">
        <v>35</v>
      </c>
      <c r="O27" s="3">
        <v>2025000</v>
      </c>
      <c r="P27" s="3">
        <v>428000</v>
      </c>
      <c r="Q27" s="3">
        <v>428000</v>
      </c>
      <c r="R27" s="4">
        <v>46212</v>
      </c>
      <c r="S27" s="1" t="s">
        <v>36</v>
      </c>
      <c r="T27" s="1">
        <v>100</v>
      </c>
      <c r="U27" s="1" t="s">
        <v>95</v>
      </c>
      <c r="V27" s="1" t="s">
        <v>38</v>
      </c>
      <c r="W27" s="1" t="s">
        <v>38</v>
      </c>
      <c r="X27" s="1" t="s">
        <v>38</v>
      </c>
      <c r="Y27" s="1" t="s">
        <v>96</v>
      </c>
      <c r="Z27" s="6" t="s">
        <v>242</v>
      </c>
    </row>
    <row r="28" spans="1:26" hidden="1" x14ac:dyDescent="0.3">
      <c r="A28" s="2">
        <v>46223.422222222223</v>
      </c>
      <c r="B28" s="1" t="s">
        <v>334</v>
      </c>
      <c r="C28" s="1" t="s">
        <v>335</v>
      </c>
      <c r="D28" s="1" t="s">
        <v>336</v>
      </c>
      <c r="E28" s="1" t="s">
        <v>337</v>
      </c>
      <c r="F28" s="1" t="s">
        <v>72</v>
      </c>
      <c r="G28" s="1" t="s">
        <v>73</v>
      </c>
      <c r="H28" s="1" t="s">
        <v>29</v>
      </c>
      <c r="I28" s="1" t="s">
        <v>30</v>
      </c>
      <c r="J28" s="1" t="s">
        <v>31</v>
      </c>
      <c r="K28" s="1" t="s">
        <v>53</v>
      </c>
      <c r="L28" s="1" t="s">
        <v>62</v>
      </c>
      <c r="M28" s="1" t="s">
        <v>63</v>
      </c>
      <c r="N28" s="1" t="s">
        <v>35</v>
      </c>
      <c r="O28" s="3">
        <v>81650</v>
      </c>
      <c r="P28" s="3">
        <v>5000</v>
      </c>
      <c r="Q28" s="3">
        <v>2175</v>
      </c>
      <c r="R28" s="4">
        <v>46223</v>
      </c>
      <c r="S28" s="1" t="s">
        <v>36</v>
      </c>
      <c r="T28" s="1">
        <v>100</v>
      </c>
      <c r="U28" s="1" t="s">
        <v>338</v>
      </c>
      <c r="V28" s="1" t="s">
        <v>38</v>
      </c>
      <c r="W28" s="1" t="s">
        <v>38</v>
      </c>
      <c r="X28" s="1" t="s">
        <v>38</v>
      </c>
      <c r="Y28" s="1" t="s">
        <v>339</v>
      </c>
      <c r="Z28" s="6" t="s">
        <v>242</v>
      </c>
    </row>
    <row r="29" spans="1:26" hidden="1" x14ac:dyDescent="0.3">
      <c r="A29" s="2">
        <v>46225.525000000001</v>
      </c>
      <c r="B29" s="1" t="s">
        <v>340</v>
      </c>
      <c r="C29" s="1" t="s">
        <v>341</v>
      </c>
      <c r="D29" s="1" t="s">
        <v>342</v>
      </c>
      <c r="E29" s="1" t="s">
        <v>343</v>
      </c>
      <c r="F29" s="1" t="s">
        <v>72</v>
      </c>
      <c r="G29" s="1" t="s">
        <v>73</v>
      </c>
      <c r="H29" s="1" t="s">
        <v>29</v>
      </c>
      <c r="I29" s="1" t="s">
        <v>30</v>
      </c>
      <c r="J29" s="1" t="s">
        <v>31</v>
      </c>
      <c r="K29" s="1" t="s">
        <v>53</v>
      </c>
      <c r="L29" s="1" t="s">
        <v>253</v>
      </c>
      <c r="M29" s="1" t="s">
        <v>84</v>
      </c>
      <c r="N29" s="1" t="s">
        <v>35</v>
      </c>
      <c r="O29" s="3">
        <v>1070000</v>
      </c>
      <c r="P29" s="3">
        <v>100000</v>
      </c>
      <c r="Q29" s="1">
        <v>0</v>
      </c>
      <c r="R29" s="4">
        <v>46225</v>
      </c>
      <c r="S29" s="1" t="s">
        <v>36</v>
      </c>
      <c r="T29" s="1">
        <v>100</v>
      </c>
      <c r="U29" s="1" t="s">
        <v>344</v>
      </c>
      <c r="V29" s="1" t="s">
        <v>38</v>
      </c>
      <c r="W29" s="1" t="s">
        <v>38</v>
      </c>
      <c r="X29" s="1" t="s">
        <v>38</v>
      </c>
      <c r="Y29" s="1" t="s">
        <v>345</v>
      </c>
      <c r="Z29" s="6" t="s">
        <v>242</v>
      </c>
    </row>
    <row r="30" spans="1:26" x14ac:dyDescent="0.3">
      <c r="A30" s="2">
        <v>45913.551388888889</v>
      </c>
      <c r="B30" s="1" t="s">
        <v>564</v>
      </c>
      <c r="C30" s="1" t="s">
        <v>565</v>
      </c>
      <c r="D30" s="1" t="s">
        <v>566</v>
      </c>
      <c r="E30" s="1" t="s">
        <v>567</v>
      </c>
      <c r="F30" s="1" t="s">
        <v>568</v>
      </c>
      <c r="G30" s="1" t="s">
        <v>569</v>
      </c>
      <c r="H30" s="1" t="s">
        <v>296</v>
      </c>
      <c r="I30" s="1" t="s">
        <v>30</v>
      </c>
      <c r="J30" s="1" t="s">
        <v>82</v>
      </c>
      <c r="K30" s="1" t="s">
        <v>53</v>
      </c>
      <c r="L30" s="1" t="s">
        <v>54</v>
      </c>
      <c r="M30" s="1" t="s">
        <v>199</v>
      </c>
      <c r="N30" s="1" t="s">
        <v>35</v>
      </c>
      <c r="O30" s="3">
        <v>170056432</v>
      </c>
      <c r="P30" s="3">
        <v>7500000</v>
      </c>
      <c r="Q30" s="1">
        <v>0</v>
      </c>
      <c r="R30" s="4">
        <v>46234</v>
      </c>
      <c r="S30" s="1" t="s">
        <v>570</v>
      </c>
      <c r="T30" s="1">
        <v>50</v>
      </c>
      <c r="U30" s="1" t="s">
        <v>38</v>
      </c>
      <c r="V30" s="1" t="s">
        <v>38</v>
      </c>
      <c r="W30" s="1" t="s">
        <v>38</v>
      </c>
      <c r="X30" s="1" t="s">
        <v>38</v>
      </c>
      <c r="Y30" s="1" t="s">
        <v>38</v>
      </c>
      <c r="Z30" s="8" t="s">
        <v>75</v>
      </c>
    </row>
    <row r="31" spans="1:26" hidden="1" x14ac:dyDescent="0.3">
      <c r="A31" s="2">
        <v>46178.500694444447</v>
      </c>
      <c r="B31" s="1" t="s">
        <v>259</v>
      </c>
      <c r="C31" s="1" t="s">
        <v>260</v>
      </c>
      <c r="D31" s="1" t="s">
        <v>261</v>
      </c>
      <c r="E31" s="1" t="s">
        <v>262</v>
      </c>
      <c r="F31" s="1" t="s">
        <v>207</v>
      </c>
      <c r="G31" s="1" t="s">
        <v>263</v>
      </c>
      <c r="H31" s="1" t="s">
        <v>29</v>
      </c>
      <c r="I31" s="1" t="s">
        <v>30</v>
      </c>
      <c r="J31" s="1" t="s">
        <v>31</v>
      </c>
      <c r="K31" s="1" t="s">
        <v>53</v>
      </c>
      <c r="L31" s="1" t="s">
        <v>264</v>
      </c>
      <c r="M31" s="1" t="s">
        <v>63</v>
      </c>
      <c r="N31" s="1" t="s">
        <v>35</v>
      </c>
      <c r="O31" s="3">
        <v>38348039</v>
      </c>
      <c r="P31" s="3">
        <v>2268547</v>
      </c>
      <c r="Q31" s="1">
        <v>0</v>
      </c>
      <c r="R31" s="4">
        <v>46221</v>
      </c>
      <c r="S31" s="1" t="s">
        <v>36</v>
      </c>
      <c r="T31" s="1">
        <v>100</v>
      </c>
      <c r="U31" s="1" t="s">
        <v>38</v>
      </c>
      <c r="V31" s="1" t="s">
        <v>38</v>
      </c>
      <c r="W31" s="1" t="s">
        <v>38</v>
      </c>
      <c r="X31" s="1" t="s">
        <v>38</v>
      </c>
      <c r="Y31" s="1" t="s">
        <v>38</v>
      </c>
      <c r="Z31" s="8" t="s">
        <v>243</v>
      </c>
    </row>
    <row r="32" spans="1:26" hidden="1" x14ac:dyDescent="0.3">
      <c r="A32" s="2">
        <v>46163.631944444445</v>
      </c>
      <c r="B32" s="1" t="s">
        <v>97</v>
      </c>
      <c r="C32" s="1" t="s">
        <v>98</v>
      </c>
      <c r="D32" s="1" t="s">
        <v>99</v>
      </c>
      <c r="E32" s="1" t="s">
        <v>100</v>
      </c>
      <c r="F32" s="1" t="s">
        <v>101</v>
      </c>
      <c r="G32" s="1" t="s">
        <v>102</v>
      </c>
      <c r="H32" s="1" t="s">
        <v>29</v>
      </c>
      <c r="I32" s="1" t="s">
        <v>30</v>
      </c>
      <c r="J32" s="1" t="s">
        <v>82</v>
      </c>
      <c r="K32" s="1" t="s">
        <v>53</v>
      </c>
      <c r="L32" s="1" t="s">
        <v>62</v>
      </c>
      <c r="M32" s="1" t="s">
        <v>63</v>
      </c>
      <c r="N32" s="1" t="s">
        <v>35</v>
      </c>
      <c r="O32" s="1">
        <v>0</v>
      </c>
      <c r="P32" s="1">
        <v>0</v>
      </c>
      <c r="Q32" s="1">
        <v>0</v>
      </c>
      <c r="R32" s="4">
        <v>46209</v>
      </c>
      <c r="S32" s="1" t="s">
        <v>36</v>
      </c>
      <c r="T32" s="1">
        <v>10</v>
      </c>
      <c r="U32" s="1" t="s">
        <v>38</v>
      </c>
      <c r="V32" s="1" t="s">
        <v>346</v>
      </c>
      <c r="W32" s="1" t="s">
        <v>347</v>
      </c>
      <c r="X32" s="1" t="s">
        <v>38</v>
      </c>
      <c r="Y32" s="1" t="s">
        <v>38</v>
      </c>
      <c r="Z32" s="8" t="s">
        <v>242</v>
      </c>
    </row>
    <row r="33" spans="1:26" hidden="1" x14ac:dyDescent="0.3">
      <c r="A33" s="2">
        <v>46206.576388888891</v>
      </c>
      <c r="B33" s="1" t="s">
        <v>103</v>
      </c>
      <c r="C33" s="1" t="s">
        <v>104</v>
      </c>
      <c r="D33" s="1" t="s">
        <v>105</v>
      </c>
      <c r="E33" s="1" t="s">
        <v>106</v>
      </c>
      <c r="F33" s="1" t="s">
        <v>107</v>
      </c>
      <c r="G33" s="1" t="s">
        <v>108</v>
      </c>
      <c r="H33" s="1" t="s">
        <v>29</v>
      </c>
      <c r="I33" s="1" t="s">
        <v>30</v>
      </c>
      <c r="J33" s="1" t="s">
        <v>82</v>
      </c>
      <c r="K33" s="1" t="s">
        <v>53</v>
      </c>
      <c r="L33" s="1" t="s">
        <v>62</v>
      </c>
      <c r="M33" s="1" t="s">
        <v>109</v>
      </c>
      <c r="N33" s="1" t="s">
        <v>35</v>
      </c>
      <c r="O33" s="3">
        <v>1091540.1299999999</v>
      </c>
      <c r="P33" s="3">
        <v>257844.13</v>
      </c>
      <c r="Q33" s="1">
        <v>0</v>
      </c>
      <c r="R33" s="4">
        <v>46206</v>
      </c>
      <c r="S33" s="1" t="s">
        <v>36</v>
      </c>
      <c r="T33" s="1">
        <v>100</v>
      </c>
      <c r="U33" s="1" t="s">
        <v>348</v>
      </c>
      <c r="V33" s="1" t="s">
        <v>38</v>
      </c>
      <c r="W33" s="1" t="s">
        <v>38</v>
      </c>
      <c r="X33" s="1" t="s">
        <v>38</v>
      </c>
      <c r="Y33" s="1" t="s">
        <v>38</v>
      </c>
      <c r="Z33" s="8" t="s">
        <v>247</v>
      </c>
    </row>
    <row r="34" spans="1:26" hidden="1" x14ac:dyDescent="0.3">
      <c r="A34" s="2">
        <v>46220.497916666667</v>
      </c>
      <c r="B34" s="1" t="s">
        <v>349</v>
      </c>
      <c r="C34" s="1" t="s">
        <v>350</v>
      </c>
      <c r="D34" s="1" t="s">
        <v>351</v>
      </c>
      <c r="E34" s="1" t="s">
        <v>352</v>
      </c>
      <c r="F34" s="1" t="s">
        <v>220</v>
      </c>
      <c r="G34" s="1" t="s">
        <v>353</v>
      </c>
      <c r="H34" s="1" t="s">
        <v>29</v>
      </c>
      <c r="I34" s="1" t="s">
        <v>30</v>
      </c>
      <c r="J34" s="1" t="s">
        <v>191</v>
      </c>
      <c r="K34" s="1" t="s">
        <v>53</v>
      </c>
      <c r="L34" s="1" t="s">
        <v>62</v>
      </c>
      <c r="M34" s="1" t="s">
        <v>34</v>
      </c>
      <c r="N34" s="1" t="s">
        <v>35</v>
      </c>
      <c r="O34" s="3">
        <v>168810</v>
      </c>
      <c r="P34" s="3">
        <v>28810</v>
      </c>
      <c r="Q34" s="3">
        <v>28810</v>
      </c>
      <c r="R34" s="4">
        <v>46220</v>
      </c>
      <c r="S34" s="1" t="s">
        <v>36</v>
      </c>
      <c r="T34" s="1">
        <v>90</v>
      </c>
      <c r="U34" s="1" t="s">
        <v>354</v>
      </c>
      <c r="V34" s="1" t="s">
        <v>38</v>
      </c>
      <c r="W34" s="1" t="s">
        <v>38</v>
      </c>
      <c r="X34" s="1" t="s">
        <v>38</v>
      </c>
      <c r="Y34" s="1" t="s">
        <v>38</v>
      </c>
      <c r="Z34" s="8" t="s">
        <v>245</v>
      </c>
    </row>
    <row r="35" spans="1:26" hidden="1" x14ac:dyDescent="0.3">
      <c r="A35" s="2">
        <v>46212.648611111108</v>
      </c>
      <c r="B35" s="1" t="s">
        <v>110</v>
      </c>
      <c r="C35" s="1" t="s">
        <v>111</v>
      </c>
      <c r="D35" s="1" t="s">
        <v>112</v>
      </c>
      <c r="E35" s="1" t="s">
        <v>113</v>
      </c>
      <c r="F35" s="1" t="s">
        <v>107</v>
      </c>
      <c r="G35" s="1" t="s">
        <v>114</v>
      </c>
      <c r="H35" s="1" t="s">
        <v>29</v>
      </c>
      <c r="I35" s="1" t="s">
        <v>30</v>
      </c>
      <c r="J35" s="1" t="s">
        <v>82</v>
      </c>
      <c r="K35" s="1" t="s">
        <v>32</v>
      </c>
      <c r="L35" s="1" t="s">
        <v>67</v>
      </c>
      <c r="M35" s="1" t="s">
        <v>63</v>
      </c>
      <c r="N35" s="1" t="s">
        <v>35</v>
      </c>
      <c r="O35" s="3">
        <v>275000</v>
      </c>
      <c r="P35" s="3">
        <v>40000</v>
      </c>
      <c r="Q35" s="3">
        <v>40100</v>
      </c>
      <c r="R35" s="4">
        <v>46212</v>
      </c>
      <c r="S35" s="1" t="s">
        <v>36</v>
      </c>
      <c r="T35" s="1">
        <v>100</v>
      </c>
      <c r="U35" s="1" t="s">
        <v>115</v>
      </c>
      <c r="V35" s="1" t="s">
        <v>38</v>
      </c>
      <c r="W35" s="1" t="s">
        <v>38</v>
      </c>
      <c r="X35" s="1" t="s">
        <v>38</v>
      </c>
      <c r="Y35" s="1" t="s">
        <v>38</v>
      </c>
      <c r="Z35" s="8" t="s">
        <v>247</v>
      </c>
    </row>
    <row r="36" spans="1:26" hidden="1" x14ac:dyDescent="0.3">
      <c r="A36" s="2">
        <v>46220.515972222223</v>
      </c>
      <c r="B36" s="1" t="s">
        <v>355</v>
      </c>
      <c r="C36" s="1" t="s">
        <v>111</v>
      </c>
      <c r="D36" s="1" t="s">
        <v>112</v>
      </c>
      <c r="E36" s="1" t="s">
        <v>356</v>
      </c>
      <c r="F36" s="1" t="s">
        <v>107</v>
      </c>
      <c r="G36" s="1" t="s">
        <v>114</v>
      </c>
      <c r="H36" s="1" t="s">
        <v>29</v>
      </c>
      <c r="I36" s="1" t="s">
        <v>30</v>
      </c>
      <c r="J36" s="1" t="s">
        <v>82</v>
      </c>
      <c r="K36" s="1" t="s">
        <v>32</v>
      </c>
      <c r="L36" s="1" t="s">
        <v>67</v>
      </c>
      <c r="M36" s="1" t="s">
        <v>75</v>
      </c>
      <c r="N36" s="1" t="s">
        <v>35</v>
      </c>
      <c r="O36" s="3">
        <v>275000</v>
      </c>
      <c r="P36" s="3">
        <v>40000</v>
      </c>
      <c r="Q36" s="3">
        <v>40000</v>
      </c>
      <c r="R36" s="4">
        <v>46220</v>
      </c>
      <c r="S36" s="1" t="s">
        <v>36</v>
      </c>
      <c r="T36" s="1">
        <v>100</v>
      </c>
      <c r="U36" s="1" t="s">
        <v>357</v>
      </c>
      <c r="V36" s="1" t="s">
        <v>38</v>
      </c>
      <c r="W36" s="1" t="s">
        <v>38</v>
      </c>
      <c r="X36" s="1" t="s">
        <v>38</v>
      </c>
      <c r="Y36" s="1" t="s">
        <v>38</v>
      </c>
      <c r="Z36" s="8" t="s">
        <v>247</v>
      </c>
    </row>
    <row r="37" spans="1:26" hidden="1" x14ac:dyDescent="0.3">
      <c r="A37" s="2">
        <v>46178.52847222222</v>
      </c>
      <c r="B37" s="1" t="s">
        <v>265</v>
      </c>
      <c r="C37" s="1" t="s">
        <v>266</v>
      </c>
      <c r="D37" s="1" t="s">
        <v>267</v>
      </c>
      <c r="E37" s="1" t="s">
        <v>268</v>
      </c>
      <c r="F37" s="1" t="s">
        <v>269</v>
      </c>
      <c r="G37" s="1" t="s">
        <v>269</v>
      </c>
      <c r="H37" s="1" t="s">
        <v>29</v>
      </c>
      <c r="I37" s="1" t="s">
        <v>30</v>
      </c>
      <c r="J37" s="1" t="s">
        <v>31</v>
      </c>
      <c r="K37" s="1" t="s">
        <v>32</v>
      </c>
      <c r="L37" s="1" t="s">
        <v>231</v>
      </c>
      <c r="M37" s="1" t="s">
        <v>63</v>
      </c>
      <c r="N37" s="1" t="s">
        <v>35</v>
      </c>
      <c r="O37" s="3">
        <v>6310392</v>
      </c>
      <c r="P37" s="3">
        <v>357192</v>
      </c>
      <c r="Q37" s="1">
        <v>0</v>
      </c>
      <c r="R37" s="4">
        <v>46219</v>
      </c>
      <c r="S37" s="1" t="s">
        <v>36</v>
      </c>
      <c r="T37" s="1">
        <v>100</v>
      </c>
      <c r="U37" s="1" t="s">
        <v>38</v>
      </c>
      <c r="V37" s="1">
        <v>31422270</v>
      </c>
      <c r="W37" s="1" t="s">
        <v>121</v>
      </c>
      <c r="X37" s="1" t="s">
        <v>358</v>
      </c>
      <c r="Y37" s="1" t="s">
        <v>38</v>
      </c>
      <c r="Z37" s="6" t="s">
        <v>243</v>
      </c>
    </row>
    <row r="38" spans="1:26" hidden="1" x14ac:dyDescent="0.3">
      <c r="A38" s="2">
        <v>46126.632638888892</v>
      </c>
      <c r="B38" s="1" t="s">
        <v>116</v>
      </c>
      <c r="C38" s="1" t="s">
        <v>117</v>
      </c>
      <c r="D38" s="1" t="s">
        <v>118</v>
      </c>
      <c r="E38" s="1" t="s">
        <v>119</v>
      </c>
      <c r="F38" s="1" t="s">
        <v>120</v>
      </c>
      <c r="G38" s="1" t="s">
        <v>120</v>
      </c>
      <c r="H38" s="1" t="s">
        <v>29</v>
      </c>
      <c r="I38" s="1" t="s">
        <v>30</v>
      </c>
      <c r="J38" s="1" t="s">
        <v>31</v>
      </c>
      <c r="K38" s="1" t="s">
        <v>32</v>
      </c>
      <c r="L38" s="1" t="s">
        <v>33</v>
      </c>
      <c r="M38" s="1" t="s">
        <v>63</v>
      </c>
      <c r="N38" s="1" t="s">
        <v>35</v>
      </c>
      <c r="O38" s="3">
        <v>9601500</v>
      </c>
      <c r="P38" s="3">
        <v>476975</v>
      </c>
      <c r="Q38" s="3">
        <v>476975</v>
      </c>
      <c r="R38" s="4">
        <v>46206</v>
      </c>
      <c r="S38" s="1" t="s">
        <v>36</v>
      </c>
      <c r="T38" s="1">
        <v>100</v>
      </c>
      <c r="U38" s="1" t="s">
        <v>571</v>
      </c>
      <c r="V38" s="1">
        <v>31068445</v>
      </c>
      <c r="W38" s="1" t="s">
        <v>121</v>
      </c>
      <c r="X38" s="4">
        <v>46216</v>
      </c>
      <c r="Y38" s="1" t="s">
        <v>38</v>
      </c>
      <c r="Z38" s="6" t="s">
        <v>247</v>
      </c>
    </row>
    <row r="39" spans="1:26" hidden="1" x14ac:dyDescent="0.3">
      <c r="A39" s="2">
        <v>46192.674305555556</v>
      </c>
      <c r="B39" s="1" t="s">
        <v>122</v>
      </c>
      <c r="C39" s="1" t="s">
        <v>117</v>
      </c>
      <c r="D39" s="1" t="s">
        <v>118</v>
      </c>
      <c r="E39" s="1" t="s">
        <v>123</v>
      </c>
      <c r="F39" s="1" t="s">
        <v>120</v>
      </c>
      <c r="G39" s="1" t="s">
        <v>120</v>
      </c>
      <c r="H39" s="1" t="s">
        <v>29</v>
      </c>
      <c r="I39" s="1" t="s">
        <v>30</v>
      </c>
      <c r="J39" s="1" t="s">
        <v>31</v>
      </c>
      <c r="K39" s="1" t="s">
        <v>32</v>
      </c>
      <c r="L39" s="1" t="s">
        <v>33</v>
      </c>
      <c r="M39" s="1" t="s">
        <v>124</v>
      </c>
      <c r="N39" s="1" t="s">
        <v>35</v>
      </c>
      <c r="O39" s="3">
        <v>199500</v>
      </c>
      <c r="P39" s="3">
        <v>7000</v>
      </c>
      <c r="Q39" s="1">
        <v>0</v>
      </c>
      <c r="R39" s="4">
        <v>46207</v>
      </c>
      <c r="S39" s="1" t="s">
        <v>36</v>
      </c>
      <c r="T39" s="1">
        <v>100</v>
      </c>
      <c r="U39" s="1" t="s">
        <v>38</v>
      </c>
      <c r="V39" s="1" t="s">
        <v>38</v>
      </c>
      <c r="W39" s="1" t="s">
        <v>38</v>
      </c>
      <c r="X39" s="1" t="s">
        <v>38</v>
      </c>
      <c r="Y39" s="1" t="s">
        <v>38</v>
      </c>
      <c r="Z39" s="6" t="s">
        <v>247</v>
      </c>
    </row>
    <row r="40" spans="1:26" hidden="1" x14ac:dyDescent="0.3">
      <c r="A40" s="2">
        <v>46211.925000000003</v>
      </c>
      <c r="B40" s="1" t="s">
        <v>125</v>
      </c>
      <c r="C40" s="1" t="s">
        <v>126</v>
      </c>
      <c r="D40" s="1" t="s">
        <v>127</v>
      </c>
      <c r="E40" s="1" t="s">
        <v>128</v>
      </c>
      <c r="F40" s="1" t="s">
        <v>129</v>
      </c>
      <c r="G40" s="1" t="s">
        <v>129</v>
      </c>
      <c r="H40" s="1" t="s">
        <v>29</v>
      </c>
      <c r="I40" s="1" t="s">
        <v>30</v>
      </c>
      <c r="J40" s="1" t="s">
        <v>31</v>
      </c>
      <c r="K40" s="1" t="s">
        <v>32</v>
      </c>
      <c r="L40" s="1" t="s">
        <v>33</v>
      </c>
      <c r="M40" s="1" t="s">
        <v>75</v>
      </c>
      <c r="N40" s="1" t="s">
        <v>35</v>
      </c>
      <c r="O40" s="3">
        <v>22400</v>
      </c>
      <c r="P40" s="3">
        <v>3200</v>
      </c>
      <c r="Q40" s="3">
        <v>1600</v>
      </c>
      <c r="R40" s="4">
        <v>46211</v>
      </c>
      <c r="S40" s="1" t="s">
        <v>36</v>
      </c>
      <c r="T40" s="1">
        <v>100</v>
      </c>
      <c r="U40" s="1" t="s">
        <v>359</v>
      </c>
      <c r="V40" s="1" t="s">
        <v>38</v>
      </c>
      <c r="W40" s="1" t="s">
        <v>38</v>
      </c>
      <c r="X40" s="1" t="s">
        <v>38</v>
      </c>
      <c r="Y40" s="1" t="s">
        <v>130</v>
      </c>
      <c r="Z40" s="8" t="s">
        <v>246</v>
      </c>
    </row>
    <row r="41" spans="1:26" hidden="1" x14ac:dyDescent="0.3">
      <c r="A41" s="2">
        <v>46218.449305555558</v>
      </c>
      <c r="B41" s="1" t="s">
        <v>360</v>
      </c>
      <c r="C41" s="1" t="s">
        <v>168</v>
      </c>
      <c r="D41" s="1" t="s">
        <v>169</v>
      </c>
      <c r="E41" s="1" t="s">
        <v>361</v>
      </c>
      <c r="F41" s="1" t="s">
        <v>129</v>
      </c>
      <c r="G41" s="1" t="s">
        <v>129</v>
      </c>
      <c r="H41" s="1" t="s">
        <v>29</v>
      </c>
      <c r="I41" s="1" t="s">
        <v>30</v>
      </c>
      <c r="J41" s="1" t="s">
        <v>31</v>
      </c>
      <c r="K41" s="1" t="s">
        <v>32</v>
      </c>
      <c r="L41" s="1" t="s">
        <v>67</v>
      </c>
      <c r="M41" s="1" t="s">
        <v>34</v>
      </c>
      <c r="N41" s="1" t="s">
        <v>35</v>
      </c>
      <c r="O41" s="3">
        <v>32000</v>
      </c>
      <c r="P41" s="3">
        <v>1750</v>
      </c>
      <c r="Q41" s="3">
        <v>3000</v>
      </c>
      <c r="R41" s="4">
        <v>46218</v>
      </c>
      <c r="S41" s="1" t="s">
        <v>36</v>
      </c>
      <c r="T41" s="1">
        <v>100</v>
      </c>
      <c r="U41" s="1" t="s">
        <v>362</v>
      </c>
      <c r="V41" s="1" t="s">
        <v>38</v>
      </c>
      <c r="W41" s="1" t="s">
        <v>38</v>
      </c>
      <c r="X41" s="1" t="s">
        <v>38</v>
      </c>
      <c r="Y41" s="1" t="s">
        <v>38</v>
      </c>
      <c r="Z41" s="8" t="s">
        <v>246</v>
      </c>
    </row>
    <row r="42" spans="1:26" hidden="1" x14ac:dyDescent="0.3">
      <c r="A42" s="2">
        <v>46218.45</v>
      </c>
      <c r="B42" s="1" t="s">
        <v>363</v>
      </c>
      <c r="C42" s="1" t="s">
        <v>168</v>
      </c>
      <c r="D42" s="1" t="s">
        <v>169</v>
      </c>
      <c r="E42" s="1" t="s">
        <v>364</v>
      </c>
      <c r="F42" s="1" t="s">
        <v>129</v>
      </c>
      <c r="G42" s="1" t="s">
        <v>129</v>
      </c>
      <c r="H42" s="1" t="s">
        <v>29</v>
      </c>
      <c r="I42" s="1" t="s">
        <v>30</v>
      </c>
      <c r="J42" s="1" t="s">
        <v>31</v>
      </c>
      <c r="K42" s="1" t="s">
        <v>32</v>
      </c>
      <c r="L42" s="1" t="s">
        <v>67</v>
      </c>
      <c r="M42" s="1" t="s">
        <v>34</v>
      </c>
      <c r="N42" s="1" t="s">
        <v>35</v>
      </c>
      <c r="O42" s="3">
        <v>32000</v>
      </c>
      <c r="P42" s="3">
        <v>1750</v>
      </c>
      <c r="Q42" s="3">
        <v>3000</v>
      </c>
      <c r="R42" s="4">
        <v>46218</v>
      </c>
      <c r="S42" s="1" t="s">
        <v>36</v>
      </c>
      <c r="T42" s="1">
        <v>100</v>
      </c>
      <c r="U42" s="1" t="s">
        <v>365</v>
      </c>
      <c r="V42" s="1" t="s">
        <v>38</v>
      </c>
      <c r="W42" s="1" t="s">
        <v>38</v>
      </c>
      <c r="X42" s="1" t="s">
        <v>38</v>
      </c>
      <c r="Y42" s="1" t="s">
        <v>38</v>
      </c>
      <c r="Z42" s="8" t="s">
        <v>246</v>
      </c>
    </row>
    <row r="43" spans="1:26" hidden="1" x14ac:dyDescent="0.3">
      <c r="A43" s="2">
        <v>46234.71875</v>
      </c>
      <c r="B43" s="1" t="s">
        <v>572</v>
      </c>
      <c r="C43" s="1" t="s">
        <v>168</v>
      </c>
      <c r="D43" s="1" t="s">
        <v>169</v>
      </c>
      <c r="E43" s="1" t="s">
        <v>573</v>
      </c>
      <c r="F43" s="1" t="s">
        <v>129</v>
      </c>
      <c r="G43" s="1" t="s">
        <v>129</v>
      </c>
      <c r="H43" s="1" t="s">
        <v>29</v>
      </c>
      <c r="I43" s="1" t="s">
        <v>30</v>
      </c>
      <c r="J43" s="1" t="s">
        <v>31</v>
      </c>
      <c r="K43" s="1" t="s">
        <v>32</v>
      </c>
      <c r="L43" s="1" t="s">
        <v>67</v>
      </c>
      <c r="M43" s="1" t="s">
        <v>34</v>
      </c>
      <c r="N43" s="1" t="s">
        <v>35</v>
      </c>
      <c r="O43" s="3">
        <v>32000</v>
      </c>
      <c r="P43" s="3">
        <v>2000</v>
      </c>
      <c r="Q43" s="1">
        <v>0</v>
      </c>
      <c r="R43" s="4">
        <v>46234</v>
      </c>
      <c r="S43" s="1" t="s">
        <v>36</v>
      </c>
      <c r="T43" s="1">
        <v>100</v>
      </c>
      <c r="U43" s="1" t="s">
        <v>38</v>
      </c>
      <c r="V43" s="1" t="s">
        <v>38</v>
      </c>
      <c r="W43" s="1" t="s">
        <v>38</v>
      </c>
      <c r="X43" s="1" t="s">
        <v>38</v>
      </c>
      <c r="Y43" s="1" t="s">
        <v>38</v>
      </c>
      <c r="Z43" s="8" t="s">
        <v>246</v>
      </c>
    </row>
    <row r="44" spans="1:26" hidden="1" x14ac:dyDescent="0.3">
      <c r="A44" s="2">
        <v>46204.463888888888</v>
      </c>
      <c r="B44" s="1" t="s">
        <v>131</v>
      </c>
      <c r="C44" s="1" t="s">
        <v>132</v>
      </c>
      <c r="D44" s="1" t="s">
        <v>133</v>
      </c>
      <c r="E44" s="1" t="s">
        <v>134</v>
      </c>
      <c r="F44" s="1" t="s">
        <v>82</v>
      </c>
      <c r="G44" s="1" t="s">
        <v>135</v>
      </c>
      <c r="H44" s="1" t="s">
        <v>29</v>
      </c>
      <c r="I44" s="1" t="s">
        <v>30</v>
      </c>
      <c r="J44" s="1" t="s">
        <v>31</v>
      </c>
      <c r="K44" s="1" t="s">
        <v>136</v>
      </c>
      <c r="L44" s="1" t="s">
        <v>137</v>
      </c>
      <c r="M44" s="1" t="s">
        <v>138</v>
      </c>
      <c r="N44" s="1" t="s">
        <v>35</v>
      </c>
      <c r="O44" s="3">
        <v>4998498</v>
      </c>
      <c r="P44" s="3">
        <v>500000</v>
      </c>
      <c r="Q44" s="1">
        <v>0</v>
      </c>
      <c r="R44" s="4">
        <v>46204</v>
      </c>
      <c r="S44" s="1" t="s">
        <v>36</v>
      </c>
      <c r="T44" s="1">
        <v>100</v>
      </c>
      <c r="U44" s="1" t="s">
        <v>139</v>
      </c>
      <c r="V44" s="1" t="s">
        <v>38</v>
      </c>
      <c r="W44" s="1" t="s">
        <v>38</v>
      </c>
      <c r="X44" s="1" t="s">
        <v>38</v>
      </c>
      <c r="Y44" s="7" t="s">
        <v>366</v>
      </c>
      <c r="Z44" s="6" t="s">
        <v>75</v>
      </c>
    </row>
    <row r="45" spans="1:26" hidden="1" x14ac:dyDescent="0.3">
      <c r="A45" s="2">
        <v>46046.73333333333</v>
      </c>
      <c r="B45" s="1" t="s">
        <v>367</v>
      </c>
      <c r="C45" s="1" t="s">
        <v>368</v>
      </c>
      <c r="D45" s="1" t="s">
        <v>369</v>
      </c>
      <c r="E45" s="1" t="s">
        <v>370</v>
      </c>
      <c r="F45" s="1" t="s">
        <v>371</v>
      </c>
      <c r="G45" s="1" t="s">
        <v>372</v>
      </c>
      <c r="H45" s="1" t="s">
        <v>29</v>
      </c>
      <c r="I45" s="1" t="s">
        <v>30</v>
      </c>
      <c r="J45" s="1" t="s">
        <v>373</v>
      </c>
      <c r="K45" s="1" t="s">
        <v>136</v>
      </c>
      <c r="L45" s="1" t="s">
        <v>137</v>
      </c>
      <c r="M45" s="1" t="s">
        <v>138</v>
      </c>
      <c r="N45" s="1" t="s">
        <v>35</v>
      </c>
      <c r="O45" s="3">
        <v>638000</v>
      </c>
      <c r="P45" s="3">
        <v>125000</v>
      </c>
      <c r="Q45" s="3">
        <v>125000</v>
      </c>
      <c r="R45" s="4">
        <v>46219</v>
      </c>
      <c r="S45" s="1" t="s">
        <v>36</v>
      </c>
      <c r="T45" s="1">
        <v>50</v>
      </c>
      <c r="U45" s="1" t="s">
        <v>574</v>
      </c>
      <c r="V45" s="1" t="s">
        <v>38</v>
      </c>
      <c r="W45" s="1" t="s">
        <v>38</v>
      </c>
      <c r="X45" s="1" t="s">
        <v>38</v>
      </c>
      <c r="Y45" s="1" t="s">
        <v>384</v>
      </c>
      <c r="Z45" s="8" t="s">
        <v>245</v>
      </c>
    </row>
    <row r="46" spans="1:26" hidden="1" x14ac:dyDescent="0.3">
      <c r="A46" s="2">
        <v>46227.621527777781</v>
      </c>
      <c r="B46" s="1" t="s">
        <v>374</v>
      </c>
      <c r="C46" s="1" t="s">
        <v>375</v>
      </c>
      <c r="D46" s="1" t="s">
        <v>376</v>
      </c>
      <c r="E46" s="1" t="s">
        <v>377</v>
      </c>
      <c r="F46" s="1" t="s">
        <v>371</v>
      </c>
      <c r="G46" s="1" t="s">
        <v>372</v>
      </c>
      <c r="H46" s="1" t="s">
        <v>29</v>
      </c>
      <c r="I46" s="1" t="s">
        <v>30</v>
      </c>
      <c r="J46" s="1" t="s">
        <v>146</v>
      </c>
      <c r="K46" s="1" t="s">
        <v>136</v>
      </c>
      <c r="L46" s="1" t="s">
        <v>147</v>
      </c>
      <c r="M46" s="1" t="s">
        <v>138</v>
      </c>
      <c r="N46" s="1" t="s">
        <v>35</v>
      </c>
      <c r="O46" s="3">
        <v>13365</v>
      </c>
      <c r="P46" s="3">
        <v>9615</v>
      </c>
      <c r="Q46" s="1">
        <v>0</v>
      </c>
      <c r="R46" s="4">
        <v>46227</v>
      </c>
      <c r="S46" s="1" t="s">
        <v>36</v>
      </c>
      <c r="T46" s="1">
        <v>75</v>
      </c>
      <c r="U46" s="1" t="s">
        <v>38</v>
      </c>
      <c r="V46" s="1" t="s">
        <v>38</v>
      </c>
      <c r="W46" s="1" t="s">
        <v>38</v>
      </c>
      <c r="X46" s="1" t="s">
        <v>38</v>
      </c>
      <c r="Y46" s="1" t="s">
        <v>38</v>
      </c>
      <c r="Z46" s="8" t="s">
        <v>245</v>
      </c>
    </row>
    <row r="47" spans="1:26" hidden="1" x14ac:dyDescent="0.3">
      <c r="A47" s="2">
        <v>46232.882638888892</v>
      </c>
      <c r="B47" s="1" t="s">
        <v>575</v>
      </c>
      <c r="C47" s="1" t="s">
        <v>576</v>
      </c>
      <c r="D47" s="1" t="s">
        <v>577</v>
      </c>
      <c r="E47" s="1" t="s">
        <v>578</v>
      </c>
      <c r="F47" s="1" t="s">
        <v>371</v>
      </c>
      <c r="G47" s="1" t="s">
        <v>372</v>
      </c>
      <c r="H47" s="1" t="s">
        <v>29</v>
      </c>
      <c r="I47" s="1" t="s">
        <v>30</v>
      </c>
      <c r="J47" s="1" t="s">
        <v>146</v>
      </c>
      <c r="K47" s="1" t="s">
        <v>136</v>
      </c>
      <c r="L47" s="1" t="s">
        <v>579</v>
      </c>
      <c r="M47" s="1" t="s">
        <v>138</v>
      </c>
      <c r="N47" s="1" t="s">
        <v>35</v>
      </c>
      <c r="O47" s="3">
        <v>133665</v>
      </c>
      <c r="P47" s="3">
        <v>133665</v>
      </c>
      <c r="Q47" s="1">
        <v>0</v>
      </c>
      <c r="R47" s="4">
        <v>46233</v>
      </c>
      <c r="S47" s="1" t="s">
        <v>36</v>
      </c>
      <c r="T47" s="1">
        <v>75</v>
      </c>
      <c r="U47" s="1" t="s">
        <v>38</v>
      </c>
      <c r="V47" s="1" t="s">
        <v>38</v>
      </c>
      <c r="W47" s="1" t="s">
        <v>38</v>
      </c>
      <c r="X47" s="1" t="s">
        <v>38</v>
      </c>
      <c r="Y47" s="1" t="s">
        <v>38</v>
      </c>
      <c r="Z47" s="8" t="s">
        <v>245</v>
      </c>
    </row>
    <row r="48" spans="1:26" hidden="1" x14ac:dyDescent="0.3">
      <c r="A48" s="2">
        <v>46219.79791666667</v>
      </c>
      <c r="B48" s="1" t="s">
        <v>378</v>
      </c>
      <c r="C48" s="1" t="s">
        <v>379</v>
      </c>
      <c r="D48" s="1" t="s">
        <v>380</v>
      </c>
      <c r="E48" s="1" t="s">
        <v>381</v>
      </c>
      <c r="F48" s="1" t="s">
        <v>269</v>
      </c>
      <c r="G48" s="1" t="s">
        <v>382</v>
      </c>
      <c r="H48" s="1" t="s">
        <v>29</v>
      </c>
      <c r="I48" s="1" t="s">
        <v>30</v>
      </c>
      <c r="J48" s="1" t="s">
        <v>146</v>
      </c>
      <c r="K48" s="1" t="s">
        <v>136</v>
      </c>
      <c r="L48" s="1" t="s">
        <v>137</v>
      </c>
      <c r="M48" s="1" t="s">
        <v>138</v>
      </c>
      <c r="N48" s="1" t="s">
        <v>35</v>
      </c>
      <c r="O48" s="3">
        <v>4900000</v>
      </c>
      <c r="P48" s="3">
        <v>536360</v>
      </c>
      <c r="Q48" s="3">
        <v>536360</v>
      </c>
      <c r="R48" s="4">
        <v>46219</v>
      </c>
      <c r="S48" s="1" t="s">
        <v>36</v>
      </c>
      <c r="T48" s="1">
        <v>100</v>
      </c>
      <c r="U48" s="1" t="s">
        <v>383</v>
      </c>
      <c r="V48" s="1" t="s">
        <v>38</v>
      </c>
      <c r="W48" s="1" t="s">
        <v>38</v>
      </c>
      <c r="X48" s="1" t="s">
        <v>38</v>
      </c>
      <c r="Y48" s="1" t="s">
        <v>384</v>
      </c>
      <c r="Z48" s="6" t="s">
        <v>243</v>
      </c>
    </row>
    <row r="49" spans="1:26" x14ac:dyDescent="0.3">
      <c r="A49" s="2">
        <v>46144.841666666667</v>
      </c>
      <c r="B49" s="1" t="s">
        <v>140</v>
      </c>
      <c r="C49" s="1" t="s">
        <v>141</v>
      </c>
      <c r="D49" s="1" t="s">
        <v>142</v>
      </c>
      <c r="E49" s="1" t="s">
        <v>143</v>
      </c>
      <c r="F49" s="1" t="s">
        <v>144</v>
      </c>
      <c r="G49" s="1" t="s">
        <v>145</v>
      </c>
      <c r="H49" s="1" t="s">
        <v>29</v>
      </c>
      <c r="I49" s="1" t="s">
        <v>30</v>
      </c>
      <c r="J49" s="1" t="s">
        <v>146</v>
      </c>
      <c r="K49" s="1" t="s">
        <v>136</v>
      </c>
      <c r="L49" s="1" t="s">
        <v>147</v>
      </c>
      <c r="M49" s="1" t="s">
        <v>75</v>
      </c>
      <c r="N49" s="1" t="s">
        <v>35</v>
      </c>
      <c r="O49" s="3">
        <v>169490</v>
      </c>
      <c r="P49" s="3">
        <v>141555</v>
      </c>
      <c r="Q49" s="3">
        <v>139490</v>
      </c>
      <c r="R49" s="4">
        <v>46212</v>
      </c>
      <c r="S49" s="1" t="s">
        <v>36</v>
      </c>
      <c r="T49" s="1">
        <v>100</v>
      </c>
      <c r="U49" s="1" t="s">
        <v>385</v>
      </c>
      <c r="V49" s="1" t="s">
        <v>38</v>
      </c>
      <c r="W49" s="1" t="s">
        <v>38</v>
      </c>
      <c r="X49" s="1" t="s">
        <v>38</v>
      </c>
      <c r="Y49" s="1" t="s">
        <v>148</v>
      </c>
      <c r="Z49" s="6" t="s">
        <v>244</v>
      </c>
    </row>
    <row r="50" spans="1:26" x14ac:dyDescent="0.3">
      <c r="A50" s="2">
        <v>46207.706250000003</v>
      </c>
      <c r="B50" s="1" t="s">
        <v>386</v>
      </c>
      <c r="C50" s="1" t="s">
        <v>387</v>
      </c>
      <c r="D50" s="1" t="s">
        <v>388</v>
      </c>
      <c r="E50" s="1" t="s">
        <v>389</v>
      </c>
      <c r="F50" s="1" t="s">
        <v>144</v>
      </c>
      <c r="G50" s="1" t="s">
        <v>145</v>
      </c>
      <c r="H50" s="1" t="s">
        <v>29</v>
      </c>
      <c r="I50" s="1" t="s">
        <v>30</v>
      </c>
      <c r="J50" s="1" t="s">
        <v>390</v>
      </c>
      <c r="K50" s="1" t="s">
        <v>136</v>
      </c>
      <c r="L50" s="1" t="s">
        <v>147</v>
      </c>
      <c r="M50" s="1" t="s">
        <v>75</v>
      </c>
      <c r="N50" s="1" t="s">
        <v>35</v>
      </c>
      <c r="O50" s="3">
        <v>217800</v>
      </c>
      <c r="P50" s="3">
        <v>67800</v>
      </c>
      <c r="Q50" s="3">
        <v>67800</v>
      </c>
      <c r="R50" s="4">
        <v>46220</v>
      </c>
      <c r="S50" s="1" t="s">
        <v>36</v>
      </c>
      <c r="T50" s="1">
        <v>100</v>
      </c>
      <c r="U50" s="1" t="s">
        <v>391</v>
      </c>
      <c r="V50" s="1" t="s">
        <v>38</v>
      </c>
      <c r="W50" s="1" t="s">
        <v>38</v>
      </c>
      <c r="X50" s="1" t="s">
        <v>38</v>
      </c>
      <c r="Y50" s="1" t="s">
        <v>392</v>
      </c>
      <c r="Z50" s="6" t="s">
        <v>244</v>
      </c>
    </row>
    <row r="51" spans="1:26" hidden="1" x14ac:dyDescent="0.3">
      <c r="A51" s="2">
        <v>46183.477777777778</v>
      </c>
      <c r="B51" s="1" t="s">
        <v>393</v>
      </c>
      <c r="C51" s="1" t="s">
        <v>394</v>
      </c>
      <c r="D51" s="1" t="s">
        <v>395</v>
      </c>
      <c r="E51" s="1" t="s">
        <v>396</v>
      </c>
      <c r="F51" s="1" t="s">
        <v>397</v>
      </c>
      <c r="G51" s="1" t="s">
        <v>398</v>
      </c>
      <c r="H51" s="1" t="s">
        <v>29</v>
      </c>
      <c r="I51" s="1" t="s">
        <v>30</v>
      </c>
      <c r="J51" s="1" t="s">
        <v>146</v>
      </c>
      <c r="K51" s="1" t="s">
        <v>136</v>
      </c>
      <c r="L51" s="1" t="s">
        <v>137</v>
      </c>
      <c r="M51" s="1" t="s">
        <v>138</v>
      </c>
      <c r="N51" s="1" t="s">
        <v>35</v>
      </c>
      <c r="O51" s="3">
        <v>1040000</v>
      </c>
      <c r="P51" s="3">
        <v>50000</v>
      </c>
      <c r="Q51" s="1">
        <v>0</v>
      </c>
      <c r="R51" s="4">
        <v>46223</v>
      </c>
      <c r="S51" s="1" t="s">
        <v>36</v>
      </c>
      <c r="T51" s="1">
        <v>100</v>
      </c>
      <c r="U51" s="1" t="s">
        <v>38</v>
      </c>
      <c r="V51" s="1" t="s">
        <v>38</v>
      </c>
      <c r="W51" s="1" t="s">
        <v>38</v>
      </c>
      <c r="X51" s="1" t="s">
        <v>38</v>
      </c>
      <c r="Y51" s="1" t="s">
        <v>38</v>
      </c>
      <c r="Z51" s="8" t="s">
        <v>247</v>
      </c>
    </row>
    <row r="52" spans="1:26" hidden="1" x14ac:dyDescent="0.3">
      <c r="A52" s="2">
        <v>46213.436111111114</v>
      </c>
      <c r="B52" s="1" t="s">
        <v>149</v>
      </c>
      <c r="C52" s="1" t="s">
        <v>150</v>
      </c>
      <c r="D52" s="1" t="s">
        <v>151</v>
      </c>
      <c r="E52" s="1" t="s">
        <v>152</v>
      </c>
      <c r="F52" s="1" t="s">
        <v>153</v>
      </c>
      <c r="G52" s="1" t="s">
        <v>154</v>
      </c>
      <c r="H52" s="1" t="s">
        <v>155</v>
      </c>
      <c r="I52" s="1" t="s">
        <v>30</v>
      </c>
      <c r="J52" s="1" t="s">
        <v>146</v>
      </c>
      <c r="K52" s="1" t="s">
        <v>136</v>
      </c>
      <c r="L52" s="1" t="s">
        <v>147</v>
      </c>
      <c r="M52" s="1" t="s">
        <v>75</v>
      </c>
      <c r="N52" s="1" t="s">
        <v>35</v>
      </c>
      <c r="O52" s="3">
        <v>45000</v>
      </c>
      <c r="P52" s="3">
        <v>3450</v>
      </c>
      <c r="Q52" s="3">
        <v>3000</v>
      </c>
      <c r="R52" s="4">
        <v>46213</v>
      </c>
      <c r="S52" s="1" t="s">
        <v>36</v>
      </c>
      <c r="T52" s="1">
        <v>100</v>
      </c>
      <c r="U52" s="1" t="s">
        <v>580</v>
      </c>
      <c r="V52" s="1" t="s">
        <v>38</v>
      </c>
      <c r="W52" s="1" t="s">
        <v>38</v>
      </c>
      <c r="X52" s="1" t="s">
        <v>38</v>
      </c>
      <c r="Y52" s="1" t="s">
        <v>38</v>
      </c>
      <c r="Z52" s="8" t="s">
        <v>245</v>
      </c>
    </row>
    <row r="53" spans="1:26" hidden="1" x14ac:dyDescent="0.3">
      <c r="A53" s="2">
        <v>46223.447222222225</v>
      </c>
      <c r="B53" s="1" t="s">
        <v>581</v>
      </c>
      <c r="C53" s="1" t="s">
        <v>582</v>
      </c>
      <c r="D53" s="1" t="s">
        <v>583</v>
      </c>
      <c r="E53" s="1" t="s">
        <v>584</v>
      </c>
      <c r="F53" s="1" t="s">
        <v>153</v>
      </c>
      <c r="G53" s="1" t="s">
        <v>154</v>
      </c>
      <c r="H53" s="1" t="s">
        <v>29</v>
      </c>
      <c r="I53" s="1" t="s">
        <v>30</v>
      </c>
      <c r="J53" s="1" t="s">
        <v>146</v>
      </c>
      <c r="K53" s="1" t="s">
        <v>136</v>
      </c>
      <c r="L53" s="1" t="s">
        <v>147</v>
      </c>
      <c r="M53" s="1" t="s">
        <v>43</v>
      </c>
      <c r="N53" s="1" t="s">
        <v>35</v>
      </c>
      <c r="O53" s="3">
        <v>1800</v>
      </c>
      <c r="P53" s="3">
        <v>1368</v>
      </c>
      <c r="Q53" s="1">
        <v>0</v>
      </c>
      <c r="R53" s="4">
        <v>46212</v>
      </c>
      <c r="S53" s="1" t="s">
        <v>570</v>
      </c>
      <c r="T53" s="1">
        <v>90</v>
      </c>
      <c r="U53" s="1" t="s">
        <v>38</v>
      </c>
      <c r="V53" s="1" t="s">
        <v>38</v>
      </c>
      <c r="W53" s="1" t="s">
        <v>38</v>
      </c>
      <c r="X53" s="1" t="s">
        <v>38</v>
      </c>
      <c r="Y53" s="1" t="s">
        <v>38</v>
      </c>
      <c r="Z53" s="8" t="s">
        <v>245</v>
      </c>
    </row>
    <row r="54" spans="1:26" hidden="1" x14ac:dyDescent="0.3">
      <c r="A54" s="2">
        <v>46174.493750000001</v>
      </c>
      <c r="B54" s="1" t="s">
        <v>399</v>
      </c>
      <c r="C54" s="1" t="s">
        <v>400</v>
      </c>
      <c r="D54" s="1" t="s">
        <v>401</v>
      </c>
      <c r="E54" s="1" t="s">
        <v>402</v>
      </c>
      <c r="F54" s="1" t="s">
        <v>403</v>
      </c>
      <c r="G54" s="1" t="s">
        <v>404</v>
      </c>
      <c r="H54" s="1" t="s">
        <v>29</v>
      </c>
      <c r="I54" s="1" t="s">
        <v>30</v>
      </c>
      <c r="J54" s="1" t="s">
        <v>390</v>
      </c>
      <c r="K54" s="1" t="s">
        <v>405</v>
      </c>
      <c r="L54" s="1" t="s">
        <v>405</v>
      </c>
      <c r="M54" s="1" t="s">
        <v>402</v>
      </c>
      <c r="N54" s="1" t="s">
        <v>35</v>
      </c>
      <c r="O54" s="3">
        <v>1105210</v>
      </c>
      <c r="P54" s="3">
        <v>10000</v>
      </c>
      <c r="Q54" s="1">
        <v>0</v>
      </c>
      <c r="R54" s="4">
        <v>46214</v>
      </c>
      <c r="S54" s="1" t="s">
        <v>36</v>
      </c>
      <c r="T54" s="1">
        <v>100</v>
      </c>
      <c r="U54" s="1" t="s">
        <v>38</v>
      </c>
      <c r="V54" s="1" t="s">
        <v>38</v>
      </c>
      <c r="W54" s="1" t="s">
        <v>38</v>
      </c>
      <c r="X54" s="1" t="s">
        <v>38</v>
      </c>
      <c r="Y54" s="1" t="s">
        <v>38</v>
      </c>
      <c r="Z54" s="8" t="s">
        <v>245</v>
      </c>
    </row>
    <row r="55" spans="1:26" hidden="1" x14ac:dyDescent="0.3">
      <c r="A55" s="2">
        <v>46237.405555555553</v>
      </c>
      <c r="B55" s="1" t="s">
        <v>585</v>
      </c>
      <c r="C55" s="1" t="s">
        <v>586</v>
      </c>
      <c r="D55" s="1" t="s">
        <v>587</v>
      </c>
      <c r="E55" s="1" t="s">
        <v>588</v>
      </c>
      <c r="F55" s="1" t="s">
        <v>50</v>
      </c>
      <c r="G55" s="1" t="s">
        <v>50</v>
      </c>
      <c r="H55" s="1" t="s">
        <v>29</v>
      </c>
      <c r="I55" s="1" t="s">
        <v>30</v>
      </c>
      <c r="J55" s="1" t="s">
        <v>31</v>
      </c>
      <c r="K55" s="1" t="s">
        <v>32</v>
      </c>
      <c r="L55" s="1" t="s">
        <v>231</v>
      </c>
      <c r="M55" s="1" t="s">
        <v>63</v>
      </c>
      <c r="N55" s="1" t="s">
        <v>35</v>
      </c>
      <c r="O55" s="3">
        <v>6018000</v>
      </c>
      <c r="P55" s="3">
        <v>10000</v>
      </c>
      <c r="Q55" s="1">
        <v>0</v>
      </c>
      <c r="R55" s="4">
        <v>46234</v>
      </c>
      <c r="S55" s="1" t="s">
        <v>36</v>
      </c>
      <c r="T55" s="1">
        <v>10</v>
      </c>
      <c r="U55" s="1" t="s">
        <v>38</v>
      </c>
      <c r="V55" s="1" t="s">
        <v>38</v>
      </c>
      <c r="W55" s="1" t="s">
        <v>38</v>
      </c>
      <c r="X55" s="1" t="s">
        <v>38</v>
      </c>
      <c r="Y55" s="1" t="s">
        <v>38</v>
      </c>
      <c r="Z55" s="6" t="s">
        <v>246</v>
      </c>
    </row>
    <row r="56" spans="1:26" hidden="1" x14ac:dyDescent="0.3">
      <c r="A56" s="2">
        <v>46237.407638888886</v>
      </c>
      <c r="B56" s="1" t="s">
        <v>589</v>
      </c>
      <c r="C56" s="1" t="s">
        <v>586</v>
      </c>
      <c r="D56" s="1" t="s">
        <v>587</v>
      </c>
      <c r="E56" s="1" t="s">
        <v>590</v>
      </c>
      <c r="F56" s="1" t="s">
        <v>50</v>
      </c>
      <c r="G56" s="1" t="s">
        <v>50</v>
      </c>
      <c r="H56" s="1" t="s">
        <v>29</v>
      </c>
      <c r="I56" s="1" t="s">
        <v>30</v>
      </c>
      <c r="J56" s="1" t="s">
        <v>31</v>
      </c>
      <c r="K56" s="1" t="s">
        <v>32</v>
      </c>
      <c r="L56" s="1" t="s">
        <v>231</v>
      </c>
      <c r="M56" s="1" t="s">
        <v>63</v>
      </c>
      <c r="N56" s="1" t="s">
        <v>35</v>
      </c>
      <c r="O56" s="3">
        <v>1003000</v>
      </c>
      <c r="P56" s="3">
        <v>10000</v>
      </c>
      <c r="Q56" s="1">
        <v>0</v>
      </c>
      <c r="R56" s="4">
        <v>46234</v>
      </c>
      <c r="S56" s="1" t="s">
        <v>36</v>
      </c>
      <c r="T56" s="1">
        <v>100</v>
      </c>
      <c r="U56" s="1" t="s">
        <v>38</v>
      </c>
      <c r="V56" s="1" t="s">
        <v>38</v>
      </c>
      <c r="W56" s="1" t="s">
        <v>38</v>
      </c>
      <c r="X56" s="1" t="s">
        <v>38</v>
      </c>
      <c r="Y56" s="1" t="s">
        <v>38</v>
      </c>
      <c r="Z56" s="6" t="s">
        <v>246</v>
      </c>
    </row>
    <row r="57" spans="1:26" hidden="1" x14ac:dyDescent="0.3">
      <c r="A57" s="2">
        <v>46237.409722222219</v>
      </c>
      <c r="B57" s="1" t="s">
        <v>591</v>
      </c>
      <c r="C57" s="1" t="s">
        <v>586</v>
      </c>
      <c r="D57" s="1" t="s">
        <v>587</v>
      </c>
      <c r="E57" s="1" t="s">
        <v>592</v>
      </c>
      <c r="F57" s="1" t="s">
        <v>50</v>
      </c>
      <c r="G57" s="1" t="s">
        <v>50</v>
      </c>
      <c r="H57" s="1" t="s">
        <v>29</v>
      </c>
      <c r="I57" s="1" t="s">
        <v>30</v>
      </c>
      <c r="J57" s="1" t="s">
        <v>31</v>
      </c>
      <c r="K57" s="1" t="s">
        <v>32</v>
      </c>
      <c r="L57" s="1" t="s">
        <v>231</v>
      </c>
      <c r="M57" s="1" t="s">
        <v>63</v>
      </c>
      <c r="N57" s="1" t="s">
        <v>35</v>
      </c>
      <c r="O57" s="3">
        <v>4012000</v>
      </c>
      <c r="P57" s="3">
        <v>10000</v>
      </c>
      <c r="Q57" s="1">
        <v>0</v>
      </c>
      <c r="R57" s="4">
        <v>46234</v>
      </c>
      <c r="S57" s="1" t="s">
        <v>36</v>
      </c>
      <c r="T57" s="1">
        <v>100</v>
      </c>
      <c r="U57" s="1" t="s">
        <v>38</v>
      </c>
      <c r="V57" s="1" t="s">
        <v>38</v>
      </c>
      <c r="W57" s="1" t="s">
        <v>38</v>
      </c>
      <c r="X57" s="1" t="s">
        <v>38</v>
      </c>
      <c r="Y57" s="1" t="s">
        <v>38</v>
      </c>
      <c r="Z57" s="6" t="s">
        <v>246</v>
      </c>
    </row>
    <row r="58" spans="1:26" hidden="1" x14ac:dyDescent="0.3">
      <c r="A58" s="2">
        <v>46237.411111111112</v>
      </c>
      <c r="B58" s="1" t="s">
        <v>593</v>
      </c>
      <c r="C58" s="1" t="s">
        <v>586</v>
      </c>
      <c r="D58" s="1" t="s">
        <v>587</v>
      </c>
      <c r="E58" s="1" t="s">
        <v>594</v>
      </c>
      <c r="F58" s="1" t="s">
        <v>50</v>
      </c>
      <c r="G58" s="1" t="s">
        <v>50</v>
      </c>
      <c r="H58" s="1" t="s">
        <v>29</v>
      </c>
      <c r="I58" s="1" t="s">
        <v>30</v>
      </c>
      <c r="J58" s="1" t="s">
        <v>31</v>
      </c>
      <c r="K58" s="1" t="s">
        <v>32</v>
      </c>
      <c r="L58" s="1" t="s">
        <v>231</v>
      </c>
      <c r="M58" s="1" t="s">
        <v>63</v>
      </c>
      <c r="N58" s="1" t="s">
        <v>35</v>
      </c>
      <c r="O58" s="3">
        <v>1003000</v>
      </c>
      <c r="P58" s="3">
        <v>10000</v>
      </c>
      <c r="Q58" s="1">
        <v>0</v>
      </c>
      <c r="R58" s="4">
        <v>46234</v>
      </c>
      <c r="S58" s="1" t="s">
        <v>36</v>
      </c>
      <c r="T58" s="1">
        <v>100</v>
      </c>
      <c r="U58" s="1" t="s">
        <v>38</v>
      </c>
      <c r="V58" s="1" t="s">
        <v>38</v>
      </c>
      <c r="W58" s="1" t="s">
        <v>38</v>
      </c>
      <c r="X58" s="1" t="s">
        <v>38</v>
      </c>
      <c r="Y58" s="1" t="s">
        <v>38</v>
      </c>
      <c r="Z58" s="6" t="s">
        <v>246</v>
      </c>
    </row>
    <row r="59" spans="1:26" hidden="1" x14ac:dyDescent="0.3">
      <c r="A59" s="2">
        <v>46237.413194444445</v>
      </c>
      <c r="B59" s="1" t="s">
        <v>595</v>
      </c>
      <c r="C59" s="1" t="s">
        <v>586</v>
      </c>
      <c r="D59" s="1" t="s">
        <v>587</v>
      </c>
      <c r="E59" s="1" t="s">
        <v>596</v>
      </c>
      <c r="F59" s="1" t="s">
        <v>50</v>
      </c>
      <c r="G59" s="1" t="s">
        <v>50</v>
      </c>
      <c r="H59" s="1" t="s">
        <v>29</v>
      </c>
      <c r="I59" s="1" t="s">
        <v>30</v>
      </c>
      <c r="J59" s="1" t="s">
        <v>31</v>
      </c>
      <c r="K59" s="1" t="s">
        <v>32</v>
      </c>
      <c r="L59" s="1" t="s">
        <v>231</v>
      </c>
      <c r="M59" s="1" t="s">
        <v>63</v>
      </c>
      <c r="N59" s="1" t="s">
        <v>35</v>
      </c>
      <c r="O59" s="3">
        <v>1003000</v>
      </c>
      <c r="P59" s="3">
        <v>10000</v>
      </c>
      <c r="Q59" s="1">
        <v>0</v>
      </c>
      <c r="R59" s="4">
        <v>46234</v>
      </c>
      <c r="S59" s="1" t="s">
        <v>36</v>
      </c>
      <c r="T59" s="1">
        <v>100</v>
      </c>
      <c r="U59" s="1" t="s">
        <v>38</v>
      </c>
      <c r="V59" s="1" t="s">
        <v>38</v>
      </c>
      <c r="W59" s="1" t="s">
        <v>38</v>
      </c>
      <c r="X59" s="1" t="s">
        <v>38</v>
      </c>
      <c r="Y59" s="1" t="s">
        <v>38</v>
      </c>
      <c r="Z59" s="6" t="s">
        <v>246</v>
      </c>
    </row>
    <row r="60" spans="1:26" hidden="1" x14ac:dyDescent="0.3">
      <c r="A60" s="2">
        <v>46237.415277777778</v>
      </c>
      <c r="B60" s="1" t="s">
        <v>597</v>
      </c>
      <c r="C60" s="1" t="s">
        <v>586</v>
      </c>
      <c r="D60" s="1" t="s">
        <v>587</v>
      </c>
      <c r="E60" s="1" t="s">
        <v>598</v>
      </c>
      <c r="F60" s="1" t="s">
        <v>50</v>
      </c>
      <c r="G60" s="1" t="s">
        <v>50</v>
      </c>
      <c r="H60" s="1" t="s">
        <v>29</v>
      </c>
      <c r="I60" s="1" t="s">
        <v>30</v>
      </c>
      <c r="J60" s="1" t="s">
        <v>31</v>
      </c>
      <c r="K60" s="1" t="s">
        <v>32</v>
      </c>
      <c r="L60" s="1" t="s">
        <v>231</v>
      </c>
      <c r="M60" s="1" t="s">
        <v>63</v>
      </c>
      <c r="N60" s="1" t="s">
        <v>35</v>
      </c>
      <c r="O60" s="3">
        <v>4513500</v>
      </c>
      <c r="P60" s="3">
        <v>10000</v>
      </c>
      <c r="Q60" s="1">
        <v>0</v>
      </c>
      <c r="R60" s="4">
        <v>46234</v>
      </c>
      <c r="S60" s="1" t="s">
        <v>36</v>
      </c>
      <c r="T60" s="1">
        <v>100</v>
      </c>
      <c r="U60" s="1" t="s">
        <v>38</v>
      </c>
      <c r="V60" s="1" t="s">
        <v>38</v>
      </c>
      <c r="W60" s="1" t="s">
        <v>38</v>
      </c>
      <c r="X60" s="1" t="s">
        <v>38</v>
      </c>
      <c r="Y60" s="1" t="s">
        <v>38</v>
      </c>
      <c r="Z60" s="6" t="s">
        <v>246</v>
      </c>
    </row>
    <row r="61" spans="1:26" hidden="1" x14ac:dyDescent="0.3">
      <c r="A61" s="2">
        <v>46237.415972222225</v>
      </c>
      <c r="B61" s="1" t="s">
        <v>599</v>
      </c>
      <c r="C61" s="1" t="s">
        <v>586</v>
      </c>
      <c r="D61" s="1" t="s">
        <v>587</v>
      </c>
      <c r="E61" s="1" t="s">
        <v>600</v>
      </c>
      <c r="F61" s="1" t="s">
        <v>50</v>
      </c>
      <c r="G61" s="1" t="s">
        <v>50</v>
      </c>
      <c r="H61" s="1" t="s">
        <v>29</v>
      </c>
      <c r="I61" s="1" t="s">
        <v>30</v>
      </c>
      <c r="J61" s="1" t="s">
        <v>31</v>
      </c>
      <c r="K61" s="1" t="s">
        <v>32</v>
      </c>
      <c r="L61" s="1" t="s">
        <v>231</v>
      </c>
      <c r="M61" s="1" t="s">
        <v>63</v>
      </c>
      <c r="N61" s="1" t="s">
        <v>35</v>
      </c>
      <c r="O61" s="3">
        <v>2407200</v>
      </c>
      <c r="P61" s="3">
        <v>10000</v>
      </c>
      <c r="Q61" s="1">
        <v>0</v>
      </c>
      <c r="R61" s="4">
        <v>46234</v>
      </c>
      <c r="S61" s="1" t="s">
        <v>36</v>
      </c>
      <c r="T61" s="1">
        <v>100</v>
      </c>
      <c r="U61" s="1" t="s">
        <v>38</v>
      </c>
      <c r="V61" s="1" t="s">
        <v>38</v>
      </c>
      <c r="W61" s="1" t="s">
        <v>38</v>
      </c>
      <c r="X61" s="1" t="s">
        <v>38</v>
      </c>
      <c r="Y61" s="1" t="s">
        <v>38</v>
      </c>
      <c r="Z61" s="6" t="s">
        <v>246</v>
      </c>
    </row>
    <row r="62" spans="1:26" hidden="1" x14ac:dyDescent="0.3">
      <c r="A62" s="2">
        <v>46237.417361111111</v>
      </c>
      <c r="B62" s="1" t="s">
        <v>601</v>
      </c>
      <c r="C62" s="1" t="s">
        <v>586</v>
      </c>
      <c r="D62" s="1" t="s">
        <v>587</v>
      </c>
      <c r="E62" s="1" t="s">
        <v>602</v>
      </c>
      <c r="F62" s="1" t="s">
        <v>50</v>
      </c>
      <c r="G62" s="1" t="s">
        <v>50</v>
      </c>
      <c r="H62" s="1" t="s">
        <v>29</v>
      </c>
      <c r="I62" s="1" t="s">
        <v>30</v>
      </c>
      <c r="J62" s="1" t="s">
        <v>31</v>
      </c>
      <c r="K62" s="1" t="s">
        <v>32</v>
      </c>
      <c r="L62" s="1" t="s">
        <v>231</v>
      </c>
      <c r="M62" s="1" t="s">
        <v>63</v>
      </c>
      <c r="N62" s="1" t="s">
        <v>35</v>
      </c>
      <c r="O62" s="3">
        <v>3610800</v>
      </c>
      <c r="P62" s="3">
        <v>10000</v>
      </c>
      <c r="Q62" s="1">
        <v>0</v>
      </c>
      <c r="R62" s="4">
        <v>46234</v>
      </c>
      <c r="S62" s="1" t="s">
        <v>36</v>
      </c>
      <c r="T62" s="1">
        <v>100</v>
      </c>
      <c r="U62" s="1" t="s">
        <v>38</v>
      </c>
      <c r="V62" s="1" t="s">
        <v>38</v>
      </c>
      <c r="W62" s="1" t="s">
        <v>38</v>
      </c>
      <c r="X62" s="1" t="s">
        <v>38</v>
      </c>
      <c r="Y62" s="1" t="s">
        <v>38</v>
      </c>
      <c r="Z62" s="6" t="s">
        <v>246</v>
      </c>
    </row>
    <row r="63" spans="1:26" hidden="1" x14ac:dyDescent="0.3">
      <c r="A63" s="2">
        <v>46237.418749999997</v>
      </c>
      <c r="B63" s="1" t="s">
        <v>603</v>
      </c>
      <c r="C63" s="1" t="s">
        <v>586</v>
      </c>
      <c r="D63" s="1" t="s">
        <v>587</v>
      </c>
      <c r="E63" s="1" t="s">
        <v>604</v>
      </c>
      <c r="F63" s="1" t="s">
        <v>50</v>
      </c>
      <c r="G63" s="1" t="s">
        <v>50</v>
      </c>
      <c r="H63" s="1" t="s">
        <v>29</v>
      </c>
      <c r="I63" s="1" t="s">
        <v>30</v>
      </c>
      <c r="J63" s="1" t="s">
        <v>31</v>
      </c>
      <c r="K63" s="1" t="s">
        <v>32</v>
      </c>
      <c r="L63" s="1" t="s">
        <v>231</v>
      </c>
      <c r="M63" s="1" t="s">
        <v>63</v>
      </c>
      <c r="N63" s="1" t="s">
        <v>35</v>
      </c>
      <c r="O63" s="3">
        <v>2006000</v>
      </c>
      <c r="P63" s="3">
        <v>10000</v>
      </c>
      <c r="Q63" s="1">
        <v>0</v>
      </c>
      <c r="R63" s="4">
        <v>46234</v>
      </c>
      <c r="S63" s="1" t="s">
        <v>36</v>
      </c>
      <c r="T63" s="1">
        <v>100</v>
      </c>
      <c r="U63" s="1" t="s">
        <v>38</v>
      </c>
      <c r="V63" s="1" t="s">
        <v>38</v>
      </c>
      <c r="W63" s="1" t="s">
        <v>38</v>
      </c>
      <c r="X63" s="1" t="s">
        <v>38</v>
      </c>
      <c r="Y63" s="1" t="s">
        <v>38</v>
      </c>
      <c r="Z63" s="6" t="s">
        <v>246</v>
      </c>
    </row>
    <row r="64" spans="1:26" hidden="1" x14ac:dyDescent="0.3">
      <c r="A64" s="2">
        <v>46237.420138888891</v>
      </c>
      <c r="B64" s="1" t="s">
        <v>605</v>
      </c>
      <c r="C64" s="1" t="s">
        <v>586</v>
      </c>
      <c r="D64" s="1" t="s">
        <v>587</v>
      </c>
      <c r="E64" s="1" t="s">
        <v>606</v>
      </c>
      <c r="F64" s="1" t="s">
        <v>50</v>
      </c>
      <c r="G64" s="1" t="s">
        <v>50</v>
      </c>
      <c r="H64" s="1" t="s">
        <v>29</v>
      </c>
      <c r="I64" s="1" t="s">
        <v>30</v>
      </c>
      <c r="J64" s="1" t="s">
        <v>31</v>
      </c>
      <c r="K64" s="1" t="s">
        <v>32</v>
      </c>
      <c r="L64" s="1" t="s">
        <v>231</v>
      </c>
      <c r="M64" s="1" t="s">
        <v>63</v>
      </c>
      <c r="N64" s="1" t="s">
        <v>35</v>
      </c>
      <c r="O64" s="3">
        <v>1003000</v>
      </c>
      <c r="P64" s="3">
        <v>10000</v>
      </c>
      <c r="Q64" s="1">
        <v>0</v>
      </c>
      <c r="R64" s="4">
        <v>46234</v>
      </c>
      <c r="S64" s="1" t="s">
        <v>36</v>
      </c>
      <c r="T64" s="1">
        <v>100</v>
      </c>
      <c r="U64" s="1" t="s">
        <v>38</v>
      </c>
      <c r="V64" s="1" t="s">
        <v>38</v>
      </c>
      <c r="W64" s="1" t="s">
        <v>38</v>
      </c>
      <c r="X64" s="1" t="s">
        <v>38</v>
      </c>
      <c r="Y64" s="1" t="s">
        <v>38</v>
      </c>
      <c r="Z64" s="6" t="s">
        <v>246</v>
      </c>
    </row>
    <row r="65" spans="1:26" hidden="1" x14ac:dyDescent="0.3">
      <c r="A65" s="2">
        <v>46237.422222222223</v>
      </c>
      <c r="B65" s="1" t="s">
        <v>607</v>
      </c>
      <c r="C65" s="1" t="s">
        <v>586</v>
      </c>
      <c r="D65" s="1" t="s">
        <v>587</v>
      </c>
      <c r="E65" s="1" t="s">
        <v>608</v>
      </c>
      <c r="F65" s="1" t="s">
        <v>50</v>
      </c>
      <c r="G65" s="1" t="s">
        <v>50</v>
      </c>
      <c r="H65" s="1" t="s">
        <v>29</v>
      </c>
      <c r="I65" s="1" t="s">
        <v>30</v>
      </c>
      <c r="J65" s="1" t="s">
        <v>31</v>
      </c>
      <c r="K65" s="1" t="s">
        <v>32</v>
      </c>
      <c r="L65" s="1" t="s">
        <v>231</v>
      </c>
      <c r="M65" s="1" t="s">
        <v>63</v>
      </c>
      <c r="N65" s="1" t="s">
        <v>35</v>
      </c>
      <c r="O65" s="3">
        <v>3510500</v>
      </c>
      <c r="P65" s="3">
        <v>10000</v>
      </c>
      <c r="Q65" s="1">
        <v>0</v>
      </c>
      <c r="R65" s="4">
        <v>46234</v>
      </c>
      <c r="S65" s="1" t="s">
        <v>36</v>
      </c>
      <c r="T65" s="1">
        <v>100</v>
      </c>
      <c r="U65" s="1" t="s">
        <v>38</v>
      </c>
      <c r="V65" s="1" t="s">
        <v>38</v>
      </c>
      <c r="W65" s="1" t="s">
        <v>38</v>
      </c>
      <c r="X65" s="1" t="s">
        <v>38</v>
      </c>
      <c r="Y65" s="1" t="s">
        <v>38</v>
      </c>
      <c r="Z65" s="6" t="s">
        <v>246</v>
      </c>
    </row>
    <row r="66" spans="1:26" hidden="1" x14ac:dyDescent="0.3">
      <c r="A66" s="2">
        <v>46237.423611111109</v>
      </c>
      <c r="B66" s="1" t="s">
        <v>609</v>
      </c>
      <c r="C66" s="1" t="s">
        <v>586</v>
      </c>
      <c r="D66" s="1" t="s">
        <v>587</v>
      </c>
      <c r="E66" s="1" t="s">
        <v>610</v>
      </c>
      <c r="F66" s="1" t="s">
        <v>50</v>
      </c>
      <c r="G66" s="1" t="s">
        <v>50</v>
      </c>
      <c r="H66" s="1" t="s">
        <v>29</v>
      </c>
      <c r="I66" s="1" t="s">
        <v>30</v>
      </c>
      <c r="J66" s="1" t="s">
        <v>31</v>
      </c>
      <c r="K66" s="1" t="s">
        <v>32</v>
      </c>
      <c r="L66" s="1" t="s">
        <v>231</v>
      </c>
      <c r="M66" s="1" t="s">
        <v>63</v>
      </c>
      <c r="N66" s="1" t="s">
        <v>35</v>
      </c>
      <c r="O66" s="3">
        <v>1705100</v>
      </c>
      <c r="P66" s="3">
        <v>10000</v>
      </c>
      <c r="Q66" s="1">
        <v>0</v>
      </c>
      <c r="R66" s="4">
        <v>46234</v>
      </c>
      <c r="S66" s="1" t="s">
        <v>36</v>
      </c>
      <c r="T66" s="1">
        <v>100</v>
      </c>
      <c r="U66" s="1" t="s">
        <v>38</v>
      </c>
      <c r="V66" s="1" t="s">
        <v>38</v>
      </c>
      <c r="W66" s="1" t="s">
        <v>38</v>
      </c>
      <c r="X66" s="1" t="s">
        <v>38</v>
      </c>
      <c r="Y66" s="1" t="s">
        <v>38</v>
      </c>
      <c r="Z66" s="6" t="s">
        <v>246</v>
      </c>
    </row>
    <row r="67" spans="1:26" hidden="1" x14ac:dyDescent="0.3">
      <c r="A67" s="2">
        <v>46237.425000000003</v>
      </c>
      <c r="B67" s="1" t="s">
        <v>611</v>
      </c>
      <c r="C67" s="1" t="s">
        <v>586</v>
      </c>
      <c r="D67" s="1" t="s">
        <v>587</v>
      </c>
      <c r="E67" s="1" t="s">
        <v>612</v>
      </c>
      <c r="F67" s="1" t="s">
        <v>50</v>
      </c>
      <c r="G67" s="1" t="s">
        <v>50</v>
      </c>
      <c r="H67" s="1" t="s">
        <v>29</v>
      </c>
      <c r="I67" s="1" t="s">
        <v>30</v>
      </c>
      <c r="J67" s="1" t="s">
        <v>31</v>
      </c>
      <c r="K67" s="1" t="s">
        <v>32</v>
      </c>
      <c r="L67" s="1" t="s">
        <v>231</v>
      </c>
      <c r="M67" s="1" t="s">
        <v>63</v>
      </c>
      <c r="N67" s="1" t="s">
        <v>35</v>
      </c>
      <c r="O67" s="3">
        <v>2125000</v>
      </c>
      <c r="P67" s="3">
        <v>10000</v>
      </c>
      <c r="Q67" s="1">
        <v>0</v>
      </c>
      <c r="R67" s="4">
        <v>46234</v>
      </c>
      <c r="S67" s="1" t="s">
        <v>36</v>
      </c>
      <c r="T67" s="1">
        <v>100</v>
      </c>
      <c r="U67" s="1" t="s">
        <v>38</v>
      </c>
      <c r="V67" s="1" t="s">
        <v>38</v>
      </c>
      <c r="W67" s="1" t="s">
        <v>38</v>
      </c>
      <c r="X67" s="1" t="s">
        <v>38</v>
      </c>
      <c r="Y67" s="1" t="s">
        <v>38</v>
      </c>
      <c r="Z67" s="6" t="s">
        <v>246</v>
      </c>
    </row>
    <row r="68" spans="1:26" hidden="1" x14ac:dyDescent="0.3">
      <c r="A68" s="2">
        <v>46237.426388888889</v>
      </c>
      <c r="B68" s="1" t="s">
        <v>613</v>
      </c>
      <c r="C68" s="1" t="s">
        <v>586</v>
      </c>
      <c r="D68" s="1" t="s">
        <v>587</v>
      </c>
      <c r="E68" s="1" t="s">
        <v>614</v>
      </c>
      <c r="F68" s="1" t="s">
        <v>50</v>
      </c>
      <c r="G68" s="1" t="s">
        <v>50</v>
      </c>
      <c r="H68" s="1" t="s">
        <v>29</v>
      </c>
      <c r="I68" s="1" t="s">
        <v>30</v>
      </c>
      <c r="J68" s="1" t="s">
        <v>31</v>
      </c>
      <c r="K68" s="1" t="s">
        <v>32</v>
      </c>
      <c r="L68" s="1" t="s">
        <v>231</v>
      </c>
      <c r="M68" s="1" t="s">
        <v>63</v>
      </c>
      <c r="N68" s="1" t="s">
        <v>35</v>
      </c>
      <c r="O68" s="3">
        <v>5780000</v>
      </c>
      <c r="P68" s="3">
        <v>10000</v>
      </c>
      <c r="Q68" s="1">
        <v>0</v>
      </c>
      <c r="R68" s="4">
        <v>46234</v>
      </c>
      <c r="S68" s="1" t="s">
        <v>36</v>
      </c>
      <c r="T68" s="1">
        <v>100</v>
      </c>
      <c r="U68" s="1" t="s">
        <v>38</v>
      </c>
      <c r="V68" s="1" t="s">
        <v>38</v>
      </c>
      <c r="W68" s="1" t="s">
        <v>38</v>
      </c>
      <c r="X68" s="1" t="s">
        <v>38</v>
      </c>
      <c r="Y68" s="1" t="s">
        <v>38</v>
      </c>
      <c r="Z68" s="6" t="s">
        <v>246</v>
      </c>
    </row>
    <row r="69" spans="1:26" hidden="1" x14ac:dyDescent="0.3">
      <c r="A69" s="2">
        <v>46237.427083333336</v>
      </c>
      <c r="B69" s="1" t="s">
        <v>615</v>
      </c>
      <c r="C69" s="1" t="s">
        <v>586</v>
      </c>
      <c r="D69" s="1" t="s">
        <v>587</v>
      </c>
      <c r="E69" s="1" t="s">
        <v>616</v>
      </c>
      <c r="F69" s="1" t="s">
        <v>50</v>
      </c>
      <c r="G69" s="1" t="s">
        <v>50</v>
      </c>
      <c r="H69" s="1" t="s">
        <v>29</v>
      </c>
      <c r="I69" s="1" t="s">
        <v>30</v>
      </c>
      <c r="J69" s="1" t="s">
        <v>31</v>
      </c>
      <c r="K69" s="1" t="s">
        <v>32</v>
      </c>
      <c r="L69" s="1" t="s">
        <v>231</v>
      </c>
      <c r="M69" s="1" t="s">
        <v>63</v>
      </c>
      <c r="N69" s="1" t="s">
        <v>35</v>
      </c>
      <c r="O69" s="3">
        <v>4250000</v>
      </c>
      <c r="P69" s="3">
        <v>10000</v>
      </c>
      <c r="Q69" s="1">
        <v>0</v>
      </c>
      <c r="R69" s="4">
        <v>46234</v>
      </c>
      <c r="S69" s="1" t="s">
        <v>36</v>
      </c>
      <c r="T69" s="1">
        <v>100</v>
      </c>
      <c r="U69" s="1" t="s">
        <v>38</v>
      </c>
      <c r="V69" s="1" t="s">
        <v>38</v>
      </c>
      <c r="W69" s="1" t="s">
        <v>38</v>
      </c>
      <c r="X69" s="1" t="s">
        <v>38</v>
      </c>
      <c r="Y69" s="1" t="s">
        <v>38</v>
      </c>
      <c r="Z69" s="6" t="s">
        <v>246</v>
      </c>
    </row>
    <row r="70" spans="1:26" hidden="1" x14ac:dyDescent="0.3">
      <c r="A70" s="2">
        <v>46237.429166666669</v>
      </c>
      <c r="B70" s="1" t="s">
        <v>617</v>
      </c>
      <c r="C70" s="1" t="s">
        <v>586</v>
      </c>
      <c r="D70" s="1" t="s">
        <v>587</v>
      </c>
      <c r="E70" s="1" t="s">
        <v>618</v>
      </c>
      <c r="F70" s="1" t="s">
        <v>50</v>
      </c>
      <c r="G70" s="1" t="s">
        <v>50</v>
      </c>
      <c r="H70" s="1" t="s">
        <v>29</v>
      </c>
      <c r="I70" s="1" t="s">
        <v>30</v>
      </c>
      <c r="J70" s="1" t="s">
        <v>31</v>
      </c>
      <c r="K70" s="1" t="s">
        <v>32</v>
      </c>
      <c r="L70" s="1" t="s">
        <v>231</v>
      </c>
      <c r="M70" s="1" t="s">
        <v>63</v>
      </c>
      <c r="N70" s="1" t="s">
        <v>35</v>
      </c>
      <c r="O70" s="3">
        <v>3825000</v>
      </c>
      <c r="P70" s="3">
        <v>1000</v>
      </c>
      <c r="Q70" s="1">
        <v>0</v>
      </c>
      <c r="R70" s="4">
        <v>46234</v>
      </c>
      <c r="S70" s="1" t="s">
        <v>36</v>
      </c>
      <c r="T70" s="1">
        <v>100</v>
      </c>
      <c r="U70" s="1" t="s">
        <v>38</v>
      </c>
      <c r="V70" s="1" t="s">
        <v>38</v>
      </c>
      <c r="W70" s="1" t="s">
        <v>38</v>
      </c>
      <c r="X70" s="1" t="s">
        <v>38</v>
      </c>
      <c r="Y70" s="1" t="s">
        <v>38</v>
      </c>
      <c r="Z70" s="6" t="s">
        <v>246</v>
      </c>
    </row>
    <row r="71" spans="1:26" hidden="1" x14ac:dyDescent="0.3">
      <c r="A71" s="2">
        <v>46237.429861111108</v>
      </c>
      <c r="B71" s="1" t="s">
        <v>619</v>
      </c>
      <c r="C71" s="1" t="s">
        <v>586</v>
      </c>
      <c r="D71" s="1" t="s">
        <v>587</v>
      </c>
      <c r="E71" s="1" t="s">
        <v>620</v>
      </c>
      <c r="F71" s="1" t="s">
        <v>50</v>
      </c>
      <c r="G71" s="1" t="s">
        <v>50</v>
      </c>
      <c r="H71" s="1" t="s">
        <v>29</v>
      </c>
      <c r="I71" s="1" t="s">
        <v>30</v>
      </c>
      <c r="J71" s="1" t="s">
        <v>31</v>
      </c>
      <c r="K71" s="1" t="s">
        <v>32</v>
      </c>
      <c r="L71" s="1" t="s">
        <v>231</v>
      </c>
      <c r="M71" s="1" t="s">
        <v>63</v>
      </c>
      <c r="N71" s="1" t="s">
        <v>35</v>
      </c>
      <c r="O71" s="3">
        <v>1700000</v>
      </c>
      <c r="P71" s="3">
        <v>10000</v>
      </c>
      <c r="Q71" s="1">
        <v>0</v>
      </c>
      <c r="R71" s="4">
        <v>46234</v>
      </c>
      <c r="S71" s="1" t="s">
        <v>36</v>
      </c>
      <c r="T71" s="1">
        <v>100</v>
      </c>
      <c r="U71" s="1" t="s">
        <v>38</v>
      </c>
      <c r="V71" s="1" t="s">
        <v>38</v>
      </c>
      <c r="W71" s="1" t="s">
        <v>38</v>
      </c>
      <c r="X71" s="1" t="s">
        <v>38</v>
      </c>
      <c r="Y71" s="1" t="s">
        <v>38</v>
      </c>
      <c r="Z71" s="6" t="s">
        <v>246</v>
      </c>
    </row>
    <row r="72" spans="1:26" hidden="1" x14ac:dyDescent="0.3">
      <c r="A72" s="2">
        <v>46237.431944444441</v>
      </c>
      <c r="B72" s="1" t="s">
        <v>621</v>
      </c>
      <c r="C72" s="1" t="s">
        <v>586</v>
      </c>
      <c r="D72" s="1" t="s">
        <v>587</v>
      </c>
      <c r="E72" s="1" t="s">
        <v>622</v>
      </c>
      <c r="F72" s="1" t="s">
        <v>50</v>
      </c>
      <c r="G72" s="1" t="s">
        <v>50</v>
      </c>
      <c r="H72" s="1" t="s">
        <v>29</v>
      </c>
      <c r="I72" s="1" t="s">
        <v>30</v>
      </c>
      <c r="J72" s="1" t="s">
        <v>31</v>
      </c>
      <c r="K72" s="1" t="s">
        <v>32</v>
      </c>
      <c r="L72" s="1" t="s">
        <v>231</v>
      </c>
      <c r="M72" s="1" t="s">
        <v>63</v>
      </c>
      <c r="N72" s="1" t="s">
        <v>35</v>
      </c>
      <c r="O72" s="3">
        <v>5950000</v>
      </c>
      <c r="P72" s="3">
        <v>10000</v>
      </c>
      <c r="Q72" s="1">
        <v>0</v>
      </c>
      <c r="R72" s="4">
        <v>46234</v>
      </c>
      <c r="S72" s="1" t="s">
        <v>36</v>
      </c>
      <c r="T72" s="1">
        <v>100</v>
      </c>
      <c r="U72" s="1" t="s">
        <v>38</v>
      </c>
      <c r="V72" s="1" t="s">
        <v>38</v>
      </c>
      <c r="W72" s="1" t="s">
        <v>38</v>
      </c>
      <c r="X72" s="1" t="s">
        <v>38</v>
      </c>
      <c r="Y72" s="1" t="s">
        <v>38</v>
      </c>
      <c r="Z72" s="6" t="s">
        <v>246</v>
      </c>
    </row>
    <row r="73" spans="1:26" hidden="1" x14ac:dyDescent="0.3">
      <c r="A73" s="2">
        <v>46237.433333333334</v>
      </c>
      <c r="B73" s="1" t="s">
        <v>623</v>
      </c>
      <c r="C73" s="1" t="s">
        <v>586</v>
      </c>
      <c r="D73" s="1" t="s">
        <v>587</v>
      </c>
      <c r="E73" s="1" t="s">
        <v>624</v>
      </c>
      <c r="F73" s="1" t="s">
        <v>50</v>
      </c>
      <c r="G73" s="1" t="s">
        <v>50</v>
      </c>
      <c r="H73" s="1" t="s">
        <v>29</v>
      </c>
      <c r="I73" s="1" t="s">
        <v>30</v>
      </c>
      <c r="J73" s="1" t="s">
        <v>31</v>
      </c>
      <c r="K73" s="1" t="s">
        <v>32</v>
      </c>
      <c r="L73" s="1" t="s">
        <v>231</v>
      </c>
      <c r="M73" s="1" t="s">
        <v>63</v>
      </c>
      <c r="N73" s="1" t="s">
        <v>35</v>
      </c>
      <c r="O73" s="3">
        <v>1275000</v>
      </c>
      <c r="P73" s="3">
        <v>10000</v>
      </c>
      <c r="Q73" s="1">
        <v>0</v>
      </c>
      <c r="R73" s="4">
        <v>46234</v>
      </c>
      <c r="S73" s="1" t="s">
        <v>36</v>
      </c>
      <c r="T73" s="1">
        <v>100</v>
      </c>
      <c r="U73" s="1" t="s">
        <v>38</v>
      </c>
      <c r="V73" s="1" t="s">
        <v>38</v>
      </c>
      <c r="W73" s="1" t="s">
        <v>38</v>
      </c>
      <c r="X73" s="1" t="s">
        <v>38</v>
      </c>
      <c r="Y73" s="1" t="s">
        <v>38</v>
      </c>
      <c r="Z73" s="6" t="s">
        <v>246</v>
      </c>
    </row>
    <row r="74" spans="1:26" hidden="1" x14ac:dyDescent="0.3">
      <c r="A74" s="2">
        <v>46237.43472222222</v>
      </c>
      <c r="B74" s="1" t="s">
        <v>625</v>
      </c>
      <c r="C74" s="1" t="s">
        <v>586</v>
      </c>
      <c r="D74" s="1" t="s">
        <v>587</v>
      </c>
      <c r="E74" s="1" t="s">
        <v>626</v>
      </c>
      <c r="F74" s="1" t="s">
        <v>50</v>
      </c>
      <c r="G74" s="1" t="s">
        <v>50</v>
      </c>
      <c r="H74" s="1" t="s">
        <v>29</v>
      </c>
      <c r="I74" s="1" t="s">
        <v>30</v>
      </c>
      <c r="J74" s="1" t="s">
        <v>31</v>
      </c>
      <c r="K74" s="1" t="s">
        <v>32</v>
      </c>
      <c r="L74" s="1" t="s">
        <v>231</v>
      </c>
      <c r="M74" s="1" t="s">
        <v>63</v>
      </c>
      <c r="N74" s="1" t="s">
        <v>35</v>
      </c>
      <c r="O74" s="3">
        <v>4250000</v>
      </c>
      <c r="P74" s="3">
        <v>10000</v>
      </c>
      <c r="Q74" s="1">
        <v>0</v>
      </c>
      <c r="R74" s="4">
        <v>46234</v>
      </c>
      <c r="S74" s="1" t="s">
        <v>36</v>
      </c>
      <c r="T74" s="1">
        <v>100</v>
      </c>
      <c r="U74" s="1" t="s">
        <v>38</v>
      </c>
      <c r="V74" s="1" t="s">
        <v>38</v>
      </c>
      <c r="W74" s="1" t="s">
        <v>38</v>
      </c>
      <c r="X74" s="1" t="s">
        <v>38</v>
      </c>
      <c r="Y74" s="1" t="s">
        <v>38</v>
      </c>
      <c r="Z74" s="6" t="s">
        <v>246</v>
      </c>
    </row>
    <row r="75" spans="1:26" hidden="1" x14ac:dyDescent="0.3">
      <c r="A75" s="2">
        <v>46237.435416666667</v>
      </c>
      <c r="B75" s="1" t="s">
        <v>627</v>
      </c>
      <c r="C75" s="1" t="s">
        <v>586</v>
      </c>
      <c r="D75" s="1" t="s">
        <v>587</v>
      </c>
      <c r="E75" s="1" t="s">
        <v>628</v>
      </c>
      <c r="F75" s="1" t="s">
        <v>50</v>
      </c>
      <c r="G75" s="1" t="s">
        <v>50</v>
      </c>
      <c r="H75" s="1" t="s">
        <v>29</v>
      </c>
      <c r="I75" s="1" t="s">
        <v>30</v>
      </c>
      <c r="J75" s="1" t="s">
        <v>31</v>
      </c>
      <c r="K75" s="1" t="s">
        <v>32</v>
      </c>
      <c r="L75" s="1" t="s">
        <v>231</v>
      </c>
      <c r="M75" s="1" t="s">
        <v>63</v>
      </c>
      <c r="N75" s="1" t="s">
        <v>35</v>
      </c>
      <c r="O75" s="3">
        <v>1700000</v>
      </c>
      <c r="P75" s="3">
        <v>10000</v>
      </c>
      <c r="Q75" s="1">
        <v>0</v>
      </c>
      <c r="R75" s="4">
        <v>46234</v>
      </c>
      <c r="S75" s="1" t="s">
        <v>36</v>
      </c>
      <c r="T75" s="1">
        <v>100</v>
      </c>
      <c r="U75" s="1" t="s">
        <v>38</v>
      </c>
      <c r="V75" s="1" t="s">
        <v>38</v>
      </c>
      <c r="W75" s="1" t="s">
        <v>38</v>
      </c>
      <c r="X75" s="1" t="s">
        <v>38</v>
      </c>
      <c r="Y75" s="1" t="s">
        <v>38</v>
      </c>
      <c r="Z75" s="6" t="s">
        <v>246</v>
      </c>
    </row>
    <row r="76" spans="1:26" hidden="1" x14ac:dyDescent="0.3">
      <c r="A76" s="2">
        <v>46237.4375</v>
      </c>
      <c r="B76" s="1" t="s">
        <v>629</v>
      </c>
      <c r="C76" s="1" t="s">
        <v>586</v>
      </c>
      <c r="D76" s="1" t="s">
        <v>587</v>
      </c>
      <c r="E76" s="1" t="s">
        <v>630</v>
      </c>
      <c r="F76" s="1" t="s">
        <v>50</v>
      </c>
      <c r="G76" s="1" t="s">
        <v>50</v>
      </c>
      <c r="H76" s="1" t="s">
        <v>29</v>
      </c>
      <c r="I76" s="1" t="s">
        <v>30</v>
      </c>
      <c r="J76" s="1" t="s">
        <v>31</v>
      </c>
      <c r="K76" s="1" t="s">
        <v>32</v>
      </c>
      <c r="L76" s="1" t="s">
        <v>231</v>
      </c>
      <c r="M76" s="1" t="s">
        <v>63</v>
      </c>
      <c r="N76" s="1" t="s">
        <v>35</v>
      </c>
      <c r="O76" s="3">
        <v>1445000</v>
      </c>
      <c r="P76" s="3">
        <v>1000</v>
      </c>
      <c r="Q76" s="1">
        <v>0</v>
      </c>
      <c r="R76" s="4">
        <v>46234</v>
      </c>
      <c r="S76" s="1" t="s">
        <v>36</v>
      </c>
      <c r="T76" s="1">
        <v>100</v>
      </c>
      <c r="U76" s="1" t="s">
        <v>38</v>
      </c>
      <c r="V76" s="1" t="s">
        <v>38</v>
      </c>
      <c r="W76" s="1" t="s">
        <v>38</v>
      </c>
      <c r="X76" s="1" t="s">
        <v>38</v>
      </c>
      <c r="Y76" s="1" t="s">
        <v>38</v>
      </c>
      <c r="Z76" s="6" t="s">
        <v>246</v>
      </c>
    </row>
    <row r="77" spans="1:26" hidden="1" x14ac:dyDescent="0.3">
      <c r="A77" s="2">
        <v>46237.438888888886</v>
      </c>
      <c r="B77" s="1" t="s">
        <v>631</v>
      </c>
      <c r="C77" s="1" t="s">
        <v>586</v>
      </c>
      <c r="D77" s="1" t="s">
        <v>587</v>
      </c>
      <c r="E77" s="1" t="s">
        <v>632</v>
      </c>
      <c r="F77" s="1" t="s">
        <v>50</v>
      </c>
      <c r="G77" s="1" t="s">
        <v>50</v>
      </c>
      <c r="H77" s="1" t="s">
        <v>29</v>
      </c>
      <c r="I77" s="1" t="s">
        <v>30</v>
      </c>
      <c r="J77" s="1" t="s">
        <v>31</v>
      </c>
      <c r="K77" s="1" t="s">
        <v>32</v>
      </c>
      <c r="L77" s="1" t="s">
        <v>231</v>
      </c>
      <c r="M77" s="1" t="s">
        <v>63</v>
      </c>
      <c r="N77" s="1" t="s">
        <v>35</v>
      </c>
      <c r="O77" s="3">
        <v>3230000</v>
      </c>
      <c r="P77" s="3">
        <v>10000</v>
      </c>
      <c r="Q77" s="1">
        <v>0</v>
      </c>
      <c r="R77" s="4">
        <v>46234</v>
      </c>
      <c r="S77" s="1" t="s">
        <v>36</v>
      </c>
      <c r="T77" s="1">
        <v>100</v>
      </c>
      <c r="U77" s="1" t="s">
        <v>38</v>
      </c>
      <c r="V77" s="1" t="s">
        <v>38</v>
      </c>
      <c r="W77" s="1" t="s">
        <v>38</v>
      </c>
      <c r="X77" s="1" t="s">
        <v>38</v>
      </c>
      <c r="Y77" s="1" t="s">
        <v>38</v>
      </c>
      <c r="Z77" s="6" t="s">
        <v>246</v>
      </c>
    </row>
    <row r="78" spans="1:26" hidden="1" x14ac:dyDescent="0.3">
      <c r="A78" s="2">
        <v>46237.439583333333</v>
      </c>
      <c r="B78" s="1" t="s">
        <v>633</v>
      </c>
      <c r="C78" s="1" t="s">
        <v>586</v>
      </c>
      <c r="D78" s="1" t="s">
        <v>587</v>
      </c>
      <c r="E78" s="1" t="s">
        <v>634</v>
      </c>
      <c r="F78" s="1" t="s">
        <v>50</v>
      </c>
      <c r="G78" s="1" t="s">
        <v>50</v>
      </c>
      <c r="H78" s="1" t="s">
        <v>29</v>
      </c>
      <c r="I78" s="1" t="s">
        <v>30</v>
      </c>
      <c r="J78" s="1" t="s">
        <v>31</v>
      </c>
      <c r="K78" s="1" t="s">
        <v>32</v>
      </c>
      <c r="L78" s="1" t="s">
        <v>231</v>
      </c>
      <c r="M78" s="1" t="s">
        <v>63</v>
      </c>
      <c r="N78" s="1" t="s">
        <v>35</v>
      </c>
      <c r="O78" s="3">
        <v>1700000</v>
      </c>
      <c r="P78" s="3">
        <v>1000</v>
      </c>
      <c r="Q78" s="1">
        <v>0</v>
      </c>
      <c r="R78" s="4">
        <v>46234</v>
      </c>
      <c r="S78" s="1" t="s">
        <v>36</v>
      </c>
      <c r="T78" s="1">
        <v>100</v>
      </c>
      <c r="U78" s="1" t="s">
        <v>38</v>
      </c>
      <c r="V78" s="1" t="s">
        <v>38</v>
      </c>
      <c r="W78" s="1" t="s">
        <v>38</v>
      </c>
      <c r="X78" s="1" t="s">
        <v>38</v>
      </c>
      <c r="Y78" s="1" t="s">
        <v>38</v>
      </c>
      <c r="Z78" s="6" t="s">
        <v>246</v>
      </c>
    </row>
    <row r="79" spans="1:26" hidden="1" x14ac:dyDescent="0.3">
      <c r="A79" s="2">
        <v>46202.638194444444</v>
      </c>
      <c r="B79" s="1" t="s">
        <v>406</v>
      </c>
      <c r="C79" s="1" t="s">
        <v>407</v>
      </c>
      <c r="D79" s="1" t="s">
        <v>408</v>
      </c>
      <c r="E79" s="1" t="s">
        <v>409</v>
      </c>
      <c r="F79" s="1" t="s">
        <v>410</v>
      </c>
      <c r="G79" s="1" t="s">
        <v>411</v>
      </c>
      <c r="H79" s="1" t="s">
        <v>29</v>
      </c>
      <c r="I79" s="1" t="s">
        <v>30</v>
      </c>
      <c r="J79" s="1" t="s">
        <v>412</v>
      </c>
      <c r="K79" s="1" t="s">
        <v>53</v>
      </c>
      <c r="L79" s="1" t="s">
        <v>54</v>
      </c>
      <c r="M79" s="1" t="s">
        <v>199</v>
      </c>
      <c r="N79" s="1" t="s">
        <v>35</v>
      </c>
      <c r="O79" s="3">
        <v>3192800</v>
      </c>
      <c r="P79" s="3">
        <v>205088</v>
      </c>
      <c r="Q79" s="3">
        <v>237536</v>
      </c>
      <c r="R79" s="4">
        <v>46218</v>
      </c>
      <c r="S79" s="1" t="s">
        <v>36</v>
      </c>
      <c r="T79" s="1">
        <v>100</v>
      </c>
      <c r="U79" s="1" t="s">
        <v>413</v>
      </c>
      <c r="V79" s="1" t="s">
        <v>38</v>
      </c>
      <c r="W79" s="1" t="s">
        <v>38</v>
      </c>
      <c r="X79" s="1" t="s">
        <v>38</v>
      </c>
      <c r="Y79" s="1" t="s">
        <v>38</v>
      </c>
      <c r="Z79" s="8" t="s">
        <v>247</v>
      </c>
    </row>
    <row r="80" spans="1:26" hidden="1" x14ac:dyDescent="0.3">
      <c r="A80" s="2">
        <v>46220.524305555555</v>
      </c>
      <c r="B80" s="1" t="s">
        <v>414</v>
      </c>
      <c r="C80" s="1" t="s">
        <v>415</v>
      </c>
      <c r="D80" s="1" t="s">
        <v>416</v>
      </c>
      <c r="E80" s="1" t="s">
        <v>417</v>
      </c>
      <c r="F80" s="1" t="s">
        <v>213</v>
      </c>
      <c r="G80" s="1" t="s">
        <v>213</v>
      </c>
      <c r="H80" s="1" t="s">
        <v>29</v>
      </c>
      <c r="I80" s="1" t="s">
        <v>30</v>
      </c>
      <c r="J80" s="1" t="s">
        <v>31</v>
      </c>
      <c r="K80" s="1" t="s">
        <v>32</v>
      </c>
      <c r="L80" s="1" t="s">
        <v>67</v>
      </c>
      <c r="M80" s="1" t="s">
        <v>75</v>
      </c>
      <c r="N80" s="1" t="s">
        <v>35</v>
      </c>
      <c r="O80" s="3">
        <v>96000</v>
      </c>
      <c r="P80" s="3">
        <v>10000</v>
      </c>
      <c r="Q80" s="3">
        <v>10000</v>
      </c>
      <c r="R80" s="4">
        <v>46220</v>
      </c>
      <c r="S80" s="1" t="s">
        <v>36</v>
      </c>
      <c r="T80" s="1">
        <v>100</v>
      </c>
      <c r="U80" s="1" t="s">
        <v>418</v>
      </c>
      <c r="V80" s="1" t="s">
        <v>38</v>
      </c>
      <c r="W80" s="1" t="s">
        <v>38</v>
      </c>
      <c r="X80" s="1" t="s">
        <v>38</v>
      </c>
      <c r="Y80" s="1" t="s">
        <v>38</v>
      </c>
      <c r="Z80" s="8" t="s">
        <v>247</v>
      </c>
    </row>
    <row r="81" spans="1:26" hidden="1" x14ac:dyDescent="0.3">
      <c r="A81" s="2">
        <v>46221.509722222225</v>
      </c>
      <c r="B81" s="1" t="s">
        <v>419</v>
      </c>
      <c r="C81" s="1" t="s">
        <v>415</v>
      </c>
      <c r="D81" s="1" t="s">
        <v>416</v>
      </c>
      <c r="E81" s="1" t="s">
        <v>420</v>
      </c>
      <c r="F81" s="1" t="s">
        <v>213</v>
      </c>
      <c r="G81" s="1" t="s">
        <v>213</v>
      </c>
      <c r="H81" s="1" t="s">
        <v>29</v>
      </c>
      <c r="I81" s="1" t="s">
        <v>30</v>
      </c>
      <c r="J81" s="1" t="s">
        <v>31</v>
      </c>
      <c r="K81" s="1" t="s">
        <v>32</v>
      </c>
      <c r="L81" s="1" t="s">
        <v>67</v>
      </c>
      <c r="M81" s="1" t="s">
        <v>75</v>
      </c>
      <c r="N81" s="1" t="s">
        <v>35</v>
      </c>
      <c r="O81" s="3">
        <v>72000</v>
      </c>
      <c r="P81" s="3">
        <v>7500</v>
      </c>
      <c r="Q81" s="3">
        <v>7500</v>
      </c>
      <c r="R81" s="4">
        <v>46221</v>
      </c>
      <c r="S81" s="1" t="s">
        <v>36</v>
      </c>
      <c r="T81" s="1">
        <v>100</v>
      </c>
      <c r="U81" s="1" t="s">
        <v>421</v>
      </c>
      <c r="V81" s="1" t="s">
        <v>38</v>
      </c>
      <c r="W81" s="1" t="s">
        <v>38</v>
      </c>
      <c r="X81" s="1" t="s">
        <v>38</v>
      </c>
      <c r="Y81" s="1" t="s">
        <v>38</v>
      </c>
      <c r="Z81" s="8" t="s">
        <v>247</v>
      </c>
    </row>
    <row r="82" spans="1:26" hidden="1" x14ac:dyDescent="0.3">
      <c r="A82" s="2">
        <v>46226.671527777777</v>
      </c>
      <c r="B82" s="1" t="s">
        <v>422</v>
      </c>
      <c r="C82" s="1" t="s">
        <v>423</v>
      </c>
      <c r="D82" s="1" t="s">
        <v>424</v>
      </c>
      <c r="E82" s="1" t="s">
        <v>425</v>
      </c>
      <c r="F82" s="1" t="s">
        <v>213</v>
      </c>
      <c r="G82" s="1" t="s">
        <v>213</v>
      </c>
      <c r="H82" s="1" t="s">
        <v>29</v>
      </c>
      <c r="I82" s="1" t="s">
        <v>30</v>
      </c>
      <c r="J82" s="1" t="s">
        <v>31</v>
      </c>
      <c r="K82" s="1" t="s">
        <v>32</v>
      </c>
      <c r="L82" s="1" t="s">
        <v>67</v>
      </c>
      <c r="M82" s="1" t="s">
        <v>75</v>
      </c>
      <c r="N82" s="1" t="s">
        <v>35</v>
      </c>
      <c r="O82" s="3">
        <v>148149.15</v>
      </c>
      <c r="P82" s="3">
        <v>8649.15</v>
      </c>
      <c r="Q82" s="1">
        <v>0</v>
      </c>
      <c r="R82" s="4">
        <v>46226</v>
      </c>
      <c r="S82" s="1" t="s">
        <v>36</v>
      </c>
      <c r="T82" s="1">
        <v>100</v>
      </c>
      <c r="U82" s="1" t="s">
        <v>38</v>
      </c>
      <c r="V82" s="1" t="s">
        <v>38</v>
      </c>
      <c r="W82" s="1" t="s">
        <v>38</v>
      </c>
      <c r="X82" s="1" t="s">
        <v>38</v>
      </c>
      <c r="Y82" s="1" t="s">
        <v>38</v>
      </c>
      <c r="Z82" s="8" t="s">
        <v>247</v>
      </c>
    </row>
    <row r="83" spans="1:26" hidden="1" x14ac:dyDescent="0.3">
      <c r="A83" s="2">
        <v>46233.627083333333</v>
      </c>
      <c r="B83" s="1" t="s">
        <v>635</v>
      </c>
      <c r="C83" s="1" t="s">
        <v>415</v>
      </c>
      <c r="D83" s="1" t="s">
        <v>416</v>
      </c>
      <c r="E83" s="1" t="s">
        <v>636</v>
      </c>
      <c r="F83" s="1" t="s">
        <v>213</v>
      </c>
      <c r="G83" s="1" t="s">
        <v>213</v>
      </c>
      <c r="H83" s="1" t="s">
        <v>29</v>
      </c>
      <c r="I83" s="1" t="s">
        <v>30</v>
      </c>
      <c r="J83" s="1" t="s">
        <v>31</v>
      </c>
      <c r="K83" s="1" t="s">
        <v>32</v>
      </c>
      <c r="L83" s="1" t="s">
        <v>67</v>
      </c>
      <c r="M83" s="1" t="s">
        <v>75</v>
      </c>
      <c r="N83" s="1" t="s">
        <v>35</v>
      </c>
      <c r="O83" s="3">
        <v>96000</v>
      </c>
      <c r="P83" s="3">
        <v>10000</v>
      </c>
      <c r="Q83" s="1">
        <v>0</v>
      </c>
      <c r="R83" s="4">
        <v>46233</v>
      </c>
      <c r="S83" s="1" t="s">
        <v>36</v>
      </c>
      <c r="T83" s="1">
        <v>100</v>
      </c>
      <c r="U83" s="1" t="s">
        <v>38</v>
      </c>
      <c r="V83" s="1" t="s">
        <v>38</v>
      </c>
      <c r="W83" s="1" t="s">
        <v>38</v>
      </c>
      <c r="X83" s="1" t="s">
        <v>38</v>
      </c>
      <c r="Y83" s="1" t="s">
        <v>38</v>
      </c>
      <c r="Z83" s="8" t="s">
        <v>247</v>
      </c>
    </row>
    <row r="84" spans="1:26" hidden="1" x14ac:dyDescent="0.3">
      <c r="A84" s="2">
        <v>46233.62777777778</v>
      </c>
      <c r="B84" s="1" t="s">
        <v>637</v>
      </c>
      <c r="C84" s="1" t="s">
        <v>415</v>
      </c>
      <c r="D84" s="1" t="s">
        <v>416</v>
      </c>
      <c r="E84" s="1" t="s">
        <v>638</v>
      </c>
      <c r="F84" s="1" t="s">
        <v>213</v>
      </c>
      <c r="G84" s="1" t="s">
        <v>213</v>
      </c>
      <c r="H84" s="1" t="s">
        <v>29</v>
      </c>
      <c r="I84" s="1" t="s">
        <v>30</v>
      </c>
      <c r="J84" s="1" t="s">
        <v>31</v>
      </c>
      <c r="K84" s="1" t="s">
        <v>32</v>
      </c>
      <c r="L84" s="1" t="s">
        <v>67</v>
      </c>
      <c r="M84" s="1" t="s">
        <v>75</v>
      </c>
      <c r="N84" s="1" t="s">
        <v>35</v>
      </c>
      <c r="O84" s="3">
        <v>96000</v>
      </c>
      <c r="P84" s="3">
        <v>10000</v>
      </c>
      <c r="Q84" s="1">
        <v>0</v>
      </c>
      <c r="R84" s="4">
        <v>46233</v>
      </c>
      <c r="S84" s="1" t="s">
        <v>36</v>
      </c>
      <c r="T84" s="1">
        <v>100</v>
      </c>
      <c r="U84" s="1" t="s">
        <v>38</v>
      </c>
      <c r="V84" s="1" t="s">
        <v>38</v>
      </c>
      <c r="W84" s="1" t="s">
        <v>38</v>
      </c>
      <c r="X84" s="1" t="s">
        <v>38</v>
      </c>
      <c r="Y84" s="1" t="s">
        <v>38</v>
      </c>
      <c r="Z84" s="8" t="s">
        <v>247</v>
      </c>
    </row>
    <row r="85" spans="1:26" hidden="1" x14ac:dyDescent="0.3">
      <c r="A85" s="2">
        <v>46233.63958333333</v>
      </c>
      <c r="B85" s="1" t="s">
        <v>639</v>
      </c>
      <c r="C85" s="1" t="s">
        <v>210</v>
      </c>
      <c r="D85" s="1" t="s">
        <v>211</v>
      </c>
      <c r="E85" s="1" t="s">
        <v>640</v>
      </c>
      <c r="F85" s="1" t="s">
        <v>213</v>
      </c>
      <c r="G85" s="1" t="s">
        <v>213</v>
      </c>
      <c r="H85" s="1" t="s">
        <v>29</v>
      </c>
      <c r="I85" s="1" t="s">
        <v>30</v>
      </c>
      <c r="J85" s="1" t="s">
        <v>31</v>
      </c>
      <c r="K85" s="1" t="s">
        <v>32</v>
      </c>
      <c r="L85" s="1" t="s">
        <v>67</v>
      </c>
      <c r="M85" s="1" t="s">
        <v>75</v>
      </c>
      <c r="N85" s="1" t="s">
        <v>35</v>
      </c>
      <c r="O85" s="3">
        <v>39750</v>
      </c>
      <c r="P85" s="3">
        <v>7500</v>
      </c>
      <c r="Q85" s="1">
        <v>0</v>
      </c>
      <c r="R85" s="4">
        <v>46233</v>
      </c>
      <c r="S85" s="1" t="s">
        <v>36</v>
      </c>
      <c r="T85" s="1">
        <v>100</v>
      </c>
      <c r="U85" s="1" t="s">
        <v>38</v>
      </c>
      <c r="V85" s="1" t="s">
        <v>38</v>
      </c>
      <c r="W85" s="1" t="s">
        <v>38</v>
      </c>
      <c r="X85" s="1" t="s">
        <v>38</v>
      </c>
      <c r="Y85" s="1" t="s">
        <v>38</v>
      </c>
      <c r="Z85" s="8" t="s">
        <v>247</v>
      </c>
    </row>
    <row r="86" spans="1:26" hidden="1" x14ac:dyDescent="0.3">
      <c r="A86" s="2">
        <v>46174.713888888888</v>
      </c>
      <c r="B86" s="1" t="s">
        <v>426</v>
      </c>
      <c r="C86" s="1" t="s">
        <v>427</v>
      </c>
      <c r="D86" s="1" t="s">
        <v>428</v>
      </c>
      <c r="E86" s="1" t="s">
        <v>429</v>
      </c>
      <c r="F86" s="1" t="s">
        <v>397</v>
      </c>
      <c r="G86" s="1" t="s">
        <v>397</v>
      </c>
      <c r="H86" s="1" t="s">
        <v>29</v>
      </c>
      <c r="I86" s="1" t="s">
        <v>30</v>
      </c>
      <c r="J86" s="1" t="s">
        <v>31</v>
      </c>
      <c r="K86" s="1" t="s">
        <v>32</v>
      </c>
      <c r="L86" s="1" t="s">
        <v>33</v>
      </c>
      <c r="M86" s="1" t="s">
        <v>43</v>
      </c>
      <c r="N86" s="1" t="s">
        <v>35</v>
      </c>
      <c r="O86" s="3">
        <v>952000</v>
      </c>
      <c r="P86" s="3">
        <v>17600</v>
      </c>
      <c r="Q86" s="3">
        <v>17600</v>
      </c>
      <c r="R86" s="4">
        <v>46224</v>
      </c>
      <c r="S86" s="1" t="s">
        <v>36</v>
      </c>
      <c r="T86" s="1">
        <v>100</v>
      </c>
      <c r="U86" s="1" t="s">
        <v>430</v>
      </c>
      <c r="V86" s="1" t="s">
        <v>38</v>
      </c>
      <c r="W86" s="1" t="s">
        <v>38</v>
      </c>
      <c r="X86" s="1" t="s">
        <v>38</v>
      </c>
      <c r="Y86" s="1" t="s">
        <v>38</v>
      </c>
      <c r="Z86" s="8" t="s">
        <v>247</v>
      </c>
    </row>
    <row r="87" spans="1:26" hidden="1" x14ac:dyDescent="0.3">
      <c r="A87" s="2">
        <v>46224.397916666669</v>
      </c>
      <c r="B87" s="1" t="s">
        <v>431</v>
      </c>
      <c r="C87" s="1" t="s">
        <v>432</v>
      </c>
      <c r="D87" s="1" t="s">
        <v>428</v>
      </c>
      <c r="E87" s="1" t="s">
        <v>433</v>
      </c>
      <c r="F87" s="1" t="s">
        <v>397</v>
      </c>
      <c r="G87" s="1" t="s">
        <v>397</v>
      </c>
      <c r="H87" s="1" t="s">
        <v>29</v>
      </c>
      <c r="I87" s="1" t="s">
        <v>30</v>
      </c>
      <c r="J87" s="1" t="s">
        <v>31</v>
      </c>
      <c r="K87" s="1" t="s">
        <v>32</v>
      </c>
      <c r="L87" s="1" t="s">
        <v>33</v>
      </c>
      <c r="M87" s="1" t="s">
        <v>43</v>
      </c>
      <c r="N87" s="1" t="s">
        <v>35</v>
      </c>
      <c r="O87" s="3">
        <v>901500</v>
      </c>
      <c r="P87" s="3">
        <v>38910</v>
      </c>
      <c r="Q87" s="3">
        <v>6600</v>
      </c>
      <c r="R87" s="4">
        <v>46224</v>
      </c>
      <c r="S87" s="1" t="s">
        <v>36</v>
      </c>
      <c r="T87" s="1">
        <v>100</v>
      </c>
      <c r="U87" s="1" t="s">
        <v>434</v>
      </c>
      <c r="V87" s="1" t="s">
        <v>38</v>
      </c>
      <c r="W87" s="1" t="s">
        <v>38</v>
      </c>
      <c r="X87" s="1" t="s">
        <v>38</v>
      </c>
      <c r="Y87" s="1" t="s">
        <v>38</v>
      </c>
      <c r="Z87" s="8" t="s">
        <v>247</v>
      </c>
    </row>
    <row r="88" spans="1:26" hidden="1" x14ac:dyDescent="0.3">
      <c r="A88" s="2">
        <v>46224.519444444442</v>
      </c>
      <c r="B88" s="1" t="s">
        <v>435</v>
      </c>
      <c r="C88" s="1" t="s">
        <v>427</v>
      </c>
      <c r="D88" s="1" t="s">
        <v>428</v>
      </c>
      <c r="E88" s="1" t="s">
        <v>436</v>
      </c>
      <c r="F88" s="1" t="s">
        <v>397</v>
      </c>
      <c r="G88" s="1" t="s">
        <v>397</v>
      </c>
      <c r="H88" s="1" t="s">
        <v>29</v>
      </c>
      <c r="I88" s="1" t="s">
        <v>30</v>
      </c>
      <c r="J88" s="1" t="s">
        <v>31</v>
      </c>
      <c r="K88" s="1" t="s">
        <v>32</v>
      </c>
      <c r="L88" s="1" t="s">
        <v>33</v>
      </c>
      <c r="M88" s="1" t="s">
        <v>43</v>
      </c>
      <c r="N88" s="1" t="s">
        <v>35</v>
      </c>
      <c r="O88" s="3">
        <v>181500</v>
      </c>
      <c r="P88" s="3">
        <v>10770</v>
      </c>
      <c r="Q88" s="1">
        <v>0</v>
      </c>
      <c r="R88" s="4">
        <v>46224</v>
      </c>
      <c r="S88" s="1" t="s">
        <v>36</v>
      </c>
      <c r="T88" s="1">
        <v>100</v>
      </c>
      <c r="U88" s="1" t="s">
        <v>38</v>
      </c>
      <c r="V88" s="1" t="s">
        <v>38</v>
      </c>
      <c r="W88" s="1" t="s">
        <v>38</v>
      </c>
      <c r="X88" s="1" t="s">
        <v>38</v>
      </c>
      <c r="Y88" s="1" t="s">
        <v>38</v>
      </c>
      <c r="Z88" s="8" t="s">
        <v>247</v>
      </c>
    </row>
    <row r="89" spans="1:26" hidden="1" x14ac:dyDescent="0.3">
      <c r="A89" s="2">
        <v>46225.537499999999</v>
      </c>
      <c r="B89" s="1" t="s">
        <v>437</v>
      </c>
      <c r="C89" s="1" t="s">
        <v>427</v>
      </c>
      <c r="D89" s="1" t="s">
        <v>428</v>
      </c>
      <c r="E89" s="1" t="s">
        <v>438</v>
      </c>
      <c r="F89" s="1" t="s">
        <v>397</v>
      </c>
      <c r="G89" s="1" t="s">
        <v>397</v>
      </c>
      <c r="H89" s="1" t="s">
        <v>29</v>
      </c>
      <c r="I89" s="1" t="s">
        <v>30</v>
      </c>
      <c r="J89" s="1" t="s">
        <v>31</v>
      </c>
      <c r="K89" s="1" t="s">
        <v>32</v>
      </c>
      <c r="L89" s="1" t="s">
        <v>33</v>
      </c>
      <c r="M89" s="1" t="s">
        <v>43</v>
      </c>
      <c r="N89" s="1" t="s">
        <v>35</v>
      </c>
      <c r="O89" s="3">
        <v>8378000</v>
      </c>
      <c r="P89" s="3">
        <v>176940</v>
      </c>
      <c r="Q89" s="3">
        <v>157800</v>
      </c>
      <c r="R89" s="4">
        <v>46225</v>
      </c>
      <c r="S89" s="1" t="s">
        <v>36</v>
      </c>
      <c r="T89" s="1">
        <v>100</v>
      </c>
      <c r="U89" s="1" t="s">
        <v>439</v>
      </c>
      <c r="V89" s="1" t="s">
        <v>38</v>
      </c>
      <c r="W89" s="1" t="s">
        <v>38</v>
      </c>
      <c r="X89" s="1" t="s">
        <v>38</v>
      </c>
      <c r="Y89" s="1" t="s">
        <v>38</v>
      </c>
      <c r="Z89" s="8" t="s">
        <v>247</v>
      </c>
    </row>
    <row r="90" spans="1:26" hidden="1" x14ac:dyDescent="0.3">
      <c r="A90" s="2">
        <v>46225.551388888889</v>
      </c>
      <c r="B90" s="1" t="s">
        <v>440</v>
      </c>
      <c r="C90" s="1" t="s">
        <v>427</v>
      </c>
      <c r="D90" s="1" t="s">
        <v>428</v>
      </c>
      <c r="E90" s="1" t="s">
        <v>441</v>
      </c>
      <c r="F90" s="1" t="s">
        <v>397</v>
      </c>
      <c r="G90" s="1" t="s">
        <v>397</v>
      </c>
      <c r="H90" s="1" t="s">
        <v>29</v>
      </c>
      <c r="I90" s="1" t="s">
        <v>30</v>
      </c>
      <c r="J90" s="1" t="s">
        <v>31</v>
      </c>
      <c r="K90" s="1" t="s">
        <v>32</v>
      </c>
      <c r="L90" s="1" t="s">
        <v>33</v>
      </c>
      <c r="M90" s="1" t="s">
        <v>43</v>
      </c>
      <c r="N90" s="1" t="s">
        <v>35</v>
      </c>
      <c r="O90" s="3">
        <v>1190000</v>
      </c>
      <c r="P90" s="3">
        <v>22000</v>
      </c>
      <c r="Q90" s="3">
        <v>22000</v>
      </c>
      <c r="R90" s="4">
        <v>46225</v>
      </c>
      <c r="S90" s="1" t="s">
        <v>36</v>
      </c>
      <c r="T90" s="1">
        <v>100</v>
      </c>
      <c r="U90" s="1" t="s">
        <v>641</v>
      </c>
      <c r="V90" s="1" t="s">
        <v>38</v>
      </c>
      <c r="W90" s="1" t="s">
        <v>38</v>
      </c>
      <c r="X90" s="1" t="s">
        <v>38</v>
      </c>
      <c r="Y90" s="1" t="s">
        <v>38</v>
      </c>
      <c r="Z90" s="8" t="s">
        <v>247</v>
      </c>
    </row>
    <row r="91" spans="1:26" hidden="1" x14ac:dyDescent="0.3">
      <c r="A91" s="2">
        <v>46225.569444444445</v>
      </c>
      <c r="B91" s="1" t="s">
        <v>442</v>
      </c>
      <c r="C91" s="1" t="s">
        <v>427</v>
      </c>
      <c r="D91" s="1" t="s">
        <v>428</v>
      </c>
      <c r="E91" s="1" t="s">
        <v>443</v>
      </c>
      <c r="F91" s="1" t="s">
        <v>397</v>
      </c>
      <c r="G91" s="1" t="s">
        <v>397</v>
      </c>
      <c r="H91" s="1" t="s">
        <v>29</v>
      </c>
      <c r="I91" s="1" t="s">
        <v>30</v>
      </c>
      <c r="J91" s="1" t="s">
        <v>31</v>
      </c>
      <c r="K91" s="1" t="s">
        <v>32</v>
      </c>
      <c r="L91" s="1" t="s">
        <v>33</v>
      </c>
      <c r="M91" s="1" t="s">
        <v>43</v>
      </c>
      <c r="N91" s="1" t="s">
        <v>35</v>
      </c>
      <c r="O91" s="3">
        <v>1797000</v>
      </c>
      <c r="P91" s="3">
        <v>62880</v>
      </c>
      <c r="Q91" s="3">
        <v>19800</v>
      </c>
      <c r="R91" s="4">
        <v>46225</v>
      </c>
      <c r="S91" s="1" t="s">
        <v>36</v>
      </c>
      <c r="T91" s="1">
        <v>100</v>
      </c>
      <c r="U91" s="1" t="s">
        <v>444</v>
      </c>
      <c r="V91" s="1" t="s">
        <v>38</v>
      </c>
      <c r="W91" s="1" t="s">
        <v>38</v>
      </c>
      <c r="X91" s="1" t="s">
        <v>38</v>
      </c>
      <c r="Y91" s="1" t="s">
        <v>38</v>
      </c>
      <c r="Z91" s="8" t="s">
        <v>247</v>
      </c>
    </row>
    <row r="92" spans="1:26" hidden="1" x14ac:dyDescent="0.3">
      <c r="A92" s="2">
        <v>46225.622916666667</v>
      </c>
      <c r="B92" s="1" t="s">
        <v>445</v>
      </c>
      <c r="C92" s="1" t="s">
        <v>427</v>
      </c>
      <c r="D92" s="1" t="s">
        <v>428</v>
      </c>
      <c r="E92" s="1" t="s">
        <v>446</v>
      </c>
      <c r="F92" s="1" t="s">
        <v>397</v>
      </c>
      <c r="G92" s="1" t="s">
        <v>397</v>
      </c>
      <c r="H92" s="1" t="s">
        <v>29</v>
      </c>
      <c r="I92" s="1" t="s">
        <v>30</v>
      </c>
      <c r="J92" s="1" t="s">
        <v>31</v>
      </c>
      <c r="K92" s="1" t="s">
        <v>32</v>
      </c>
      <c r="L92" s="1" t="s">
        <v>33</v>
      </c>
      <c r="M92" s="1" t="s">
        <v>43</v>
      </c>
      <c r="N92" s="1" t="s">
        <v>35</v>
      </c>
      <c r="O92" s="3">
        <v>357000</v>
      </c>
      <c r="P92" s="3">
        <v>6600</v>
      </c>
      <c r="Q92" s="3">
        <v>6600</v>
      </c>
      <c r="R92" s="4">
        <v>46225</v>
      </c>
      <c r="S92" s="1" t="s">
        <v>36</v>
      </c>
      <c r="T92" s="1">
        <v>100</v>
      </c>
      <c r="U92" s="1" t="s">
        <v>447</v>
      </c>
      <c r="V92" s="1" t="s">
        <v>38</v>
      </c>
      <c r="W92" s="1" t="s">
        <v>38</v>
      </c>
      <c r="X92" s="1" t="s">
        <v>38</v>
      </c>
      <c r="Y92" s="1" t="s">
        <v>38</v>
      </c>
      <c r="Z92" s="8" t="s">
        <v>247</v>
      </c>
    </row>
    <row r="93" spans="1:26" hidden="1" x14ac:dyDescent="0.3">
      <c r="A93" s="2">
        <v>46225.645833333336</v>
      </c>
      <c r="B93" s="1" t="s">
        <v>448</v>
      </c>
      <c r="C93" s="1" t="s">
        <v>427</v>
      </c>
      <c r="D93" s="1" t="s">
        <v>428</v>
      </c>
      <c r="E93" s="1" t="s">
        <v>449</v>
      </c>
      <c r="F93" s="1" t="s">
        <v>397</v>
      </c>
      <c r="G93" s="1" t="s">
        <v>397</v>
      </c>
      <c r="H93" s="1" t="s">
        <v>29</v>
      </c>
      <c r="I93" s="1" t="s">
        <v>30</v>
      </c>
      <c r="J93" s="1" t="s">
        <v>31</v>
      </c>
      <c r="K93" s="1" t="s">
        <v>32</v>
      </c>
      <c r="L93" s="1" t="s">
        <v>33</v>
      </c>
      <c r="M93" s="1" t="s">
        <v>43</v>
      </c>
      <c r="N93" s="1" t="s">
        <v>35</v>
      </c>
      <c r="O93" s="3">
        <v>119000</v>
      </c>
      <c r="P93" s="3">
        <v>2200</v>
      </c>
      <c r="Q93" s="3">
        <v>2200</v>
      </c>
      <c r="R93" s="4">
        <v>46225</v>
      </c>
      <c r="S93" s="1" t="s">
        <v>36</v>
      </c>
      <c r="T93" s="1">
        <v>100</v>
      </c>
      <c r="U93" s="1" t="s">
        <v>450</v>
      </c>
      <c r="V93" s="1" t="s">
        <v>38</v>
      </c>
      <c r="W93" s="1" t="s">
        <v>38</v>
      </c>
      <c r="X93" s="1" t="s">
        <v>38</v>
      </c>
      <c r="Y93" s="1" t="s">
        <v>38</v>
      </c>
      <c r="Z93" s="8" t="s">
        <v>247</v>
      </c>
    </row>
    <row r="94" spans="1:26" hidden="1" x14ac:dyDescent="0.3">
      <c r="A94" s="2">
        <v>46225.667361111111</v>
      </c>
      <c r="B94" s="1" t="s">
        <v>451</v>
      </c>
      <c r="C94" s="1" t="s">
        <v>427</v>
      </c>
      <c r="D94" s="1" t="s">
        <v>428</v>
      </c>
      <c r="E94" s="1" t="s">
        <v>452</v>
      </c>
      <c r="F94" s="1" t="s">
        <v>397</v>
      </c>
      <c r="G94" s="1" t="s">
        <v>397</v>
      </c>
      <c r="H94" s="1" t="s">
        <v>29</v>
      </c>
      <c r="I94" s="1" t="s">
        <v>30</v>
      </c>
      <c r="J94" s="1" t="s">
        <v>31</v>
      </c>
      <c r="K94" s="1" t="s">
        <v>32</v>
      </c>
      <c r="L94" s="1" t="s">
        <v>33</v>
      </c>
      <c r="M94" s="1" t="s">
        <v>43</v>
      </c>
      <c r="N94" s="1" t="s">
        <v>35</v>
      </c>
      <c r="O94" s="3">
        <v>5950000</v>
      </c>
      <c r="P94" s="3">
        <v>110000</v>
      </c>
      <c r="Q94" s="3">
        <v>110000</v>
      </c>
      <c r="R94" s="4">
        <v>46225</v>
      </c>
      <c r="S94" s="1" t="s">
        <v>36</v>
      </c>
      <c r="T94" s="1">
        <v>100</v>
      </c>
      <c r="U94" s="1" t="s">
        <v>453</v>
      </c>
      <c r="V94" s="1" t="s">
        <v>38</v>
      </c>
      <c r="W94" s="1" t="s">
        <v>38</v>
      </c>
      <c r="X94" s="1" t="s">
        <v>38</v>
      </c>
      <c r="Y94" s="1" t="s">
        <v>38</v>
      </c>
      <c r="Z94" s="8" t="s">
        <v>247</v>
      </c>
    </row>
    <row r="95" spans="1:26" hidden="1" x14ac:dyDescent="0.3">
      <c r="A95" s="2">
        <v>46225.68472222222</v>
      </c>
      <c r="B95" s="1" t="s">
        <v>454</v>
      </c>
      <c r="C95" s="1" t="s">
        <v>427</v>
      </c>
      <c r="D95" s="1" t="s">
        <v>428</v>
      </c>
      <c r="E95" s="1" t="s">
        <v>455</v>
      </c>
      <c r="F95" s="1" t="s">
        <v>397</v>
      </c>
      <c r="G95" s="1" t="s">
        <v>397</v>
      </c>
      <c r="H95" s="1" t="s">
        <v>29</v>
      </c>
      <c r="I95" s="1" t="s">
        <v>30</v>
      </c>
      <c r="J95" s="1" t="s">
        <v>31</v>
      </c>
      <c r="K95" s="1" t="s">
        <v>32</v>
      </c>
      <c r="L95" s="1" t="s">
        <v>33</v>
      </c>
      <c r="M95" s="1" t="s">
        <v>43</v>
      </c>
      <c r="N95" s="1" t="s">
        <v>35</v>
      </c>
      <c r="O95" s="3">
        <v>5516000</v>
      </c>
      <c r="P95" s="3">
        <v>109200</v>
      </c>
      <c r="Q95" s="3">
        <v>111600</v>
      </c>
      <c r="R95" s="4">
        <v>46225</v>
      </c>
      <c r="S95" s="1" t="s">
        <v>36</v>
      </c>
      <c r="T95" s="1">
        <v>100</v>
      </c>
      <c r="U95" s="1" t="s">
        <v>456</v>
      </c>
      <c r="V95" s="1" t="s">
        <v>38</v>
      </c>
      <c r="W95" s="1" t="s">
        <v>38</v>
      </c>
      <c r="X95" s="1" t="s">
        <v>38</v>
      </c>
      <c r="Y95" s="1" t="s">
        <v>38</v>
      </c>
      <c r="Z95" s="8" t="s">
        <v>247</v>
      </c>
    </row>
    <row r="96" spans="1:26" hidden="1" x14ac:dyDescent="0.3">
      <c r="A96" s="2">
        <v>46225.695833333331</v>
      </c>
      <c r="B96" s="1" t="s">
        <v>457</v>
      </c>
      <c r="C96" s="1" t="s">
        <v>427</v>
      </c>
      <c r="D96" s="1" t="s">
        <v>428</v>
      </c>
      <c r="E96" s="1" t="s">
        <v>458</v>
      </c>
      <c r="F96" s="1" t="s">
        <v>397</v>
      </c>
      <c r="G96" s="1" t="s">
        <v>397</v>
      </c>
      <c r="H96" s="1" t="s">
        <v>29</v>
      </c>
      <c r="I96" s="1" t="s">
        <v>30</v>
      </c>
      <c r="J96" s="1" t="s">
        <v>31</v>
      </c>
      <c r="K96" s="1" t="s">
        <v>32</v>
      </c>
      <c r="L96" s="1" t="s">
        <v>33</v>
      </c>
      <c r="M96" s="1" t="s">
        <v>43</v>
      </c>
      <c r="N96" s="1" t="s">
        <v>35</v>
      </c>
      <c r="O96" s="3">
        <v>1449000</v>
      </c>
      <c r="P96" s="3">
        <v>30400</v>
      </c>
      <c r="Q96" s="3">
        <v>31600</v>
      </c>
      <c r="R96" s="4">
        <v>46225</v>
      </c>
      <c r="S96" s="1" t="s">
        <v>36</v>
      </c>
      <c r="T96" s="1">
        <v>100</v>
      </c>
      <c r="U96" s="1" t="s">
        <v>459</v>
      </c>
      <c r="V96" s="1" t="s">
        <v>38</v>
      </c>
      <c r="W96" s="1" t="s">
        <v>38</v>
      </c>
      <c r="X96" s="1" t="s">
        <v>38</v>
      </c>
      <c r="Y96" s="1" t="s">
        <v>38</v>
      </c>
      <c r="Z96" s="8" t="s">
        <v>247</v>
      </c>
    </row>
    <row r="97" spans="1:26" hidden="1" x14ac:dyDescent="0.3">
      <c r="A97" s="2">
        <v>46225.705555555556</v>
      </c>
      <c r="B97" s="1" t="s">
        <v>460</v>
      </c>
      <c r="C97" s="1" t="s">
        <v>427</v>
      </c>
      <c r="D97" s="1" t="s">
        <v>428</v>
      </c>
      <c r="E97" s="1" t="s">
        <v>461</v>
      </c>
      <c r="F97" s="1" t="s">
        <v>397</v>
      </c>
      <c r="G97" s="1" t="s">
        <v>397</v>
      </c>
      <c r="H97" s="1" t="s">
        <v>29</v>
      </c>
      <c r="I97" s="1" t="s">
        <v>30</v>
      </c>
      <c r="J97" s="1" t="s">
        <v>31</v>
      </c>
      <c r="K97" s="1" t="s">
        <v>32</v>
      </c>
      <c r="L97" s="1" t="s">
        <v>33</v>
      </c>
      <c r="M97" s="1" t="s">
        <v>43</v>
      </c>
      <c r="N97" s="1" t="s">
        <v>35</v>
      </c>
      <c r="O97" s="3">
        <v>952000</v>
      </c>
      <c r="P97" s="3">
        <v>17600</v>
      </c>
      <c r="Q97" s="3">
        <v>17600</v>
      </c>
      <c r="R97" s="4">
        <v>46225</v>
      </c>
      <c r="S97" s="1" t="s">
        <v>36</v>
      </c>
      <c r="T97" s="1">
        <v>100</v>
      </c>
      <c r="U97" s="1" t="s">
        <v>462</v>
      </c>
      <c r="V97" s="1" t="s">
        <v>38</v>
      </c>
      <c r="W97" s="1" t="s">
        <v>38</v>
      </c>
      <c r="X97" s="1" t="s">
        <v>38</v>
      </c>
      <c r="Y97" s="1" t="s">
        <v>38</v>
      </c>
      <c r="Z97" s="8" t="s">
        <v>247</v>
      </c>
    </row>
    <row r="98" spans="1:26" hidden="1" x14ac:dyDescent="0.3">
      <c r="A98" s="2">
        <v>46227.604166666664</v>
      </c>
      <c r="B98" s="1" t="s">
        <v>463</v>
      </c>
      <c r="C98" s="1" t="s">
        <v>427</v>
      </c>
      <c r="D98" s="1" t="s">
        <v>428</v>
      </c>
      <c r="E98" s="1" t="s">
        <v>464</v>
      </c>
      <c r="F98" s="1" t="s">
        <v>397</v>
      </c>
      <c r="G98" s="1" t="s">
        <v>397</v>
      </c>
      <c r="H98" s="1" t="s">
        <v>29</v>
      </c>
      <c r="I98" s="1" t="s">
        <v>30</v>
      </c>
      <c r="J98" s="1" t="s">
        <v>31</v>
      </c>
      <c r="K98" s="1" t="s">
        <v>32</v>
      </c>
      <c r="L98" s="1" t="s">
        <v>33</v>
      </c>
      <c r="M98" s="1" t="s">
        <v>43</v>
      </c>
      <c r="N98" s="1" t="s">
        <v>35</v>
      </c>
      <c r="O98" s="3">
        <v>1449000</v>
      </c>
      <c r="P98" s="3">
        <v>30400</v>
      </c>
      <c r="Q98" s="3">
        <v>31600</v>
      </c>
      <c r="R98" s="4">
        <v>46227</v>
      </c>
      <c r="S98" s="1" t="s">
        <v>36</v>
      </c>
      <c r="T98" s="1">
        <v>100</v>
      </c>
      <c r="U98" s="1" t="s">
        <v>642</v>
      </c>
      <c r="V98" s="1" t="s">
        <v>38</v>
      </c>
      <c r="W98" s="1" t="s">
        <v>38</v>
      </c>
      <c r="X98" s="1" t="s">
        <v>38</v>
      </c>
      <c r="Y98" s="1" t="s">
        <v>38</v>
      </c>
      <c r="Z98" s="8" t="s">
        <v>247</v>
      </c>
    </row>
    <row r="99" spans="1:26" hidden="1" x14ac:dyDescent="0.3">
      <c r="A99" s="2">
        <v>46227.612500000003</v>
      </c>
      <c r="B99" s="1" t="s">
        <v>465</v>
      </c>
      <c r="C99" s="1" t="s">
        <v>427</v>
      </c>
      <c r="D99" s="1" t="s">
        <v>428</v>
      </c>
      <c r="E99" s="1" t="s">
        <v>466</v>
      </c>
      <c r="F99" s="1" t="s">
        <v>397</v>
      </c>
      <c r="G99" s="1" t="s">
        <v>397</v>
      </c>
      <c r="H99" s="1" t="s">
        <v>29</v>
      </c>
      <c r="I99" s="1" t="s">
        <v>30</v>
      </c>
      <c r="J99" s="1" t="s">
        <v>31</v>
      </c>
      <c r="K99" s="1" t="s">
        <v>32</v>
      </c>
      <c r="L99" s="1" t="s">
        <v>33</v>
      </c>
      <c r="M99" s="1" t="s">
        <v>43</v>
      </c>
      <c r="N99" s="1" t="s">
        <v>35</v>
      </c>
      <c r="O99" s="3">
        <v>6444000</v>
      </c>
      <c r="P99" s="3">
        <v>163620</v>
      </c>
      <c r="Q99" s="3">
        <v>99000</v>
      </c>
      <c r="R99" s="4">
        <v>46227</v>
      </c>
      <c r="S99" s="1" t="s">
        <v>36</v>
      </c>
      <c r="T99" s="1">
        <v>100</v>
      </c>
      <c r="U99" s="1" t="s">
        <v>467</v>
      </c>
      <c r="V99" s="1" t="s">
        <v>38</v>
      </c>
      <c r="W99" s="1" t="s">
        <v>38</v>
      </c>
      <c r="X99" s="1" t="s">
        <v>38</v>
      </c>
      <c r="Y99" s="1" t="s">
        <v>38</v>
      </c>
      <c r="Z99" s="8" t="s">
        <v>247</v>
      </c>
    </row>
    <row r="100" spans="1:26" hidden="1" x14ac:dyDescent="0.3">
      <c r="A100" s="2">
        <v>46227.618750000001</v>
      </c>
      <c r="B100" s="1" t="s">
        <v>468</v>
      </c>
      <c r="C100" s="1" t="s">
        <v>427</v>
      </c>
      <c r="D100" s="1" t="s">
        <v>428</v>
      </c>
      <c r="E100" s="1" t="s">
        <v>469</v>
      </c>
      <c r="F100" s="1" t="s">
        <v>397</v>
      </c>
      <c r="G100" s="1" t="s">
        <v>397</v>
      </c>
      <c r="H100" s="1" t="s">
        <v>29</v>
      </c>
      <c r="I100" s="1" t="s">
        <v>30</v>
      </c>
      <c r="J100" s="1" t="s">
        <v>31</v>
      </c>
      <c r="K100" s="1" t="s">
        <v>32</v>
      </c>
      <c r="L100" s="1" t="s">
        <v>33</v>
      </c>
      <c r="M100" s="1" t="s">
        <v>43</v>
      </c>
      <c r="N100" s="1" t="s">
        <v>35</v>
      </c>
      <c r="O100" s="3">
        <v>119000</v>
      </c>
      <c r="P100" s="3">
        <v>2200</v>
      </c>
      <c r="Q100" s="3">
        <v>2200</v>
      </c>
      <c r="R100" s="4">
        <v>46227</v>
      </c>
      <c r="S100" s="1" t="s">
        <v>36</v>
      </c>
      <c r="T100" s="1">
        <v>100</v>
      </c>
      <c r="U100" s="1" t="s">
        <v>470</v>
      </c>
      <c r="V100" s="1" t="s">
        <v>38</v>
      </c>
      <c r="W100" s="1" t="s">
        <v>38</v>
      </c>
      <c r="X100" s="1" t="s">
        <v>38</v>
      </c>
      <c r="Y100" s="1" t="s">
        <v>38</v>
      </c>
      <c r="Z100" s="8" t="s">
        <v>247</v>
      </c>
    </row>
    <row r="101" spans="1:26" hidden="1" x14ac:dyDescent="0.3">
      <c r="A101" s="2">
        <v>46227.626388888886</v>
      </c>
      <c r="B101" s="1" t="s">
        <v>471</v>
      </c>
      <c r="C101" s="1" t="s">
        <v>427</v>
      </c>
      <c r="D101" s="1" t="s">
        <v>428</v>
      </c>
      <c r="E101" s="1" t="s">
        <v>472</v>
      </c>
      <c r="F101" s="1" t="s">
        <v>397</v>
      </c>
      <c r="G101" s="1" t="s">
        <v>397</v>
      </c>
      <c r="H101" s="1" t="s">
        <v>29</v>
      </c>
      <c r="I101" s="1" t="s">
        <v>30</v>
      </c>
      <c r="J101" s="1" t="s">
        <v>31</v>
      </c>
      <c r="K101" s="1" t="s">
        <v>32</v>
      </c>
      <c r="L101" s="1" t="s">
        <v>33</v>
      </c>
      <c r="M101" s="1" t="s">
        <v>43</v>
      </c>
      <c r="N101" s="1" t="s">
        <v>35</v>
      </c>
      <c r="O101" s="3">
        <v>476000</v>
      </c>
      <c r="P101" s="3">
        <v>8800</v>
      </c>
      <c r="Q101" s="3">
        <v>8800</v>
      </c>
      <c r="R101" s="4">
        <v>46227</v>
      </c>
      <c r="S101" s="1" t="s">
        <v>36</v>
      </c>
      <c r="T101" s="1">
        <v>100</v>
      </c>
      <c r="U101" s="1" t="s">
        <v>473</v>
      </c>
      <c r="V101" s="1" t="s">
        <v>38</v>
      </c>
      <c r="W101" s="1" t="s">
        <v>38</v>
      </c>
      <c r="X101" s="1" t="s">
        <v>38</v>
      </c>
      <c r="Y101" s="1" t="s">
        <v>38</v>
      </c>
      <c r="Z101" s="8" t="s">
        <v>247</v>
      </c>
    </row>
    <row r="102" spans="1:26" hidden="1" x14ac:dyDescent="0.3">
      <c r="A102" s="2">
        <v>46233.569444444445</v>
      </c>
      <c r="B102" s="1" t="s">
        <v>643</v>
      </c>
      <c r="C102" s="1" t="s">
        <v>427</v>
      </c>
      <c r="D102" s="1" t="s">
        <v>428</v>
      </c>
      <c r="E102" s="1" t="s">
        <v>644</v>
      </c>
      <c r="F102" s="1" t="s">
        <v>397</v>
      </c>
      <c r="G102" s="1" t="s">
        <v>397</v>
      </c>
      <c r="H102" s="1" t="s">
        <v>29</v>
      </c>
      <c r="I102" s="1" t="s">
        <v>30</v>
      </c>
      <c r="J102" s="1" t="s">
        <v>31</v>
      </c>
      <c r="K102" s="1" t="s">
        <v>32</v>
      </c>
      <c r="L102" s="1" t="s">
        <v>33</v>
      </c>
      <c r="M102" s="1" t="s">
        <v>43</v>
      </c>
      <c r="N102" s="1" t="s">
        <v>35</v>
      </c>
      <c r="O102" s="3">
        <v>238000</v>
      </c>
      <c r="P102" s="3">
        <v>4400</v>
      </c>
      <c r="Q102" s="3">
        <v>4400</v>
      </c>
      <c r="R102" s="4">
        <v>46233</v>
      </c>
      <c r="S102" s="1" t="s">
        <v>36</v>
      </c>
      <c r="T102" s="1">
        <v>100</v>
      </c>
      <c r="U102" s="1" t="s">
        <v>645</v>
      </c>
      <c r="V102" s="1" t="s">
        <v>38</v>
      </c>
      <c r="W102" s="1" t="s">
        <v>38</v>
      </c>
      <c r="X102" s="1" t="s">
        <v>38</v>
      </c>
      <c r="Y102" s="1" t="s">
        <v>38</v>
      </c>
      <c r="Z102" s="8" t="s">
        <v>247</v>
      </c>
    </row>
    <row r="103" spans="1:26" hidden="1" x14ac:dyDescent="0.3">
      <c r="A103" s="2">
        <v>46233.581250000003</v>
      </c>
      <c r="B103" s="1" t="s">
        <v>646</v>
      </c>
      <c r="C103" s="1" t="s">
        <v>427</v>
      </c>
      <c r="D103" s="1" t="s">
        <v>428</v>
      </c>
      <c r="E103" s="1" t="s">
        <v>647</v>
      </c>
      <c r="F103" s="1" t="s">
        <v>397</v>
      </c>
      <c r="G103" s="1" t="s">
        <v>397</v>
      </c>
      <c r="H103" s="1" t="s">
        <v>29</v>
      </c>
      <c r="I103" s="1" t="s">
        <v>30</v>
      </c>
      <c r="J103" s="1" t="s">
        <v>31</v>
      </c>
      <c r="K103" s="1" t="s">
        <v>32</v>
      </c>
      <c r="L103" s="1" t="s">
        <v>33</v>
      </c>
      <c r="M103" s="1" t="s">
        <v>43</v>
      </c>
      <c r="N103" s="1" t="s">
        <v>35</v>
      </c>
      <c r="O103" s="3">
        <v>5423000</v>
      </c>
      <c r="P103" s="3">
        <v>180480</v>
      </c>
      <c r="Q103" s="3">
        <v>375400</v>
      </c>
      <c r="R103" s="4">
        <v>46233</v>
      </c>
      <c r="S103" s="1" t="s">
        <v>36</v>
      </c>
      <c r="T103" s="1">
        <v>100</v>
      </c>
      <c r="U103" s="1" t="s">
        <v>648</v>
      </c>
      <c r="V103" s="1" t="s">
        <v>38</v>
      </c>
      <c r="W103" s="1" t="s">
        <v>38</v>
      </c>
      <c r="X103" s="1" t="s">
        <v>38</v>
      </c>
      <c r="Y103" s="1" t="s">
        <v>38</v>
      </c>
      <c r="Z103" s="8" t="s">
        <v>247</v>
      </c>
    </row>
    <row r="104" spans="1:26" hidden="1" x14ac:dyDescent="0.3">
      <c r="A104" s="2">
        <v>46233.590277777781</v>
      </c>
      <c r="B104" s="1" t="s">
        <v>649</v>
      </c>
      <c r="C104" s="1" t="s">
        <v>427</v>
      </c>
      <c r="D104" s="1" t="s">
        <v>428</v>
      </c>
      <c r="E104" s="1" t="s">
        <v>650</v>
      </c>
      <c r="F104" s="1" t="s">
        <v>397</v>
      </c>
      <c r="G104" s="1" t="s">
        <v>397</v>
      </c>
      <c r="H104" s="1" t="s">
        <v>29</v>
      </c>
      <c r="I104" s="1" t="s">
        <v>30</v>
      </c>
      <c r="J104" s="1" t="s">
        <v>31</v>
      </c>
      <c r="K104" s="1" t="s">
        <v>32</v>
      </c>
      <c r="L104" s="1" t="s">
        <v>33</v>
      </c>
      <c r="M104" s="1" t="s">
        <v>43</v>
      </c>
      <c r="N104" s="1" t="s">
        <v>35</v>
      </c>
      <c r="O104" s="3">
        <v>238000</v>
      </c>
      <c r="P104" s="3">
        <v>4400</v>
      </c>
      <c r="Q104" s="1">
        <v>0</v>
      </c>
      <c r="R104" s="4">
        <v>46233</v>
      </c>
      <c r="S104" s="1" t="s">
        <v>36</v>
      </c>
      <c r="T104" s="1">
        <v>100</v>
      </c>
      <c r="U104" s="1" t="s">
        <v>38</v>
      </c>
      <c r="V104" s="1" t="s">
        <v>38</v>
      </c>
      <c r="W104" s="1" t="s">
        <v>38</v>
      </c>
      <c r="X104" s="1" t="s">
        <v>38</v>
      </c>
      <c r="Y104" s="1" t="s">
        <v>38</v>
      </c>
      <c r="Z104" s="8" t="s">
        <v>247</v>
      </c>
    </row>
    <row r="105" spans="1:26" hidden="1" x14ac:dyDescent="0.3">
      <c r="A105" s="2">
        <v>46157.824999999997</v>
      </c>
      <c r="B105" s="1" t="s">
        <v>651</v>
      </c>
      <c r="C105" s="1" t="s">
        <v>652</v>
      </c>
      <c r="D105" s="1" t="s">
        <v>653</v>
      </c>
      <c r="E105" s="1" t="s">
        <v>654</v>
      </c>
      <c r="F105" s="1" t="s">
        <v>269</v>
      </c>
      <c r="G105" s="1" t="s">
        <v>655</v>
      </c>
      <c r="H105" s="1" t="s">
        <v>29</v>
      </c>
      <c r="I105" s="1" t="s">
        <v>30</v>
      </c>
      <c r="J105" s="1" t="s">
        <v>656</v>
      </c>
      <c r="K105" s="1" t="s">
        <v>162</v>
      </c>
      <c r="L105" s="1" t="s">
        <v>173</v>
      </c>
      <c r="M105" s="1" t="s">
        <v>657</v>
      </c>
      <c r="N105" s="1" t="s">
        <v>35</v>
      </c>
      <c r="O105" s="3">
        <v>73800000</v>
      </c>
      <c r="P105" s="3">
        <v>3282349</v>
      </c>
      <c r="Q105" s="1">
        <v>0</v>
      </c>
      <c r="R105" s="4">
        <v>46231</v>
      </c>
      <c r="S105" s="1" t="s">
        <v>36</v>
      </c>
      <c r="T105" s="1">
        <v>100</v>
      </c>
      <c r="U105" s="1" t="s">
        <v>38</v>
      </c>
      <c r="V105" s="1" t="s">
        <v>38</v>
      </c>
      <c r="W105" s="1" t="s">
        <v>38</v>
      </c>
      <c r="X105" s="1" t="s">
        <v>38</v>
      </c>
      <c r="Y105" s="1" t="s">
        <v>38</v>
      </c>
      <c r="Z105" s="6" t="s">
        <v>243</v>
      </c>
    </row>
    <row r="106" spans="1:26" hidden="1" x14ac:dyDescent="0.3">
      <c r="A106" s="2">
        <v>46167.473611111112</v>
      </c>
      <c r="B106" s="1" t="s">
        <v>658</v>
      </c>
      <c r="C106" s="1" t="s">
        <v>260</v>
      </c>
      <c r="D106" s="1" t="s">
        <v>261</v>
      </c>
      <c r="E106" s="1" t="s">
        <v>659</v>
      </c>
      <c r="F106" s="1" t="s">
        <v>207</v>
      </c>
      <c r="G106" s="1" t="s">
        <v>660</v>
      </c>
      <c r="H106" s="1" t="s">
        <v>29</v>
      </c>
      <c r="I106" s="1" t="s">
        <v>30</v>
      </c>
      <c r="J106" s="1" t="s">
        <v>656</v>
      </c>
      <c r="K106" s="1" t="s">
        <v>162</v>
      </c>
      <c r="L106" s="1" t="s">
        <v>173</v>
      </c>
      <c r="M106" s="1" t="s">
        <v>193</v>
      </c>
      <c r="N106" s="1" t="s">
        <v>35</v>
      </c>
      <c r="O106" s="3">
        <v>627467</v>
      </c>
      <c r="P106" s="3">
        <v>18275</v>
      </c>
      <c r="Q106" s="1">
        <v>0</v>
      </c>
      <c r="R106" s="4">
        <v>46232</v>
      </c>
      <c r="S106" s="1" t="s">
        <v>208</v>
      </c>
      <c r="T106" s="1">
        <v>10</v>
      </c>
      <c r="U106" s="1" t="s">
        <v>38</v>
      </c>
      <c r="V106" s="1" t="s">
        <v>38</v>
      </c>
      <c r="W106" s="1" t="s">
        <v>38</v>
      </c>
      <c r="X106" s="1" t="s">
        <v>38</v>
      </c>
      <c r="Y106" s="1" t="s">
        <v>38</v>
      </c>
      <c r="Z106" s="8" t="s">
        <v>243</v>
      </c>
    </row>
    <row r="107" spans="1:26" hidden="1" x14ac:dyDescent="0.3">
      <c r="A107" s="2">
        <v>46195.546527777777</v>
      </c>
      <c r="B107" s="1" t="s">
        <v>661</v>
      </c>
      <c r="C107" s="1" t="s">
        <v>662</v>
      </c>
      <c r="D107" s="1" t="s">
        <v>476</v>
      </c>
      <c r="E107" s="1" t="s">
        <v>663</v>
      </c>
      <c r="F107" s="1" t="s">
        <v>397</v>
      </c>
      <c r="G107" s="1" t="s">
        <v>478</v>
      </c>
      <c r="H107" s="1" t="s">
        <v>29</v>
      </c>
      <c r="I107" s="1" t="s">
        <v>30</v>
      </c>
      <c r="J107" s="1" t="s">
        <v>161</v>
      </c>
      <c r="K107" s="1" t="s">
        <v>162</v>
      </c>
      <c r="L107" s="1" t="s">
        <v>192</v>
      </c>
      <c r="M107" s="1" t="s">
        <v>664</v>
      </c>
      <c r="N107" s="1" t="s">
        <v>35</v>
      </c>
      <c r="O107" s="3">
        <v>6900000</v>
      </c>
      <c r="P107" s="3">
        <v>50000</v>
      </c>
      <c r="Q107" s="1">
        <v>0</v>
      </c>
      <c r="R107" s="4">
        <v>46234</v>
      </c>
      <c r="S107" s="1" t="s">
        <v>36</v>
      </c>
      <c r="T107" s="1">
        <v>100</v>
      </c>
      <c r="U107" s="1" t="s">
        <v>38</v>
      </c>
      <c r="V107" s="1" t="s">
        <v>38</v>
      </c>
      <c r="W107" s="1" t="s">
        <v>38</v>
      </c>
      <c r="X107" s="1" t="s">
        <v>38</v>
      </c>
      <c r="Y107" s="1" t="s">
        <v>38</v>
      </c>
      <c r="Z107" s="8" t="s">
        <v>247</v>
      </c>
    </row>
    <row r="108" spans="1:26" hidden="1" x14ac:dyDescent="0.3">
      <c r="A108" s="2">
        <v>46201.85833333333</v>
      </c>
      <c r="B108" s="1" t="s">
        <v>474</v>
      </c>
      <c r="C108" s="1" t="s">
        <v>475</v>
      </c>
      <c r="D108" s="1" t="s">
        <v>476</v>
      </c>
      <c r="E108" s="1" t="s">
        <v>477</v>
      </c>
      <c r="F108" s="1" t="s">
        <v>397</v>
      </c>
      <c r="G108" s="1" t="s">
        <v>478</v>
      </c>
      <c r="H108" s="1" t="s">
        <v>29</v>
      </c>
      <c r="I108" s="1" t="s">
        <v>30</v>
      </c>
      <c r="J108" s="1" t="s">
        <v>161</v>
      </c>
      <c r="K108" s="1" t="s">
        <v>162</v>
      </c>
      <c r="L108" s="1" t="s">
        <v>177</v>
      </c>
      <c r="M108" s="1" t="s">
        <v>109</v>
      </c>
      <c r="N108" s="1" t="s">
        <v>35</v>
      </c>
      <c r="O108" s="3">
        <v>8950000</v>
      </c>
      <c r="P108" s="3">
        <v>50000</v>
      </c>
      <c r="Q108" s="1">
        <v>0</v>
      </c>
      <c r="R108" s="4">
        <v>46227</v>
      </c>
      <c r="S108" s="1" t="s">
        <v>36</v>
      </c>
      <c r="T108" s="1">
        <v>100</v>
      </c>
      <c r="U108" s="1" t="s">
        <v>38</v>
      </c>
      <c r="V108" s="1" t="s">
        <v>38</v>
      </c>
      <c r="W108" s="1" t="s">
        <v>38</v>
      </c>
      <c r="X108" s="1" t="s">
        <v>38</v>
      </c>
      <c r="Y108" s="1" t="s">
        <v>38</v>
      </c>
      <c r="Z108" s="8" t="s">
        <v>247</v>
      </c>
    </row>
    <row r="109" spans="1:26" hidden="1" x14ac:dyDescent="0.3">
      <c r="A109" s="2">
        <v>46055.604861111111</v>
      </c>
      <c r="B109" s="1" t="s">
        <v>156</v>
      </c>
      <c r="C109" s="1" t="s">
        <v>157</v>
      </c>
      <c r="D109" s="1" t="s">
        <v>158</v>
      </c>
      <c r="E109" s="1" t="s">
        <v>159</v>
      </c>
      <c r="F109" s="1" t="s">
        <v>59</v>
      </c>
      <c r="G109" s="1" t="s">
        <v>160</v>
      </c>
      <c r="H109" s="1" t="s">
        <v>61</v>
      </c>
      <c r="I109" s="1" t="s">
        <v>59</v>
      </c>
      <c r="J109" s="1" t="s">
        <v>161</v>
      </c>
      <c r="K109" s="1" t="s">
        <v>162</v>
      </c>
      <c r="L109" s="1" t="s">
        <v>75</v>
      </c>
      <c r="M109" s="1" t="s">
        <v>109</v>
      </c>
      <c r="N109" s="1" t="s">
        <v>35</v>
      </c>
      <c r="O109" s="3">
        <v>80000</v>
      </c>
      <c r="P109" s="1">
        <v>0</v>
      </c>
      <c r="Q109" s="1">
        <v>0</v>
      </c>
      <c r="R109" s="4">
        <v>46205</v>
      </c>
      <c r="S109" s="1" t="s">
        <v>36</v>
      </c>
      <c r="T109" s="1">
        <v>100</v>
      </c>
      <c r="U109" s="1" t="s">
        <v>270</v>
      </c>
      <c r="V109" s="1" t="s">
        <v>38</v>
      </c>
      <c r="W109" s="1" t="s">
        <v>38</v>
      </c>
      <c r="X109" s="1" t="s">
        <v>38</v>
      </c>
      <c r="Y109" s="1" t="s">
        <v>38</v>
      </c>
      <c r="Z109" s="6" t="s">
        <v>243</v>
      </c>
    </row>
    <row r="110" spans="1:26" hidden="1" x14ac:dyDescent="0.3">
      <c r="A110" s="2">
        <v>46195.612500000003</v>
      </c>
      <c r="B110" s="1" t="s">
        <v>271</v>
      </c>
      <c r="C110" s="1" t="s">
        <v>157</v>
      </c>
      <c r="D110" s="1" t="s">
        <v>158</v>
      </c>
      <c r="E110" s="1" t="s">
        <v>272</v>
      </c>
      <c r="F110" s="1" t="s">
        <v>59</v>
      </c>
      <c r="G110" s="1" t="s">
        <v>160</v>
      </c>
      <c r="H110" s="1" t="s">
        <v>61</v>
      </c>
      <c r="I110" s="1" t="s">
        <v>59</v>
      </c>
      <c r="J110" s="1" t="s">
        <v>161</v>
      </c>
      <c r="K110" s="1" t="s">
        <v>162</v>
      </c>
      <c r="L110" s="1" t="s">
        <v>177</v>
      </c>
      <c r="M110" s="1" t="s">
        <v>109</v>
      </c>
      <c r="N110" s="1" t="s">
        <v>35</v>
      </c>
      <c r="O110" s="3">
        <v>748050</v>
      </c>
      <c r="P110" s="3">
        <v>114350</v>
      </c>
      <c r="Q110" s="3">
        <v>120850</v>
      </c>
      <c r="R110" s="4">
        <v>46215</v>
      </c>
      <c r="S110" s="1" t="s">
        <v>36</v>
      </c>
      <c r="T110" s="1">
        <v>100</v>
      </c>
      <c r="U110" s="1" t="s">
        <v>479</v>
      </c>
      <c r="V110" s="1" t="s">
        <v>38</v>
      </c>
      <c r="W110" s="1" t="s">
        <v>38</v>
      </c>
      <c r="X110" s="1" t="s">
        <v>38</v>
      </c>
      <c r="Y110" s="1" t="s">
        <v>38</v>
      </c>
      <c r="Z110" s="6" t="s">
        <v>243</v>
      </c>
    </row>
    <row r="111" spans="1:26" hidden="1" x14ac:dyDescent="0.3">
      <c r="A111" s="2">
        <v>46195.614583333336</v>
      </c>
      <c r="B111" s="1" t="s">
        <v>273</v>
      </c>
      <c r="C111" s="1" t="s">
        <v>157</v>
      </c>
      <c r="D111" s="1" t="s">
        <v>158</v>
      </c>
      <c r="E111" s="1" t="s">
        <v>274</v>
      </c>
      <c r="F111" s="1" t="s">
        <v>59</v>
      </c>
      <c r="G111" s="1" t="s">
        <v>160</v>
      </c>
      <c r="H111" s="1" t="s">
        <v>61</v>
      </c>
      <c r="I111" s="1" t="s">
        <v>59</v>
      </c>
      <c r="J111" s="1" t="s">
        <v>161</v>
      </c>
      <c r="K111" s="1" t="s">
        <v>162</v>
      </c>
      <c r="L111" s="1" t="s">
        <v>177</v>
      </c>
      <c r="M111" s="1" t="s">
        <v>109</v>
      </c>
      <c r="N111" s="1" t="s">
        <v>35</v>
      </c>
      <c r="O111" s="3">
        <v>2159406.77</v>
      </c>
      <c r="P111" s="3">
        <v>126467.32</v>
      </c>
      <c r="Q111" s="1">
        <v>0</v>
      </c>
      <c r="R111" s="4">
        <v>46215</v>
      </c>
      <c r="S111" s="1" t="s">
        <v>36</v>
      </c>
      <c r="T111" s="1">
        <v>100</v>
      </c>
      <c r="U111" s="1" t="s">
        <v>480</v>
      </c>
      <c r="V111" s="1" t="s">
        <v>38</v>
      </c>
      <c r="W111" s="1" t="s">
        <v>38</v>
      </c>
      <c r="X111" s="1" t="s">
        <v>38</v>
      </c>
      <c r="Y111" s="1" t="s">
        <v>38</v>
      </c>
      <c r="Z111" s="6" t="s">
        <v>243</v>
      </c>
    </row>
    <row r="112" spans="1:26" hidden="1" x14ac:dyDescent="0.3">
      <c r="A112" s="2">
        <v>46211.607638888891</v>
      </c>
      <c r="B112" s="1" t="s">
        <v>163</v>
      </c>
      <c r="C112" s="1" t="s">
        <v>157</v>
      </c>
      <c r="D112" s="1" t="s">
        <v>158</v>
      </c>
      <c r="E112" s="1" t="s">
        <v>164</v>
      </c>
      <c r="F112" s="1" t="s">
        <v>59</v>
      </c>
      <c r="G112" s="1" t="s">
        <v>160</v>
      </c>
      <c r="H112" s="1" t="s">
        <v>61</v>
      </c>
      <c r="I112" s="1" t="s">
        <v>59</v>
      </c>
      <c r="J112" s="1" t="s">
        <v>161</v>
      </c>
      <c r="K112" s="1" t="s">
        <v>162</v>
      </c>
      <c r="L112" s="1" t="s">
        <v>165</v>
      </c>
      <c r="M112" s="1" t="s">
        <v>166</v>
      </c>
      <c r="N112" s="1" t="s">
        <v>35</v>
      </c>
      <c r="O112" s="3">
        <v>455169</v>
      </c>
      <c r="P112" s="3">
        <v>30064</v>
      </c>
      <c r="Q112" s="3">
        <v>36644</v>
      </c>
      <c r="R112" s="4">
        <v>46211</v>
      </c>
      <c r="S112" s="1" t="s">
        <v>36</v>
      </c>
      <c r="T112" s="1">
        <v>100</v>
      </c>
      <c r="U112" s="1" t="s">
        <v>275</v>
      </c>
      <c r="V112" s="1" t="s">
        <v>38</v>
      </c>
      <c r="W112" s="1" t="s">
        <v>38</v>
      </c>
      <c r="X112" s="1" t="s">
        <v>38</v>
      </c>
      <c r="Y112" s="1" t="s">
        <v>38</v>
      </c>
      <c r="Z112" s="6" t="s">
        <v>243</v>
      </c>
    </row>
    <row r="113" spans="1:26" hidden="1" x14ac:dyDescent="0.3">
      <c r="A113" s="2">
        <v>46226.884722222225</v>
      </c>
      <c r="B113" s="1" t="s">
        <v>481</v>
      </c>
      <c r="C113" s="1" t="s">
        <v>157</v>
      </c>
      <c r="D113" s="1" t="s">
        <v>158</v>
      </c>
      <c r="E113" s="1" t="s">
        <v>482</v>
      </c>
      <c r="F113" s="1" t="s">
        <v>59</v>
      </c>
      <c r="G113" s="1" t="s">
        <v>160</v>
      </c>
      <c r="H113" s="1" t="s">
        <v>61</v>
      </c>
      <c r="I113" s="1" t="s">
        <v>59</v>
      </c>
      <c r="J113" s="1" t="s">
        <v>161</v>
      </c>
      <c r="K113" s="1" t="s">
        <v>162</v>
      </c>
      <c r="L113" s="1" t="s">
        <v>177</v>
      </c>
      <c r="M113" s="1" t="s">
        <v>109</v>
      </c>
      <c r="N113" s="1" t="s">
        <v>35</v>
      </c>
      <c r="O113" s="3">
        <v>448626.86</v>
      </c>
      <c r="P113" s="3">
        <v>67106.13</v>
      </c>
      <c r="Q113" s="1">
        <v>0</v>
      </c>
      <c r="R113" s="4">
        <v>46226</v>
      </c>
      <c r="S113" s="1" t="s">
        <v>36</v>
      </c>
      <c r="T113" s="1">
        <v>100</v>
      </c>
      <c r="U113" s="1" t="s">
        <v>483</v>
      </c>
      <c r="V113" s="1" t="s">
        <v>38</v>
      </c>
      <c r="W113" s="1" t="s">
        <v>38</v>
      </c>
      <c r="X113" s="1" t="s">
        <v>38</v>
      </c>
      <c r="Y113" s="1" t="s">
        <v>38</v>
      </c>
      <c r="Z113" s="6" t="s">
        <v>243</v>
      </c>
    </row>
    <row r="114" spans="1:26" hidden="1" x14ac:dyDescent="0.3">
      <c r="A114" s="2">
        <v>46231.40902777778</v>
      </c>
      <c r="B114" s="1" t="s">
        <v>665</v>
      </c>
      <c r="C114" s="1" t="s">
        <v>157</v>
      </c>
      <c r="D114" s="1" t="s">
        <v>158</v>
      </c>
      <c r="E114" s="1" t="s">
        <v>666</v>
      </c>
      <c r="F114" s="1" t="s">
        <v>59</v>
      </c>
      <c r="G114" s="1" t="s">
        <v>160</v>
      </c>
      <c r="H114" s="1" t="s">
        <v>61</v>
      </c>
      <c r="I114" s="1" t="s">
        <v>59</v>
      </c>
      <c r="J114" s="1" t="s">
        <v>161</v>
      </c>
      <c r="K114" s="1" t="s">
        <v>162</v>
      </c>
      <c r="L114" s="1" t="s">
        <v>165</v>
      </c>
      <c r="M114" s="1" t="s">
        <v>109</v>
      </c>
      <c r="N114" s="1" t="s">
        <v>35</v>
      </c>
      <c r="O114" s="3">
        <v>382650</v>
      </c>
      <c r="P114" s="3">
        <v>59803.5</v>
      </c>
      <c r="Q114" s="1">
        <v>0</v>
      </c>
      <c r="R114" s="4">
        <v>46231</v>
      </c>
      <c r="S114" s="1" t="s">
        <v>36</v>
      </c>
      <c r="T114" s="1">
        <v>100</v>
      </c>
      <c r="U114" s="1" t="s">
        <v>38</v>
      </c>
      <c r="V114" s="1" t="s">
        <v>38</v>
      </c>
      <c r="W114" s="1" t="s">
        <v>38</v>
      </c>
      <c r="X114" s="1" t="s">
        <v>38</v>
      </c>
      <c r="Y114" s="1" t="s">
        <v>38</v>
      </c>
      <c r="Z114" s="6" t="s">
        <v>243</v>
      </c>
    </row>
    <row r="115" spans="1:26" hidden="1" x14ac:dyDescent="0.3">
      <c r="A115" s="2">
        <v>46233.667361111111</v>
      </c>
      <c r="B115" s="1" t="s">
        <v>667</v>
      </c>
      <c r="C115" s="1" t="s">
        <v>668</v>
      </c>
      <c r="D115" s="1" t="s">
        <v>669</v>
      </c>
      <c r="E115" s="1" t="s">
        <v>670</v>
      </c>
      <c r="F115" s="1" t="s">
        <v>410</v>
      </c>
      <c r="G115" s="1" t="s">
        <v>671</v>
      </c>
      <c r="H115" s="1" t="s">
        <v>29</v>
      </c>
      <c r="I115" s="1" t="s">
        <v>30</v>
      </c>
      <c r="J115" s="1" t="s">
        <v>412</v>
      </c>
      <c r="K115" s="1" t="s">
        <v>162</v>
      </c>
      <c r="L115" s="1" t="s">
        <v>672</v>
      </c>
      <c r="M115" s="1" t="s">
        <v>109</v>
      </c>
      <c r="N115" s="1" t="s">
        <v>35</v>
      </c>
      <c r="O115" s="3">
        <v>534320</v>
      </c>
      <c r="P115" s="3">
        <v>30320</v>
      </c>
      <c r="Q115" s="1">
        <v>0</v>
      </c>
      <c r="R115" s="4">
        <v>46234</v>
      </c>
      <c r="S115" s="1" t="s">
        <v>36</v>
      </c>
      <c r="T115" s="1">
        <v>100</v>
      </c>
      <c r="U115" s="1" t="s">
        <v>38</v>
      </c>
      <c r="V115" s="1" t="s">
        <v>38</v>
      </c>
      <c r="W115" s="1" t="s">
        <v>38</v>
      </c>
      <c r="X115" s="1" t="s">
        <v>38</v>
      </c>
      <c r="Y115" s="1" t="s">
        <v>38</v>
      </c>
      <c r="Z115" s="8" t="s">
        <v>247</v>
      </c>
    </row>
    <row r="116" spans="1:26" hidden="1" x14ac:dyDescent="0.3">
      <c r="A116" s="2">
        <v>46206.883333333331</v>
      </c>
      <c r="B116" s="1" t="s">
        <v>167</v>
      </c>
      <c r="C116" s="1" t="s">
        <v>168</v>
      </c>
      <c r="D116" s="1" t="s">
        <v>169</v>
      </c>
      <c r="E116" s="1" t="s">
        <v>170</v>
      </c>
      <c r="F116" s="1" t="s">
        <v>129</v>
      </c>
      <c r="G116" s="1" t="s">
        <v>171</v>
      </c>
      <c r="H116" s="1" t="s">
        <v>29</v>
      </c>
      <c r="I116" s="1" t="s">
        <v>30</v>
      </c>
      <c r="J116" s="1" t="s">
        <v>172</v>
      </c>
      <c r="K116" s="1" t="s">
        <v>162</v>
      </c>
      <c r="L116" s="1" t="s">
        <v>173</v>
      </c>
      <c r="M116" s="1" t="s">
        <v>75</v>
      </c>
      <c r="N116" s="1" t="s">
        <v>35</v>
      </c>
      <c r="O116" s="3">
        <v>92000</v>
      </c>
      <c r="P116" s="3">
        <v>7000</v>
      </c>
      <c r="Q116" s="3">
        <v>7000</v>
      </c>
      <c r="R116" s="4">
        <v>46206</v>
      </c>
      <c r="S116" s="1" t="s">
        <v>36</v>
      </c>
      <c r="T116" s="1">
        <v>100</v>
      </c>
      <c r="U116" s="1" t="s">
        <v>484</v>
      </c>
      <c r="V116" s="1" t="s">
        <v>38</v>
      </c>
      <c r="W116" s="1" t="s">
        <v>38</v>
      </c>
      <c r="X116" s="1" t="s">
        <v>38</v>
      </c>
      <c r="Y116" s="1" t="s">
        <v>38</v>
      </c>
      <c r="Z116" s="8" t="s">
        <v>246</v>
      </c>
    </row>
    <row r="117" spans="1:26" hidden="1" x14ac:dyDescent="0.3">
      <c r="A117" s="2">
        <v>46146.431250000001</v>
      </c>
      <c r="B117" s="1" t="s">
        <v>673</v>
      </c>
      <c r="C117" s="1" t="s">
        <v>674</v>
      </c>
      <c r="D117" s="1" t="s">
        <v>675</v>
      </c>
      <c r="E117" s="1" t="s">
        <v>676</v>
      </c>
      <c r="F117" s="1" t="s">
        <v>403</v>
      </c>
      <c r="G117" s="1" t="s">
        <v>677</v>
      </c>
      <c r="H117" s="1" t="s">
        <v>29</v>
      </c>
      <c r="I117" s="1" t="s">
        <v>30</v>
      </c>
      <c r="J117" s="1" t="s">
        <v>172</v>
      </c>
      <c r="K117" s="1" t="s">
        <v>162</v>
      </c>
      <c r="L117" s="1" t="s">
        <v>173</v>
      </c>
      <c r="M117" s="1" t="s">
        <v>504</v>
      </c>
      <c r="N117" s="1" t="s">
        <v>35</v>
      </c>
      <c r="O117" s="3">
        <v>1550000</v>
      </c>
      <c r="P117" s="3">
        <v>10000</v>
      </c>
      <c r="Q117" s="1">
        <v>0</v>
      </c>
      <c r="R117" s="4">
        <v>46234</v>
      </c>
      <c r="S117" s="1" t="s">
        <v>36</v>
      </c>
      <c r="T117" s="1">
        <v>50</v>
      </c>
      <c r="U117" s="1" t="s">
        <v>38</v>
      </c>
      <c r="V117" s="1" t="s">
        <v>38</v>
      </c>
      <c r="W117" s="1" t="s">
        <v>38</v>
      </c>
      <c r="X117" s="1" t="s">
        <v>38</v>
      </c>
      <c r="Y117" s="1" t="s">
        <v>38</v>
      </c>
      <c r="Z117" s="8" t="s">
        <v>245</v>
      </c>
    </row>
    <row r="118" spans="1:26" hidden="1" x14ac:dyDescent="0.3">
      <c r="A118" s="2">
        <v>46204.672222222223</v>
      </c>
      <c r="B118" s="1" t="s">
        <v>174</v>
      </c>
      <c r="C118" s="1" t="s">
        <v>79</v>
      </c>
      <c r="D118" s="1" t="s">
        <v>80</v>
      </c>
      <c r="E118" s="1" t="s">
        <v>175</v>
      </c>
      <c r="F118" s="1" t="s">
        <v>72</v>
      </c>
      <c r="G118" s="1" t="s">
        <v>176</v>
      </c>
      <c r="H118" s="1" t="s">
        <v>29</v>
      </c>
      <c r="I118" s="1" t="s">
        <v>30</v>
      </c>
      <c r="J118" s="1" t="s">
        <v>31</v>
      </c>
      <c r="K118" s="1" t="s">
        <v>162</v>
      </c>
      <c r="L118" s="1" t="s">
        <v>177</v>
      </c>
      <c r="M118" s="1" t="s">
        <v>109</v>
      </c>
      <c r="N118" s="1" t="s">
        <v>35</v>
      </c>
      <c r="O118" s="3">
        <v>31000</v>
      </c>
      <c r="P118" s="3">
        <v>4000</v>
      </c>
      <c r="Q118" s="3">
        <v>4000</v>
      </c>
      <c r="R118" s="4">
        <v>46205</v>
      </c>
      <c r="S118" s="1" t="s">
        <v>36</v>
      </c>
      <c r="T118" s="1">
        <v>100</v>
      </c>
      <c r="U118" s="1" t="s">
        <v>178</v>
      </c>
      <c r="V118" s="1" t="s">
        <v>38</v>
      </c>
      <c r="W118" s="1" t="s">
        <v>38</v>
      </c>
      <c r="X118" s="1" t="s">
        <v>38</v>
      </c>
      <c r="Y118" s="1" t="s">
        <v>179</v>
      </c>
      <c r="Z118" s="6" t="s">
        <v>242</v>
      </c>
    </row>
    <row r="119" spans="1:26" hidden="1" x14ac:dyDescent="0.3">
      <c r="A119" s="2">
        <v>46211.765277777777</v>
      </c>
      <c r="B119" s="1" t="s">
        <v>180</v>
      </c>
      <c r="C119" s="1" t="s">
        <v>79</v>
      </c>
      <c r="D119" s="1" t="s">
        <v>80</v>
      </c>
      <c r="E119" s="1" t="s">
        <v>181</v>
      </c>
      <c r="F119" s="1" t="s">
        <v>72</v>
      </c>
      <c r="G119" s="1" t="s">
        <v>176</v>
      </c>
      <c r="H119" s="1" t="s">
        <v>29</v>
      </c>
      <c r="I119" s="1" t="s">
        <v>30</v>
      </c>
      <c r="J119" s="1" t="s">
        <v>31</v>
      </c>
      <c r="K119" s="1" t="s">
        <v>162</v>
      </c>
      <c r="L119" s="1" t="s">
        <v>165</v>
      </c>
      <c r="M119" s="1" t="s">
        <v>182</v>
      </c>
      <c r="N119" s="1" t="s">
        <v>35</v>
      </c>
      <c r="O119" s="3">
        <v>6349</v>
      </c>
      <c r="P119" s="3">
        <v>1835</v>
      </c>
      <c r="Q119" s="3">
        <v>1835</v>
      </c>
      <c r="R119" s="4">
        <v>46212</v>
      </c>
      <c r="S119" s="1" t="s">
        <v>36</v>
      </c>
      <c r="T119" s="1">
        <v>100</v>
      </c>
      <c r="U119" s="1" t="s">
        <v>183</v>
      </c>
      <c r="V119" s="1" t="s">
        <v>38</v>
      </c>
      <c r="W119" s="1" t="s">
        <v>38</v>
      </c>
      <c r="X119" s="1" t="s">
        <v>38</v>
      </c>
      <c r="Y119" s="1" t="s">
        <v>184</v>
      </c>
      <c r="Z119" s="6" t="s">
        <v>242</v>
      </c>
    </row>
    <row r="120" spans="1:26" hidden="1" x14ac:dyDescent="0.3">
      <c r="A120" s="2">
        <v>46227.627083333333</v>
      </c>
      <c r="B120" s="1" t="s">
        <v>485</v>
      </c>
      <c r="C120" s="1" t="s">
        <v>79</v>
      </c>
      <c r="D120" s="1" t="s">
        <v>80</v>
      </c>
      <c r="E120" s="1" t="s">
        <v>486</v>
      </c>
      <c r="F120" s="1" t="s">
        <v>72</v>
      </c>
      <c r="G120" s="1" t="s">
        <v>176</v>
      </c>
      <c r="H120" s="1" t="s">
        <v>29</v>
      </c>
      <c r="I120" s="1" t="s">
        <v>30</v>
      </c>
      <c r="J120" s="1" t="s">
        <v>31</v>
      </c>
      <c r="K120" s="1" t="s">
        <v>162</v>
      </c>
      <c r="L120" s="1" t="s">
        <v>165</v>
      </c>
      <c r="M120" s="1" t="s">
        <v>182</v>
      </c>
      <c r="N120" s="1" t="s">
        <v>35</v>
      </c>
      <c r="O120" s="3">
        <v>11800</v>
      </c>
      <c r="P120" s="3">
        <v>1920</v>
      </c>
      <c r="Q120" s="3">
        <v>1920</v>
      </c>
      <c r="R120" s="4">
        <v>46227</v>
      </c>
      <c r="S120" s="1" t="s">
        <v>36</v>
      </c>
      <c r="T120" s="1">
        <v>100</v>
      </c>
      <c r="U120" s="1" t="s">
        <v>487</v>
      </c>
      <c r="V120" s="1" t="s">
        <v>38</v>
      </c>
      <c r="W120" s="1" t="s">
        <v>38</v>
      </c>
      <c r="X120" s="1" t="s">
        <v>38</v>
      </c>
      <c r="Y120" s="1" t="s">
        <v>488</v>
      </c>
      <c r="Z120" s="6" t="s">
        <v>242</v>
      </c>
    </row>
    <row r="121" spans="1:26" hidden="1" x14ac:dyDescent="0.3">
      <c r="A121" s="2">
        <v>46227.632638888892</v>
      </c>
      <c r="B121" s="1" t="s">
        <v>489</v>
      </c>
      <c r="C121" s="1" t="s">
        <v>79</v>
      </c>
      <c r="D121" s="1" t="s">
        <v>80</v>
      </c>
      <c r="E121" s="1" t="s">
        <v>490</v>
      </c>
      <c r="F121" s="1" t="s">
        <v>72</v>
      </c>
      <c r="G121" s="1" t="s">
        <v>176</v>
      </c>
      <c r="H121" s="1" t="s">
        <v>29</v>
      </c>
      <c r="I121" s="1" t="s">
        <v>30</v>
      </c>
      <c r="J121" s="1" t="s">
        <v>31</v>
      </c>
      <c r="K121" s="1" t="s">
        <v>162</v>
      </c>
      <c r="L121" s="1" t="s">
        <v>165</v>
      </c>
      <c r="M121" s="1" t="s">
        <v>182</v>
      </c>
      <c r="N121" s="1" t="s">
        <v>35</v>
      </c>
      <c r="O121" s="3">
        <v>23112</v>
      </c>
      <c r="P121" s="3">
        <v>6480</v>
      </c>
      <c r="Q121" s="3">
        <v>6804</v>
      </c>
      <c r="R121" s="4">
        <v>46227</v>
      </c>
      <c r="S121" s="1" t="s">
        <v>36</v>
      </c>
      <c r="T121" s="1">
        <v>100</v>
      </c>
      <c r="U121" s="1" t="s">
        <v>491</v>
      </c>
      <c r="V121" s="1" t="s">
        <v>38</v>
      </c>
      <c r="W121" s="1" t="s">
        <v>38</v>
      </c>
      <c r="X121" s="1" t="s">
        <v>38</v>
      </c>
      <c r="Y121" s="1" t="s">
        <v>492</v>
      </c>
      <c r="Z121" s="6" t="s">
        <v>242</v>
      </c>
    </row>
    <row r="122" spans="1:26" hidden="1" x14ac:dyDescent="0.3">
      <c r="A122" s="2">
        <v>46231.474999999999</v>
      </c>
      <c r="B122" s="1" t="s">
        <v>678</v>
      </c>
      <c r="C122" s="1" t="s">
        <v>79</v>
      </c>
      <c r="D122" s="1" t="s">
        <v>80</v>
      </c>
      <c r="E122" s="1" t="s">
        <v>679</v>
      </c>
      <c r="F122" s="1" t="s">
        <v>72</v>
      </c>
      <c r="G122" s="1" t="s">
        <v>176</v>
      </c>
      <c r="H122" s="1" t="s">
        <v>29</v>
      </c>
      <c r="I122" s="1" t="s">
        <v>30</v>
      </c>
      <c r="J122" s="1" t="s">
        <v>31</v>
      </c>
      <c r="K122" s="1" t="s">
        <v>162</v>
      </c>
      <c r="L122" s="1" t="s">
        <v>165</v>
      </c>
      <c r="M122" s="1" t="s">
        <v>182</v>
      </c>
      <c r="N122" s="1" t="s">
        <v>35</v>
      </c>
      <c r="O122" s="3">
        <v>56000</v>
      </c>
      <c r="P122" s="3">
        <v>9000</v>
      </c>
      <c r="Q122" s="1">
        <v>0</v>
      </c>
      <c r="R122" s="4">
        <v>46233</v>
      </c>
      <c r="S122" s="1" t="s">
        <v>36</v>
      </c>
      <c r="T122" s="1">
        <v>100</v>
      </c>
      <c r="U122" s="1" t="s">
        <v>680</v>
      </c>
      <c r="V122" s="1" t="s">
        <v>38</v>
      </c>
      <c r="W122" s="1" t="s">
        <v>38</v>
      </c>
      <c r="X122" s="1" t="s">
        <v>38</v>
      </c>
      <c r="Y122" s="1" t="s">
        <v>681</v>
      </c>
      <c r="Z122" s="6" t="s">
        <v>242</v>
      </c>
    </row>
    <row r="123" spans="1:26" hidden="1" x14ac:dyDescent="0.3">
      <c r="A123" s="2">
        <v>46234.430555555555</v>
      </c>
      <c r="B123" s="1" t="s">
        <v>682</v>
      </c>
      <c r="C123" s="1" t="s">
        <v>79</v>
      </c>
      <c r="D123" s="1" t="s">
        <v>80</v>
      </c>
      <c r="E123" s="1" t="s">
        <v>486</v>
      </c>
      <c r="F123" s="1" t="s">
        <v>72</v>
      </c>
      <c r="G123" s="1" t="s">
        <v>176</v>
      </c>
      <c r="H123" s="1" t="s">
        <v>29</v>
      </c>
      <c r="I123" s="1" t="s">
        <v>30</v>
      </c>
      <c r="J123" s="1" t="s">
        <v>31</v>
      </c>
      <c r="K123" s="1" t="s">
        <v>162</v>
      </c>
      <c r="L123" s="1" t="s">
        <v>165</v>
      </c>
      <c r="M123" s="1" t="s">
        <v>182</v>
      </c>
      <c r="N123" s="1" t="s">
        <v>35</v>
      </c>
      <c r="O123" s="3">
        <v>7938</v>
      </c>
      <c r="P123" s="3">
        <v>1660</v>
      </c>
      <c r="Q123" s="1">
        <v>0</v>
      </c>
      <c r="R123" s="4">
        <v>46234</v>
      </c>
      <c r="S123" s="1" t="s">
        <v>36</v>
      </c>
      <c r="T123" s="1">
        <v>100</v>
      </c>
      <c r="U123" s="1" t="s">
        <v>683</v>
      </c>
      <c r="V123" s="1" t="s">
        <v>38</v>
      </c>
      <c r="W123" s="1" t="s">
        <v>38</v>
      </c>
      <c r="X123" s="1" t="s">
        <v>38</v>
      </c>
      <c r="Y123" s="1" t="s">
        <v>684</v>
      </c>
      <c r="Z123" s="6" t="s">
        <v>242</v>
      </c>
    </row>
    <row r="124" spans="1:26" hidden="1" x14ac:dyDescent="0.3">
      <c r="A124" s="2">
        <v>46213.524305555555</v>
      </c>
      <c r="B124" s="1" t="s">
        <v>493</v>
      </c>
      <c r="C124" s="1" t="s">
        <v>327</v>
      </c>
      <c r="D124" s="1" t="s">
        <v>328</v>
      </c>
      <c r="E124" s="1" t="s">
        <v>494</v>
      </c>
      <c r="F124" s="1" t="s">
        <v>101</v>
      </c>
      <c r="G124" s="1" t="s">
        <v>495</v>
      </c>
      <c r="H124" s="1" t="s">
        <v>29</v>
      </c>
      <c r="I124" s="1" t="s">
        <v>30</v>
      </c>
      <c r="J124" s="1" t="s">
        <v>31</v>
      </c>
      <c r="K124" s="1" t="s">
        <v>162</v>
      </c>
      <c r="L124" s="1" t="s">
        <v>173</v>
      </c>
      <c r="M124" s="1" t="s">
        <v>496</v>
      </c>
      <c r="N124" s="1" t="s">
        <v>35</v>
      </c>
      <c r="O124" s="3">
        <v>1440000</v>
      </c>
      <c r="P124" s="3">
        <v>553707</v>
      </c>
      <c r="Q124" s="3">
        <v>551728.04</v>
      </c>
      <c r="R124" s="4">
        <v>46218</v>
      </c>
      <c r="S124" s="1" t="s">
        <v>36</v>
      </c>
      <c r="T124" s="1">
        <v>100</v>
      </c>
      <c r="U124" s="1" t="s">
        <v>497</v>
      </c>
      <c r="V124" s="1" t="s">
        <v>38</v>
      </c>
      <c r="W124" s="1" t="s">
        <v>38</v>
      </c>
      <c r="X124" s="1" t="s">
        <v>38</v>
      </c>
      <c r="Y124" s="1" t="s">
        <v>498</v>
      </c>
      <c r="Z124" s="8" t="s">
        <v>242</v>
      </c>
    </row>
    <row r="125" spans="1:26" hidden="1" x14ac:dyDescent="0.3">
      <c r="A125" s="2">
        <v>46195.521527777775</v>
      </c>
      <c r="B125" s="1" t="s">
        <v>499</v>
      </c>
      <c r="C125" s="1" t="s">
        <v>500</v>
      </c>
      <c r="D125" s="1" t="s">
        <v>501</v>
      </c>
      <c r="E125" s="1" t="s">
        <v>502</v>
      </c>
      <c r="F125" s="1" t="s">
        <v>189</v>
      </c>
      <c r="G125" s="1" t="s">
        <v>190</v>
      </c>
      <c r="H125" s="1" t="s">
        <v>29</v>
      </c>
      <c r="I125" s="1" t="s">
        <v>30</v>
      </c>
      <c r="J125" s="1" t="s">
        <v>191</v>
      </c>
      <c r="K125" s="1" t="s">
        <v>162</v>
      </c>
      <c r="L125" s="1" t="s">
        <v>503</v>
      </c>
      <c r="M125" s="1" t="s">
        <v>504</v>
      </c>
      <c r="N125" s="1" t="s">
        <v>35</v>
      </c>
      <c r="O125" s="3">
        <v>399625</v>
      </c>
      <c r="P125" s="3">
        <v>19980</v>
      </c>
      <c r="Q125" s="3">
        <v>19980.099999999999</v>
      </c>
      <c r="R125" s="4">
        <v>46213</v>
      </c>
      <c r="S125" s="1" t="s">
        <v>36</v>
      </c>
      <c r="T125" s="1">
        <v>100</v>
      </c>
      <c r="U125" s="1" t="s">
        <v>505</v>
      </c>
      <c r="V125" s="1" t="s">
        <v>38</v>
      </c>
      <c r="W125" s="1" t="s">
        <v>38</v>
      </c>
      <c r="X125" s="1" t="s">
        <v>38</v>
      </c>
      <c r="Y125" s="1" t="s">
        <v>38</v>
      </c>
      <c r="Z125" s="8" t="s">
        <v>245</v>
      </c>
    </row>
    <row r="126" spans="1:26" hidden="1" x14ac:dyDescent="0.3">
      <c r="A126" s="2">
        <v>46203.547222222223</v>
      </c>
      <c r="B126" s="1" t="s">
        <v>185</v>
      </c>
      <c r="C126" s="1" t="s">
        <v>186</v>
      </c>
      <c r="D126" s="1" t="s">
        <v>187</v>
      </c>
      <c r="E126" s="1" t="s">
        <v>188</v>
      </c>
      <c r="F126" s="1" t="s">
        <v>189</v>
      </c>
      <c r="G126" s="1" t="s">
        <v>190</v>
      </c>
      <c r="H126" s="1" t="s">
        <v>29</v>
      </c>
      <c r="I126" s="1" t="s">
        <v>30</v>
      </c>
      <c r="J126" s="1" t="s">
        <v>191</v>
      </c>
      <c r="K126" s="1" t="s">
        <v>162</v>
      </c>
      <c r="L126" s="1" t="s">
        <v>192</v>
      </c>
      <c r="M126" s="1" t="s">
        <v>193</v>
      </c>
      <c r="N126" s="1" t="s">
        <v>35</v>
      </c>
      <c r="O126" s="3">
        <v>8600000</v>
      </c>
      <c r="P126" s="3">
        <v>3152788.32</v>
      </c>
      <c r="Q126" s="1">
        <v>0</v>
      </c>
      <c r="R126" s="4">
        <v>46205</v>
      </c>
      <c r="S126" s="1" t="s">
        <v>36</v>
      </c>
      <c r="T126" s="1">
        <v>100</v>
      </c>
      <c r="U126" s="1" t="s">
        <v>506</v>
      </c>
      <c r="V126" s="1" t="s">
        <v>38</v>
      </c>
      <c r="W126" s="1" t="s">
        <v>38</v>
      </c>
      <c r="X126" s="1" t="s">
        <v>38</v>
      </c>
      <c r="Y126" s="1" t="s">
        <v>38</v>
      </c>
      <c r="Z126" s="8" t="s">
        <v>245</v>
      </c>
    </row>
    <row r="127" spans="1:26" hidden="1" x14ac:dyDescent="0.3">
      <c r="A127" s="2">
        <v>46206.513194444444</v>
      </c>
      <c r="B127" s="1" t="s">
        <v>507</v>
      </c>
      <c r="C127" s="1" t="s">
        <v>508</v>
      </c>
      <c r="D127" s="1" t="s">
        <v>509</v>
      </c>
      <c r="E127" s="1" t="s">
        <v>510</v>
      </c>
      <c r="F127" s="1" t="s">
        <v>189</v>
      </c>
      <c r="G127" s="1" t="s">
        <v>190</v>
      </c>
      <c r="H127" s="1" t="s">
        <v>29</v>
      </c>
      <c r="I127" s="1" t="s">
        <v>30</v>
      </c>
      <c r="J127" s="1" t="s">
        <v>191</v>
      </c>
      <c r="K127" s="1" t="s">
        <v>162</v>
      </c>
      <c r="L127" s="1" t="s">
        <v>511</v>
      </c>
      <c r="M127" s="1" t="s">
        <v>193</v>
      </c>
      <c r="N127" s="1" t="s">
        <v>35</v>
      </c>
      <c r="O127" s="3">
        <v>112500</v>
      </c>
      <c r="P127" s="3">
        <v>4580</v>
      </c>
      <c r="Q127" s="3">
        <v>40022.559999999998</v>
      </c>
      <c r="R127" s="4">
        <v>46213</v>
      </c>
      <c r="S127" s="1" t="s">
        <v>36</v>
      </c>
      <c r="T127" s="1">
        <v>100</v>
      </c>
      <c r="U127" s="1" t="s">
        <v>512</v>
      </c>
      <c r="V127" s="1" t="s">
        <v>38</v>
      </c>
      <c r="W127" s="1" t="s">
        <v>38</v>
      </c>
      <c r="X127" s="1" t="s">
        <v>38</v>
      </c>
      <c r="Y127" s="1" t="s">
        <v>38</v>
      </c>
      <c r="Z127" s="8" t="s">
        <v>245</v>
      </c>
    </row>
    <row r="128" spans="1:26" hidden="1" x14ac:dyDescent="0.3">
      <c r="A128" s="2">
        <v>46152.665972222225</v>
      </c>
      <c r="B128" s="1" t="s">
        <v>194</v>
      </c>
      <c r="C128" s="1" t="s">
        <v>195</v>
      </c>
      <c r="D128" s="1" t="s">
        <v>196</v>
      </c>
      <c r="E128" s="1" t="s">
        <v>197</v>
      </c>
      <c r="F128" s="1" t="s">
        <v>107</v>
      </c>
      <c r="G128" s="1" t="s">
        <v>198</v>
      </c>
      <c r="H128" s="1" t="s">
        <v>29</v>
      </c>
      <c r="I128" s="1" t="s">
        <v>30</v>
      </c>
      <c r="J128" s="1" t="s">
        <v>31</v>
      </c>
      <c r="K128" s="1" t="s">
        <v>162</v>
      </c>
      <c r="L128" s="1" t="s">
        <v>173</v>
      </c>
      <c r="M128" s="1" t="s">
        <v>199</v>
      </c>
      <c r="N128" s="1" t="s">
        <v>35</v>
      </c>
      <c r="O128" s="3">
        <v>16900000</v>
      </c>
      <c r="P128" s="3">
        <v>400000</v>
      </c>
      <c r="Q128" s="1">
        <v>0</v>
      </c>
      <c r="R128" s="4">
        <v>46213</v>
      </c>
      <c r="S128" s="1" t="s">
        <v>36</v>
      </c>
      <c r="T128" s="1">
        <v>100</v>
      </c>
      <c r="U128" s="1" t="s">
        <v>685</v>
      </c>
      <c r="V128" s="1" t="s">
        <v>38</v>
      </c>
      <c r="W128" s="1" t="s">
        <v>38</v>
      </c>
      <c r="X128" s="1" t="s">
        <v>38</v>
      </c>
      <c r="Y128" s="1" t="s">
        <v>38</v>
      </c>
      <c r="Z128" s="8" t="s">
        <v>247</v>
      </c>
    </row>
    <row r="129" spans="1:26" hidden="1" x14ac:dyDescent="0.3">
      <c r="A129" s="2">
        <v>46233.498611111114</v>
      </c>
      <c r="B129" s="1" t="s">
        <v>686</v>
      </c>
      <c r="C129" s="1" t="s">
        <v>687</v>
      </c>
      <c r="D129" s="1" t="s">
        <v>688</v>
      </c>
      <c r="E129" s="1" t="s">
        <v>689</v>
      </c>
      <c r="F129" s="1" t="s">
        <v>153</v>
      </c>
      <c r="G129" s="1" t="s">
        <v>690</v>
      </c>
      <c r="H129" s="1" t="s">
        <v>29</v>
      </c>
      <c r="I129" s="1" t="s">
        <v>30</v>
      </c>
      <c r="J129" s="1" t="s">
        <v>191</v>
      </c>
      <c r="K129" s="1" t="s">
        <v>162</v>
      </c>
      <c r="L129" s="1" t="s">
        <v>503</v>
      </c>
      <c r="M129" s="1" t="s">
        <v>504</v>
      </c>
      <c r="N129" s="1" t="s">
        <v>35</v>
      </c>
      <c r="O129" s="3">
        <v>2249710</v>
      </c>
      <c r="P129" s="3">
        <v>2024740</v>
      </c>
      <c r="Q129" s="1">
        <v>0</v>
      </c>
      <c r="R129" s="4">
        <v>46232</v>
      </c>
      <c r="S129" s="1" t="s">
        <v>570</v>
      </c>
      <c r="T129" s="1">
        <v>100</v>
      </c>
      <c r="U129" s="1" t="s">
        <v>691</v>
      </c>
      <c r="V129" s="1" t="s">
        <v>38</v>
      </c>
      <c r="W129" s="1" t="s">
        <v>38</v>
      </c>
      <c r="X129" s="1" t="s">
        <v>38</v>
      </c>
      <c r="Y129" s="1" t="s">
        <v>38</v>
      </c>
      <c r="Z129" s="8" t="s">
        <v>245</v>
      </c>
    </row>
    <row r="130" spans="1:26" hidden="1" x14ac:dyDescent="0.3">
      <c r="A130" s="2">
        <v>46203.643055555556</v>
      </c>
      <c r="B130" s="1" t="s">
        <v>692</v>
      </c>
      <c r="C130" s="1" t="s">
        <v>500</v>
      </c>
      <c r="D130" s="1" t="s">
        <v>693</v>
      </c>
      <c r="E130" s="1" t="s">
        <v>694</v>
      </c>
      <c r="F130" s="1" t="s">
        <v>236</v>
      </c>
      <c r="G130" s="1" t="s">
        <v>695</v>
      </c>
      <c r="H130" s="1" t="s">
        <v>238</v>
      </c>
      <c r="I130" s="1" t="s">
        <v>30</v>
      </c>
      <c r="J130" s="1" t="s">
        <v>191</v>
      </c>
      <c r="K130" s="1" t="s">
        <v>162</v>
      </c>
      <c r="L130" s="1" t="s">
        <v>696</v>
      </c>
      <c r="M130" s="1" t="s">
        <v>109</v>
      </c>
      <c r="N130" s="1" t="s">
        <v>35</v>
      </c>
      <c r="O130" s="3">
        <v>744990</v>
      </c>
      <c r="P130" s="3">
        <v>73654</v>
      </c>
      <c r="Q130" s="1">
        <v>0</v>
      </c>
      <c r="R130" s="4">
        <v>46234</v>
      </c>
      <c r="S130" s="1" t="s">
        <v>36</v>
      </c>
      <c r="T130" s="1">
        <v>100</v>
      </c>
      <c r="U130" s="1" t="s">
        <v>38</v>
      </c>
      <c r="V130" s="1" t="s">
        <v>38</v>
      </c>
      <c r="W130" s="1" t="s">
        <v>38</v>
      </c>
      <c r="X130" s="1" t="s">
        <v>38</v>
      </c>
      <c r="Y130" s="1" t="s">
        <v>38</v>
      </c>
      <c r="Z130" s="8" t="s">
        <v>245</v>
      </c>
    </row>
    <row r="131" spans="1:26" hidden="1" x14ac:dyDescent="0.3">
      <c r="A131" s="2">
        <v>46148.630555555559</v>
      </c>
      <c r="B131" s="1" t="s">
        <v>276</v>
      </c>
      <c r="C131" s="1" t="s">
        <v>57</v>
      </c>
      <c r="D131" s="1" t="s">
        <v>277</v>
      </c>
      <c r="E131" s="1" t="s">
        <v>278</v>
      </c>
      <c r="F131" s="1" t="s">
        <v>59</v>
      </c>
      <c r="G131" s="1" t="s">
        <v>59</v>
      </c>
      <c r="H131" s="1" t="s">
        <v>61</v>
      </c>
      <c r="I131" s="1" t="s">
        <v>59</v>
      </c>
      <c r="J131" s="1" t="s">
        <v>31</v>
      </c>
      <c r="K131" s="1" t="s">
        <v>32</v>
      </c>
      <c r="L131" s="1" t="s">
        <v>239</v>
      </c>
      <c r="M131" s="1" t="s">
        <v>279</v>
      </c>
      <c r="N131" s="1" t="s">
        <v>35</v>
      </c>
      <c r="O131" s="3">
        <v>1690000</v>
      </c>
      <c r="P131" s="3">
        <v>62500</v>
      </c>
      <c r="Q131" s="3">
        <v>97500</v>
      </c>
      <c r="R131" s="4">
        <v>46218</v>
      </c>
      <c r="S131" s="1" t="s">
        <v>36</v>
      </c>
      <c r="T131" s="1">
        <v>100</v>
      </c>
      <c r="U131" s="1" t="s">
        <v>280</v>
      </c>
      <c r="V131" s="1" t="s">
        <v>38</v>
      </c>
      <c r="W131" s="1" t="s">
        <v>38</v>
      </c>
      <c r="X131" s="1" t="s">
        <v>38</v>
      </c>
      <c r="Y131" s="1" t="s">
        <v>281</v>
      </c>
      <c r="Z131" s="6" t="s">
        <v>243</v>
      </c>
    </row>
    <row r="132" spans="1:26" hidden="1" x14ac:dyDescent="0.3">
      <c r="A132" s="2">
        <v>46205.663888888892</v>
      </c>
      <c r="B132" s="1" t="s">
        <v>200</v>
      </c>
      <c r="C132" s="1" t="s">
        <v>157</v>
      </c>
      <c r="D132" s="1" t="s">
        <v>158</v>
      </c>
      <c r="E132" s="1" t="s">
        <v>201</v>
      </c>
      <c r="F132" s="1" t="s">
        <v>59</v>
      </c>
      <c r="G132" s="1" t="s">
        <v>59</v>
      </c>
      <c r="H132" s="1" t="s">
        <v>61</v>
      </c>
      <c r="I132" s="1" t="s">
        <v>59</v>
      </c>
      <c r="J132" s="1" t="s">
        <v>31</v>
      </c>
      <c r="K132" s="1" t="s">
        <v>32</v>
      </c>
      <c r="L132" s="1" t="s">
        <v>33</v>
      </c>
      <c r="M132" s="1" t="s">
        <v>63</v>
      </c>
      <c r="N132" s="1" t="s">
        <v>35</v>
      </c>
      <c r="O132" s="3">
        <v>800000</v>
      </c>
      <c r="P132" s="3">
        <v>45000</v>
      </c>
      <c r="Q132" s="3">
        <v>45000</v>
      </c>
      <c r="R132" s="4">
        <v>46205</v>
      </c>
      <c r="S132" s="1" t="s">
        <v>36</v>
      </c>
      <c r="T132" s="1">
        <v>100</v>
      </c>
      <c r="U132" s="1" t="s">
        <v>202</v>
      </c>
      <c r="V132" s="1" t="s">
        <v>38</v>
      </c>
      <c r="W132" s="1" t="s">
        <v>38</v>
      </c>
      <c r="X132" s="1" t="s">
        <v>38</v>
      </c>
      <c r="Y132" s="1" t="s">
        <v>38</v>
      </c>
      <c r="Z132" s="6" t="s">
        <v>243</v>
      </c>
    </row>
    <row r="133" spans="1:26" hidden="1" x14ac:dyDescent="0.3">
      <c r="A133" s="2">
        <v>46234.582638888889</v>
      </c>
      <c r="B133" s="1" t="s">
        <v>697</v>
      </c>
      <c r="C133" s="1" t="s">
        <v>79</v>
      </c>
      <c r="D133" s="1" t="s">
        <v>80</v>
      </c>
      <c r="E133" s="1" t="s">
        <v>698</v>
      </c>
      <c r="F133" s="1" t="s">
        <v>72</v>
      </c>
      <c r="G133" s="1" t="s">
        <v>72</v>
      </c>
      <c r="H133" s="1" t="s">
        <v>29</v>
      </c>
      <c r="I133" s="1" t="s">
        <v>30</v>
      </c>
      <c r="J133" s="1" t="s">
        <v>31</v>
      </c>
      <c r="K133" s="1" t="s">
        <v>32</v>
      </c>
      <c r="L133" s="1" t="s">
        <v>239</v>
      </c>
      <c r="M133" s="1" t="s">
        <v>43</v>
      </c>
      <c r="N133" s="1" t="s">
        <v>35</v>
      </c>
      <c r="O133" s="3">
        <v>195000</v>
      </c>
      <c r="P133" s="3">
        <v>11000</v>
      </c>
      <c r="Q133" s="1">
        <v>0</v>
      </c>
      <c r="R133" s="4">
        <v>46234</v>
      </c>
      <c r="S133" s="1" t="s">
        <v>36</v>
      </c>
      <c r="T133" s="1">
        <v>100</v>
      </c>
      <c r="U133" s="1" t="s">
        <v>699</v>
      </c>
      <c r="V133" s="1" t="s">
        <v>38</v>
      </c>
      <c r="W133" s="1" t="s">
        <v>38</v>
      </c>
      <c r="X133" s="1" t="s">
        <v>38</v>
      </c>
      <c r="Y133" s="1" t="s">
        <v>700</v>
      </c>
      <c r="Z133" s="6" t="s">
        <v>242</v>
      </c>
    </row>
    <row r="134" spans="1:26" hidden="1" x14ac:dyDescent="0.3">
      <c r="A134" s="2">
        <v>46231.711805555555</v>
      </c>
      <c r="B134" s="1" t="s">
        <v>701</v>
      </c>
      <c r="C134" s="1" t="s">
        <v>400</v>
      </c>
      <c r="D134" s="1" t="s">
        <v>401</v>
      </c>
      <c r="E134" s="1" t="s">
        <v>702</v>
      </c>
      <c r="F134" s="1" t="s">
        <v>403</v>
      </c>
      <c r="G134" s="1" t="s">
        <v>703</v>
      </c>
      <c r="H134" s="1" t="s">
        <v>29</v>
      </c>
      <c r="I134" s="1" t="s">
        <v>30</v>
      </c>
      <c r="J134" s="1" t="s">
        <v>704</v>
      </c>
      <c r="K134" s="1" t="s">
        <v>32</v>
      </c>
      <c r="L134" s="1" t="s">
        <v>33</v>
      </c>
      <c r="M134" s="1" t="s">
        <v>43</v>
      </c>
      <c r="N134" s="1" t="s">
        <v>35</v>
      </c>
      <c r="O134" s="3">
        <v>460000</v>
      </c>
      <c r="P134" s="3">
        <v>30000</v>
      </c>
      <c r="Q134" s="3">
        <v>61832</v>
      </c>
      <c r="R134" s="4">
        <v>46231</v>
      </c>
      <c r="S134" s="1" t="s">
        <v>36</v>
      </c>
      <c r="T134" s="1">
        <v>100</v>
      </c>
      <c r="U134" s="1" t="s">
        <v>705</v>
      </c>
      <c r="V134" s="1" t="s">
        <v>38</v>
      </c>
      <c r="W134" s="1" t="s">
        <v>38</v>
      </c>
      <c r="X134" s="1" t="s">
        <v>38</v>
      </c>
      <c r="Y134" s="1" t="s">
        <v>38</v>
      </c>
      <c r="Z134" s="8" t="s">
        <v>245</v>
      </c>
    </row>
    <row r="135" spans="1:26" hidden="1" x14ac:dyDescent="0.3">
      <c r="A135" s="2">
        <v>46202.440972222219</v>
      </c>
      <c r="B135" s="1" t="s">
        <v>203</v>
      </c>
      <c r="C135" s="1" t="s">
        <v>204</v>
      </c>
      <c r="D135" s="1" t="s">
        <v>205</v>
      </c>
      <c r="E135" s="1" t="s">
        <v>206</v>
      </c>
      <c r="F135" s="1" t="s">
        <v>207</v>
      </c>
      <c r="G135" s="1" t="s">
        <v>207</v>
      </c>
      <c r="H135" s="1" t="s">
        <v>29</v>
      </c>
      <c r="I135" s="1" t="s">
        <v>30</v>
      </c>
      <c r="J135" s="1" t="s">
        <v>31</v>
      </c>
      <c r="K135" s="1" t="s">
        <v>32</v>
      </c>
      <c r="L135" s="1" t="s">
        <v>33</v>
      </c>
      <c r="M135" s="1" t="s">
        <v>63</v>
      </c>
      <c r="N135" s="1" t="s">
        <v>35</v>
      </c>
      <c r="O135" s="3">
        <v>667800</v>
      </c>
      <c r="P135" s="3">
        <v>31800</v>
      </c>
      <c r="Q135" s="3">
        <v>31800</v>
      </c>
      <c r="R135" s="4">
        <v>46206</v>
      </c>
      <c r="S135" s="1" t="s">
        <v>208</v>
      </c>
      <c r="T135" s="1">
        <v>50</v>
      </c>
      <c r="U135" s="1" t="s">
        <v>513</v>
      </c>
      <c r="V135" s="1" t="s">
        <v>38</v>
      </c>
      <c r="W135" s="1" t="s">
        <v>38</v>
      </c>
      <c r="X135" s="1" t="s">
        <v>38</v>
      </c>
      <c r="Y135" s="1" t="s">
        <v>38</v>
      </c>
      <c r="Z135" s="8" t="s">
        <v>243</v>
      </c>
    </row>
    <row r="136" spans="1:26" hidden="1" x14ac:dyDescent="0.3">
      <c r="A136" s="2">
        <v>46218.728472222225</v>
      </c>
      <c r="B136" s="1" t="s">
        <v>514</v>
      </c>
      <c r="C136" s="1" t="s">
        <v>204</v>
      </c>
      <c r="D136" s="1" t="s">
        <v>515</v>
      </c>
      <c r="E136" s="1" t="s">
        <v>516</v>
      </c>
      <c r="F136" s="1" t="s">
        <v>207</v>
      </c>
      <c r="G136" s="1" t="s">
        <v>207</v>
      </c>
      <c r="H136" s="1" t="s">
        <v>29</v>
      </c>
      <c r="I136" s="1" t="s">
        <v>30</v>
      </c>
      <c r="J136" s="1" t="s">
        <v>31</v>
      </c>
      <c r="K136" s="1" t="s">
        <v>32</v>
      </c>
      <c r="L136" s="1" t="s">
        <v>33</v>
      </c>
      <c r="M136" s="1" t="s">
        <v>34</v>
      </c>
      <c r="N136" s="1" t="s">
        <v>35</v>
      </c>
      <c r="O136" s="3">
        <v>539325</v>
      </c>
      <c r="P136" s="3">
        <v>63948</v>
      </c>
      <c r="Q136" s="3">
        <v>49114.86</v>
      </c>
      <c r="R136" s="4">
        <v>46218</v>
      </c>
      <c r="S136" s="1" t="s">
        <v>36</v>
      </c>
      <c r="T136" s="1">
        <v>100</v>
      </c>
      <c r="U136" s="1" t="s">
        <v>517</v>
      </c>
      <c r="V136" s="1" t="s">
        <v>38</v>
      </c>
      <c r="W136" s="1" t="s">
        <v>38</v>
      </c>
      <c r="X136" s="1" t="s">
        <v>38</v>
      </c>
      <c r="Y136" s="1" t="s">
        <v>38</v>
      </c>
      <c r="Z136" s="8" t="s">
        <v>243</v>
      </c>
    </row>
    <row r="137" spans="1:26" hidden="1" x14ac:dyDescent="0.3">
      <c r="A137" s="2">
        <v>46213.520138888889</v>
      </c>
      <c r="B137" s="1" t="s">
        <v>518</v>
      </c>
      <c r="C137" s="1" t="s">
        <v>327</v>
      </c>
      <c r="D137" s="1" t="s">
        <v>328</v>
      </c>
      <c r="E137" s="1" t="s">
        <v>519</v>
      </c>
      <c r="F137" s="1" t="s">
        <v>101</v>
      </c>
      <c r="G137" s="1" t="s">
        <v>101</v>
      </c>
      <c r="H137" s="1" t="s">
        <v>29</v>
      </c>
      <c r="I137" s="1" t="s">
        <v>30</v>
      </c>
      <c r="J137" s="1" t="s">
        <v>31</v>
      </c>
      <c r="K137" s="1" t="s">
        <v>32</v>
      </c>
      <c r="L137" s="1" t="s">
        <v>33</v>
      </c>
      <c r="M137" s="1" t="s">
        <v>34</v>
      </c>
      <c r="N137" s="1" t="s">
        <v>35</v>
      </c>
      <c r="O137" s="3">
        <v>600000</v>
      </c>
      <c r="P137" s="3">
        <v>8800</v>
      </c>
      <c r="Q137" s="3">
        <v>8800</v>
      </c>
      <c r="R137" s="4">
        <v>46218</v>
      </c>
      <c r="S137" s="1" t="s">
        <v>36</v>
      </c>
      <c r="T137" s="1">
        <v>100</v>
      </c>
      <c r="U137" s="1" t="s">
        <v>520</v>
      </c>
      <c r="V137" s="1" t="s">
        <v>38</v>
      </c>
      <c r="W137" s="1" t="s">
        <v>38</v>
      </c>
      <c r="X137" s="1" t="s">
        <v>38</v>
      </c>
      <c r="Y137" s="7" t="s">
        <v>521</v>
      </c>
      <c r="Z137" s="8" t="s">
        <v>242</v>
      </c>
    </row>
    <row r="138" spans="1:26" hidden="1" x14ac:dyDescent="0.3">
      <c r="A138" s="2">
        <v>46235.659722222219</v>
      </c>
      <c r="B138" s="1" t="s">
        <v>706</v>
      </c>
      <c r="C138" s="1" t="s">
        <v>327</v>
      </c>
      <c r="D138" s="1" t="s">
        <v>328</v>
      </c>
      <c r="E138" s="1" t="s">
        <v>74</v>
      </c>
      <c r="F138" s="1" t="s">
        <v>101</v>
      </c>
      <c r="G138" s="1" t="s">
        <v>101</v>
      </c>
      <c r="H138" s="1" t="s">
        <v>29</v>
      </c>
      <c r="I138" s="1" t="s">
        <v>30</v>
      </c>
      <c r="J138" s="1" t="s">
        <v>31</v>
      </c>
      <c r="K138" s="1" t="s">
        <v>32</v>
      </c>
      <c r="L138" s="1" t="s">
        <v>74</v>
      </c>
      <c r="M138" s="1" t="s">
        <v>75</v>
      </c>
      <c r="N138" s="1" t="s">
        <v>35</v>
      </c>
      <c r="O138" s="3">
        <v>537250</v>
      </c>
      <c r="P138" s="3">
        <v>12200</v>
      </c>
      <c r="Q138" s="1">
        <v>0</v>
      </c>
      <c r="R138" s="4">
        <v>46235</v>
      </c>
      <c r="S138" s="1" t="s">
        <v>36</v>
      </c>
      <c r="T138" s="1">
        <v>100</v>
      </c>
      <c r="U138" s="1" t="s">
        <v>707</v>
      </c>
      <c r="V138" s="1" t="s">
        <v>38</v>
      </c>
      <c r="W138" s="1" t="s">
        <v>38</v>
      </c>
      <c r="X138" s="1" t="s">
        <v>38</v>
      </c>
      <c r="Y138" s="1" t="s">
        <v>708</v>
      </c>
      <c r="Z138" s="8" t="s">
        <v>242</v>
      </c>
    </row>
    <row r="139" spans="1:26" hidden="1" x14ac:dyDescent="0.3">
      <c r="A139" s="2">
        <v>46063.460416666669</v>
      </c>
      <c r="B139" s="1" t="s">
        <v>522</v>
      </c>
      <c r="C139" s="1" t="s">
        <v>523</v>
      </c>
      <c r="D139" s="1" t="s">
        <v>524</v>
      </c>
      <c r="E139" s="1" t="s">
        <v>525</v>
      </c>
      <c r="F139" s="1" t="s">
        <v>213</v>
      </c>
      <c r="G139" s="1" t="s">
        <v>214</v>
      </c>
      <c r="H139" s="1" t="s">
        <v>29</v>
      </c>
      <c r="I139" s="1" t="s">
        <v>30</v>
      </c>
      <c r="J139" s="1" t="s">
        <v>107</v>
      </c>
      <c r="K139" s="1" t="s">
        <v>32</v>
      </c>
      <c r="L139" s="1" t="s">
        <v>67</v>
      </c>
      <c r="M139" s="1" t="s">
        <v>75</v>
      </c>
      <c r="N139" s="1" t="s">
        <v>35</v>
      </c>
      <c r="O139" s="3">
        <v>3787375</v>
      </c>
      <c r="P139" s="3">
        <v>500000</v>
      </c>
      <c r="Q139" s="1">
        <v>0</v>
      </c>
      <c r="R139" s="4">
        <v>46217</v>
      </c>
      <c r="S139" s="1" t="s">
        <v>36</v>
      </c>
      <c r="T139" s="1">
        <v>100</v>
      </c>
      <c r="U139" s="1" t="s">
        <v>526</v>
      </c>
      <c r="V139" s="1" t="s">
        <v>527</v>
      </c>
      <c r="W139" s="1" t="s">
        <v>528</v>
      </c>
      <c r="X139" s="1" t="s">
        <v>38</v>
      </c>
      <c r="Y139" s="1" t="s">
        <v>529</v>
      </c>
      <c r="Z139" s="8" t="s">
        <v>247</v>
      </c>
    </row>
    <row r="140" spans="1:26" hidden="1" x14ac:dyDescent="0.3">
      <c r="A140" s="2">
        <v>46206.563888888886</v>
      </c>
      <c r="B140" s="1" t="s">
        <v>209</v>
      </c>
      <c r="C140" s="1" t="s">
        <v>210</v>
      </c>
      <c r="D140" s="1" t="s">
        <v>211</v>
      </c>
      <c r="E140" s="1" t="s">
        <v>212</v>
      </c>
      <c r="F140" s="1" t="s">
        <v>213</v>
      </c>
      <c r="G140" s="1" t="s">
        <v>214</v>
      </c>
      <c r="H140" s="1" t="s">
        <v>29</v>
      </c>
      <c r="I140" s="1" t="s">
        <v>30</v>
      </c>
      <c r="J140" s="1" t="s">
        <v>107</v>
      </c>
      <c r="K140" s="1" t="s">
        <v>32</v>
      </c>
      <c r="L140" s="1" t="s">
        <v>67</v>
      </c>
      <c r="M140" s="1" t="s">
        <v>75</v>
      </c>
      <c r="N140" s="1" t="s">
        <v>35</v>
      </c>
      <c r="O140" s="3">
        <v>87000</v>
      </c>
      <c r="P140" s="3">
        <v>22500</v>
      </c>
      <c r="Q140" s="3">
        <v>22500</v>
      </c>
      <c r="R140" s="4">
        <v>46206</v>
      </c>
      <c r="S140" s="1" t="s">
        <v>36</v>
      </c>
      <c r="T140" s="1">
        <v>100</v>
      </c>
      <c r="U140" s="1" t="s">
        <v>215</v>
      </c>
      <c r="V140" s="1" t="s">
        <v>38</v>
      </c>
      <c r="W140" s="1" t="s">
        <v>38</v>
      </c>
      <c r="X140" s="1" t="s">
        <v>38</v>
      </c>
      <c r="Y140" s="1" t="s">
        <v>38</v>
      </c>
      <c r="Z140" s="8" t="s">
        <v>247</v>
      </c>
    </row>
    <row r="141" spans="1:26" hidden="1" x14ac:dyDescent="0.3">
      <c r="A141" s="2">
        <v>46216.713194444441</v>
      </c>
      <c r="B141" s="1" t="s">
        <v>530</v>
      </c>
      <c r="C141" s="1" t="s">
        <v>423</v>
      </c>
      <c r="D141" s="1" t="s">
        <v>424</v>
      </c>
      <c r="E141" s="1" t="s">
        <v>531</v>
      </c>
      <c r="F141" s="1" t="s">
        <v>213</v>
      </c>
      <c r="G141" s="1" t="s">
        <v>214</v>
      </c>
      <c r="H141" s="1" t="s">
        <v>29</v>
      </c>
      <c r="I141" s="1" t="s">
        <v>30</v>
      </c>
      <c r="J141" s="1" t="s">
        <v>107</v>
      </c>
      <c r="K141" s="1" t="s">
        <v>32</v>
      </c>
      <c r="L141" s="1" t="s">
        <v>67</v>
      </c>
      <c r="M141" s="1" t="s">
        <v>75</v>
      </c>
      <c r="N141" s="1" t="s">
        <v>35</v>
      </c>
      <c r="O141" s="3">
        <v>132500</v>
      </c>
      <c r="P141" s="3">
        <v>25000</v>
      </c>
      <c r="Q141" s="3">
        <v>25000</v>
      </c>
      <c r="R141" s="4">
        <v>46216</v>
      </c>
      <c r="S141" s="1" t="s">
        <v>36</v>
      </c>
      <c r="T141" s="1">
        <v>100</v>
      </c>
      <c r="U141" s="1" t="s">
        <v>532</v>
      </c>
      <c r="V141" s="1" t="s">
        <v>38</v>
      </c>
      <c r="W141" s="1" t="s">
        <v>38</v>
      </c>
      <c r="X141" s="1" t="s">
        <v>38</v>
      </c>
      <c r="Y141" s="1" t="s">
        <v>38</v>
      </c>
      <c r="Z141" s="8" t="s">
        <v>247</v>
      </c>
    </row>
    <row r="142" spans="1:26" hidden="1" x14ac:dyDescent="0.3">
      <c r="A142" s="2">
        <v>46227.549305555556</v>
      </c>
      <c r="B142" s="1" t="s">
        <v>709</v>
      </c>
      <c r="C142" s="1" t="s">
        <v>710</v>
      </c>
      <c r="D142" s="1" t="s">
        <v>711</v>
      </c>
      <c r="E142" s="1" t="s">
        <v>712</v>
      </c>
      <c r="F142" s="1" t="s">
        <v>191</v>
      </c>
      <c r="G142" s="1" t="s">
        <v>191</v>
      </c>
      <c r="H142" s="1" t="s">
        <v>29</v>
      </c>
      <c r="I142" s="1" t="s">
        <v>30</v>
      </c>
      <c r="J142" s="1" t="s">
        <v>191</v>
      </c>
      <c r="K142" s="1" t="s">
        <v>32</v>
      </c>
      <c r="L142" s="1" t="s">
        <v>239</v>
      </c>
      <c r="M142" s="1" t="s">
        <v>34</v>
      </c>
      <c r="N142" s="1" t="s">
        <v>35</v>
      </c>
      <c r="O142" s="3">
        <v>465000</v>
      </c>
      <c r="P142" s="3">
        <v>25000</v>
      </c>
      <c r="Q142" s="3">
        <v>24850</v>
      </c>
      <c r="R142" s="4">
        <v>46227</v>
      </c>
      <c r="S142" s="1" t="s">
        <v>36</v>
      </c>
      <c r="T142" s="1">
        <v>100</v>
      </c>
      <c r="U142" s="1" t="s">
        <v>713</v>
      </c>
      <c r="V142" s="1" t="s">
        <v>38</v>
      </c>
      <c r="W142" s="1" t="s">
        <v>38</v>
      </c>
      <c r="X142" s="1" t="s">
        <v>38</v>
      </c>
      <c r="Y142" s="1" t="s">
        <v>38</v>
      </c>
      <c r="Z142" s="8" t="s">
        <v>75</v>
      </c>
    </row>
    <row r="143" spans="1:26" hidden="1" x14ac:dyDescent="0.3">
      <c r="A143" s="2">
        <v>46204.624305555553</v>
      </c>
      <c r="B143" s="1" t="s">
        <v>216</v>
      </c>
      <c r="C143" s="1" t="s">
        <v>217</v>
      </c>
      <c r="D143" s="1" t="s">
        <v>218</v>
      </c>
      <c r="E143" s="1" t="s">
        <v>219</v>
      </c>
      <c r="F143" s="1" t="s">
        <v>220</v>
      </c>
      <c r="G143" s="1" t="s">
        <v>221</v>
      </c>
      <c r="H143" s="1" t="s">
        <v>29</v>
      </c>
      <c r="I143" s="1" t="s">
        <v>30</v>
      </c>
      <c r="J143" s="1" t="s">
        <v>191</v>
      </c>
      <c r="K143" s="1" t="s">
        <v>32</v>
      </c>
      <c r="L143" s="1" t="s">
        <v>33</v>
      </c>
      <c r="M143" s="1" t="s">
        <v>34</v>
      </c>
      <c r="N143" s="1" t="s">
        <v>35</v>
      </c>
      <c r="O143" s="3">
        <v>1700</v>
      </c>
      <c r="P143" s="1">
        <v>200</v>
      </c>
      <c r="Q143" s="3">
        <v>1800</v>
      </c>
      <c r="R143" s="4">
        <v>46207</v>
      </c>
      <c r="S143" s="1" t="s">
        <v>36</v>
      </c>
      <c r="T143" s="1">
        <v>80</v>
      </c>
      <c r="U143" s="1" t="s">
        <v>533</v>
      </c>
      <c r="V143" s="1" t="s">
        <v>38</v>
      </c>
      <c r="W143" s="1" t="s">
        <v>38</v>
      </c>
      <c r="X143" s="1" t="s">
        <v>38</v>
      </c>
      <c r="Y143" s="1" t="s">
        <v>222</v>
      </c>
      <c r="Z143" s="8" t="s">
        <v>245</v>
      </c>
    </row>
    <row r="144" spans="1:26" hidden="1" x14ac:dyDescent="0.3">
      <c r="A144" s="2">
        <v>46205.731944444444</v>
      </c>
      <c r="B144" s="1" t="s">
        <v>223</v>
      </c>
      <c r="C144" s="1" t="s">
        <v>224</v>
      </c>
      <c r="D144" s="1" t="s">
        <v>225</v>
      </c>
      <c r="E144" s="1" t="s">
        <v>226</v>
      </c>
      <c r="F144" s="1" t="s">
        <v>220</v>
      </c>
      <c r="G144" s="1" t="s">
        <v>221</v>
      </c>
      <c r="H144" s="1" t="s">
        <v>29</v>
      </c>
      <c r="I144" s="1" t="s">
        <v>30</v>
      </c>
      <c r="J144" s="1" t="s">
        <v>191</v>
      </c>
      <c r="K144" s="1" t="s">
        <v>32</v>
      </c>
      <c r="L144" s="1" t="s">
        <v>33</v>
      </c>
      <c r="M144" s="1" t="s">
        <v>43</v>
      </c>
      <c r="N144" s="1" t="s">
        <v>35</v>
      </c>
      <c r="O144" s="3">
        <v>39000</v>
      </c>
      <c r="P144" s="3">
        <v>2000</v>
      </c>
      <c r="Q144" s="3">
        <v>2000</v>
      </c>
      <c r="R144" s="4">
        <v>46212</v>
      </c>
      <c r="S144" s="1" t="s">
        <v>36</v>
      </c>
      <c r="T144" s="1">
        <v>80</v>
      </c>
      <c r="U144" s="1" t="s">
        <v>534</v>
      </c>
      <c r="V144" s="1" t="s">
        <v>38</v>
      </c>
      <c r="W144" s="1" t="s">
        <v>38</v>
      </c>
      <c r="X144" s="1" t="s">
        <v>38</v>
      </c>
      <c r="Y144" s="1" t="s">
        <v>38</v>
      </c>
      <c r="Z144" s="8" t="s">
        <v>245</v>
      </c>
    </row>
    <row r="145" spans="1:26" hidden="1" x14ac:dyDescent="0.3">
      <c r="A145" s="2">
        <v>46209.554861111108</v>
      </c>
      <c r="B145" s="1" t="s">
        <v>227</v>
      </c>
      <c r="C145" s="1" t="s">
        <v>228</v>
      </c>
      <c r="D145" s="1" t="s">
        <v>229</v>
      </c>
      <c r="E145" s="1" t="s">
        <v>230</v>
      </c>
      <c r="F145" s="1" t="s">
        <v>220</v>
      </c>
      <c r="G145" s="1" t="s">
        <v>221</v>
      </c>
      <c r="H145" s="1" t="s">
        <v>29</v>
      </c>
      <c r="I145" s="1" t="s">
        <v>30</v>
      </c>
      <c r="J145" s="1" t="s">
        <v>191</v>
      </c>
      <c r="K145" s="1" t="s">
        <v>32</v>
      </c>
      <c r="L145" s="1" t="s">
        <v>231</v>
      </c>
      <c r="M145" s="1" t="s">
        <v>34</v>
      </c>
      <c r="N145" s="1" t="s">
        <v>35</v>
      </c>
      <c r="O145" s="3">
        <v>167954</v>
      </c>
      <c r="P145" s="3">
        <v>6000</v>
      </c>
      <c r="Q145" s="3">
        <v>14805.69</v>
      </c>
      <c r="R145" s="4">
        <v>46209</v>
      </c>
      <c r="S145" s="1" t="s">
        <v>36</v>
      </c>
      <c r="T145" s="1">
        <v>80</v>
      </c>
      <c r="U145" s="1" t="s">
        <v>714</v>
      </c>
      <c r="V145" s="1" t="s">
        <v>38</v>
      </c>
      <c r="W145" s="1" t="s">
        <v>38</v>
      </c>
      <c r="X145" s="1" t="s">
        <v>38</v>
      </c>
      <c r="Y145" s="1" t="s">
        <v>38</v>
      </c>
      <c r="Z145" s="8" t="s">
        <v>245</v>
      </c>
    </row>
    <row r="146" spans="1:26" hidden="1" x14ac:dyDescent="0.3">
      <c r="A146" s="2">
        <v>46209.714583333334</v>
      </c>
      <c r="B146" s="1" t="s">
        <v>535</v>
      </c>
      <c r="C146" s="1" t="s">
        <v>536</v>
      </c>
      <c r="D146" s="1" t="s">
        <v>537</v>
      </c>
      <c r="E146" s="1" t="s">
        <v>538</v>
      </c>
      <c r="F146" s="1" t="s">
        <v>220</v>
      </c>
      <c r="G146" s="1" t="s">
        <v>221</v>
      </c>
      <c r="H146" s="1" t="s">
        <v>29</v>
      </c>
      <c r="I146" s="1" t="s">
        <v>30</v>
      </c>
      <c r="J146" s="1" t="s">
        <v>191</v>
      </c>
      <c r="K146" s="1" t="s">
        <v>32</v>
      </c>
      <c r="L146" s="1" t="s">
        <v>33</v>
      </c>
      <c r="M146" s="1" t="s">
        <v>63</v>
      </c>
      <c r="N146" s="1" t="s">
        <v>35</v>
      </c>
      <c r="O146" s="3">
        <v>2519744</v>
      </c>
      <c r="P146" s="3">
        <v>102864</v>
      </c>
      <c r="Q146" s="1">
        <v>0</v>
      </c>
      <c r="R146" s="4">
        <v>46214</v>
      </c>
      <c r="S146" s="1" t="s">
        <v>36</v>
      </c>
      <c r="T146" s="1">
        <v>80</v>
      </c>
      <c r="U146" s="1" t="s">
        <v>38</v>
      </c>
      <c r="V146" s="1" t="s">
        <v>38</v>
      </c>
      <c r="W146" s="1" t="s">
        <v>38</v>
      </c>
      <c r="X146" s="1" t="s">
        <v>38</v>
      </c>
      <c r="Y146" s="1" t="s">
        <v>38</v>
      </c>
      <c r="Z146" s="8" t="s">
        <v>245</v>
      </c>
    </row>
    <row r="147" spans="1:26" hidden="1" x14ac:dyDescent="0.3">
      <c r="A147" s="2">
        <v>46230.754861111112</v>
      </c>
      <c r="B147" s="1" t="s">
        <v>715</v>
      </c>
      <c r="C147" s="1" t="s">
        <v>224</v>
      </c>
      <c r="D147" s="1" t="s">
        <v>225</v>
      </c>
      <c r="E147" s="1" t="s">
        <v>716</v>
      </c>
      <c r="F147" s="1" t="s">
        <v>220</v>
      </c>
      <c r="G147" s="1" t="s">
        <v>221</v>
      </c>
      <c r="H147" s="1" t="s">
        <v>29</v>
      </c>
      <c r="I147" s="1" t="s">
        <v>30</v>
      </c>
      <c r="J147" s="1" t="s">
        <v>191</v>
      </c>
      <c r="K147" s="1" t="s">
        <v>32</v>
      </c>
      <c r="L147" s="1" t="s">
        <v>717</v>
      </c>
      <c r="M147" s="1" t="s">
        <v>75</v>
      </c>
      <c r="N147" s="1" t="s">
        <v>35</v>
      </c>
      <c r="O147" s="3">
        <v>3233</v>
      </c>
      <c r="P147" s="1">
        <v>690</v>
      </c>
      <c r="Q147" s="1">
        <v>690.63</v>
      </c>
      <c r="R147" s="4">
        <v>46232</v>
      </c>
      <c r="S147" s="1" t="s">
        <v>36</v>
      </c>
      <c r="T147" s="1">
        <v>80</v>
      </c>
      <c r="U147" s="1" t="s">
        <v>718</v>
      </c>
      <c r="V147" s="1" t="s">
        <v>38</v>
      </c>
      <c r="W147" s="1" t="s">
        <v>38</v>
      </c>
      <c r="X147" s="1" t="s">
        <v>38</v>
      </c>
      <c r="Y147" s="1" t="s">
        <v>38</v>
      </c>
      <c r="Z147" s="8" t="s">
        <v>245</v>
      </c>
    </row>
    <row r="148" spans="1:26" hidden="1" x14ac:dyDescent="0.3">
      <c r="A148" s="2">
        <v>46205.736111111109</v>
      </c>
      <c r="B148" s="1" t="s">
        <v>232</v>
      </c>
      <c r="C148" s="1" t="s">
        <v>233</v>
      </c>
      <c r="D148" s="1" t="s">
        <v>234</v>
      </c>
      <c r="E148" s="1" t="s">
        <v>235</v>
      </c>
      <c r="F148" s="1" t="s">
        <v>236</v>
      </c>
      <c r="G148" s="1" t="s">
        <v>237</v>
      </c>
      <c r="H148" s="1" t="s">
        <v>238</v>
      </c>
      <c r="I148" s="1" t="s">
        <v>30</v>
      </c>
      <c r="J148" s="1" t="s">
        <v>191</v>
      </c>
      <c r="K148" s="1" t="s">
        <v>32</v>
      </c>
      <c r="L148" s="1" t="s">
        <v>239</v>
      </c>
      <c r="M148" s="1" t="s">
        <v>34</v>
      </c>
      <c r="N148" s="1" t="s">
        <v>35</v>
      </c>
      <c r="O148" s="3">
        <v>210638</v>
      </c>
      <c r="P148" s="3">
        <v>8638</v>
      </c>
      <c r="Q148" s="3">
        <v>8638</v>
      </c>
      <c r="R148" s="4">
        <v>46205</v>
      </c>
      <c r="S148" s="1" t="s">
        <v>36</v>
      </c>
      <c r="T148" s="1">
        <v>100</v>
      </c>
      <c r="U148" s="1" t="s">
        <v>240</v>
      </c>
      <c r="V148" s="1" t="s">
        <v>38</v>
      </c>
      <c r="W148" s="1" t="s">
        <v>38</v>
      </c>
      <c r="X148" s="1" t="s">
        <v>38</v>
      </c>
      <c r="Y148" s="1" t="s">
        <v>38</v>
      </c>
      <c r="Z148" s="8" t="s">
        <v>245</v>
      </c>
    </row>
    <row r="1048551" spans="26:26" x14ac:dyDescent="0.3">
      <c r="Z1048551" s="8"/>
    </row>
  </sheetData>
  <autoFilter ref="A1:Z148" xr:uid="{7F052B99-F589-4D59-91C7-98D77E001A85}">
    <filterColumn colId="25">
      <filters>
        <filter val="GeoX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Opportunity Pipeline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Dharshini Balasankar</cp:lastModifiedBy>
  <cp:revision/>
  <dcterms:created xsi:type="dcterms:W3CDTF">2026-07-10T12:09:48Z</dcterms:created>
  <dcterms:modified xsi:type="dcterms:W3CDTF">2026-08-03T11:58:03Z</dcterms:modified>
  <cp:category/>
  <cp:contentStatus/>
</cp:coreProperties>
</file>