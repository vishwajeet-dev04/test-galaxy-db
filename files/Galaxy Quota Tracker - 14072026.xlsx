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1304" documentId="8_{124E6DA4-E83A-4E31-8CD3-97FA1DC77213}" xr6:coauthVersionLast="47" xr6:coauthVersionMax="47" xr10:uidLastSave="{FA826047-D1AC-4A74-88A6-4D12C5F3E588}"/>
  <bookViews>
    <workbookView xWindow="-108" yWindow="-108" windowWidth="23256" windowHeight="12576" firstSheet="1" activeTab="7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65" i="1" l="1"/>
  <c r="N65" i="1"/>
  <c r="K65" i="1"/>
  <c r="H60" i="1"/>
  <c r="H61" i="1"/>
  <c r="H62" i="1"/>
  <c r="H63" i="1"/>
  <c r="H64" i="1"/>
  <c r="H65" i="1"/>
  <c r="M10" i="2" l="1"/>
  <c r="M9" i="2"/>
  <c r="M8" i="2"/>
  <c r="M7" i="2"/>
  <c r="M6" i="2"/>
  <c r="M5" i="2"/>
  <c r="F10" i="2"/>
  <c r="F9" i="2"/>
  <c r="F8" i="2"/>
  <c r="F7" i="2"/>
  <c r="F6" i="2"/>
  <c r="F5" i="2"/>
  <c r="F12" i="2" l="1"/>
  <c r="M12" i="2"/>
  <c r="T8" i="8"/>
  <c r="T8" i="7"/>
  <c r="T8" i="6"/>
  <c r="T8" i="5"/>
  <c r="T8" i="4"/>
  <c r="L10" i="9"/>
  <c r="J10" i="9"/>
  <c r="G10" i="9"/>
  <c r="L9" i="9"/>
  <c r="J9" i="9"/>
  <c r="G9" i="9"/>
  <c r="L8" i="9"/>
  <c r="J8" i="9"/>
  <c r="G8" i="9"/>
  <c r="L7" i="9"/>
  <c r="J7" i="9"/>
  <c r="G7" i="9"/>
  <c r="L6" i="9"/>
  <c r="J6" i="9"/>
  <c r="G6" i="9"/>
  <c r="L5" i="9"/>
  <c r="J5" i="9"/>
  <c r="G5" i="9"/>
  <c r="L4" i="9"/>
  <c r="J4" i="9"/>
  <c r="G4" i="9"/>
  <c r="L3" i="9"/>
  <c r="J3" i="9"/>
  <c r="G3" i="9"/>
  <c r="L22" i="9"/>
  <c r="S22" i="9" s="1"/>
  <c r="J22" i="9"/>
  <c r="G22" i="9"/>
  <c r="L21" i="9"/>
  <c r="S21" i="9" s="1"/>
  <c r="J21" i="9"/>
  <c r="G21" i="9"/>
  <c r="L20" i="9"/>
  <c r="S20" i="9" s="1"/>
  <c r="J20" i="9"/>
  <c r="G20" i="9"/>
  <c r="L19" i="9"/>
  <c r="J19" i="9"/>
  <c r="G19" i="9"/>
  <c r="L18" i="9"/>
  <c r="S18" i="9" s="1"/>
  <c r="J18" i="9"/>
  <c r="G18" i="9"/>
  <c r="L17" i="9"/>
  <c r="S17" i="9" s="1"/>
  <c r="J17" i="9"/>
  <c r="G17" i="9"/>
  <c r="L16" i="9"/>
  <c r="S16" i="9" s="1"/>
  <c r="J16" i="9"/>
  <c r="G16" i="9"/>
  <c r="L15" i="9"/>
  <c r="S15" i="9" s="1"/>
  <c r="J15" i="9"/>
  <c r="G15" i="9"/>
  <c r="U3" i="9"/>
  <c r="U22" i="9"/>
  <c r="U21" i="9"/>
  <c r="U20" i="9"/>
  <c r="U19" i="9"/>
  <c r="S19" i="9"/>
  <c r="U18" i="9"/>
  <c r="U17" i="9"/>
  <c r="U16" i="9"/>
  <c r="U15" i="9"/>
  <c r="F8" i="5"/>
  <c r="F8" i="4"/>
  <c r="F8" i="7"/>
  <c r="F8" i="6"/>
  <c r="L52" i="1"/>
  <c r="Q10" i="2" s="1"/>
  <c r="L63" i="1"/>
  <c r="O63" i="1"/>
  <c r="P63" i="1"/>
  <c r="Q63" i="1"/>
  <c r="R63" i="1"/>
  <c r="G4" i="1"/>
  <c r="U62" i="1"/>
  <c r="J62" i="1"/>
  <c r="K62" i="1" s="1"/>
  <c r="G62" i="1"/>
  <c r="R62" i="1"/>
  <c r="F60" i="1"/>
  <c r="U60" i="1"/>
  <c r="J60" i="1"/>
  <c r="I60" i="1"/>
  <c r="G60" i="1"/>
  <c r="R60" i="1"/>
  <c r="U61" i="1"/>
  <c r="J61" i="1"/>
  <c r="K61" i="1" s="1"/>
  <c r="G61" i="1"/>
  <c r="R61" i="1"/>
  <c r="F59" i="1"/>
  <c r="U59" i="1"/>
  <c r="J59" i="1"/>
  <c r="I59" i="1"/>
  <c r="G59" i="1"/>
  <c r="R59" i="1"/>
  <c r="U58" i="1"/>
  <c r="J58" i="1"/>
  <c r="I58" i="1"/>
  <c r="G58" i="1"/>
  <c r="H58" i="1" s="1"/>
  <c r="R58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OH63" i="1"/>
  <c r="OI63" i="1"/>
  <c r="OJ63" i="1"/>
  <c r="OK63" i="1"/>
  <c r="OL63" i="1"/>
  <c r="OM63" i="1"/>
  <c r="ON63" i="1"/>
  <c r="OO63" i="1"/>
  <c r="OP63" i="1"/>
  <c r="OQ63" i="1"/>
  <c r="OR63" i="1"/>
  <c r="OS63" i="1"/>
  <c r="OT63" i="1"/>
  <c r="OU63" i="1"/>
  <c r="OV63" i="1"/>
  <c r="OW63" i="1"/>
  <c r="OX63" i="1"/>
  <c r="OY63" i="1"/>
  <c r="OZ63" i="1"/>
  <c r="PA63" i="1"/>
  <c r="PB63" i="1"/>
  <c r="PC63" i="1"/>
  <c r="PD63" i="1"/>
  <c r="PE63" i="1"/>
  <c r="PF63" i="1"/>
  <c r="PG63" i="1"/>
  <c r="PH63" i="1"/>
  <c r="PI63" i="1"/>
  <c r="PJ63" i="1"/>
  <c r="PK63" i="1"/>
  <c r="PL63" i="1"/>
  <c r="PM63" i="1"/>
  <c r="PN63" i="1"/>
  <c r="PO63" i="1"/>
  <c r="PP63" i="1"/>
  <c r="PQ63" i="1"/>
  <c r="PR63" i="1"/>
  <c r="PS63" i="1"/>
  <c r="PT63" i="1"/>
  <c r="PU63" i="1"/>
  <c r="PV63" i="1"/>
  <c r="PW63" i="1"/>
  <c r="PX63" i="1"/>
  <c r="PY63" i="1"/>
  <c r="PZ63" i="1"/>
  <c r="QA63" i="1"/>
  <c r="QB63" i="1"/>
  <c r="QC63" i="1"/>
  <c r="QD63" i="1"/>
  <c r="QE63" i="1"/>
  <c r="QF63" i="1"/>
  <c r="QG63" i="1"/>
  <c r="QH63" i="1"/>
  <c r="QI63" i="1"/>
  <c r="QJ63" i="1"/>
  <c r="QK63" i="1"/>
  <c r="QL63" i="1"/>
  <c r="QM63" i="1"/>
  <c r="QN63" i="1"/>
  <c r="QO63" i="1"/>
  <c r="QP63" i="1"/>
  <c r="QQ63" i="1"/>
  <c r="QR63" i="1"/>
  <c r="QS63" i="1"/>
  <c r="QT63" i="1"/>
  <c r="QU63" i="1"/>
  <c r="QV63" i="1"/>
  <c r="QW63" i="1"/>
  <c r="QX63" i="1"/>
  <c r="QY63" i="1"/>
  <c r="QZ63" i="1"/>
  <c r="RA63" i="1"/>
  <c r="RB63" i="1"/>
  <c r="RC63" i="1"/>
  <c r="RD63" i="1"/>
  <c r="RE63" i="1"/>
  <c r="RF63" i="1"/>
  <c r="RG63" i="1"/>
  <c r="RH63" i="1"/>
  <c r="RI63" i="1"/>
  <c r="RJ63" i="1"/>
  <c r="RK63" i="1"/>
  <c r="RL63" i="1"/>
  <c r="RM63" i="1"/>
  <c r="RN63" i="1"/>
  <c r="RO63" i="1"/>
  <c r="RP63" i="1"/>
  <c r="RQ63" i="1"/>
  <c r="RR63" i="1"/>
  <c r="RS63" i="1"/>
  <c r="RT63" i="1"/>
  <c r="RU63" i="1"/>
  <c r="RV63" i="1"/>
  <c r="RW63" i="1"/>
  <c r="RX63" i="1"/>
  <c r="RY63" i="1"/>
  <c r="RZ63" i="1"/>
  <c r="SA63" i="1"/>
  <c r="SB63" i="1"/>
  <c r="SC63" i="1"/>
  <c r="SD63" i="1"/>
  <c r="SE63" i="1"/>
  <c r="SF63" i="1"/>
  <c r="SG63" i="1"/>
  <c r="SH63" i="1"/>
  <c r="SI63" i="1"/>
  <c r="SJ63" i="1"/>
  <c r="SK63" i="1"/>
  <c r="SL63" i="1"/>
  <c r="SM63" i="1"/>
  <c r="SN63" i="1"/>
  <c r="SO63" i="1"/>
  <c r="SP63" i="1"/>
  <c r="SQ63" i="1"/>
  <c r="SR63" i="1"/>
  <c r="SS63" i="1"/>
  <c r="ST63" i="1"/>
  <c r="SU63" i="1"/>
  <c r="SV63" i="1"/>
  <c r="SW63" i="1"/>
  <c r="SX63" i="1"/>
  <c r="SY63" i="1"/>
  <c r="SZ63" i="1"/>
  <c r="TA63" i="1"/>
  <c r="TB63" i="1"/>
  <c r="TC63" i="1"/>
  <c r="TD63" i="1"/>
  <c r="TE63" i="1"/>
  <c r="TF63" i="1"/>
  <c r="TG63" i="1"/>
  <c r="TH63" i="1"/>
  <c r="TI63" i="1"/>
  <c r="TJ63" i="1"/>
  <c r="TK63" i="1"/>
  <c r="TL63" i="1"/>
  <c r="TM63" i="1"/>
  <c r="TN63" i="1"/>
  <c r="TO63" i="1"/>
  <c r="TP63" i="1"/>
  <c r="TQ63" i="1"/>
  <c r="TR63" i="1"/>
  <c r="TS63" i="1"/>
  <c r="TT63" i="1"/>
  <c r="TU63" i="1"/>
  <c r="TV63" i="1"/>
  <c r="TW63" i="1"/>
  <c r="TX63" i="1"/>
  <c r="TY63" i="1"/>
  <c r="TZ63" i="1"/>
  <c r="UA63" i="1"/>
  <c r="UB63" i="1"/>
  <c r="UC63" i="1"/>
  <c r="UD63" i="1"/>
  <c r="UE63" i="1"/>
  <c r="UF63" i="1"/>
  <c r="UG63" i="1"/>
  <c r="UH63" i="1"/>
  <c r="UI63" i="1"/>
  <c r="UJ63" i="1"/>
  <c r="UK63" i="1"/>
  <c r="UL63" i="1"/>
  <c r="UM63" i="1"/>
  <c r="UN63" i="1"/>
  <c r="UO63" i="1"/>
  <c r="UP63" i="1"/>
  <c r="UQ63" i="1"/>
  <c r="UR63" i="1"/>
  <c r="US63" i="1"/>
  <c r="UT63" i="1"/>
  <c r="UU63" i="1"/>
  <c r="UV63" i="1"/>
  <c r="UW63" i="1"/>
  <c r="UX63" i="1"/>
  <c r="UY63" i="1"/>
  <c r="UZ63" i="1"/>
  <c r="VA63" i="1"/>
  <c r="VB63" i="1"/>
  <c r="VC63" i="1"/>
  <c r="VD63" i="1"/>
  <c r="VE63" i="1"/>
  <c r="VF63" i="1"/>
  <c r="VG63" i="1"/>
  <c r="VH63" i="1"/>
  <c r="VI63" i="1"/>
  <c r="VJ63" i="1"/>
  <c r="VK63" i="1"/>
  <c r="VL63" i="1"/>
  <c r="VM63" i="1"/>
  <c r="VN63" i="1"/>
  <c r="VO63" i="1"/>
  <c r="VP63" i="1"/>
  <c r="VQ63" i="1"/>
  <c r="VR63" i="1"/>
  <c r="VS63" i="1"/>
  <c r="VT63" i="1"/>
  <c r="VU63" i="1"/>
  <c r="VV63" i="1"/>
  <c r="VW63" i="1"/>
  <c r="VX63" i="1"/>
  <c r="VY63" i="1"/>
  <c r="VZ63" i="1"/>
  <c r="WA63" i="1"/>
  <c r="WB63" i="1"/>
  <c r="WC63" i="1"/>
  <c r="WD63" i="1"/>
  <c r="WE63" i="1"/>
  <c r="WF63" i="1"/>
  <c r="WG63" i="1"/>
  <c r="WH63" i="1"/>
  <c r="WI63" i="1"/>
  <c r="WJ63" i="1"/>
  <c r="WK63" i="1"/>
  <c r="WL63" i="1"/>
  <c r="WM63" i="1"/>
  <c r="WN63" i="1"/>
  <c r="WO63" i="1"/>
  <c r="WP63" i="1"/>
  <c r="WQ63" i="1"/>
  <c r="WR63" i="1"/>
  <c r="WS63" i="1"/>
  <c r="WT63" i="1"/>
  <c r="WU63" i="1"/>
  <c r="WV63" i="1"/>
  <c r="WW63" i="1"/>
  <c r="WX63" i="1"/>
  <c r="WY63" i="1"/>
  <c r="WZ63" i="1"/>
  <c r="XA63" i="1"/>
  <c r="XB63" i="1"/>
  <c r="XC63" i="1"/>
  <c r="XD63" i="1"/>
  <c r="XE63" i="1"/>
  <c r="XF63" i="1"/>
  <c r="XG63" i="1"/>
  <c r="XH63" i="1"/>
  <c r="XI63" i="1"/>
  <c r="XJ63" i="1"/>
  <c r="XK63" i="1"/>
  <c r="XL63" i="1"/>
  <c r="XM63" i="1"/>
  <c r="XN63" i="1"/>
  <c r="XO63" i="1"/>
  <c r="XP63" i="1"/>
  <c r="XQ63" i="1"/>
  <c r="XR63" i="1"/>
  <c r="XS63" i="1"/>
  <c r="XT63" i="1"/>
  <c r="XU63" i="1"/>
  <c r="XV63" i="1"/>
  <c r="XW63" i="1"/>
  <c r="XX63" i="1"/>
  <c r="XY63" i="1"/>
  <c r="XZ63" i="1"/>
  <c r="YA63" i="1"/>
  <c r="YB63" i="1"/>
  <c r="YC63" i="1"/>
  <c r="YD63" i="1"/>
  <c r="YE63" i="1"/>
  <c r="YF63" i="1"/>
  <c r="YG63" i="1"/>
  <c r="YH63" i="1"/>
  <c r="YI63" i="1"/>
  <c r="YJ63" i="1"/>
  <c r="YK63" i="1"/>
  <c r="YL63" i="1"/>
  <c r="YM63" i="1"/>
  <c r="YN63" i="1"/>
  <c r="YO63" i="1"/>
  <c r="YP63" i="1"/>
  <c r="YQ63" i="1"/>
  <c r="YR63" i="1"/>
  <c r="YS63" i="1"/>
  <c r="YT63" i="1"/>
  <c r="YU63" i="1"/>
  <c r="YV63" i="1"/>
  <c r="YW63" i="1"/>
  <c r="YX63" i="1"/>
  <c r="YY63" i="1"/>
  <c r="YZ63" i="1"/>
  <c r="ZA63" i="1"/>
  <c r="ZB63" i="1"/>
  <c r="ZC63" i="1"/>
  <c r="ZD63" i="1"/>
  <c r="ZE63" i="1"/>
  <c r="ZF63" i="1"/>
  <c r="ZG63" i="1"/>
  <c r="ZH63" i="1"/>
  <c r="ZI63" i="1"/>
  <c r="ZJ63" i="1"/>
  <c r="ZK63" i="1"/>
  <c r="ZL63" i="1"/>
  <c r="ZM63" i="1"/>
  <c r="ZN63" i="1"/>
  <c r="ZO63" i="1"/>
  <c r="ZP63" i="1"/>
  <c r="ZQ63" i="1"/>
  <c r="ZR63" i="1"/>
  <c r="ZS63" i="1"/>
  <c r="ZT63" i="1"/>
  <c r="ZU63" i="1"/>
  <c r="ZV63" i="1"/>
  <c r="ZW63" i="1"/>
  <c r="ZX63" i="1"/>
  <c r="ZY63" i="1"/>
  <c r="ZZ63" i="1"/>
  <c r="AAA63" i="1"/>
  <c r="AAB63" i="1"/>
  <c r="AAC63" i="1"/>
  <c r="AAD63" i="1"/>
  <c r="AAE63" i="1"/>
  <c r="AAF63" i="1"/>
  <c r="AAG63" i="1"/>
  <c r="AAH63" i="1"/>
  <c r="AAI63" i="1"/>
  <c r="AAJ63" i="1"/>
  <c r="AAK63" i="1"/>
  <c r="AAL63" i="1"/>
  <c r="AAM63" i="1"/>
  <c r="AAN63" i="1"/>
  <c r="AAO63" i="1"/>
  <c r="AAP63" i="1"/>
  <c r="AAQ63" i="1"/>
  <c r="AAR63" i="1"/>
  <c r="AAS63" i="1"/>
  <c r="AAT63" i="1"/>
  <c r="AAU63" i="1"/>
  <c r="AAV63" i="1"/>
  <c r="AAW63" i="1"/>
  <c r="AAX63" i="1"/>
  <c r="AAY63" i="1"/>
  <c r="AAZ63" i="1"/>
  <c r="ABA63" i="1"/>
  <c r="ABB63" i="1"/>
  <c r="ABC63" i="1"/>
  <c r="ABD63" i="1"/>
  <c r="ABE63" i="1"/>
  <c r="ABF63" i="1"/>
  <c r="ABG63" i="1"/>
  <c r="ABH63" i="1"/>
  <c r="ABI63" i="1"/>
  <c r="ABJ63" i="1"/>
  <c r="ABK63" i="1"/>
  <c r="ABL63" i="1"/>
  <c r="ABM63" i="1"/>
  <c r="ABN63" i="1"/>
  <c r="ABO63" i="1"/>
  <c r="ABP63" i="1"/>
  <c r="ABQ63" i="1"/>
  <c r="ABR63" i="1"/>
  <c r="ABS63" i="1"/>
  <c r="ABT63" i="1"/>
  <c r="ABU63" i="1"/>
  <c r="ABV63" i="1"/>
  <c r="ABW63" i="1"/>
  <c r="ABX63" i="1"/>
  <c r="ABY63" i="1"/>
  <c r="ABZ63" i="1"/>
  <c r="ACA63" i="1"/>
  <c r="ACB63" i="1"/>
  <c r="ACC63" i="1"/>
  <c r="ACD63" i="1"/>
  <c r="ACE63" i="1"/>
  <c r="ACF63" i="1"/>
  <c r="ACG63" i="1"/>
  <c r="ACH63" i="1"/>
  <c r="ACI63" i="1"/>
  <c r="ACJ63" i="1"/>
  <c r="ACK63" i="1"/>
  <c r="ACL63" i="1"/>
  <c r="ACM63" i="1"/>
  <c r="ACN63" i="1"/>
  <c r="ACO63" i="1"/>
  <c r="ACP63" i="1"/>
  <c r="ACQ63" i="1"/>
  <c r="ACR63" i="1"/>
  <c r="ACS63" i="1"/>
  <c r="ACT63" i="1"/>
  <c r="ACU63" i="1"/>
  <c r="ACV63" i="1"/>
  <c r="ACW63" i="1"/>
  <c r="ACX63" i="1"/>
  <c r="ACY63" i="1"/>
  <c r="ACZ63" i="1"/>
  <c r="ADA63" i="1"/>
  <c r="ADB63" i="1"/>
  <c r="ADC63" i="1"/>
  <c r="ADD63" i="1"/>
  <c r="ADE63" i="1"/>
  <c r="ADF63" i="1"/>
  <c r="ADG63" i="1"/>
  <c r="ADH63" i="1"/>
  <c r="ADI63" i="1"/>
  <c r="ADJ63" i="1"/>
  <c r="ADK63" i="1"/>
  <c r="ADL63" i="1"/>
  <c r="ADM63" i="1"/>
  <c r="ADN63" i="1"/>
  <c r="ADO63" i="1"/>
  <c r="ADP63" i="1"/>
  <c r="ADQ63" i="1"/>
  <c r="ADR63" i="1"/>
  <c r="ADS63" i="1"/>
  <c r="ADT63" i="1"/>
  <c r="ADU63" i="1"/>
  <c r="ADV63" i="1"/>
  <c r="ADW63" i="1"/>
  <c r="ADX63" i="1"/>
  <c r="ADY63" i="1"/>
  <c r="ADZ63" i="1"/>
  <c r="AEA63" i="1"/>
  <c r="AEB63" i="1"/>
  <c r="AEC63" i="1"/>
  <c r="AED63" i="1"/>
  <c r="AEE63" i="1"/>
  <c r="AEF63" i="1"/>
  <c r="AEG63" i="1"/>
  <c r="AEH63" i="1"/>
  <c r="AEI63" i="1"/>
  <c r="AEJ63" i="1"/>
  <c r="AEK63" i="1"/>
  <c r="AEL63" i="1"/>
  <c r="AEM63" i="1"/>
  <c r="AEN63" i="1"/>
  <c r="AEO63" i="1"/>
  <c r="AEP63" i="1"/>
  <c r="AEQ63" i="1"/>
  <c r="AER63" i="1"/>
  <c r="AES63" i="1"/>
  <c r="AET63" i="1"/>
  <c r="AEU63" i="1"/>
  <c r="AEV63" i="1"/>
  <c r="AEW63" i="1"/>
  <c r="AEX63" i="1"/>
  <c r="AEY63" i="1"/>
  <c r="AEZ63" i="1"/>
  <c r="AFA63" i="1"/>
  <c r="AFB63" i="1"/>
  <c r="AFC63" i="1"/>
  <c r="AFD63" i="1"/>
  <c r="AFE63" i="1"/>
  <c r="AFF63" i="1"/>
  <c r="AFG63" i="1"/>
  <c r="AFH63" i="1"/>
  <c r="AFI63" i="1"/>
  <c r="AFJ63" i="1"/>
  <c r="AFK63" i="1"/>
  <c r="AFL63" i="1"/>
  <c r="AFM63" i="1"/>
  <c r="AFN63" i="1"/>
  <c r="AFO63" i="1"/>
  <c r="AFP63" i="1"/>
  <c r="AFQ63" i="1"/>
  <c r="AFR63" i="1"/>
  <c r="AFS63" i="1"/>
  <c r="AFT63" i="1"/>
  <c r="AFU63" i="1"/>
  <c r="AFV63" i="1"/>
  <c r="AFW63" i="1"/>
  <c r="AFX63" i="1"/>
  <c r="AFY63" i="1"/>
  <c r="AFZ63" i="1"/>
  <c r="AGA63" i="1"/>
  <c r="AGB63" i="1"/>
  <c r="AGC63" i="1"/>
  <c r="AGD63" i="1"/>
  <c r="AGE63" i="1"/>
  <c r="AGF63" i="1"/>
  <c r="AGG63" i="1"/>
  <c r="AGH63" i="1"/>
  <c r="AGI63" i="1"/>
  <c r="AGJ63" i="1"/>
  <c r="AGK63" i="1"/>
  <c r="AGL63" i="1"/>
  <c r="AGM63" i="1"/>
  <c r="AGN63" i="1"/>
  <c r="AGO63" i="1"/>
  <c r="AGP63" i="1"/>
  <c r="AGQ63" i="1"/>
  <c r="AGR63" i="1"/>
  <c r="AGS63" i="1"/>
  <c r="AGT63" i="1"/>
  <c r="AGU63" i="1"/>
  <c r="AGV63" i="1"/>
  <c r="AGW63" i="1"/>
  <c r="AGX63" i="1"/>
  <c r="AGY63" i="1"/>
  <c r="AGZ63" i="1"/>
  <c r="AHA63" i="1"/>
  <c r="AHB63" i="1"/>
  <c r="AHC63" i="1"/>
  <c r="AHD63" i="1"/>
  <c r="AHE63" i="1"/>
  <c r="AHF63" i="1"/>
  <c r="AHG63" i="1"/>
  <c r="AHH63" i="1"/>
  <c r="AHI63" i="1"/>
  <c r="AHJ63" i="1"/>
  <c r="AHK63" i="1"/>
  <c r="AHL63" i="1"/>
  <c r="AHM63" i="1"/>
  <c r="AHN63" i="1"/>
  <c r="AHO63" i="1"/>
  <c r="AHP63" i="1"/>
  <c r="AHQ63" i="1"/>
  <c r="AHR63" i="1"/>
  <c r="AHS63" i="1"/>
  <c r="AHT63" i="1"/>
  <c r="AHU63" i="1"/>
  <c r="AHV63" i="1"/>
  <c r="AHW63" i="1"/>
  <c r="AHX63" i="1"/>
  <c r="AHY63" i="1"/>
  <c r="AHZ63" i="1"/>
  <c r="AIA63" i="1"/>
  <c r="AIB63" i="1"/>
  <c r="AIC63" i="1"/>
  <c r="AID63" i="1"/>
  <c r="AIE63" i="1"/>
  <c r="AIF63" i="1"/>
  <c r="AIG63" i="1"/>
  <c r="AIH63" i="1"/>
  <c r="AII63" i="1"/>
  <c r="AIJ63" i="1"/>
  <c r="AIK63" i="1"/>
  <c r="AIL63" i="1"/>
  <c r="AIM63" i="1"/>
  <c r="AIN63" i="1"/>
  <c r="AIO63" i="1"/>
  <c r="AIP63" i="1"/>
  <c r="AIQ63" i="1"/>
  <c r="AIR63" i="1"/>
  <c r="AIS63" i="1"/>
  <c r="AIT63" i="1"/>
  <c r="AIU63" i="1"/>
  <c r="AIV63" i="1"/>
  <c r="AIW63" i="1"/>
  <c r="AIX63" i="1"/>
  <c r="AIY63" i="1"/>
  <c r="AIZ63" i="1"/>
  <c r="AJA63" i="1"/>
  <c r="AJB63" i="1"/>
  <c r="AJC63" i="1"/>
  <c r="AJD63" i="1"/>
  <c r="AJE63" i="1"/>
  <c r="AJF63" i="1"/>
  <c r="AJG63" i="1"/>
  <c r="AJH63" i="1"/>
  <c r="AJI63" i="1"/>
  <c r="AJJ63" i="1"/>
  <c r="AJK63" i="1"/>
  <c r="AJL63" i="1"/>
  <c r="AJM63" i="1"/>
  <c r="AJN63" i="1"/>
  <c r="AJO63" i="1"/>
  <c r="AJP63" i="1"/>
  <c r="AJQ63" i="1"/>
  <c r="AJR63" i="1"/>
  <c r="AJS63" i="1"/>
  <c r="AJT63" i="1"/>
  <c r="AJU63" i="1"/>
  <c r="AJV63" i="1"/>
  <c r="AJW63" i="1"/>
  <c r="AJX63" i="1"/>
  <c r="AJY63" i="1"/>
  <c r="AJZ63" i="1"/>
  <c r="AKA63" i="1"/>
  <c r="AKB63" i="1"/>
  <c r="AKC63" i="1"/>
  <c r="AKD63" i="1"/>
  <c r="AKE63" i="1"/>
  <c r="AKF63" i="1"/>
  <c r="AKG63" i="1"/>
  <c r="AKH63" i="1"/>
  <c r="AKI63" i="1"/>
  <c r="AKJ63" i="1"/>
  <c r="AKK63" i="1"/>
  <c r="AKL63" i="1"/>
  <c r="AKM63" i="1"/>
  <c r="AKN63" i="1"/>
  <c r="AKO63" i="1"/>
  <c r="AKP63" i="1"/>
  <c r="AKQ63" i="1"/>
  <c r="AKR63" i="1"/>
  <c r="AKS63" i="1"/>
  <c r="AKT63" i="1"/>
  <c r="AKU63" i="1"/>
  <c r="AKV63" i="1"/>
  <c r="AKW63" i="1"/>
  <c r="AKX63" i="1"/>
  <c r="AKY63" i="1"/>
  <c r="AKZ63" i="1"/>
  <c r="ALA63" i="1"/>
  <c r="ALB63" i="1"/>
  <c r="ALC63" i="1"/>
  <c r="ALD63" i="1"/>
  <c r="ALE63" i="1"/>
  <c r="ALF63" i="1"/>
  <c r="ALG63" i="1"/>
  <c r="ALH63" i="1"/>
  <c r="ALI63" i="1"/>
  <c r="ALJ63" i="1"/>
  <c r="ALK63" i="1"/>
  <c r="ALL63" i="1"/>
  <c r="ALM63" i="1"/>
  <c r="ALN63" i="1"/>
  <c r="ALO63" i="1"/>
  <c r="ALP63" i="1"/>
  <c r="ALQ63" i="1"/>
  <c r="ALR63" i="1"/>
  <c r="ALS63" i="1"/>
  <c r="ALT63" i="1"/>
  <c r="ALU63" i="1"/>
  <c r="ALV63" i="1"/>
  <c r="ALW63" i="1"/>
  <c r="ALX63" i="1"/>
  <c r="ALY63" i="1"/>
  <c r="ALZ63" i="1"/>
  <c r="AMA63" i="1"/>
  <c r="AMB63" i="1"/>
  <c r="AMC63" i="1"/>
  <c r="AMD63" i="1"/>
  <c r="AME63" i="1"/>
  <c r="AMF63" i="1"/>
  <c r="AMG63" i="1"/>
  <c r="AMH63" i="1"/>
  <c r="AMI63" i="1"/>
  <c r="AMJ63" i="1"/>
  <c r="AMK63" i="1"/>
  <c r="AML63" i="1"/>
  <c r="AMM63" i="1"/>
  <c r="AMN63" i="1"/>
  <c r="AMO63" i="1"/>
  <c r="AMP63" i="1"/>
  <c r="AMQ63" i="1"/>
  <c r="AMR63" i="1"/>
  <c r="AMS63" i="1"/>
  <c r="AMT63" i="1"/>
  <c r="AMU63" i="1"/>
  <c r="AMV63" i="1"/>
  <c r="AMW63" i="1"/>
  <c r="AMX63" i="1"/>
  <c r="AMY63" i="1"/>
  <c r="AMZ63" i="1"/>
  <c r="ANA63" i="1"/>
  <c r="ANB63" i="1"/>
  <c r="ANC63" i="1"/>
  <c r="AND63" i="1"/>
  <c r="ANE63" i="1"/>
  <c r="ANF63" i="1"/>
  <c r="ANG63" i="1"/>
  <c r="ANH63" i="1"/>
  <c r="ANI63" i="1"/>
  <c r="ANJ63" i="1"/>
  <c r="ANK63" i="1"/>
  <c r="ANL63" i="1"/>
  <c r="ANM63" i="1"/>
  <c r="ANN63" i="1"/>
  <c r="ANO63" i="1"/>
  <c r="ANP63" i="1"/>
  <c r="ANQ63" i="1"/>
  <c r="ANR63" i="1"/>
  <c r="ANS63" i="1"/>
  <c r="ANT63" i="1"/>
  <c r="ANU63" i="1"/>
  <c r="ANV63" i="1"/>
  <c r="ANW63" i="1"/>
  <c r="ANX63" i="1"/>
  <c r="ANY63" i="1"/>
  <c r="ANZ63" i="1"/>
  <c r="AOA63" i="1"/>
  <c r="AOB63" i="1"/>
  <c r="AOC63" i="1"/>
  <c r="AOD63" i="1"/>
  <c r="AOE63" i="1"/>
  <c r="AOF63" i="1"/>
  <c r="AOG63" i="1"/>
  <c r="AOH63" i="1"/>
  <c r="AOI63" i="1"/>
  <c r="AOJ63" i="1"/>
  <c r="AOK63" i="1"/>
  <c r="AOL63" i="1"/>
  <c r="AOM63" i="1"/>
  <c r="AON63" i="1"/>
  <c r="AOO63" i="1"/>
  <c r="AOP63" i="1"/>
  <c r="AOQ63" i="1"/>
  <c r="AOR63" i="1"/>
  <c r="AOS63" i="1"/>
  <c r="AOT63" i="1"/>
  <c r="AOU63" i="1"/>
  <c r="AOV63" i="1"/>
  <c r="AOW63" i="1"/>
  <c r="AOX63" i="1"/>
  <c r="AOY63" i="1"/>
  <c r="AOZ63" i="1"/>
  <c r="APA63" i="1"/>
  <c r="APB63" i="1"/>
  <c r="APC63" i="1"/>
  <c r="APD63" i="1"/>
  <c r="APE63" i="1"/>
  <c r="APF63" i="1"/>
  <c r="APG63" i="1"/>
  <c r="APH63" i="1"/>
  <c r="API63" i="1"/>
  <c r="APJ63" i="1"/>
  <c r="APK63" i="1"/>
  <c r="APL63" i="1"/>
  <c r="APM63" i="1"/>
  <c r="APN63" i="1"/>
  <c r="APO63" i="1"/>
  <c r="APP63" i="1"/>
  <c r="APQ63" i="1"/>
  <c r="APR63" i="1"/>
  <c r="APS63" i="1"/>
  <c r="APT63" i="1"/>
  <c r="APU63" i="1"/>
  <c r="APV63" i="1"/>
  <c r="APW63" i="1"/>
  <c r="APX63" i="1"/>
  <c r="APY63" i="1"/>
  <c r="APZ63" i="1"/>
  <c r="AQA63" i="1"/>
  <c r="AQB63" i="1"/>
  <c r="AQC63" i="1"/>
  <c r="AQD63" i="1"/>
  <c r="AQE63" i="1"/>
  <c r="AQF63" i="1"/>
  <c r="AQG63" i="1"/>
  <c r="AQH63" i="1"/>
  <c r="AQI63" i="1"/>
  <c r="AQJ63" i="1"/>
  <c r="AQK63" i="1"/>
  <c r="AQL63" i="1"/>
  <c r="AQM63" i="1"/>
  <c r="AQN63" i="1"/>
  <c r="AQO63" i="1"/>
  <c r="AQP63" i="1"/>
  <c r="AQQ63" i="1"/>
  <c r="AQR63" i="1"/>
  <c r="AQS63" i="1"/>
  <c r="AQT63" i="1"/>
  <c r="AQU63" i="1"/>
  <c r="AQV63" i="1"/>
  <c r="AQW63" i="1"/>
  <c r="AQX63" i="1"/>
  <c r="AQY63" i="1"/>
  <c r="AQZ63" i="1"/>
  <c r="ARA63" i="1"/>
  <c r="ARB63" i="1"/>
  <c r="ARC63" i="1"/>
  <c r="ARD63" i="1"/>
  <c r="ARE63" i="1"/>
  <c r="ARF63" i="1"/>
  <c r="ARG63" i="1"/>
  <c r="ARH63" i="1"/>
  <c r="ARI63" i="1"/>
  <c r="ARJ63" i="1"/>
  <c r="ARK63" i="1"/>
  <c r="ARL63" i="1"/>
  <c r="ARM63" i="1"/>
  <c r="ARN63" i="1"/>
  <c r="ARO63" i="1"/>
  <c r="ARP63" i="1"/>
  <c r="ARQ63" i="1"/>
  <c r="ARR63" i="1"/>
  <c r="ARS63" i="1"/>
  <c r="ART63" i="1"/>
  <c r="ARU63" i="1"/>
  <c r="ARV63" i="1"/>
  <c r="ARW63" i="1"/>
  <c r="ARX63" i="1"/>
  <c r="ARY63" i="1"/>
  <c r="ARZ63" i="1"/>
  <c r="ASA63" i="1"/>
  <c r="ASB63" i="1"/>
  <c r="ASC63" i="1"/>
  <c r="ASD63" i="1"/>
  <c r="ASE63" i="1"/>
  <c r="ASF63" i="1"/>
  <c r="ASG63" i="1"/>
  <c r="ASH63" i="1"/>
  <c r="ASI63" i="1"/>
  <c r="ASJ63" i="1"/>
  <c r="ASK63" i="1"/>
  <c r="ASL63" i="1"/>
  <c r="ASM63" i="1"/>
  <c r="ASN63" i="1"/>
  <c r="ASO63" i="1"/>
  <c r="ASP63" i="1"/>
  <c r="ASQ63" i="1"/>
  <c r="ASR63" i="1"/>
  <c r="ASS63" i="1"/>
  <c r="AST63" i="1"/>
  <c r="ASU63" i="1"/>
  <c r="ASV63" i="1"/>
  <c r="ASW63" i="1"/>
  <c r="ASX63" i="1"/>
  <c r="ASY63" i="1"/>
  <c r="ASZ63" i="1"/>
  <c r="ATA63" i="1"/>
  <c r="ATB63" i="1"/>
  <c r="ATC63" i="1"/>
  <c r="ATD63" i="1"/>
  <c r="ATE63" i="1"/>
  <c r="ATF63" i="1"/>
  <c r="ATG63" i="1"/>
  <c r="ATH63" i="1"/>
  <c r="ATI63" i="1"/>
  <c r="ATJ63" i="1"/>
  <c r="ATK63" i="1"/>
  <c r="ATL63" i="1"/>
  <c r="ATM63" i="1"/>
  <c r="ATN63" i="1"/>
  <c r="ATO63" i="1"/>
  <c r="ATP63" i="1"/>
  <c r="ATQ63" i="1"/>
  <c r="ATR63" i="1"/>
  <c r="ATS63" i="1"/>
  <c r="ATT63" i="1"/>
  <c r="ATU63" i="1"/>
  <c r="ATV63" i="1"/>
  <c r="ATW63" i="1"/>
  <c r="ATX63" i="1"/>
  <c r="ATY63" i="1"/>
  <c r="ATZ63" i="1"/>
  <c r="AUA63" i="1"/>
  <c r="AUB63" i="1"/>
  <c r="AUC63" i="1"/>
  <c r="AUD63" i="1"/>
  <c r="AUE63" i="1"/>
  <c r="AUF63" i="1"/>
  <c r="AUG63" i="1"/>
  <c r="AUH63" i="1"/>
  <c r="AUI63" i="1"/>
  <c r="AUJ63" i="1"/>
  <c r="AUK63" i="1"/>
  <c r="AUL63" i="1"/>
  <c r="AUM63" i="1"/>
  <c r="AUN63" i="1"/>
  <c r="AUO63" i="1"/>
  <c r="AUP63" i="1"/>
  <c r="AUQ63" i="1"/>
  <c r="AUR63" i="1"/>
  <c r="AUS63" i="1"/>
  <c r="AUT63" i="1"/>
  <c r="AUU63" i="1"/>
  <c r="AUV63" i="1"/>
  <c r="AUW63" i="1"/>
  <c r="AUX63" i="1"/>
  <c r="AUY63" i="1"/>
  <c r="AUZ63" i="1"/>
  <c r="AVA63" i="1"/>
  <c r="AVB63" i="1"/>
  <c r="AVC63" i="1"/>
  <c r="AVD63" i="1"/>
  <c r="AVE63" i="1"/>
  <c r="AVF63" i="1"/>
  <c r="AVG63" i="1"/>
  <c r="AVH63" i="1"/>
  <c r="AVI63" i="1"/>
  <c r="AVJ63" i="1"/>
  <c r="AVK63" i="1"/>
  <c r="AVL63" i="1"/>
  <c r="AVM63" i="1"/>
  <c r="AVN63" i="1"/>
  <c r="AVO63" i="1"/>
  <c r="AVP63" i="1"/>
  <c r="AVQ63" i="1"/>
  <c r="AVR63" i="1"/>
  <c r="AVS63" i="1"/>
  <c r="AVT63" i="1"/>
  <c r="AVU63" i="1"/>
  <c r="AVV63" i="1"/>
  <c r="AVW63" i="1"/>
  <c r="AVX63" i="1"/>
  <c r="AVY63" i="1"/>
  <c r="AVZ63" i="1"/>
  <c r="AWA63" i="1"/>
  <c r="AWB63" i="1"/>
  <c r="AWC63" i="1"/>
  <c r="AWD63" i="1"/>
  <c r="AWE63" i="1"/>
  <c r="AWF63" i="1"/>
  <c r="AWG63" i="1"/>
  <c r="AWH63" i="1"/>
  <c r="AWI63" i="1"/>
  <c r="AWJ63" i="1"/>
  <c r="AWK63" i="1"/>
  <c r="AWL63" i="1"/>
  <c r="AWM63" i="1"/>
  <c r="AWN63" i="1"/>
  <c r="AWO63" i="1"/>
  <c r="AWP63" i="1"/>
  <c r="AWQ63" i="1"/>
  <c r="AWR63" i="1"/>
  <c r="AWS63" i="1"/>
  <c r="AWT63" i="1"/>
  <c r="AWU63" i="1"/>
  <c r="AWV63" i="1"/>
  <c r="AWW63" i="1"/>
  <c r="AWX63" i="1"/>
  <c r="AWY63" i="1"/>
  <c r="AWZ63" i="1"/>
  <c r="AXA63" i="1"/>
  <c r="AXB63" i="1"/>
  <c r="AXC63" i="1"/>
  <c r="AXD63" i="1"/>
  <c r="AXE63" i="1"/>
  <c r="AXF63" i="1"/>
  <c r="AXG63" i="1"/>
  <c r="AXH63" i="1"/>
  <c r="AXI63" i="1"/>
  <c r="AXJ63" i="1"/>
  <c r="AXK63" i="1"/>
  <c r="AXL63" i="1"/>
  <c r="AXM63" i="1"/>
  <c r="AXN63" i="1"/>
  <c r="AXO63" i="1"/>
  <c r="AXP63" i="1"/>
  <c r="AXQ63" i="1"/>
  <c r="AXR63" i="1"/>
  <c r="AXS63" i="1"/>
  <c r="AXT63" i="1"/>
  <c r="AXU63" i="1"/>
  <c r="AXV63" i="1"/>
  <c r="AXW63" i="1"/>
  <c r="AXX63" i="1"/>
  <c r="AXY63" i="1"/>
  <c r="AXZ63" i="1"/>
  <c r="AYA63" i="1"/>
  <c r="AYB63" i="1"/>
  <c r="AYC63" i="1"/>
  <c r="AYD63" i="1"/>
  <c r="AYE63" i="1"/>
  <c r="AYF63" i="1"/>
  <c r="AYG63" i="1"/>
  <c r="AYH63" i="1"/>
  <c r="AYI63" i="1"/>
  <c r="AYJ63" i="1"/>
  <c r="AYK63" i="1"/>
  <c r="AYL63" i="1"/>
  <c r="AYM63" i="1"/>
  <c r="AYN63" i="1"/>
  <c r="AYO63" i="1"/>
  <c r="AYP63" i="1"/>
  <c r="AYQ63" i="1"/>
  <c r="AYR63" i="1"/>
  <c r="AYS63" i="1"/>
  <c r="AYT63" i="1"/>
  <c r="AYU63" i="1"/>
  <c r="AYV63" i="1"/>
  <c r="AYW63" i="1"/>
  <c r="AYX63" i="1"/>
  <c r="AYY63" i="1"/>
  <c r="AYZ63" i="1"/>
  <c r="AZA63" i="1"/>
  <c r="AZB63" i="1"/>
  <c r="AZC63" i="1"/>
  <c r="AZD63" i="1"/>
  <c r="AZE63" i="1"/>
  <c r="AZF63" i="1"/>
  <c r="AZG63" i="1"/>
  <c r="AZH63" i="1"/>
  <c r="AZI63" i="1"/>
  <c r="AZJ63" i="1"/>
  <c r="AZK63" i="1"/>
  <c r="AZL63" i="1"/>
  <c r="AZM63" i="1"/>
  <c r="AZN63" i="1"/>
  <c r="AZO63" i="1"/>
  <c r="AZP63" i="1"/>
  <c r="AZQ63" i="1"/>
  <c r="AZR63" i="1"/>
  <c r="AZS63" i="1"/>
  <c r="AZT63" i="1"/>
  <c r="AZU63" i="1"/>
  <c r="AZV63" i="1"/>
  <c r="AZW63" i="1"/>
  <c r="AZX63" i="1"/>
  <c r="AZY63" i="1"/>
  <c r="AZZ63" i="1"/>
  <c r="BAA63" i="1"/>
  <c r="BAB63" i="1"/>
  <c r="BAC63" i="1"/>
  <c r="BAD63" i="1"/>
  <c r="BAE63" i="1"/>
  <c r="BAF63" i="1"/>
  <c r="BAG63" i="1"/>
  <c r="BAH63" i="1"/>
  <c r="BAI63" i="1"/>
  <c r="BAJ63" i="1"/>
  <c r="BAK63" i="1"/>
  <c r="BAL63" i="1"/>
  <c r="BAM63" i="1"/>
  <c r="BAN63" i="1"/>
  <c r="BAO63" i="1"/>
  <c r="BAP63" i="1"/>
  <c r="BAQ63" i="1"/>
  <c r="BAR63" i="1"/>
  <c r="BAS63" i="1"/>
  <c r="BAT63" i="1"/>
  <c r="BAU63" i="1"/>
  <c r="BAV63" i="1"/>
  <c r="BAW63" i="1"/>
  <c r="BAX63" i="1"/>
  <c r="BAY63" i="1"/>
  <c r="BAZ63" i="1"/>
  <c r="BBA63" i="1"/>
  <c r="BBB63" i="1"/>
  <c r="BBC63" i="1"/>
  <c r="BBD63" i="1"/>
  <c r="BBE63" i="1"/>
  <c r="BBF63" i="1"/>
  <c r="BBG63" i="1"/>
  <c r="BBH63" i="1"/>
  <c r="BBI63" i="1"/>
  <c r="BBJ63" i="1"/>
  <c r="BBK63" i="1"/>
  <c r="BBL63" i="1"/>
  <c r="BBM63" i="1"/>
  <c r="BBN63" i="1"/>
  <c r="BBO63" i="1"/>
  <c r="BBP63" i="1"/>
  <c r="BBQ63" i="1"/>
  <c r="BBR63" i="1"/>
  <c r="BBS63" i="1"/>
  <c r="BBT63" i="1"/>
  <c r="BBU63" i="1"/>
  <c r="BBV63" i="1"/>
  <c r="BBW63" i="1"/>
  <c r="BBX63" i="1"/>
  <c r="BBY63" i="1"/>
  <c r="BBZ63" i="1"/>
  <c r="BCA63" i="1"/>
  <c r="BCB63" i="1"/>
  <c r="BCC63" i="1"/>
  <c r="BCD63" i="1"/>
  <c r="BCE63" i="1"/>
  <c r="BCF63" i="1"/>
  <c r="BCG63" i="1"/>
  <c r="BCH63" i="1"/>
  <c r="BCI63" i="1"/>
  <c r="BCJ63" i="1"/>
  <c r="BCK63" i="1"/>
  <c r="BCL63" i="1"/>
  <c r="BCM63" i="1"/>
  <c r="BCN63" i="1"/>
  <c r="BCO63" i="1"/>
  <c r="BCP63" i="1"/>
  <c r="BCQ63" i="1"/>
  <c r="BCR63" i="1"/>
  <c r="BCS63" i="1"/>
  <c r="BCT63" i="1"/>
  <c r="BCU63" i="1"/>
  <c r="BCV63" i="1"/>
  <c r="BCW63" i="1"/>
  <c r="BCX63" i="1"/>
  <c r="BCY63" i="1"/>
  <c r="BCZ63" i="1"/>
  <c r="BDA63" i="1"/>
  <c r="BDB63" i="1"/>
  <c r="BDC63" i="1"/>
  <c r="BDD63" i="1"/>
  <c r="BDE63" i="1"/>
  <c r="BDF63" i="1"/>
  <c r="BDG63" i="1"/>
  <c r="BDH63" i="1"/>
  <c r="BDI63" i="1"/>
  <c r="BDJ63" i="1"/>
  <c r="BDK63" i="1"/>
  <c r="BDL63" i="1"/>
  <c r="BDM63" i="1"/>
  <c r="BDN63" i="1"/>
  <c r="BDO63" i="1"/>
  <c r="BDP63" i="1"/>
  <c r="BDQ63" i="1"/>
  <c r="BDR63" i="1"/>
  <c r="BDS63" i="1"/>
  <c r="BDT63" i="1"/>
  <c r="BDU63" i="1"/>
  <c r="BDV63" i="1"/>
  <c r="BDW63" i="1"/>
  <c r="BDX63" i="1"/>
  <c r="BDY63" i="1"/>
  <c r="BDZ63" i="1"/>
  <c r="BEA63" i="1"/>
  <c r="BEB63" i="1"/>
  <c r="BEC63" i="1"/>
  <c r="BED63" i="1"/>
  <c r="BEE63" i="1"/>
  <c r="BEF63" i="1"/>
  <c r="BEG63" i="1"/>
  <c r="BEH63" i="1"/>
  <c r="BEI63" i="1"/>
  <c r="BEJ63" i="1"/>
  <c r="BEK63" i="1"/>
  <c r="BEL63" i="1"/>
  <c r="BEM63" i="1"/>
  <c r="BEN63" i="1"/>
  <c r="BEO63" i="1"/>
  <c r="BEP63" i="1"/>
  <c r="BEQ63" i="1"/>
  <c r="BER63" i="1"/>
  <c r="BES63" i="1"/>
  <c r="BET63" i="1"/>
  <c r="BEU63" i="1"/>
  <c r="BEV63" i="1"/>
  <c r="BEW63" i="1"/>
  <c r="BEX63" i="1"/>
  <c r="BEY63" i="1"/>
  <c r="BEZ63" i="1"/>
  <c r="BFA63" i="1"/>
  <c r="BFB63" i="1"/>
  <c r="BFC63" i="1"/>
  <c r="BFD63" i="1"/>
  <c r="BFE63" i="1"/>
  <c r="BFF63" i="1"/>
  <c r="BFG63" i="1"/>
  <c r="BFH63" i="1"/>
  <c r="BFI63" i="1"/>
  <c r="BFJ63" i="1"/>
  <c r="BFK63" i="1"/>
  <c r="BFL63" i="1"/>
  <c r="BFM63" i="1"/>
  <c r="BFN63" i="1"/>
  <c r="BFO63" i="1"/>
  <c r="BFP63" i="1"/>
  <c r="BFQ63" i="1"/>
  <c r="BFR63" i="1"/>
  <c r="BFS63" i="1"/>
  <c r="BFT63" i="1"/>
  <c r="BFU63" i="1"/>
  <c r="BFV63" i="1"/>
  <c r="BFW63" i="1"/>
  <c r="BFX63" i="1"/>
  <c r="BFY63" i="1"/>
  <c r="BFZ63" i="1"/>
  <c r="BGA63" i="1"/>
  <c r="BGB63" i="1"/>
  <c r="BGC63" i="1"/>
  <c r="BGD63" i="1"/>
  <c r="BGE63" i="1"/>
  <c r="BGF63" i="1"/>
  <c r="BGG63" i="1"/>
  <c r="BGH63" i="1"/>
  <c r="BGI63" i="1"/>
  <c r="BGJ63" i="1"/>
  <c r="BGK63" i="1"/>
  <c r="BGL63" i="1"/>
  <c r="BGM63" i="1"/>
  <c r="BGN63" i="1"/>
  <c r="BGO63" i="1"/>
  <c r="BGP63" i="1"/>
  <c r="BGQ63" i="1"/>
  <c r="BGR63" i="1"/>
  <c r="BGS63" i="1"/>
  <c r="BGT63" i="1"/>
  <c r="BGU63" i="1"/>
  <c r="BGV63" i="1"/>
  <c r="BGW63" i="1"/>
  <c r="BGX63" i="1"/>
  <c r="BGY63" i="1"/>
  <c r="BGZ63" i="1"/>
  <c r="BHA63" i="1"/>
  <c r="BHB63" i="1"/>
  <c r="BHC63" i="1"/>
  <c r="BHD63" i="1"/>
  <c r="BHE63" i="1"/>
  <c r="BHF63" i="1"/>
  <c r="BHG63" i="1"/>
  <c r="BHH63" i="1"/>
  <c r="BHI63" i="1"/>
  <c r="BHJ63" i="1"/>
  <c r="BHK63" i="1"/>
  <c r="BHL63" i="1"/>
  <c r="BHM63" i="1"/>
  <c r="BHN63" i="1"/>
  <c r="BHO63" i="1"/>
  <c r="BHP63" i="1"/>
  <c r="BHQ63" i="1"/>
  <c r="BHR63" i="1"/>
  <c r="BHS63" i="1"/>
  <c r="BHT63" i="1"/>
  <c r="BHU63" i="1"/>
  <c r="BHV63" i="1"/>
  <c r="BHW63" i="1"/>
  <c r="BHX63" i="1"/>
  <c r="BHY63" i="1"/>
  <c r="BHZ63" i="1"/>
  <c r="BIA63" i="1"/>
  <c r="BIB63" i="1"/>
  <c r="BIC63" i="1"/>
  <c r="BID63" i="1"/>
  <c r="BIE63" i="1"/>
  <c r="BIF63" i="1"/>
  <c r="BIG63" i="1"/>
  <c r="BIH63" i="1"/>
  <c r="BII63" i="1"/>
  <c r="BIJ63" i="1"/>
  <c r="BIK63" i="1"/>
  <c r="BIL63" i="1"/>
  <c r="BIM63" i="1"/>
  <c r="BIN63" i="1"/>
  <c r="BIO63" i="1"/>
  <c r="BIP63" i="1"/>
  <c r="BIQ63" i="1"/>
  <c r="BIR63" i="1"/>
  <c r="BIS63" i="1"/>
  <c r="BIT63" i="1"/>
  <c r="BIU63" i="1"/>
  <c r="BIV63" i="1"/>
  <c r="BIW63" i="1"/>
  <c r="BIX63" i="1"/>
  <c r="BIY63" i="1"/>
  <c r="BIZ63" i="1"/>
  <c r="BJA63" i="1"/>
  <c r="BJB63" i="1"/>
  <c r="BJC63" i="1"/>
  <c r="BJD63" i="1"/>
  <c r="BJE63" i="1"/>
  <c r="BJF63" i="1"/>
  <c r="BJG63" i="1"/>
  <c r="BJH63" i="1"/>
  <c r="BJI63" i="1"/>
  <c r="BJJ63" i="1"/>
  <c r="BJK63" i="1"/>
  <c r="BJL63" i="1"/>
  <c r="BJM63" i="1"/>
  <c r="BJN63" i="1"/>
  <c r="BJO63" i="1"/>
  <c r="BJP63" i="1"/>
  <c r="BJQ63" i="1"/>
  <c r="BJR63" i="1"/>
  <c r="BJS63" i="1"/>
  <c r="BJT63" i="1"/>
  <c r="BJU63" i="1"/>
  <c r="BJV63" i="1"/>
  <c r="BJW63" i="1"/>
  <c r="BJX63" i="1"/>
  <c r="BJY63" i="1"/>
  <c r="BJZ63" i="1"/>
  <c r="BKA63" i="1"/>
  <c r="BKB63" i="1"/>
  <c r="BKC63" i="1"/>
  <c r="BKD63" i="1"/>
  <c r="BKE63" i="1"/>
  <c r="BKF63" i="1"/>
  <c r="BKG63" i="1"/>
  <c r="BKH63" i="1"/>
  <c r="BKI63" i="1"/>
  <c r="BKJ63" i="1"/>
  <c r="BKK63" i="1"/>
  <c r="BKL63" i="1"/>
  <c r="BKM63" i="1"/>
  <c r="BKN63" i="1"/>
  <c r="BKO63" i="1"/>
  <c r="BKP63" i="1"/>
  <c r="BKQ63" i="1"/>
  <c r="BKR63" i="1"/>
  <c r="BKS63" i="1"/>
  <c r="BKT63" i="1"/>
  <c r="BKU63" i="1"/>
  <c r="BKV63" i="1"/>
  <c r="BKW63" i="1"/>
  <c r="BKX63" i="1"/>
  <c r="BKY63" i="1"/>
  <c r="BKZ63" i="1"/>
  <c r="BLA63" i="1"/>
  <c r="BLB63" i="1"/>
  <c r="BLC63" i="1"/>
  <c r="BLD63" i="1"/>
  <c r="BLE63" i="1"/>
  <c r="BLF63" i="1"/>
  <c r="BLG63" i="1"/>
  <c r="BLH63" i="1"/>
  <c r="BLI63" i="1"/>
  <c r="BLJ63" i="1"/>
  <c r="BLK63" i="1"/>
  <c r="BLL63" i="1"/>
  <c r="BLM63" i="1"/>
  <c r="BLN63" i="1"/>
  <c r="BLO63" i="1"/>
  <c r="BLP63" i="1"/>
  <c r="BLQ63" i="1"/>
  <c r="BLR63" i="1"/>
  <c r="BLS63" i="1"/>
  <c r="BLT63" i="1"/>
  <c r="BLU63" i="1"/>
  <c r="BLV63" i="1"/>
  <c r="BLW63" i="1"/>
  <c r="BLX63" i="1"/>
  <c r="BLY63" i="1"/>
  <c r="BLZ63" i="1"/>
  <c r="BMA63" i="1"/>
  <c r="BMB63" i="1"/>
  <c r="BMC63" i="1"/>
  <c r="BMD63" i="1"/>
  <c r="BME63" i="1"/>
  <c r="BMF63" i="1"/>
  <c r="BMG63" i="1"/>
  <c r="BMH63" i="1"/>
  <c r="BMI63" i="1"/>
  <c r="BMJ63" i="1"/>
  <c r="BMK63" i="1"/>
  <c r="BML63" i="1"/>
  <c r="BMM63" i="1"/>
  <c r="BMN63" i="1"/>
  <c r="BMO63" i="1"/>
  <c r="BMP63" i="1"/>
  <c r="BMQ63" i="1"/>
  <c r="BMR63" i="1"/>
  <c r="BMS63" i="1"/>
  <c r="BMT63" i="1"/>
  <c r="BMU63" i="1"/>
  <c r="BMV63" i="1"/>
  <c r="BMW63" i="1"/>
  <c r="BMX63" i="1"/>
  <c r="BMY63" i="1"/>
  <c r="BMZ63" i="1"/>
  <c r="BNA63" i="1"/>
  <c r="BNB63" i="1"/>
  <c r="BNC63" i="1"/>
  <c r="BND63" i="1"/>
  <c r="BNE63" i="1"/>
  <c r="BNF63" i="1"/>
  <c r="BNG63" i="1"/>
  <c r="BNH63" i="1"/>
  <c r="BNI63" i="1"/>
  <c r="BNJ63" i="1"/>
  <c r="BNK63" i="1"/>
  <c r="BNL63" i="1"/>
  <c r="BNM63" i="1"/>
  <c r="BNN63" i="1"/>
  <c r="BNO63" i="1"/>
  <c r="BNP63" i="1"/>
  <c r="BNQ63" i="1"/>
  <c r="BNR63" i="1"/>
  <c r="BNS63" i="1"/>
  <c r="BNT63" i="1"/>
  <c r="BNU63" i="1"/>
  <c r="BNV63" i="1"/>
  <c r="BNW63" i="1"/>
  <c r="BNX63" i="1"/>
  <c r="BNY63" i="1"/>
  <c r="BNZ63" i="1"/>
  <c r="BOA63" i="1"/>
  <c r="BOB63" i="1"/>
  <c r="BOC63" i="1"/>
  <c r="BOD63" i="1"/>
  <c r="BOE63" i="1"/>
  <c r="BOF63" i="1"/>
  <c r="BOG63" i="1"/>
  <c r="BOH63" i="1"/>
  <c r="BOI63" i="1"/>
  <c r="BOJ63" i="1"/>
  <c r="BOK63" i="1"/>
  <c r="BOL63" i="1"/>
  <c r="BOM63" i="1"/>
  <c r="BON63" i="1"/>
  <c r="BOO63" i="1"/>
  <c r="BOP63" i="1"/>
  <c r="BOQ63" i="1"/>
  <c r="BOR63" i="1"/>
  <c r="BOS63" i="1"/>
  <c r="BOT63" i="1"/>
  <c r="BOU63" i="1"/>
  <c r="BOV63" i="1"/>
  <c r="BOW63" i="1"/>
  <c r="BOX63" i="1"/>
  <c r="BOY63" i="1"/>
  <c r="BOZ63" i="1"/>
  <c r="BPA63" i="1"/>
  <c r="BPB63" i="1"/>
  <c r="BPC63" i="1"/>
  <c r="BPD63" i="1"/>
  <c r="BPE63" i="1"/>
  <c r="BPF63" i="1"/>
  <c r="BPG63" i="1"/>
  <c r="BPH63" i="1"/>
  <c r="BPI63" i="1"/>
  <c r="BPJ63" i="1"/>
  <c r="BPK63" i="1"/>
  <c r="BPL63" i="1"/>
  <c r="BPM63" i="1"/>
  <c r="BPN63" i="1"/>
  <c r="BPO63" i="1"/>
  <c r="BPP63" i="1"/>
  <c r="BPQ63" i="1"/>
  <c r="BPR63" i="1"/>
  <c r="BPS63" i="1"/>
  <c r="BPT63" i="1"/>
  <c r="BPU63" i="1"/>
  <c r="BPV63" i="1"/>
  <c r="BPW63" i="1"/>
  <c r="BPX63" i="1"/>
  <c r="BPY63" i="1"/>
  <c r="BPZ63" i="1"/>
  <c r="BQA63" i="1"/>
  <c r="BQB63" i="1"/>
  <c r="BQC63" i="1"/>
  <c r="BQD63" i="1"/>
  <c r="BQE63" i="1"/>
  <c r="BQF63" i="1"/>
  <c r="BQG63" i="1"/>
  <c r="BQH63" i="1"/>
  <c r="BQI63" i="1"/>
  <c r="BQJ63" i="1"/>
  <c r="BQK63" i="1"/>
  <c r="BQL63" i="1"/>
  <c r="BQM63" i="1"/>
  <c r="BQN63" i="1"/>
  <c r="BQO63" i="1"/>
  <c r="BQP63" i="1"/>
  <c r="BQQ63" i="1"/>
  <c r="BQR63" i="1"/>
  <c r="BQS63" i="1"/>
  <c r="BQT63" i="1"/>
  <c r="BQU63" i="1"/>
  <c r="BQV63" i="1"/>
  <c r="BQW63" i="1"/>
  <c r="BQX63" i="1"/>
  <c r="BQY63" i="1"/>
  <c r="BQZ63" i="1"/>
  <c r="BRA63" i="1"/>
  <c r="BRB63" i="1"/>
  <c r="BRC63" i="1"/>
  <c r="BRD63" i="1"/>
  <c r="BRE63" i="1"/>
  <c r="BRF63" i="1"/>
  <c r="BRG63" i="1"/>
  <c r="BRH63" i="1"/>
  <c r="BRI63" i="1"/>
  <c r="BRJ63" i="1"/>
  <c r="BRK63" i="1"/>
  <c r="BRL63" i="1"/>
  <c r="BRM63" i="1"/>
  <c r="BRN63" i="1"/>
  <c r="BRO63" i="1"/>
  <c r="BRP63" i="1"/>
  <c r="BRQ63" i="1"/>
  <c r="BRR63" i="1"/>
  <c r="BRS63" i="1"/>
  <c r="BRT63" i="1"/>
  <c r="BRU63" i="1"/>
  <c r="BRV63" i="1"/>
  <c r="BRW63" i="1"/>
  <c r="BRX63" i="1"/>
  <c r="BRY63" i="1"/>
  <c r="BRZ63" i="1"/>
  <c r="BSA63" i="1"/>
  <c r="BSB63" i="1"/>
  <c r="BSC63" i="1"/>
  <c r="BSD63" i="1"/>
  <c r="BSE63" i="1"/>
  <c r="BSF63" i="1"/>
  <c r="BSG63" i="1"/>
  <c r="BSH63" i="1"/>
  <c r="BSI63" i="1"/>
  <c r="BSJ63" i="1"/>
  <c r="BSK63" i="1"/>
  <c r="BSL63" i="1"/>
  <c r="BSM63" i="1"/>
  <c r="BSN63" i="1"/>
  <c r="BSO63" i="1"/>
  <c r="BSP63" i="1"/>
  <c r="BSQ63" i="1"/>
  <c r="BSR63" i="1"/>
  <c r="BSS63" i="1"/>
  <c r="BST63" i="1"/>
  <c r="BSU63" i="1"/>
  <c r="BSV63" i="1"/>
  <c r="BSW63" i="1"/>
  <c r="BSX63" i="1"/>
  <c r="BSY63" i="1"/>
  <c r="BSZ63" i="1"/>
  <c r="BTA63" i="1"/>
  <c r="BTB63" i="1"/>
  <c r="BTC63" i="1"/>
  <c r="BTD63" i="1"/>
  <c r="BTE63" i="1"/>
  <c r="BTF63" i="1"/>
  <c r="BTG63" i="1"/>
  <c r="BTH63" i="1"/>
  <c r="BTI63" i="1"/>
  <c r="BTJ63" i="1"/>
  <c r="BTK63" i="1"/>
  <c r="BTL63" i="1"/>
  <c r="BTM63" i="1"/>
  <c r="BTN63" i="1"/>
  <c r="BTO63" i="1"/>
  <c r="BTP63" i="1"/>
  <c r="BTQ63" i="1"/>
  <c r="BTR63" i="1"/>
  <c r="BTS63" i="1"/>
  <c r="BTT63" i="1"/>
  <c r="BTU63" i="1"/>
  <c r="BTV63" i="1"/>
  <c r="BTW63" i="1"/>
  <c r="BTX63" i="1"/>
  <c r="BTY63" i="1"/>
  <c r="BTZ63" i="1"/>
  <c r="BUA63" i="1"/>
  <c r="BUB63" i="1"/>
  <c r="BUC63" i="1"/>
  <c r="BUD63" i="1"/>
  <c r="BUE63" i="1"/>
  <c r="BUF63" i="1"/>
  <c r="BUG63" i="1"/>
  <c r="BUH63" i="1"/>
  <c r="BUI63" i="1"/>
  <c r="BUJ63" i="1"/>
  <c r="BUK63" i="1"/>
  <c r="BUL63" i="1"/>
  <c r="BUM63" i="1"/>
  <c r="BUN63" i="1"/>
  <c r="BUO63" i="1"/>
  <c r="BUP63" i="1"/>
  <c r="BUQ63" i="1"/>
  <c r="BUR63" i="1"/>
  <c r="BUS63" i="1"/>
  <c r="BUT63" i="1"/>
  <c r="BUU63" i="1"/>
  <c r="BUV63" i="1"/>
  <c r="BUW63" i="1"/>
  <c r="BUX63" i="1"/>
  <c r="BUY63" i="1"/>
  <c r="BUZ63" i="1"/>
  <c r="BVA63" i="1"/>
  <c r="BVB63" i="1"/>
  <c r="BVC63" i="1"/>
  <c r="BVD63" i="1"/>
  <c r="BVE63" i="1"/>
  <c r="BVF63" i="1"/>
  <c r="BVG63" i="1"/>
  <c r="BVH63" i="1"/>
  <c r="BVI63" i="1"/>
  <c r="BVJ63" i="1"/>
  <c r="BVK63" i="1"/>
  <c r="BVL63" i="1"/>
  <c r="BVM63" i="1"/>
  <c r="BVN63" i="1"/>
  <c r="BVO63" i="1"/>
  <c r="BVP63" i="1"/>
  <c r="BVQ63" i="1"/>
  <c r="BVR63" i="1"/>
  <c r="BVS63" i="1"/>
  <c r="BVT63" i="1"/>
  <c r="BVU63" i="1"/>
  <c r="BVV63" i="1"/>
  <c r="BVW63" i="1"/>
  <c r="BVX63" i="1"/>
  <c r="BVY63" i="1"/>
  <c r="BVZ63" i="1"/>
  <c r="BWA63" i="1"/>
  <c r="BWB63" i="1"/>
  <c r="BWC63" i="1"/>
  <c r="BWD63" i="1"/>
  <c r="BWE63" i="1"/>
  <c r="BWF63" i="1"/>
  <c r="BWG63" i="1"/>
  <c r="BWH63" i="1"/>
  <c r="BWI63" i="1"/>
  <c r="BWJ63" i="1"/>
  <c r="BWK63" i="1"/>
  <c r="BWL63" i="1"/>
  <c r="BWM63" i="1"/>
  <c r="BWN63" i="1"/>
  <c r="BWO63" i="1"/>
  <c r="BWP63" i="1"/>
  <c r="BWQ63" i="1"/>
  <c r="BWR63" i="1"/>
  <c r="BWS63" i="1"/>
  <c r="BWT63" i="1"/>
  <c r="BWU63" i="1"/>
  <c r="BWV63" i="1"/>
  <c r="BWW63" i="1"/>
  <c r="BWX63" i="1"/>
  <c r="BWY63" i="1"/>
  <c r="BWZ63" i="1"/>
  <c r="BXA63" i="1"/>
  <c r="BXB63" i="1"/>
  <c r="BXC63" i="1"/>
  <c r="BXD63" i="1"/>
  <c r="BXE63" i="1"/>
  <c r="BXF63" i="1"/>
  <c r="BXG63" i="1"/>
  <c r="BXH63" i="1"/>
  <c r="BXI63" i="1"/>
  <c r="BXJ63" i="1"/>
  <c r="BXK63" i="1"/>
  <c r="BXL63" i="1"/>
  <c r="BXM63" i="1"/>
  <c r="BXN63" i="1"/>
  <c r="BXO63" i="1"/>
  <c r="BXP63" i="1"/>
  <c r="BXQ63" i="1"/>
  <c r="BXR63" i="1"/>
  <c r="BXS63" i="1"/>
  <c r="BXT63" i="1"/>
  <c r="BXU63" i="1"/>
  <c r="BXV63" i="1"/>
  <c r="BXW63" i="1"/>
  <c r="BXX63" i="1"/>
  <c r="BXY63" i="1"/>
  <c r="BXZ63" i="1"/>
  <c r="BYA63" i="1"/>
  <c r="BYB63" i="1"/>
  <c r="BYC63" i="1"/>
  <c r="BYD63" i="1"/>
  <c r="BYE63" i="1"/>
  <c r="BYF63" i="1"/>
  <c r="BYG63" i="1"/>
  <c r="BYH63" i="1"/>
  <c r="BYI63" i="1"/>
  <c r="BYJ63" i="1"/>
  <c r="BYK63" i="1"/>
  <c r="BYL63" i="1"/>
  <c r="BYM63" i="1"/>
  <c r="BYN63" i="1"/>
  <c r="BYO63" i="1"/>
  <c r="BYP63" i="1"/>
  <c r="BYQ63" i="1"/>
  <c r="BYR63" i="1"/>
  <c r="BYS63" i="1"/>
  <c r="BYT63" i="1"/>
  <c r="BYU63" i="1"/>
  <c r="BYV63" i="1"/>
  <c r="BYW63" i="1"/>
  <c r="BYX63" i="1"/>
  <c r="BYY63" i="1"/>
  <c r="BYZ63" i="1"/>
  <c r="BZA63" i="1"/>
  <c r="BZB63" i="1"/>
  <c r="BZC63" i="1"/>
  <c r="BZD63" i="1"/>
  <c r="BZE63" i="1"/>
  <c r="BZF63" i="1"/>
  <c r="BZG63" i="1"/>
  <c r="BZH63" i="1"/>
  <c r="BZI63" i="1"/>
  <c r="BZJ63" i="1"/>
  <c r="BZK63" i="1"/>
  <c r="BZL63" i="1"/>
  <c r="BZM63" i="1"/>
  <c r="BZN63" i="1"/>
  <c r="BZO63" i="1"/>
  <c r="BZP63" i="1"/>
  <c r="BZQ63" i="1"/>
  <c r="BZR63" i="1"/>
  <c r="BZS63" i="1"/>
  <c r="BZT63" i="1"/>
  <c r="BZU63" i="1"/>
  <c r="BZV63" i="1"/>
  <c r="BZW63" i="1"/>
  <c r="BZX63" i="1"/>
  <c r="BZY63" i="1"/>
  <c r="BZZ63" i="1"/>
  <c r="CAA63" i="1"/>
  <c r="CAB63" i="1"/>
  <c r="CAC63" i="1"/>
  <c r="CAD63" i="1"/>
  <c r="CAE63" i="1"/>
  <c r="CAF63" i="1"/>
  <c r="CAG63" i="1"/>
  <c r="CAH63" i="1"/>
  <c r="CAI63" i="1"/>
  <c r="CAJ63" i="1"/>
  <c r="CAK63" i="1"/>
  <c r="CAL63" i="1"/>
  <c r="CAM63" i="1"/>
  <c r="CAN63" i="1"/>
  <c r="CAO63" i="1"/>
  <c r="CAP63" i="1"/>
  <c r="CAQ63" i="1"/>
  <c r="CAR63" i="1"/>
  <c r="CAS63" i="1"/>
  <c r="CAT63" i="1"/>
  <c r="CAU63" i="1"/>
  <c r="CAV63" i="1"/>
  <c r="CAW63" i="1"/>
  <c r="CAX63" i="1"/>
  <c r="CAY63" i="1"/>
  <c r="CAZ63" i="1"/>
  <c r="CBA63" i="1"/>
  <c r="CBB63" i="1"/>
  <c r="CBC63" i="1"/>
  <c r="CBD63" i="1"/>
  <c r="CBE63" i="1"/>
  <c r="CBF63" i="1"/>
  <c r="CBG63" i="1"/>
  <c r="CBH63" i="1"/>
  <c r="CBI63" i="1"/>
  <c r="CBJ63" i="1"/>
  <c r="CBK63" i="1"/>
  <c r="CBL63" i="1"/>
  <c r="CBM63" i="1"/>
  <c r="CBN63" i="1"/>
  <c r="CBO63" i="1"/>
  <c r="CBP63" i="1"/>
  <c r="CBQ63" i="1"/>
  <c r="CBR63" i="1"/>
  <c r="CBS63" i="1"/>
  <c r="CBT63" i="1"/>
  <c r="CBU63" i="1"/>
  <c r="CBV63" i="1"/>
  <c r="CBW63" i="1"/>
  <c r="CBX63" i="1"/>
  <c r="CBY63" i="1"/>
  <c r="CBZ63" i="1"/>
  <c r="CCA63" i="1"/>
  <c r="CCB63" i="1"/>
  <c r="CCC63" i="1"/>
  <c r="CCD63" i="1"/>
  <c r="CCE63" i="1"/>
  <c r="CCF63" i="1"/>
  <c r="CCG63" i="1"/>
  <c r="CCH63" i="1"/>
  <c r="CCI63" i="1"/>
  <c r="CCJ63" i="1"/>
  <c r="CCK63" i="1"/>
  <c r="CCL63" i="1"/>
  <c r="CCM63" i="1"/>
  <c r="CCN63" i="1"/>
  <c r="CCO63" i="1"/>
  <c r="CCP63" i="1"/>
  <c r="CCQ63" i="1"/>
  <c r="CCR63" i="1"/>
  <c r="CCS63" i="1"/>
  <c r="CCT63" i="1"/>
  <c r="CCU63" i="1"/>
  <c r="CCV63" i="1"/>
  <c r="CCW63" i="1"/>
  <c r="CCX63" i="1"/>
  <c r="CCY63" i="1"/>
  <c r="CCZ63" i="1"/>
  <c r="CDA63" i="1"/>
  <c r="CDB63" i="1"/>
  <c r="CDC63" i="1"/>
  <c r="CDD63" i="1"/>
  <c r="CDE63" i="1"/>
  <c r="CDF63" i="1"/>
  <c r="CDG63" i="1"/>
  <c r="CDH63" i="1"/>
  <c r="CDI63" i="1"/>
  <c r="CDJ63" i="1"/>
  <c r="CDK63" i="1"/>
  <c r="CDL63" i="1"/>
  <c r="CDM63" i="1"/>
  <c r="CDN63" i="1"/>
  <c r="CDO63" i="1"/>
  <c r="CDP63" i="1"/>
  <c r="CDQ63" i="1"/>
  <c r="CDR63" i="1"/>
  <c r="CDS63" i="1"/>
  <c r="CDT63" i="1"/>
  <c r="CDU63" i="1"/>
  <c r="CDV63" i="1"/>
  <c r="CDW63" i="1"/>
  <c r="CDX63" i="1"/>
  <c r="CDY63" i="1"/>
  <c r="CDZ63" i="1"/>
  <c r="CEA63" i="1"/>
  <c r="CEB63" i="1"/>
  <c r="CEC63" i="1"/>
  <c r="CED63" i="1"/>
  <c r="CEE63" i="1"/>
  <c r="CEF63" i="1"/>
  <c r="CEG63" i="1"/>
  <c r="CEH63" i="1"/>
  <c r="CEI63" i="1"/>
  <c r="CEJ63" i="1"/>
  <c r="CEK63" i="1"/>
  <c r="CEL63" i="1"/>
  <c r="CEM63" i="1"/>
  <c r="CEN63" i="1"/>
  <c r="CEO63" i="1"/>
  <c r="CEP63" i="1"/>
  <c r="CEQ63" i="1"/>
  <c r="CER63" i="1"/>
  <c r="CES63" i="1"/>
  <c r="CET63" i="1"/>
  <c r="CEU63" i="1"/>
  <c r="CEV63" i="1"/>
  <c r="CEW63" i="1"/>
  <c r="CEX63" i="1"/>
  <c r="CEY63" i="1"/>
  <c r="CEZ63" i="1"/>
  <c r="CFA63" i="1"/>
  <c r="CFB63" i="1"/>
  <c r="CFC63" i="1"/>
  <c r="CFD63" i="1"/>
  <c r="CFE63" i="1"/>
  <c r="CFF63" i="1"/>
  <c r="CFG63" i="1"/>
  <c r="CFH63" i="1"/>
  <c r="CFI63" i="1"/>
  <c r="CFJ63" i="1"/>
  <c r="CFK63" i="1"/>
  <c r="CFL63" i="1"/>
  <c r="CFM63" i="1"/>
  <c r="CFN63" i="1"/>
  <c r="CFO63" i="1"/>
  <c r="CFP63" i="1"/>
  <c r="CFQ63" i="1"/>
  <c r="CFR63" i="1"/>
  <c r="CFS63" i="1"/>
  <c r="CFT63" i="1"/>
  <c r="CFU63" i="1"/>
  <c r="CFV63" i="1"/>
  <c r="CFW63" i="1"/>
  <c r="CFX63" i="1"/>
  <c r="CFY63" i="1"/>
  <c r="CFZ63" i="1"/>
  <c r="CGA63" i="1"/>
  <c r="CGB63" i="1"/>
  <c r="CGC63" i="1"/>
  <c r="CGD63" i="1"/>
  <c r="CGE63" i="1"/>
  <c r="CGF63" i="1"/>
  <c r="CGG63" i="1"/>
  <c r="CGH63" i="1"/>
  <c r="CGI63" i="1"/>
  <c r="CGJ63" i="1"/>
  <c r="CGK63" i="1"/>
  <c r="CGL63" i="1"/>
  <c r="CGM63" i="1"/>
  <c r="CGN63" i="1"/>
  <c r="CGO63" i="1"/>
  <c r="CGP63" i="1"/>
  <c r="CGQ63" i="1"/>
  <c r="CGR63" i="1"/>
  <c r="CGS63" i="1"/>
  <c r="CGT63" i="1"/>
  <c r="CGU63" i="1"/>
  <c r="CGV63" i="1"/>
  <c r="CGW63" i="1"/>
  <c r="CGX63" i="1"/>
  <c r="CGY63" i="1"/>
  <c r="CGZ63" i="1"/>
  <c r="CHA63" i="1"/>
  <c r="CHB63" i="1"/>
  <c r="CHC63" i="1"/>
  <c r="CHD63" i="1"/>
  <c r="CHE63" i="1"/>
  <c r="CHF63" i="1"/>
  <c r="CHG63" i="1"/>
  <c r="CHH63" i="1"/>
  <c r="CHI63" i="1"/>
  <c r="CHJ63" i="1"/>
  <c r="CHK63" i="1"/>
  <c r="CHL63" i="1"/>
  <c r="CHM63" i="1"/>
  <c r="CHN63" i="1"/>
  <c r="CHO63" i="1"/>
  <c r="CHP63" i="1"/>
  <c r="CHQ63" i="1"/>
  <c r="CHR63" i="1"/>
  <c r="CHS63" i="1"/>
  <c r="CHT63" i="1"/>
  <c r="CHU63" i="1"/>
  <c r="CHV63" i="1"/>
  <c r="CHW63" i="1"/>
  <c r="CHX63" i="1"/>
  <c r="CHY63" i="1"/>
  <c r="CHZ63" i="1"/>
  <c r="CIA63" i="1"/>
  <c r="CIB63" i="1"/>
  <c r="CIC63" i="1"/>
  <c r="CID63" i="1"/>
  <c r="CIE63" i="1"/>
  <c r="CIF63" i="1"/>
  <c r="CIG63" i="1"/>
  <c r="CIH63" i="1"/>
  <c r="CII63" i="1"/>
  <c r="CIJ63" i="1"/>
  <c r="CIK63" i="1"/>
  <c r="CIL63" i="1"/>
  <c r="CIM63" i="1"/>
  <c r="CIN63" i="1"/>
  <c r="CIO63" i="1"/>
  <c r="CIP63" i="1"/>
  <c r="CIQ63" i="1"/>
  <c r="CIR63" i="1"/>
  <c r="CIS63" i="1"/>
  <c r="CIT63" i="1"/>
  <c r="CIU63" i="1"/>
  <c r="CIV63" i="1"/>
  <c r="CIW63" i="1"/>
  <c r="CIX63" i="1"/>
  <c r="CIY63" i="1"/>
  <c r="CIZ63" i="1"/>
  <c r="CJA63" i="1"/>
  <c r="CJB63" i="1"/>
  <c r="CJC63" i="1"/>
  <c r="CJD63" i="1"/>
  <c r="CJE63" i="1"/>
  <c r="CJF63" i="1"/>
  <c r="CJG63" i="1"/>
  <c r="CJH63" i="1"/>
  <c r="CJI63" i="1"/>
  <c r="CJJ63" i="1"/>
  <c r="CJK63" i="1"/>
  <c r="CJL63" i="1"/>
  <c r="CJM63" i="1"/>
  <c r="CJN63" i="1"/>
  <c r="CJO63" i="1"/>
  <c r="CJP63" i="1"/>
  <c r="CJQ63" i="1"/>
  <c r="CJR63" i="1"/>
  <c r="CJS63" i="1"/>
  <c r="CJT63" i="1"/>
  <c r="CJU63" i="1"/>
  <c r="CJV63" i="1"/>
  <c r="CJW63" i="1"/>
  <c r="CJX63" i="1"/>
  <c r="CJY63" i="1"/>
  <c r="CJZ63" i="1"/>
  <c r="CKA63" i="1"/>
  <c r="CKB63" i="1"/>
  <c r="CKC63" i="1"/>
  <c r="CKD63" i="1"/>
  <c r="CKE63" i="1"/>
  <c r="CKF63" i="1"/>
  <c r="CKG63" i="1"/>
  <c r="CKH63" i="1"/>
  <c r="CKI63" i="1"/>
  <c r="CKJ63" i="1"/>
  <c r="CKK63" i="1"/>
  <c r="CKL63" i="1"/>
  <c r="CKM63" i="1"/>
  <c r="CKN63" i="1"/>
  <c r="CKO63" i="1"/>
  <c r="CKP63" i="1"/>
  <c r="CKQ63" i="1"/>
  <c r="CKR63" i="1"/>
  <c r="CKS63" i="1"/>
  <c r="CKT63" i="1"/>
  <c r="CKU63" i="1"/>
  <c r="CKV63" i="1"/>
  <c r="CKW63" i="1"/>
  <c r="CKX63" i="1"/>
  <c r="CKY63" i="1"/>
  <c r="CKZ63" i="1"/>
  <c r="CLA63" i="1"/>
  <c r="CLB63" i="1"/>
  <c r="CLC63" i="1"/>
  <c r="CLD63" i="1"/>
  <c r="CLE63" i="1"/>
  <c r="CLF63" i="1"/>
  <c r="CLG63" i="1"/>
  <c r="CLH63" i="1"/>
  <c r="CLI63" i="1"/>
  <c r="CLJ63" i="1"/>
  <c r="CLK63" i="1"/>
  <c r="CLL63" i="1"/>
  <c r="CLM63" i="1"/>
  <c r="CLN63" i="1"/>
  <c r="CLO63" i="1"/>
  <c r="CLP63" i="1"/>
  <c r="CLQ63" i="1"/>
  <c r="CLR63" i="1"/>
  <c r="CLS63" i="1"/>
  <c r="CLT63" i="1"/>
  <c r="CLU63" i="1"/>
  <c r="CLV63" i="1"/>
  <c r="CLW63" i="1"/>
  <c r="CLX63" i="1"/>
  <c r="CLY63" i="1"/>
  <c r="CLZ63" i="1"/>
  <c r="CMA63" i="1"/>
  <c r="CMB63" i="1"/>
  <c r="CMC63" i="1"/>
  <c r="CMD63" i="1"/>
  <c r="CME63" i="1"/>
  <c r="CMF63" i="1"/>
  <c r="CMG63" i="1"/>
  <c r="CMH63" i="1"/>
  <c r="CMI63" i="1"/>
  <c r="CMJ63" i="1"/>
  <c r="CMK63" i="1"/>
  <c r="CML63" i="1"/>
  <c r="CMM63" i="1"/>
  <c r="CMN63" i="1"/>
  <c r="CMO63" i="1"/>
  <c r="CMP63" i="1"/>
  <c r="CMQ63" i="1"/>
  <c r="CMR63" i="1"/>
  <c r="CMS63" i="1"/>
  <c r="CMT63" i="1"/>
  <c r="CMU63" i="1"/>
  <c r="CMV63" i="1"/>
  <c r="CMW63" i="1"/>
  <c r="CMX63" i="1"/>
  <c r="CMY63" i="1"/>
  <c r="CMZ63" i="1"/>
  <c r="CNA63" i="1"/>
  <c r="CNB63" i="1"/>
  <c r="CNC63" i="1"/>
  <c r="CND63" i="1"/>
  <c r="CNE63" i="1"/>
  <c r="CNF63" i="1"/>
  <c r="CNG63" i="1"/>
  <c r="CNH63" i="1"/>
  <c r="CNI63" i="1"/>
  <c r="CNJ63" i="1"/>
  <c r="CNK63" i="1"/>
  <c r="CNL63" i="1"/>
  <c r="CNM63" i="1"/>
  <c r="CNN63" i="1"/>
  <c r="CNO63" i="1"/>
  <c r="CNP63" i="1"/>
  <c r="CNQ63" i="1"/>
  <c r="CNR63" i="1"/>
  <c r="CNS63" i="1"/>
  <c r="CNT63" i="1"/>
  <c r="CNU63" i="1"/>
  <c r="CNV63" i="1"/>
  <c r="CNW63" i="1"/>
  <c r="CNX63" i="1"/>
  <c r="CNY63" i="1"/>
  <c r="CNZ63" i="1"/>
  <c r="COA63" i="1"/>
  <c r="COB63" i="1"/>
  <c r="COC63" i="1"/>
  <c r="COD63" i="1"/>
  <c r="COE63" i="1"/>
  <c r="COF63" i="1"/>
  <c r="COG63" i="1"/>
  <c r="COH63" i="1"/>
  <c r="COI63" i="1"/>
  <c r="COJ63" i="1"/>
  <c r="COK63" i="1"/>
  <c r="COL63" i="1"/>
  <c r="COM63" i="1"/>
  <c r="CON63" i="1"/>
  <c r="COO63" i="1"/>
  <c r="COP63" i="1"/>
  <c r="COQ63" i="1"/>
  <c r="COR63" i="1"/>
  <c r="COS63" i="1"/>
  <c r="COT63" i="1"/>
  <c r="COU63" i="1"/>
  <c r="COV63" i="1"/>
  <c r="COW63" i="1"/>
  <c r="COX63" i="1"/>
  <c r="COY63" i="1"/>
  <c r="COZ63" i="1"/>
  <c r="CPA63" i="1"/>
  <c r="CPB63" i="1"/>
  <c r="CPC63" i="1"/>
  <c r="CPD63" i="1"/>
  <c r="CPE63" i="1"/>
  <c r="CPF63" i="1"/>
  <c r="CPG63" i="1"/>
  <c r="CPH63" i="1"/>
  <c r="CPI63" i="1"/>
  <c r="CPJ63" i="1"/>
  <c r="CPK63" i="1"/>
  <c r="CPL63" i="1"/>
  <c r="CPM63" i="1"/>
  <c r="CPN63" i="1"/>
  <c r="CPO63" i="1"/>
  <c r="CPP63" i="1"/>
  <c r="CPQ63" i="1"/>
  <c r="CPR63" i="1"/>
  <c r="CPS63" i="1"/>
  <c r="CPT63" i="1"/>
  <c r="CPU63" i="1"/>
  <c r="CPV63" i="1"/>
  <c r="CPW63" i="1"/>
  <c r="CPX63" i="1"/>
  <c r="CPY63" i="1"/>
  <c r="CPZ63" i="1"/>
  <c r="CQA63" i="1"/>
  <c r="CQB63" i="1"/>
  <c r="CQC63" i="1"/>
  <c r="CQD63" i="1"/>
  <c r="CQE63" i="1"/>
  <c r="CQF63" i="1"/>
  <c r="CQG63" i="1"/>
  <c r="CQH63" i="1"/>
  <c r="CQI63" i="1"/>
  <c r="CQJ63" i="1"/>
  <c r="CQK63" i="1"/>
  <c r="CQL63" i="1"/>
  <c r="CQM63" i="1"/>
  <c r="CQN63" i="1"/>
  <c r="CQO63" i="1"/>
  <c r="CQP63" i="1"/>
  <c r="CQQ63" i="1"/>
  <c r="CQR63" i="1"/>
  <c r="CQS63" i="1"/>
  <c r="CQT63" i="1"/>
  <c r="CQU63" i="1"/>
  <c r="CQV63" i="1"/>
  <c r="CQW63" i="1"/>
  <c r="CQX63" i="1"/>
  <c r="CQY63" i="1"/>
  <c r="CQZ63" i="1"/>
  <c r="CRA63" i="1"/>
  <c r="CRB63" i="1"/>
  <c r="CRC63" i="1"/>
  <c r="CRD63" i="1"/>
  <c r="CRE63" i="1"/>
  <c r="CRF63" i="1"/>
  <c r="CRG63" i="1"/>
  <c r="CRH63" i="1"/>
  <c r="CRI63" i="1"/>
  <c r="CRJ63" i="1"/>
  <c r="CRK63" i="1"/>
  <c r="CRL63" i="1"/>
  <c r="CRM63" i="1"/>
  <c r="CRN63" i="1"/>
  <c r="CRO63" i="1"/>
  <c r="CRP63" i="1"/>
  <c r="CRQ63" i="1"/>
  <c r="CRR63" i="1"/>
  <c r="CRS63" i="1"/>
  <c r="CRT63" i="1"/>
  <c r="CRU63" i="1"/>
  <c r="CRV63" i="1"/>
  <c r="CRW63" i="1"/>
  <c r="CRX63" i="1"/>
  <c r="CRY63" i="1"/>
  <c r="CRZ63" i="1"/>
  <c r="CSA63" i="1"/>
  <c r="CSB63" i="1"/>
  <c r="CSC63" i="1"/>
  <c r="CSD63" i="1"/>
  <c r="CSE63" i="1"/>
  <c r="CSF63" i="1"/>
  <c r="CSG63" i="1"/>
  <c r="CSH63" i="1"/>
  <c r="CSI63" i="1"/>
  <c r="CSJ63" i="1"/>
  <c r="CSK63" i="1"/>
  <c r="CSL63" i="1"/>
  <c r="CSM63" i="1"/>
  <c r="CSN63" i="1"/>
  <c r="CSO63" i="1"/>
  <c r="CSP63" i="1"/>
  <c r="CSQ63" i="1"/>
  <c r="CSR63" i="1"/>
  <c r="CSS63" i="1"/>
  <c r="CST63" i="1"/>
  <c r="CSU63" i="1"/>
  <c r="CSV63" i="1"/>
  <c r="CSW63" i="1"/>
  <c r="CSX63" i="1"/>
  <c r="CSY63" i="1"/>
  <c r="CSZ63" i="1"/>
  <c r="CTA63" i="1"/>
  <c r="CTB63" i="1"/>
  <c r="CTC63" i="1"/>
  <c r="CTD63" i="1"/>
  <c r="CTE63" i="1"/>
  <c r="CTF63" i="1"/>
  <c r="CTG63" i="1"/>
  <c r="CTH63" i="1"/>
  <c r="CTI63" i="1"/>
  <c r="CTJ63" i="1"/>
  <c r="CTK63" i="1"/>
  <c r="CTL63" i="1"/>
  <c r="CTM63" i="1"/>
  <c r="CTN63" i="1"/>
  <c r="CTO63" i="1"/>
  <c r="CTP63" i="1"/>
  <c r="CTQ63" i="1"/>
  <c r="CTR63" i="1"/>
  <c r="CTS63" i="1"/>
  <c r="CTT63" i="1"/>
  <c r="CTU63" i="1"/>
  <c r="CTV63" i="1"/>
  <c r="CTW63" i="1"/>
  <c r="CTX63" i="1"/>
  <c r="CTY63" i="1"/>
  <c r="CTZ63" i="1"/>
  <c r="CUA63" i="1"/>
  <c r="CUB63" i="1"/>
  <c r="CUC63" i="1"/>
  <c r="CUD63" i="1"/>
  <c r="CUE63" i="1"/>
  <c r="CUF63" i="1"/>
  <c r="CUG63" i="1"/>
  <c r="CUH63" i="1"/>
  <c r="CUI63" i="1"/>
  <c r="CUJ63" i="1"/>
  <c r="CUK63" i="1"/>
  <c r="CUL63" i="1"/>
  <c r="CUM63" i="1"/>
  <c r="CUN63" i="1"/>
  <c r="CUO63" i="1"/>
  <c r="CUP63" i="1"/>
  <c r="CUQ63" i="1"/>
  <c r="CUR63" i="1"/>
  <c r="CUS63" i="1"/>
  <c r="CUT63" i="1"/>
  <c r="CUU63" i="1"/>
  <c r="CUV63" i="1"/>
  <c r="CUW63" i="1"/>
  <c r="CUX63" i="1"/>
  <c r="CUY63" i="1"/>
  <c r="CUZ63" i="1"/>
  <c r="CVA63" i="1"/>
  <c r="CVB63" i="1"/>
  <c r="CVC63" i="1"/>
  <c r="CVD63" i="1"/>
  <c r="CVE63" i="1"/>
  <c r="CVF63" i="1"/>
  <c r="CVG63" i="1"/>
  <c r="CVH63" i="1"/>
  <c r="CVI63" i="1"/>
  <c r="CVJ63" i="1"/>
  <c r="CVK63" i="1"/>
  <c r="CVL63" i="1"/>
  <c r="CVM63" i="1"/>
  <c r="CVN63" i="1"/>
  <c r="CVO63" i="1"/>
  <c r="CVP63" i="1"/>
  <c r="CVQ63" i="1"/>
  <c r="CVR63" i="1"/>
  <c r="CVS63" i="1"/>
  <c r="CVT63" i="1"/>
  <c r="CVU63" i="1"/>
  <c r="CVV63" i="1"/>
  <c r="CVW63" i="1"/>
  <c r="CVX63" i="1"/>
  <c r="CVY63" i="1"/>
  <c r="CVZ63" i="1"/>
  <c r="CWA63" i="1"/>
  <c r="CWB63" i="1"/>
  <c r="CWC63" i="1"/>
  <c r="CWD63" i="1"/>
  <c r="CWE63" i="1"/>
  <c r="CWF63" i="1"/>
  <c r="CWG63" i="1"/>
  <c r="CWH63" i="1"/>
  <c r="CWI63" i="1"/>
  <c r="CWJ63" i="1"/>
  <c r="CWK63" i="1"/>
  <c r="CWL63" i="1"/>
  <c r="CWM63" i="1"/>
  <c r="CWN63" i="1"/>
  <c r="CWO63" i="1"/>
  <c r="CWP63" i="1"/>
  <c r="CWQ63" i="1"/>
  <c r="CWR63" i="1"/>
  <c r="CWS63" i="1"/>
  <c r="CWT63" i="1"/>
  <c r="CWU63" i="1"/>
  <c r="CWV63" i="1"/>
  <c r="CWW63" i="1"/>
  <c r="CWX63" i="1"/>
  <c r="CWY63" i="1"/>
  <c r="CWZ63" i="1"/>
  <c r="CXA63" i="1"/>
  <c r="CXB63" i="1"/>
  <c r="CXC63" i="1"/>
  <c r="CXD63" i="1"/>
  <c r="CXE63" i="1"/>
  <c r="CXF63" i="1"/>
  <c r="CXG63" i="1"/>
  <c r="CXH63" i="1"/>
  <c r="CXI63" i="1"/>
  <c r="CXJ63" i="1"/>
  <c r="CXK63" i="1"/>
  <c r="CXL63" i="1"/>
  <c r="CXM63" i="1"/>
  <c r="CXN63" i="1"/>
  <c r="CXO63" i="1"/>
  <c r="CXP63" i="1"/>
  <c r="CXQ63" i="1"/>
  <c r="CXR63" i="1"/>
  <c r="CXS63" i="1"/>
  <c r="CXT63" i="1"/>
  <c r="CXU63" i="1"/>
  <c r="CXV63" i="1"/>
  <c r="CXW63" i="1"/>
  <c r="CXX63" i="1"/>
  <c r="CXY63" i="1"/>
  <c r="CXZ63" i="1"/>
  <c r="CYA63" i="1"/>
  <c r="CYB63" i="1"/>
  <c r="CYC63" i="1"/>
  <c r="CYD63" i="1"/>
  <c r="CYE63" i="1"/>
  <c r="CYF63" i="1"/>
  <c r="CYG63" i="1"/>
  <c r="CYH63" i="1"/>
  <c r="CYI63" i="1"/>
  <c r="CYJ63" i="1"/>
  <c r="CYK63" i="1"/>
  <c r="CYL63" i="1"/>
  <c r="CYM63" i="1"/>
  <c r="CYN63" i="1"/>
  <c r="CYO63" i="1"/>
  <c r="CYP63" i="1"/>
  <c r="CYQ63" i="1"/>
  <c r="CYR63" i="1"/>
  <c r="CYS63" i="1"/>
  <c r="CYT63" i="1"/>
  <c r="CYU63" i="1"/>
  <c r="CYV63" i="1"/>
  <c r="CYW63" i="1"/>
  <c r="CYX63" i="1"/>
  <c r="CYY63" i="1"/>
  <c r="CYZ63" i="1"/>
  <c r="CZA63" i="1"/>
  <c r="CZB63" i="1"/>
  <c r="CZC63" i="1"/>
  <c r="CZD63" i="1"/>
  <c r="CZE63" i="1"/>
  <c r="CZF63" i="1"/>
  <c r="CZG63" i="1"/>
  <c r="CZH63" i="1"/>
  <c r="CZI63" i="1"/>
  <c r="CZJ63" i="1"/>
  <c r="CZK63" i="1"/>
  <c r="CZL63" i="1"/>
  <c r="CZM63" i="1"/>
  <c r="CZN63" i="1"/>
  <c r="CZO63" i="1"/>
  <c r="CZP63" i="1"/>
  <c r="CZQ63" i="1"/>
  <c r="CZR63" i="1"/>
  <c r="CZS63" i="1"/>
  <c r="CZT63" i="1"/>
  <c r="CZU63" i="1"/>
  <c r="CZV63" i="1"/>
  <c r="CZW63" i="1"/>
  <c r="CZX63" i="1"/>
  <c r="CZY63" i="1"/>
  <c r="CZZ63" i="1"/>
  <c r="DAA63" i="1"/>
  <c r="DAB63" i="1"/>
  <c r="DAC63" i="1"/>
  <c r="DAD63" i="1"/>
  <c r="DAE63" i="1"/>
  <c r="DAF63" i="1"/>
  <c r="DAG63" i="1"/>
  <c r="DAH63" i="1"/>
  <c r="DAI63" i="1"/>
  <c r="DAJ63" i="1"/>
  <c r="DAK63" i="1"/>
  <c r="DAL63" i="1"/>
  <c r="DAM63" i="1"/>
  <c r="DAN63" i="1"/>
  <c r="DAO63" i="1"/>
  <c r="DAP63" i="1"/>
  <c r="DAQ63" i="1"/>
  <c r="DAR63" i="1"/>
  <c r="DAS63" i="1"/>
  <c r="DAT63" i="1"/>
  <c r="DAU63" i="1"/>
  <c r="DAV63" i="1"/>
  <c r="DAW63" i="1"/>
  <c r="DAX63" i="1"/>
  <c r="DAY63" i="1"/>
  <c r="DAZ63" i="1"/>
  <c r="DBA63" i="1"/>
  <c r="DBB63" i="1"/>
  <c r="DBC63" i="1"/>
  <c r="DBD63" i="1"/>
  <c r="DBE63" i="1"/>
  <c r="DBF63" i="1"/>
  <c r="DBG63" i="1"/>
  <c r="DBH63" i="1"/>
  <c r="DBI63" i="1"/>
  <c r="DBJ63" i="1"/>
  <c r="DBK63" i="1"/>
  <c r="DBL63" i="1"/>
  <c r="DBM63" i="1"/>
  <c r="DBN63" i="1"/>
  <c r="DBO63" i="1"/>
  <c r="DBP63" i="1"/>
  <c r="DBQ63" i="1"/>
  <c r="DBR63" i="1"/>
  <c r="DBS63" i="1"/>
  <c r="DBT63" i="1"/>
  <c r="DBU63" i="1"/>
  <c r="DBV63" i="1"/>
  <c r="DBW63" i="1"/>
  <c r="DBX63" i="1"/>
  <c r="DBY63" i="1"/>
  <c r="DBZ63" i="1"/>
  <c r="DCA63" i="1"/>
  <c r="DCB63" i="1"/>
  <c r="DCC63" i="1"/>
  <c r="DCD63" i="1"/>
  <c r="DCE63" i="1"/>
  <c r="DCF63" i="1"/>
  <c r="DCG63" i="1"/>
  <c r="DCH63" i="1"/>
  <c r="DCI63" i="1"/>
  <c r="DCJ63" i="1"/>
  <c r="DCK63" i="1"/>
  <c r="DCL63" i="1"/>
  <c r="DCM63" i="1"/>
  <c r="DCN63" i="1"/>
  <c r="DCO63" i="1"/>
  <c r="DCP63" i="1"/>
  <c r="DCQ63" i="1"/>
  <c r="DCR63" i="1"/>
  <c r="DCS63" i="1"/>
  <c r="DCT63" i="1"/>
  <c r="DCU63" i="1"/>
  <c r="DCV63" i="1"/>
  <c r="DCW63" i="1"/>
  <c r="DCX63" i="1"/>
  <c r="DCY63" i="1"/>
  <c r="DCZ63" i="1"/>
  <c r="DDA63" i="1"/>
  <c r="DDB63" i="1"/>
  <c r="DDC63" i="1"/>
  <c r="DDD63" i="1"/>
  <c r="DDE63" i="1"/>
  <c r="DDF63" i="1"/>
  <c r="DDG63" i="1"/>
  <c r="DDH63" i="1"/>
  <c r="DDI63" i="1"/>
  <c r="DDJ63" i="1"/>
  <c r="DDK63" i="1"/>
  <c r="DDL63" i="1"/>
  <c r="DDM63" i="1"/>
  <c r="DDN63" i="1"/>
  <c r="DDO63" i="1"/>
  <c r="DDP63" i="1"/>
  <c r="DDQ63" i="1"/>
  <c r="DDR63" i="1"/>
  <c r="DDS63" i="1"/>
  <c r="DDT63" i="1"/>
  <c r="DDU63" i="1"/>
  <c r="DDV63" i="1"/>
  <c r="DDW63" i="1"/>
  <c r="DDX63" i="1"/>
  <c r="DDY63" i="1"/>
  <c r="DDZ63" i="1"/>
  <c r="DEA63" i="1"/>
  <c r="DEB63" i="1"/>
  <c r="DEC63" i="1"/>
  <c r="DED63" i="1"/>
  <c r="DEE63" i="1"/>
  <c r="DEF63" i="1"/>
  <c r="DEG63" i="1"/>
  <c r="DEH63" i="1"/>
  <c r="DEI63" i="1"/>
  <c r="DEJ63" i="1"/>
  <c r="DEK63" i="1"/>
  <c r="DEL63" i="1"/>
  <c r="DEM63" i="1"/>
  <c r="DEN63" i="1"/>
  <c r="DEO63" i="1"/>
  <c r="DEP63" i="1"/>
  <c r="DEQ63" i="1"/>
  <c r="DER63" i="1"/>
  <c r="DES63" i="1"/>
  <c r="DET63" i="1"/>
  <c r="DEU63" i="1"/>
  <c r="DEV63" i="1"/>
  <c r="DEW63" i="1"/>
  <c r="DEX63" i="1"/>
  <c r="DEY63" i="1"/>
  <c r="DEZ63" i="1"/>
  <c r="DFA63" i="1"/>
  <c r="DFB63" i="1"/>
  <c r="DFC63" i="1"/>
  <c r="DFD63" i="1"/>
  <c r="DFE63" i="1"/>
  <c r="DFF63" i="1"/>
  <c r="DFG63" i="1"/>
  <c r="DFH63" i="1"/>
  <c r="DFI63" i="1"/>
  <c r="DFJ63" i="1"/>
  <c r="DFK63" i="1"/>
  <c r="DFL63" i="1"/>
  <c r="DFM63" i="1"/>
  <c r="DFN63" i="1"/>
  <c r="DFO63" i="1"/>
  <c r="DFP63" i="1"/>
  <c r="DFQ63" i="1"/>
  <c r="DFR63" i="1"/>
  <c r="DFS63" i="1"/>
  <c r="DFT63" i="1"/>
  <c r="DFU63" i="1"/>
  <c r="DFV63" i="1"/>
  <c r="DFW63" i="1"/>
  <c r="DFX63" i="1"/>
  <c r="DFY63" i="1"/>
  <c r="DFZ63" i="1"/>
  <c r="DGA63" i="1"/>
  <c r="DGB63" i="1"/>
  <c r="DGC63" i="1"/>
  <c r="DGD63" i="1"/>
  <c r="DGE63" i="1"/>
  <c r="DGF63" i="1"/>
  <c r="DGG63" i="1"/>
  <c r="DGH63" i="1"/>
  <c r="DGI63" i="1"/>
  <c r="DGJ63" i="1"/>
  <c r="DGK63" i="1"/>
  <c r="DGL63" i="1"/>
  <c r="DGM63" i="1"/>
  <c r="DGN63" i="1"/>
  <c r="DGO63" i="1"/>
  <c r="DGP63" i="1"/>
  <c r="DGQ63" i="1"/>
  <c r="DGR63" i="1"/>
  <c r="DGS63" i="1"/>
  <c r="DGT63" i="1"/>
  <c r="DGU63" i="1"/>
  <c r="DGV63" i="1"/>
  <c r="DGW63" i="1"/>
  <c r="DGX63" i="1"/>
  <c r="DGY63" i="1"/>
  <c r="DGZ63" i="1"/>
  <c r="DHA63" i="1"/>
  <c r="DHB63" i="1"/>
  <c r="DHC63" i="1"/>
  <c r="DHD63" i="1"/>
  <c r="DHE63" i="1"/>
  <c r="DHF63" i="1"/>
  <c r="DHG63" i="1"/>
  <c r="DHH63" i="1"/>
  <c r="DHI63" i="1"/>
  <c r="DHJ63" i="1"/>
  <c r="DHK63" i="1"/>
  <c r="DHL63" i="1"/>
  <c r="DHM63" i="1"/>
  <c r="DHN63" i="1"/>
  <c r="DHO63" i="1"/>
  <c r="DHP63" i="1"/>
  <c r="DHQ63" i="1"/>
  <c r="DHR63" i="1"/>
  <c r="DHS63" i="1"/>
  <c r="DHT63" i="1"/>
  <c r="DHU63" i="1"/>
  <c r="DHV63" i="1"/>
  <c r="DHW63" i="1"/>
  <c r="DHX63" i="1"/>
  <c r="DHY63" i="1"/>
  <c r="DHZ63" i="1"/>
  <c r="DIA63" i="1"/>
  <c r="DIB63" i="1"/>
  <c r="DIC63" i="1"/>
  <c r="DID63" i="1"/>
  <c r="DIE63" i="1"/>
  <c r="DIF63" i="1"/>
  <c r="DIG63" i="1"/>
  <c r="DIH63" i="1"/>
  <c r="DII63" i="1"/>
  <c r="DIJ63" i="1"/>
  <c r="DIK63" i="1"/>
  <c r="DIL63" i="1"/>
  <c r="DIM63" i="1"/>
  <c r="DIN63" i="1"/>
  <c r="DIO63" i="1"/>
  <c r="DIP63" i="1"/>
  <c r="DIQ63" i="1"/>
  <c r="DIR63" i="1"/>
  <c r="DIS63" i="1"/>
  <c r="DIT63" i="1"/>
  <c r="DIU63" i="1"/>
  <c r="DIV63" i="1"/>
  <c r="DIW63" i="1"/>
  <c r="DIX63" i="1"/>
  <c r="DIY63" i="1"/>
  <c r="DIZ63" i="1"/>
  <c r="DJA63" i="1"/>
  <c r="DJB63" i="1"/>
  <c r="DJC63" i="1"/>
  <c r="DJD63" i="1"/>
  <c r="DJE63" i="1"/>
  <c r="DJF63" i="1"/>
  <c r="DJG63" i="1"/>
  <c r="DJH63" i="1"/>
  <c r="DJI63" i="1"/>
  <c r="DJJ63" i="1"/>
  <c r="DJK63" i="1"/>
  <c r="DJL63" i="1"/>
  <c r="DJM63" i="1"/>
  <c r="DJN63" i="1"/>
  <c r="DJO63" i="1"/>
  <c r="DJP63" i="1"/>
  <c r="DJQ63" i="1"/>
  <c r="DJR63" i="1"/>
  <c r="DJS63" i="1"/>
  <c r="DJT63" i="1"/>
  <c r="DJU63" i="1"/>
  <c r="DJV63" i="1"/>
  <c r="DJW63" i="1"/>
  <c r="DJX63" i="1"/>
  <c r="DJY63" i="1"/>
  <c r="DJZ63" i="1"/>
  <c r="DKA63" i="1"/>
  <c r="DKB63" i="1"/>
  <c r="DKC63" i="1"/>
  <c r="DKD63" i="1"/>
  <c r="DKE63" i="1"/>
  <c r="DKF63" i="1"/>
  <c r="DKG63" i="1"/>
  <c r="DKH63" i="1"/>
  <c r="DKI63" i="1"/>
  <c r="DKJ63" i="1"/>
  <c r="DKK63" i="1"/>
  <c r="DKL63" i="1"/>
  <c r="DKM63" i="1"/>
  <c r="DKN63" i="1"/>
  <c r="DKO63" i="1"/>
  <c r="DKP63" i="1"/>
  <c r="DKQ63" i="1"/>
  <c r="DKR63" i="1"/>
  <c r="DKS63" i="1"/>
  <c r="DKT63" i="1"/>
  <c r="DKU63" i="1"/>
  <c r="DKV63" i="1"/>
  <c r="DKW63" i="1"/>
  <c r="DKX63" i="1"/>
  <c r="DKY63" i="1"/>
  <c r="DKZ63" i="1"/>
  <c r="DLA63" i="1"/>
  <c r="DLB63" i="1"/>
  <c r="DLC63" i="1"/>
  <c r="DLD63" i="1"/>
  <c r="DLE63" i="1"/>
  <c r="DLF63" i="1"/>
  <c r="DLG63" i="1"/>
  <c r="DLH63" i="1"/>
  <c r="DLI63" i="1"/>
  <c r="DLJ63" i="1"/>
  <c r="DLK63" i="1"/>
  <c r="DLL63" i="1"/>
  <c r="DLM63" i="1"/>
  <c r="DLN63" i="1"/>
  <c r="DLO63" i="1"/>
  <c r="DLP63" i="1"/>
  <c r="DLQ63" i="1"/>
  <c r="DLR63" i="1"/>
  <c r="DLS63" i="1"/>
  <c r="DLT63" i="1"/>
  <c r="DLU63" i="1"/>
  <c r="DLV63" i="1"/>
  <c r="DLW63" i="1"/>
  <c r="DLX63" i="1"/>
  <c r="DLY63" i="1"/>
  <c r="DLZ63" i="1"/>
  <c r="DMA63" i="1"/>
  <c r="DMB63" i="1"/>
  <c r="DMC63" i="1"/>
  <c r="DMD63" i="1"/>
  <c r="DME63" i="1"/>
  <c r="DMF63" i="1"/>
  <c r="DMG63" i="1"/>
  <c r="DMH63" i="1"/>
  <c r="DMI63" i="1"/>
  <c r="DMJ63" i="1"/>
  <c r="DMK63" i="1"/>
  <c r="DML63" i="1"/>
  <c r="DMM63" i="1"/>
  <c r="DMN63" i="1"/>
  <c r="DMO63" i="1"/>
  <c r="DMP63" i="1"/>
  <c r="DMQ63" i="1"/>
  <c r="DMR63" i="1"/>
  <c r="DMS63" i="1"/>
  <c r="DMT63" i="1"/>
  <c r="DMU63" i="1"/>
  <c r="DMV63" i="1"/>
  <c r="DMW63" i="1"/>
  <c r="DMX63" i="1"/>
  <c r="DMY63" i="1"/>
  <c r="DMZ63" i="1"/>
  <c r="DNA63" i="1"/>
  <c r="DNB63" i="1"/>
  <c r="DNC63" i="1"/>
  <c r="DND63" i="1"/>
  <c r="DNE63" i="1"/>
  <c r="DNF63" i="1"/>
  <c r="DNG63" i="1"/>
  <c r="DNH63" i="1"/>
  <c r="DNI63" i="1"/>
  <c r="DNJ63" i="1"/>
  <c r="DNK63" i="1"/>
  <c r="DNL63" i="1"/>
  <c r="DNM63" i="1"/>
  <c r="DNN63" i="1"/>
  <c r="DNO63" i="1"/>
  <c r="DNP63" i="1"/>
  <c r="DNQ63" i="1"/>
  <c r="DNR63" i="1"/>
  <c r="DNS63" i="1"/>
  <c r="DNT63" i="1"/>
  <c r="DNU63" i="1"/>
  <c r="DNV63" i="1"/>
  <c r="DNW63" i="1"/>
  <c r="DNX63" i="1"/>
  <c r="DNY63" i="1"/>
  <c r="DNZ63" i="1"/>
  <c r="DOA63" i="1"/>
  <c r="DOB63" i="1"/>
  <c r="DOC63" i="1"/>
  <c r="DOD63" i="1"/>
  <c r="DOE63" i="1"/>
  <c r="DOF63" i="1"/>
  <c r="DOG63" i="1"/>
  <c r="DOH63" i="1"/>
  <c r="DOI63" i="1"/>
  <c r="DOJ63" i="1"/>
  <c r="DOK63" i="1"/>
  <c r="DOL63" i="1"/>
  <c r="DOM63" i="1"/>
  <c r="DON63" i="1"/>
  <c r="DOO63" i="1"/>
  <c r="DOP63" i="1"/>
  <c r="DOQ63" i="1"/>
  <c r="DOR63" i="1"/>
  <c r="DOS63" i="1"/>
  <c r="DOT63" i="1"/>
  <c r="DOU63" i="1"/>
  <c r="DOV63" i="1"/>
  <c r="DOW63" i="1"/>
  <c r="DOX63" i="1"/>
  <c r="DOY63" i="1"/>
  <c r="DOZ63" i="1"/>
  <c r="DPA63" i="1"/>
  <c r="DPB63" i="1"/>
  <c r="DPC63" i="1"/>
  <c r="DPD63" i="1"/>
  <c r="DPE63" i="1"/>
  <c r="DPF63" i="1"/>
  <c r="DPG63" i="1"/>
  <c r="DPH63" i="1"/>
  <c r="DPI63" i="1"/>
  <c r="DPJ63" i="1"/>
  <c r="DPK63" i="1"/>
  <c r="DPL63" i="1"/>
  <c r="DPM63" i="1"/>
  <c r="DPN63" i="1"/>
  <c r="DPO63" i="1"/>
  <c r="DPP63" i="1"/>
  <c r="DPQ63" i="1"/>
  <c r="DPR63" i="1"/>
  <c r="DPS63" i="1"/>
  <c r="DPT63" i="1"/>
  <c r="DPU63" i="1"/>
  <c r="DPV63" i="1"/>
  <c r="DPW63" i="1"/>
  <c r="DPX63" i="1"/>
  <c r="DPY63" i="1"/>
  <c r="DPZ63" i="1"/>
  <c r="DQA63" i="1"/>
  <c r="DQB63" i="1"/>
  <c r="DQC63" i="1"/>
  <c r="DQD63" i="1"/>
  <c r="DQE63" i="1"/>
  <c r="DQF63" i="1"/>
  <c r="DQG63" i="1"/>
  <c r="DQH63" i="1"/>
  <c r="DQI63" i="1"/>
  <c r="DQJ63" i="1"/>
  <c r="DQK63" i="1"/>
  <c r="DQL63" i="1"/>
  <c r="DQM63" i="1"/>
  <c r="DQN63" i="1"/>
  <c r="DQO63" i="1"/>
  <c r="DQP63" i="1"/>
  <c r="DQQ63" i="1"/>
  <c r="DQR63" i="1"/>
  <c r="DQS63" i="1"/>
  <c r="DQT63" i="1"/>
  <c r="DQU63" i="1"/>
  <c r="DQV63" i="1"/>
  <c r="DQW63" i="1"/>
  <c r="DQX63" i="1"/>
  <c r="DQY63" i="1"/>
  <c r="DQZ63" i="1"/>
  <c r="DRA63" i="1"/>
  <c r="DRB63" i="1"/>
  <c r="DRC63" i="1"/>
  <c r="DRD63" i="1"/>
  <c r="DRE63" i="1"/>
  <c r="DRF63" i="1"/>
  <c r="DRG63" i="1"/>
  <c r="DRH63" i="1"/>
  <c r="DRI63" i="1"/>
  <c r="DRJ63" i="1"/>
  <c r="DRK63" i="1"/>
  <c r="DRL63" i="1"/>
  <c r="DRM63" i="1"/>
  <c r="DRN63" i="1"/>
  <c r="DRO63" i="1"/>
  <c r="DRP63" i="1"/>
  <c r="DRQ63" i="1"/>
  <c r="DRR63" i="1"/>
  <c r="DRS63" i="1"/>
  <c r="DRT63" i="1"/>
  <c r="DRU63" i="1"/>
  <c r="DRV63" i="1"/>
  <c r="DRW63" i="1"/>
  <c r="DRX63" i="1"/>
  <c r="DRY63" i="1"/>
  <c r="DRZ63" i="1"/>
  <c r="DSA63" i="1"/>
  <c r="DSB63" i="1"/>
  <c r="DSC63" i="1"/>
  <c r="DSD63" i="1"/>
  <c r="DSE63" i="1"/>
  <c r="DSF63" i="1"/>
  <c r="DSG63" i="1"/>
  <c r="DSH63" i="1"/>
  <c r="DSI63" i="1"/>
  <c r="DSJ63" i="1"/>
  <c r="DSK63" i="1"/>
  <c r="DSL63" i="1"/>
  <c r="DSM63" i="1"/>
  <c r="DSN63" i="1"/>
  <c r="DSO63" i="1"/>
  <c r="DSP63" i="1"/>
  <c r="DSQ63" i="1"/>
  <c r="DSR63" i="1"/>
  <c r="DSS63" i="1"/>
  <c r="DST63" i="1"/>
  <c r="DSU63" i="1"/>
  <c r="DSV63" i="1"/>
  <c r="DSW63" i="1"/>
  <c r="DSX63" i="1"/>
  <c r="DSY63" i="1"/>
  <c r="DSZ63" i="1"/>
  <c r="DTA63" i="1"/>
  <c r="DTB63" i="1"/>
  <c r="DTC63" i="1"/>
  <c r="DTD63" i="1"/>
  <c r="DTE63" i="1"/>
  <c r="DTF63" i="1"/>
  <c r="DTG63" i="1"/>
  <c r="DTH63" i="1"/>
  <c r="DTI63" i="1"/>
  <c r="DTJ63" i="1"/>
  <c r="DTK63" i="1"/>
  <c r="DTL63" i="1"/>
  <c r="DTM63" i="1"/>
  <c r="DTN63" i="1"/>
  <c r="DTO63" i="1"/>
  <c r="DTP63" i="1"/>
  <c r="DTQ63" i="1"/>
  <c r="DTR63" i="1"/>
  <c r="DTS63" i="1"/>
  <c r="DTT63" i="1"/>
  <c r="DTU63" i="1"/>
  <c r="DTV63" i="1"/>
  <c r="DTW63" i="1"/>
  <c r="DTX63" i="1"/>
  <c r="DTY63" i="1"/>
  <c r="DTZ63" i="1"/>
  <c r="DUA63" i="1"/>
  <c r="DUB63" i="1"/>
  <c r="DUC63" i="1"/>
  <c r="DUD63" i="1"/>
  <c r="DUE63" i="1"/>
  <c r="DUF63" i="1"/>
  <c r="DUG63" i="1"/>
  <c r="DUH63" i="1"/>
  <c r="DUI63" i="1"/>
  <c r="DUJ63" i="1"/>
  <c r="DUK63" i="1"/>
  <c r="DUL63" i="1"/>
  <c r="DUM63" i="1"/>
  <c r="DUN63" i="1"/>
  <c r="DUO63" i="1"/>
  <c r="DUP63" i="1"/>
  <c r="DUQ63" i="1"/>
  <c r="DUR63" i="1"/>
  <c r="DUS63" i="1"/>
  <c r="DUT63" i="1"/>
  <c r="DUU63" i="1"/>
  <c r="DUV63" i="1"/>
  <c r="DUW63" i="1"/>
  <c r="DUX63" i="1"/>
  <c r="DUY63" i="1"/>
  <c r="DUZ63" i="1"/>
  <c r="DVA63" i="1"/>
  <c r="DVB63" i="1"/>
  <c r="DVC63" i="1"/>
  <c r="DVD63" i="1"/>
  <c r="DVE63" i="1"/>
  <c r="DVF63" i="1"/>
  <c r="DVG63" i="1"/>
  <c r="DVH63" i="1"/>
  <c r="DVI63" i="1"/>
  <c r="DVJ63" i="1"/>
  <c r="DVK63" i="1"/>
  <c r="DVL63" i="1"/>
  <c r="DVM63" i="1"/>
  <c r="DVN63" i="1"/>
  <c r="DVO63" i="1"/>
  <c r="DVP63" i="1"/>
  <c r="DVQ63" i="1"/>
  <c r="DVR63" i="1"/>
  <c r="DVS63" i="1"/>
  <c r="DVT63" i="1"/>
  <c r="DVU63" i="1"/>
  <c r="DVV63" i="1"/>
  <c r="DVW63" i="1"/>
  <c r="DVX63" i="1"/>
  <c r="DVY63" i="1"/>
  <c r="DVZ63" i="1"/>
  <c r="DWA63" i="1"/>
  <c r="DWB63" i="1"/>
  <c r="DWC63" i="1"/>
  <c r="DWD63" i="1"/>
  <c r="DWE63" i="1"/>
  <c r="DWF63" i="1"/>
  <c r="DWG63" i="1"/>
  <c r="DWH63" i="1"/>
  <c r="DWI63" i="1"/>
  <c r="DWJ63" i="1"/>
  <c r="DWK63" i="1"/>
  <c r="DWL63" i="1"/>
  <c r="DWM63" i="1"/>
  <c r="DWN63" i="1"/>
  <c r="DWO63" i="1"/>
  <c r="DWP63" i="1"/>
  <c r="DWQ63" i="1"/>
  <c r="DWR63" i="1"/>
  <c r="DWS63" i="1"/>
  <c r="DWT63" i="1"/>
  <c r="DWU63" i="1"/>
  <c r="DWV63" i="1"/>
  <c r="DWW63" i="1"/>
  <c r="DWX63" i="1"/>
  <c r="DWY63" i="1"/>
  <c r="DWZ63" i="1"/>
  <c r="DXA63" i="1"/>
  <c r="DXB63" i="1"/>
  <c r="DXC63" i="1"/>
  <c r="DXD63" i="1"/>
  <c r="DXE63" i="1"/>
  <c r="DXF63" i="1"/>
  <c r="DXG63" i="1"/>
  <c r="DXH63" i="1"/>
  <c r="DXI63" i="1"/>
  <c r="DXJ63" i="1"/>
  <c r="DXK63" i="1"/>
  <c r="DXL63" i="1"/>
  <c r="DXM63" i="1"/>
  <c r="DXN63" i="1"/>
  <c r="DXO63" i="1"/>
  <c r="DXP63" i="1"/>
  <c r="DXQ63" i="1"/>
  <c r="DXR63" i="1"/>
  <c r="DXS63" i="1"/>
  <c r="DXT63" i="1"/>
  <c r="DXU63" i="1"/>
  <c r="DXV63" i="1"/>
  <c r="DXW63" i="1"/>
  <c r="DXX63" i="1"/>
  <c r="DXY63" i="1"/>
  <c r="DXZ63" i="1"/>
  <c r="DYA63" i="1"/>
  <c r="DYB63" i="1"/>
  <c r="DYC63" i="1"/>
  <c r="DYD63" i="1"/>
  <c r="DYE63" i="1"/>
  <c r="DYF63" i="1"/>
  <c r="DYG63" i="1"/>
  <c r="DYH63" i="1"/>
  <c r="DYI63" i="1"/>
  <c r="DYJ63" i="1"/>
  <c r="DYK63" i="1"/>
  <c r="DYL63" i="1"/>
  <c r="DYM63" i="1"/>
  <c r="DYN63" i="1"/>
  <c r="DYO63" i="1"/>
  <c r="DYP63" i="1"/>
  <c r="DYQ63" i="1"/>
  <c r="DYR63" i="1"/>
  <c r="DYS63" i="1"/>
  <c r="DYT63" i="1"/>
  <c r="DYU63" i="1"/>
  <c r="DYV63" i="1"/>
  <c r="DYW63" i="1"/>
  <c r="DYX63" i="1"/>
  <c r="DYY63" i="1"/>
  <c r="DYZ63" i="1"/>
  <c r="DZA63" i="1"/>
  <c r="DZB63" i="1"/>
  <c r="DZC63" i="1"/>
  <c r="DZD63" i="1"/>
  <c r="DZE63" i="1"/>
  <c r="DZF63" i="1"/>
  <c r="DZG63" i="1"/>
  <c r="DZH63" i="1"/>
  <c r="DZI63" i="1"/>
  <c r="DZJ63" i="1"/>
  <c r="DZK63" i="1"/>
  <c r="DZL63" i="1"/>
  <c r="DZM63" i="1"/>
  <c r="DZN63" i="1"/>
  <c r="DZO63" i="1"/>
  <c r="DZP63" i="1"/>
  <c r="DZQ63" i="1"/>
  <c r="DZR63" i="1"/>
  <c r="DZS63" i="1"/>
  <c r="DZT63" i="1"/>
  <c r="DZU63" i="1"/>
  <c r="DZV63" i="1"/>
  <c r="DZW63" i="1"/>
  <c r="DZX63" i="1"/>
  <c r="DZY63" i="1"/>
  <c r="DZZ63" i="1"/>
  <c r="EAA63" i="1"/>
  <c r="EAB63" i="1"/>
  <c r="EAC63" i="1"/>
  <c r="EAD63" i="1"/>
  <c r="EAE63" i="1"/>
  <c r="EAF63" i="1"/>
  <c r="EAG63" i="1"/>
  <c r="EAH63" i="1"/>
  <c r="EAI63" i="1"/>
  <c r="EAJ63" i="1"/>
  <c r="EAK63" i="1"/>
  <c r="EAL63" i="1"/>
  <c r="EAM63" i="1"/>
  <c r="EAN63" i="1"/>
  <c r="EAO63" i="1"/>
  <c r="EAP63" i="1"/>
  <c r="EAQ63" i="1"/>
  <c r="EAR63" i="1"/>
  <c r="EAS63" i="1"/>
  <c r="EAT63" i="1"/>
  <c r="EAU63" i="1"/>
  <c r="EAV63" i="1"/>
  <c r="EAW63" i="1"/>
  <c r="EAX63" i="1"/>
  <c r="EAY63" i="1"/>
  <c r="EAZ63" i="1"/>
  <c r="EBA63" i="1"/>
  <c r="EBB63" i="1"/>
  <c r="EBC63" i="1"/>
  <c r="EBD63" i="1"/>
  <c r="EBE63" i="1"/>
  <c r="EBF63" i="1"/>
  <c r="EBG63" i="1"/>
  <c r="EBH63" i="1"/>
  <c r="EBI63" i="1"/>
  <c r="EBJ63" i="1"/>
  <c r="EBK63" i="1"/>
  <c r="EBL63" i="1"/>
  <c r="EBM63" i="1"/>
  <c r="EBN63" i="1"/>
  <c r="EBO63" i="1"/>
  <c r="EBP63" i="1"/>
  <c r="EBQ63" i="1"/>
  <c r="EBR63" i="1"/>
  <c r="EBS63" i="1"/>
  <c r="EBT63" i="1"/>
  <c r="EBU63" i="1"/>
  <c r="EBV63" i="1"/>
  <c r="EBW63" i="1"/>
  <c r="EBX63" i="1"/>
  <c r="EBY63" i="1"/>
  <c r="EBZ63" i="1"/>
  <c r="ECA63" i="1"/>
  <c r="ECB63" i="1"/>
  <c r="ECC63" i="1"/>
  <c r="ECD63" i="1"/>
  <c r="ECE63" i="1"/>
  <c r="ECF63" i="1"/>
  <c r="ECG63" i="1"/>
  <c r="ECH63" i="1"/>
  <c r="ECI63" i="1"/>
  <c r="ECJ63" i="1"/>
  <c r="ECK63" i="1"/>
  <c r="ECL63" i="1"/>
  <c r="ECM63" i="1"/>
  <c r="ECN63" i="1"/>
  <c r="ECO63" i="1"/>
  <c r="ECP63" i="1"/>
  <c r="ECQ63" i="1"/>
  <c r="ECR63" i="1"/>
  <c r="ECS63" i="1"/>
  <c r="ECT63" i="1"/>
  <c r="ECU63" i="1"/>
  <c r="ECV63" i="1"/>
  <c r="ECW63" i="1"/>
  <c r="ECX63" i="1"/>
  <c r="ECY63" i="1"/>
  <c r="ECZ63" i="1"/>
  <c r="EDA63" i="1"/>
  <c r="EDB63" i="1"/>
  <c r="EDC63" i="1"/>
  <c r="EDD63" i="1"/>
  <c r="EDE63" i="1"/>
  <c r="EDF63" i="1"/>
  <c r="EDG63" i="1"/>
  <c r="EDH63" i="1"/>
  <c r="EDI63" i="1"/>
  <c r="EDJ63" i="1"/>
  <c r="EDK63" i="1"/>
  <c r="EDL63" i="1"/>
  <c r="EDM63" i="1"/>
  <c r="EDN63" i="1"/>
  <c r="EDO63" i="1"/>
  <c r="EDP63" i="1"/>
  <c r="EDQ63" i="1"/>
  <c r="EDR63" i="1"/>
  <c r="EDS63" i="1"/>
  <c r="EDT63" i="1"/>
  <c r="EDU63" i="1"/>
  <c r="EDV63" i="1"/>
  <c r="EDW63" i="1"/>
  <c r="EDX63" i="1"/>
  <c r="EDY63" i="1"/>
  <c r="EDZ63" i="1"/>
  <c r="EEA63" i="1"/>
  <c r="EEB63" i="1"/>
  <c r="EEC63" i="1"/>
  <c r="EED63" i="1"/>
  <c r="EEE63" i="1"/>
  <c r="EEF63" i="1"/>
  <c r="EEG63" i="1"/>
  <c r="EEH63" i="1"/>
  <c r="EEI63" i="1"/>
  <c r="EEJ63" i="1"/>
  <c r="EEK63" i="1"/>
  <c r="EEL63" i="1"/>
  <c r="EEM63" i="1"/>
  <c r="EEN63" i="1"/>
  <c r="EEO63" i="1"/>
  <c r="EEP63" i="1"/>
  <c r="EEQ63" i="1"/>
  <c r="EER63" i="1"/>
  <c r="EES63" i="1"/>
  <c r="EET63" i="1"/>
  <c r="EEU63" i="1"/>
  <c r="EEV63" i="1"/>
  <c r="EEW63" i="1"/>
  <c r="EEX63" i="1"/>
  <c r="EEY63" i="1"/>
  <c r="EEZ63" i="1"/>
  <c r="EFA63" i="1"/>
  <c r="EFB63" i="1"/>
  <c r="EFC63" i="1"/>
  <c r="EFD63" i="1"/>
  <c r="EFE63" i="1"/>
  <c r="EFF63" i="1"/>
  <c r="EFG63" i="1"/>
  <c r="EFH63" i="1"/>
  <c r="EFI63" i="1"/>
  <c r="EFJ63" i="1"/>
  <c r="EFK63" i="1"/>
  <c r="EFL63" i="1"/>
  <c r="EFM63" i="1"/>
  <c r="EFN63" i="1"/>
  <c r="EFO63" i="1"/>
  <c r="EFP63" i="1"/>
  <c r="EFQ63" i="1"/>
  <c r="EFR63" i="1"/>
  <c r="EFS63" i="1"/>
  <c r="EFT63" i="1"/>
  <c r="EFU63" i="1"/>
  <c r="EFV63" i="1"/>
  <c r="EFW63" i="1"/>
  <c r="EFX63" i="1"/>
  <c r="EFY63" i="1"/>
  <c r="EFZ63" i="1"/>
  <c r="EGA63" i="1"/>
  <c r="EGB63" i="1"/>
  <c r="EGC63" i="1"/>
  <c r="EGD63" i="1"/>
  <c r="EGE63" i="1"/>
  <c r="EGF63" i="1"/>
  <c r="EGG63" i="1"/>
  <c r="EGH63" i="1"/>
  <c r="EGI63" i="1"/>
  <c r="EGJ63" i="1"/>
  <c r="EGK63" i="1"/>
  <c r="EGL63" i="1"/>
  <c r="EGM63" i="1"/>
  <c r="EGN63" i="1"/>
  <c r="EGO63" i="1"/>
  <c r="EGP63" i="1"/>
  <c r="EGQ63" i="1"/>
  <c r="EGR63" i="1"/>
  <c r="EGS63" i="1"/>
  <c r="EGT63" i="1"/>
  <c r="EGU63" i="1"/>
  <c r="EGV63" i="1"/>
  <c r="EGW63" i="1"/>
  <c r="EGX63" i="1"/>
  <c r="EGY63" i="1"/>
  <c r="EGZ63" i="1"/>
  <c r="EHA63" i="1"/>
  <c r="EHB63" i="1"/>
  <c r="EHC63" i="1"/>
  <c r="EHD63" i="1"/>
  <c r="EHE63" i="1"/>
  <c r="EHF63" i="1"/>
  <c r="EHG63" i="1"/>
  <c r="EHH63" i="1"/>
  <c r="EHI63" i="1"/>
  <c r="EHJ63" i="1"/>
  <c r="EHK63" i="1"/>
  <c r="EHL63" i="1"/>
  <c r="EHM63" i="1"/>
  <c r="EHN63" i="1"/>
  <c r="EHO63" i="1"/>
  <c r="EHP63" i="1"/>
  <c r="EHQ63" i="1"/>
  <c r="EHR63" i="1"/>
  <c r="EHS63" i="1"/>
  <c r="EHT63" i="1"/>
  <c r="EHU63" i="1"/>
  <c r="EHV63" i="1"/>
  <c r="EHW63" i="1"/>
  <c r="EHX63" i="1"/>
  <c r="EHY63" i="1"/>
  <c r="EHZ63" i="1"/>
  <c r="EIA63" i="1"/>
  <c r="EIB63" i="1"/>
  <c r="EIC63" i="1"/>
  <c r="EID63" i="1"/>
  <c r="EIE63" i="1"/>
  <c r="EIF63" i="1"/>
  <c r="EIG63" i="1"/>
  <c r="EIH63" i="1"/>
  <c r="EII63" i="1"/>
  <c r="EIJ63" i="1"/>
  <c r="EIK63" i="1"/>
  <c r="EIL63" i="1"/>
  <c r="EIM63" i="1"/>
  <c r="EIN63" i="1"/>
  <c r="EIO63" i="1"/>
  <c r="EIP63" i="1"/>
  <c r="EIQ63" i="1"/>
  <c r="EIR63" i="1"/>
  <c r="EIS63" i="1"/>
  <c r="EIT63" i="1"/>
  <c r="EIU63" i="1"/>
  <c r="EIV63" i="1"/>
  <c r="EIW63" i="1"/>
  <c r="EIX63" i="1"/>
  <c r="EIY63" i="1"/>
  <c r="EIZ63" i="1"/>
  <c r="EJA63" i="1"/>
  <c r="EJB63" i="1"/>
  <c r="EJC63" i="1"/>
  <c r="EJD63" i="1"/>
  <c r="EJE63" i="1"/>
  <c r="EJF63" i="1"/>
  <c r="EJG63" i="1"/>
  <c r="EJH63" i="1"/>
  <c r="EJI63" i="1"/>
  <c r="EJJ63" i="1"/>
  <c r="EJK63" i="1"/>
  <c r="EJL63" i="1"/>
  <c r="EJM63" i="1"/>
  <c r="EJN63" i="1"/>
  <c r="EJO63" i="1"/>
  <c r="EJP63" i="1"/>
  <c r="EJQ63" i="1"/>
  <c r="EJR63" i="1"/>
  <c r="EJS63" i="1"/>
  <c r="EJT63" i="1"/>
  <c r="EJU63" i="1"/>
  <c r="EJV63" i="1"/>
  <c r="EJW63" i="1"/>
  <c r="EJX63" i="1"/>
  <c r="EJY63" i="1"/>
  <c r="EJZ63" i="1"/>
  <c r="EKA63" i="1"/>
  <c r="EKB63" i="1"/>
  <c r="EKC63" i="1"/>
  <c r="EKD63" i="1"/>
  <c r="EKE63" i="1"/>
  <c r="EKF63" i="1"/>
  <c r="EKG63" i="1"/>
  <c r="EKH63" i="1"/>
  <c r="EKI63" i="1"/>
  <c r="EKJ63" i="1"/>
  <c r="EKK63" i="1"/>
  <c r="EKL63" i="1"/>
  <c r="EKM63" i="1"/>
  <c r="EKN63" i="1"/>
  <c r="EKO63" i="1"/>
  <c r="EKP63" i="1"/>
  <c r="EKQ63" i="1"/>
  <c r="EKR63" i="1"/>
  <c r="EKS63" i="1"/>
  <c r="EKT63" i="1"/>
  <c r="EKU63" i="1"/>
  <c r="EKV63" i="1"/>
  <c r="EKW63" i="1"/>
  <c r="EKX63" i="1"/>
  <c r="EKY63" i="1"/>
  <c r="EKZ63" i="1"/>
  <c r="ELA63" i="1"/>
  <c r="ELB63" i="1"/>
  <c r="ELC63" i="1"/>
  <c r="ELD63" i="1"/>
  <c r="ELE63" i="1"/>
  <c r="ELF63" i="1"/>
  <c r="ELG63" i="1"/>
  <c r="ELH63" i="1"/>
  <c r="ELI63" i="1"/>
  <c r="ELJ63" i="1"/>
  <c r="ELK63" i="1"/>
  <c r="ELL63" i="1"/>
  <c r="ELM63" i="1"/>
  <c r="ELN63" i="1"/>
  <c r="ELO63" i="1"/>
  <c r="ELP63" i="1"/>
  <c r="ELQ63" i="1"/>
  <c r="ELR63" i="1"/>
  <c r="ELS63" i="1"/>
  <c r="ELT63" i="1"/>
  <c r="ELU63" i="1"/>
  <c r="ELV63" i="1"/>
  <c r="ELW63" i="1"/>
  <c r="ELX63" i="1"/>
  <c r="ELY63" i="1"/>
  <c r="ELZ63" i="1"/>
  <c r="EMA63" i="1"/>
  <c r="EMB63" i="1"/>
  <c r="EMC63" i="1"/>
  <c r="EMD63" i="1"/>
  <c r="EME63" i="1"/>
  <c r="EMF63" i="1"/>
  <c r="EMG63" i="1"/>
  <c r="EMH63" i="1"/>
  <c r="EMI63" i="1"/>
  <c r="EMJ63" i="1"/>
  <c r="EMK63" i="1"/>
  <c r="EML63" i="1"/>
  <c r="EMM63" i="1"/>
  <c r="EMN63" i="1"/>
  <c r="EMO63" i="1"/>
  <c r="EMP63" i="1"/>
  <c r="EMQ63" i="1"/>
  <c r="EMR63" i="1"/>
  <c r="EMS63" i="1"/>
  <c r="EMT63" i="1"/>
  <c r="EMU63" i="1"/>
  <c r="EMV63" i="1"/>
  <c r="EMW63" i="1"/>
  <c r="EMX63" i="1"/>
  <c r="EMY63" i="1"/>
  <c r="EMZ63" i="1"/>
  <c r="ENA63" i="1"/>
  <c r="ENB63" i="1"/>
  <c r="ENC63" i="1"/>
  <c r="END63" i="1"/>
  <c r="ENE63" i="1"/>
  <c r="ENF63" i="1"/>
  <c r="ENG63" i="1"/>
  <c r="ENH63" i="1"/>
  <c r="ENI63" i="1"/>
  <c r="ENJ63" i="1"/>
  <c r="ENK63" i="1"/>
  <c r="ENL63" i="1"/>
  <c r="ENM63" i="1"/>
  <c r="ENN63" i="1"/>
  <c r="ENO63" i="1"/>
  <c r="ENP63" i="1"/>
  <c r="ENQ63" i="1"/>
  <c r="ENR63" i="1"/>
  <c r="ENS63" i="1"/>
  <c r="ENT63" i="1"/>
  <c r="ENU63" i="1"/>
  <c r="ENV63" i="1"/>
  <c r="ENW63" i="1"/>
  <c r="ENX63" i="1"/>
  <c r="ENY63" i="1"/>
  <c r="ENZ63" i="1"/>
  <c r="EOA63" i="1"/>
  <c r="EOB63" i="1"/>
  <c r="EOC63" i="1"/>
  <c r="EOD63" i="1"/>
  <c r="EOE63" i="1"/>
  <c r="EOF63" i="1"/>
  <c r="EOG63" i="1"/>
  <c r="EOH63" i="1"/>
  <c r="EOI63" i="1"/>
  <c r="EOJ63" i="1"/>
  <c r="EOK63" i="1"/>
  <c r="EOL63" i="1"/>
  <c r="EOM63" i="1"/>
  <c r="EON63" i="1"/>
  <c r="EOO63" i="1"/>
  <c r="EOP63" i="1"/>
  <c r="EOQ63" i="1"/>
  <c r="EOR63" i="1"/>
  <c r="EOS63" i="1"/>
  <c r="EOT63" i="1"/>
  <c r="EOU63" i="1"/>
  <c r="EOV63" i="1"/>
  <c r="EOW63" i="1"/>
  <c r="EOX63" i="1"/>
  <c r="EOY63" i="1"/>
  <c r="EOZ63" i="1"/>
  <c r="EPA63" i="1"/>
  <c r="EPB63" i="1"/>
  <c r="EPC63" i="1"/>
  <c r="EPD63" i="1"/>
  <c r="EPE63" i="1"/>
  <c r="EPF63" i="1"/>
  <c r="EPG63" i="1"/>
  <c r="EPH63" i="1"/>
  <c r="EPI63" i="1"/>
  <c r="EPJ63" i="1"/>
  <c r="EPK63" i="1"/>
  <c r="EPL63" i="1"/>
  <c r="EPM63" i="1"/>
  <c r="EPN63" i="1"/>
  <c r="EPO63" i="1"/>
  <c r="EPP63" i="1"/>
  <c r="EPQ63" i="1"/>
  <c r="EPR63" i="1"/>
  <c r="EPS63" i="1"/>
  <c r="EPT63" i="1"/>
  <c r="EPU63" i="1"/>
  <c r="EPV63" i="1"/>
  <c r="EPW63" i="1"/>
  <c r="EPX63" i="1"/>
  <c r="EPY63" i="1"/>
  <c r="EPZ63" i="1"/>
  <c r="EQA63" i="1"/>
  <c r="EQB63" i="1"/>
  <c r="EQC63" i="1"/>
  <c r="EQD63" i="1"/>
  <c r="EQE63" i="1"/>
  <c r="EQF63" i="1"/>
  <c r="EQG63" i="1"/>
  <c r="EQH63" i="1"/>
  <c r="EQI63" i="1"/>
  <c r="EQJ63" i="1"/>
  <c r="EQK63" i="1"/>
  <c r="EQL63" i="1"/>
  <c r="EQM63" i="1"/>
  <c r="EQN63" i="1"/>
  <c r="EQO63" i="1"/>
  <c r="EQP63" i="1"/>
  <c r="EQQ63" i="1"/>
  <c r="EQR63" i="1"/>
  <c r="EQS63" i="1"/>
  <c r="EQT63" i="1"/>
  <c r="EQU63" i="1"/>
  <c r="EQV63" i="1"/>
  <c r="EQW63" i="1"/>
  <c r="EQX63" i="1"/>
  <c r="EQY63" i="1"/>
  <c r="EQZ63" i="1"/>
  <c r="ERA63" i="1"/>
  <c r="ERB63" i="1"/>
  <c r="ERC63" i="1"/>
  <c r="ERD63" i="1"/>
  <c r="ERE63" i="1"/>
  <c r="ERF63" i="1"/>
  <c r="ERG63" i="1"/>
  <c r="ERH63" i="1"/>
  <c r="ERI63" i="1"/>
  <c r="ERJ63" i="1"/>
  <c r="ERK63" i="1"/>
  <c r="ERL63" i="1"/>
  <c r="ERM63" i="1"/>
  <c r="ERN63" i="1"/>
  <c r="ERO63" i="1"/>
  <c r="ERP63" i="1"/>
  <c r="ERQ63" i="1"/>
  <c r="ERR63" i="1"/>
  <c r="ERS63" i="1"/>
  <c r="ERT63" i="1"/>
  <c r="ERU63" i="1"/>
  <c r="ERV63" i="1"/>
  <c r="ERW63" i="1"/>
  <c r="ERX63" i="1"/>
  <c r="ERY63" i="1"/>
  <c r="ERZ63" i="1"/>
  <c r="ESA63" i="1"/>
  <c r="ESB63" i="1"/>
  <c r="ESC63" i="1"/>
  <c r="ESD63" i="1"/>
  <c r="ESE63" i="1"/>
  <c r="ESF63" i="1"/>
  <c r="ESG63" i="1"/>
  <c r="ESH63" i="1"/>
  <c r="ESI63" i="1"/>
  <c r="ESJ63" i="1"/>
  <c r="ESK63" i="1"/>
  <c r="ESL63" i="1"/>
  <c r="ESM63" i="1"/>
  <c r="ESN63" i="1"/>
  <c r="ESO63" i="1"/>
  <c r="ESP63" i="1"/>
  <c r="ESQ63" i="1"/>
  <c r="ESR63" i="1"/>
  <c r="ESS63" i="1"/>
  <c r="EST63" i="1"/>
  <c r="ESU63" i="1"/>
  <c r="ESV63" i="1"/>
  <c r="ESW63" i="1"/>
  <c r="ESX63" i="1"/>
  <c r="ESY63" i="1"/>
  <c r="ESZ63" i="1"/>
  <c r="ETA63" i="1"/>
  <c r="ETB63" i="1"/>
  <c r="ETC63" i="1"/>
  <c r="ETD63" i="1"/>
  <c r="ETE63" i="1"/>
  <c r="ETF63" i="1"/>
  <c r="ETG63" i="1"/>
  <c r="ETH63" i="1"/>
  <c r="ETI63" i="1"/>
  <c r="ETJ63" i="1"/>
  <c r="ETK63" i="1"/>
  <c r="ETL63" i="1"/>
  <c r="ETM63" i="1"/>
  <c r="ETN63" i="1"/>
  <c r="ETO63" i="1"/>
  <c r="ETP63" i="1"/>
  <c r="ETQ63" i="1"/>
  <c r="ETR63" i="1"/>
  <c r="ETS63" i="1"/>
  <c r="ETT63" i="1"/>
  <c r="ETU63" i="1"/>
  <c r="ETV63" i="1"/>
  <c r="ETW63" i="1"/>
  <c r="ETX63" i="1"/>
  <c r="ETY63" i="1"/>
  <c r="ETZ63" i="1"/>
  <c r="EUA63" i="1"/>
  <c r="EUB63" i="1"/>
  <c r="EUC63" i="1"/>
  <c r="EUD63" i="1"/>
  <c r="EUE63" i="1"/>
  <c r="EUF63" i="1"/>
  <c r="EUG63" i="1"/>
  <c r="EUH63" i="1"/>
  <c r="EUI63" i="1"/>
  <c r="EUJ63" i="1"/>
  <c r="EUK63" i="1"/>
  <c r="EUL63" i="1"/>
  <c r="EUM63" i="1"/>
  <c r="EUN63" i="1"/>
  <c r="EUO63" i="1"/>
  <c r="EUP63" i="1"/>
  <c r="EUQ63" i="1"/>
  <c r="EUR63" i="1"/>
  <c r="EUS63" i="1"/>
  <c r="EUT63" i="1"/>
  <c r="EUU63" i="1"/>
  <c r="EUV63" i="1"/>
  <c r="EUW63" i="1"/>
  <c r="EUX63" i="1"/>
  <c r="EUY63" i="1"/>
  <c r="EUZ63" i="1"/>
  <c r="EVA63" i="1"/>
  <c r="EVB63" i="1"/>
  <c r="EVC63" i="1"/>
  <c r="EVD63" i="1"/>
  <c r="EVE63" i="1"/>
  <c r="EVF63" i="1"/>
  <c r="EVG63" i="1"/>
  <c r="EVH63" i="1"/>
  <c r="EVI63" i="1"/>
  <c r="EVJ63" i="1"/>
  <c r="EVK63" i="1"/>
  <c r="EVL63" i="1"/>
  <c r="EVM63" i="1"/>
  <c r="EVN63" i="1"/>
  <c r="EVO63" i="1"/>
  <c r="EVP63" i="1"/>
  <c r="EVQ63" i="1"/>
  <c r="EVR63" i="1"/>
  <c r="EVS63" i="1"/>
  <c r="EVT63" i="1"/>
  <c r="EVU63" i="1"/>
  <c r="EVV63" i="1"/>
  <c r="EVW63" i="1"/>
  <c r="EVX63" i="1"/>
  <c r="EVY63" i="1"/>
  <c r="EVZ63" i="1"/>
  <c r="EWA63" i="1"/>
  <c r="EWB63" i="1"/>
  <c r="EWC63" i="1"/>
  <c r="EWD63" i="1"/>
  <c r="EWE63" i="1"/>
  <c r="EWF63" i="1"/>
  <c r="EWG63" i="1"/>
  <c r="EWH63" i="1"/>
  <c r="EWI63" i="1"/>
  <c r="EWJ63" i="1"/>
  <c r="EWK63" i="1"/>
  <c r="EWL63" i="1"/>
  <c r="EWM63" i="1"/>
  <c r="EWN63" i="1"/>
  <c r="EWO63" i="1"/>
  <c r="EWP63" i="1"/>
  <c r="EWQ63" i="1"/>
  <c r="EWR63" i="1"/>
  <c r="EWS63" i="1"/>
  <c r="EWT63" i="1"/>
  <c r="EWU63" i="1"/>
  <c r="EWV63" i="1"/>
  <c r="EWW63" i="1"/>
  <c r="EWX63" i="1"/>
  <c r="EWY63" i="1"/>
  <c r="EWZ63" i="1"/>
  <c r="EXA63" i="1"/>
  <c r="EXB63" i="1"/>
  <c r="EXC63" i="1"/>
  <c r="EXD63" i="1"/>
  <c r="EXE63" i="1"/>
  <c r="EXF63" i="1"/>
  <c r="EXG63" i="1"/>
  <c r="EXH63" i="1"/>
  <c r="EXI63" i="1"/>
  <c r="EXJ63" i="1"/>
  <c r="EXK63" i="1"/>
  <c r="EXL63" i="1"/>
  <c r="EXM63" i="1"/>
  <c r="EXN63" i="1"/>
  <c r="EXO63" i="1"/>
  <c r="EXP63" i="1"/>
  <c r="EXQ63" i="1"/>
  <c r="EXR63" i="1"/>
  <c r="EXS63" i="1"/>
  <c r="EXT63" i="1"/>
  <c r="EXU63" i="1"/>
  <c r="EXV63" i="1"/>
  <c r="EXW63" i="1"/>
  <c r="EXX63" i="1"/>
  <c r="EXY63" i="1"/>
  <c r="EXZ63" i="1"/>
  <c r="EYA63" i="1"/>
  <c r="EYB63" i="1"/>
  <c r="EYC63" i="1"/>
  <c r="EYD63" i="1"/>
  <c r="EYE63" i="1"/>
  <c r="EYF63" i="1"/>
  <c r="EYG63" i="1"/>
  <c r="EYH63" i="1"/>
  <c r="EYI63" i="1"/>
  <c r="EYJ63" i="1"/>
  <c r="EYK63" i="1"/>
  <c r="EYL63" i="1"/>
  <c r="EYM63" i="1"/>
  <c r="EYN63" i="1"/>
  <c r="EYO63" i="1"/>
  <c r="EYP63" i="1"/>
  <c r="EYQ63" i="1"/>
  <c r="EYR63" i="1"/>
  <c r="EYS63" i="1"/>
  <c r="EYT63" i="1"/>
  <c r="EYU63" i="1"/>
  <c r="EYV63" i="1"/>
  <c r="EYW63" i="1"/>
  <c r="EYX63" i="1"/>
  <c r="EYY63" i="1"/>
  <c r="EYZ63" i="1"/>
  <c r="EZA63" i="1"/>
  <c r="EZB63" i="1"/>
  <c r="EZC63" i="1"/>
  <c r="EZD63" i="1"/>
  <c r="EZE63" i="1"/>
  <c r="EZF63" i="1"/>
  <c r="EZG63" i="1"/>
  <c r="EZH63" i="1"/>
  <c r="EZI63" i="1"/>
  <c r="EZJ63" i="1"/>
  <c r="EZK63" i="1"/>
  <c r="EZL63" i="1"/>
  <c r="EZM63" i="1"/>
  <c r="EZN63" i="1"/>
  <c r="EZO63" i="1"/>
  <c r="EZP63" i="1"/>
  <c r="EZQ63" i="1"/>
  <c r="EZR63" i="1"/>
  <c r="EZS63" i="1"/>
  <c r="EZT63" i="1"/>
  <c r="EZU63" i="1"/>
  <c r="EZV63" i="1"/>
  <c r="EZW63" i="1"/>
  <c r="EZX63" i="1"/>
  <c r="EZY63" i="1"/>
  <c r="EZZ63" i="1"/>
  <c r="FAA63" i="1"/>
  <c r="FAB63" i="1"/>
  <c r="FAC63" i="1"/>
  <c r="FAD63" i="1"/>
  <c r="FAE63" i="1"/>
  <c r="FAF63" i="1"/>
  <c r="FAG63" i="1"/>
  <c r="FAH63" i="1"/>
  <c r="FAI63" i="1"/>
  <c r="FAJ63" i="1"/>
  <c r="FAK63" i="1"/>
  <c r="FAL63" i="1"/>
  <c r="FAM63" i="1"/>
  <c r="FAN63" i="1"/>
  <c r="FAO63" i="1"/>
  <c r="FAP63" i="1"/>
  <c r="FAQ63" i="1"/>
  <c r="FAR63" i="1"/>
  <c r="FAS63" i="1"/>
  <c r="FAT63" i="1"/>
  <c r="FAU63" i="1"/>
  <c r="FAV63" i="1"/>
  <c r="FAW63" i="1"/>
  <c r="FAX63" i="1"/>
  <c r="FAY63" i="1"/>
  <c r="FAZ63" i="1"/>
  <c r="FBA63" i="1"/>
  <c r="FBB63" i="1"/>
  <c r="FBC63" i="1"/>
  <c r="FBD63" i="1"/>
  <c r="FBE63" i="1"/>
  <c r="FBF63" i="1"/>
  <c r="FBG63" i="1"/>
  <c r="FBH63" i="1"/>
  <c r="FBI63" i="1"/>
  <c r="FBJ63" i="1"/>
  <c r="FBK63" i="1"/>
  <c r="FBL63" i="1"/>
  <c r="FBM63" i="1"/>
  <c r="FBN63" i="1"/>
  <c r="FBO63" i="1"/>
  <c r="FBP63" i="1"/>
  <c r="FBQ63" i="1"/>
  <c r="FBR63" i="1"/>
  <c r="FBS63" i="1"/>
  <c r="FBT63" i="1"/>
  <c r="FBU63" i="1"/>
  <c r="FBV63" i="1"/>
  <c r="FBW63" i="1"/>
  <c r="FBX63" i="1"/>
  <c r="FBY63" i="1"/>
  <c r="FBZ63" i="1"/>
  <c r="FCA63" i="1"/>
  <c r="FCB63" i="1"/>
  <c r="FCC63" i="1"/>
  <c r="FCD63" i="1"/>
  <c r="FCE63" i="1"/>
  <c r="FCF63" i="1"/>
  <c r="FCG63" i="1"/>
  <c r="FCH63" i="1"/>
  <c r="FCI63" i="1"/>
  <c r="FCJ63" i="1"/>
  <c r="FCK63" i="1"/>
  <c r="FCL63" i="1"/>
  <c r="FCM63" i="1"/>
  <c r="FCN63" i="1"/>
  <c r="FCO63" i="1"/>
  <c r="FCP63" i="1"/>
  <c r="FCQ63" i="1"/>
  <c r="FCR63" i="1"/>
  <c r="FCS63" i="1"/>
  <c r="FCT63" i="1"/>
  <c r="FCU63" i="1"/>
  <c r="FCV63" i="1"/>
  <c r="FCW63" i="1"/>
  <c r="FCX63" i="1"/>
  <c r="FCY63" i="1"/>
  <c r="FCZ63" i="1"/>
  <c r="FDA63" i="1"/>
  <c r="FDB63" i="1"/>
  <c r="FDC63" i="1"/>
  <c r="FDD63" i="1"/>
  <c r="FDE63" i="1"/>
  <c r="FDF63" i="1"/>
  <c r="FDG63" i="1"/>
  <c r="FDH63" i="1"/>
  <c r="FDI63" i="1"/>
  <c r="FDJ63" i="1"/>
  <c r="FDK63" i="1"/>
  <c r="FDL63" i="1"/>
  <c r="FDM63" i="1"/>
  <c r="FDN63" i="1"/>
  <c r="FDO63" i="1"/>
  <c r="FDP63" i="1"/>
  <c r="FDQ63" i="1"/>
  <c r="FDR63" i="1"/>
  <c r="FDS63" i="1"/>
  <c r="FDT63" i="1"/>
  <c r="FDU63" i="1"/>
  <c r="FDV63" i="1"/>
  <c r="FDW63" i="1"/>
  <c r="FDX63" i="1"/>
  <c r="FDY63" i="1"/>
  <c r="FDZ63" i="1"/>
  <c r="FEA63" i="1"/>
  <c r="FEB63" i="1"/>
  <c r="FEC63" i="1"/>
  <c r="FED63" i="1"/>
  <c r="FEE63" i="1"/>
  <c r="FEF63" i="1"/>
  <c r="FEG63" i="1"/>
  <c r="FEH63" i="1"/>
  <c r="FEI63" i="1"/>
  <c r="FEJ63" i="1"/>
  <c r="FEK63" i="1"/>
  <c r="FEL63" i="1"/>
  <c r="FEM63" i="1"/>
  <c r="FEN63" i="1"/>
  <c r="FEO63" i="1"/>
  <c r="FEP63" i="1"/>
  <c r="FEQ63" i="1"/>
  <c r="FER63" i="1"/>
  <c r="FES63" i="1"/>
  <c r="FET63" i="1"/>
  <c r="FEU63" i="1"/>
  <c r="FEV63" i="1"/>
  <c r="FEW63" i="1"/>
  <c r="FEX63" i="1"/>
  <c r="FEY63" i="1"/>
  <c r="FEZ63" i="1"/>
  <c r="FFA63" i="1"/>
  <c r="FFB63" i="1"/>
  <c r="FFC63" i="1"/>
  <c r="FFD63" i="1"/>
  <c r="FFE63" i="1"/>
  <c r="FFF63" i="1"/>
  <c r="FFG63" i="1"/>
  <c r="FFH63" i="1"/>
  <c r="FFI63" i="1"/>
  <c r="FFJ63" i="1"/>
  <c r="FFK63" i="1"/>
  <c r="FFL63" i="1"/>
  <c r="FFM63" i="1"/>
  <c r="FFN63" i="1"/>
  <c r="FFO63" i="1"/>
  <c r="FFP63" i="1"/>
  <c r="FFQ63" i="1"/>
  <c r="FFR63" i="1"/>
  <c r="FFS63" i="1"/>
  <c r="FFT63" i="1"/>
  <c r="FFU63" i="1"/>
  <c r="FFV63" i="1"/>
  <c r="FFW63" i="1"/>
  <c r="FFX63" i="1"/>
  <c r="FFY63" i="1"/>
  <c r="FFZ63" i="1"/>
  <c r="FGA63" i="1"/>
  <c r="FGB63" i="1"/>
  <c r="FGC63" i="1"/>
  <c r="FGD63" i="1"/>
  <c r="FGE63" i="1"/>
  <c r="FGF63" i="1"/>
  <c r="FGG63" i="1"/>
  <c r="FGH63" i="1"/>
  <c r="FGI63" i="1"/>
  <c r="FGJ63" i="1"/>
  <c r="FGK63" i="1"/>
  <c r="FGL63" i="1"/>
  <c r="FGM63" i="1"/>
  <c r="FGN63" i="1"/>
  <c r="FGO63" i="1"/>
  <c r="FGP63" i="1"/>
  <c r="FGQ63" i="1"/>
  <c r="FGR63" i="1"/>
  <c r="FGS63" i="1"/>
  <c r="FGT63" i="1"/>
  <c r="FGU63" i="1"/>
  <c r="FGV63" i="1"/>
  <c r="FGW63" i="1"/>
  <c r="FGX63" i="1"/>
  <c r="FGY63" i="1"/>
  <c r="FGZ63" i="1"/>
  <c r="FHA63" i="1"/>
  <c r="FHB63" i="1"/>
  <c r="FHC63" i="1"/>
  <c r="FHD63" i="1"/>
  <c r="FHE63" i="1"/>
  <c r="FHF63" i="1"/>
  <c r="FHG63" i="1"/>
  <c r="FHH63" i="1"/>
  <c r="FHI63" i="1"/>
  <c r="FHJ63" i="1"/>
  <c r="FHK63" i="1"/>
  <c r="FHL63" i="1"/>
  <c r="FHM63" i="1"/>
  <c r="FHN63" i="1"/>
  <c r="FHO63" i="1"/>
  <c r="FHP63" i="1"/>
  <c r="FHQ63" i="1"/>
  <c r="FHR63" i="1"/>
  <c r="FHS63" i="1"/>
  <c r="FHT63" i="1"/>
  <c r="FHU63" i="1"/>
  <c r="FHV63" i="1"/>
  <c r="FHW63" i="1"/>
  <c r="FHX63" i="1"/>
  <c r="FHY63" i="1"/>
  <c r="FHZ63" i="1"/>
  <c r="FIA63" i="1"/>
  <c r="FIB63" i="1"/>
  <c r="FIC63" i="1"/>
  <c r="FID63" i="1"/>
  <c r="FIE63" i="1"/>
  <c r="FIF63" i="1"/>
  <c r="FIG63" i="1"/>
  <c r="FIH63" i="1"/>
  <c r="FII63" i="1"/>
  <c r="FIJ63" i="1"/>
  <c r="FIK63" i="1"/>
  <c r="FIL63" i="1"/>
  <c r="FIM63" i="1"/>
  <c r="FIN63" i="1"/>
  <c r="FIO63" i="1"/>
  <c r="FIP63" i="1"/>
  <c r="FIQ63" i="1"/>
  <c r="FIR63" i="1"/>
  <c r="FIS63" i="1"/>
  <c r="FIT63" i="1"/>
  <c r="FIU63" i="1"/>
  <c r="FIV63" i="1"/>
  <c r="FIW63" i="1"/>
  <c r="FIX63" i="1"/>
  <c r="FIY63" i="1"/>
  <c r="FIZ63" i="1"/>
  <c r="FJA63" i="1"/>
  <c r="FJB63" i="1"/>
  <c r="FJC63" i="1"/>
  <c r="FJD63" i="1"/>
  <c r="FJE63" i="1"/>
  <c r="FJF63" i="1"/>
  <c r="FJG63" i="1"/>
  <c r="FJH63" i="1"/>
  <c r="FJI63" i="1"/>
  <c r="FJJ63" i="1"/>
  <c r="FJK63" i="1"/>
  <c r="FJL63" i="1"/>
  <c r="FJM63" i="1"/>
  <c r="FJN63" i="1"/>
  <c r="FJO63" i="1"/>
  <c r="FJP63" i="1"/>
  <c r="FJQ63" i="1"/>
  <c r="FJR63" i="1"/>
  <c r="FJS63" i="1"/>
  <c r="FJT63" i="1"/>
  <c r="FJU63" i="1"/>
  <c r="FJV63" i="1"/>
  <c r="FJW63" i="1"/>
  <c r="FJX63" i="1"/>
  <c r="FJY63" i="1"/>
  <c r="FJZ63" i="1"/>
  <c r="FKA63" i="1"/>
  <c r="FKB63" i="1"/>
  <c r="FKC63" i="1"/>
  <c r="FKD63" i="1"/>
  <c r="FKE63" i="1"/>
  <c r="FKF63" i="1"/>
  <c r="FKG63" i="1"/>
  <c r="FKH63" i="1"/>
  <c r="FKI63" i="1"/>
  <c r="FKJ63" i="1"/>
  <c r="FKK63" i="1"/>
  <c r="FKL63" i="1"/>
  <c r="FKM63" i="1"/>
  <c r="FKN63" i="1"/>
  <c r="FKO63" i="1"/>
  <c r="FKP63" i="1"/>
  <c r="FKQ63" i="1"/>
  <c r="FKR63" i="1"/>
  <c r="FKS63" i="1"/>
  <c r="FKT63" i="1"/>
  <c r="FKU63" i="1"/>
  <c r="FKV63" i="1"/>
  <c r="FKW63" i="1"/>
  <c r="FKX63" i="1"/>
  <c r="FKY63" i="1"/>
  <c r="FKZ63" i="1"/>
  <c r="FLA63" i="1"/>
  <c r="FLB63" i="1"/>
  <c r="FLC63" i="1"/>
  <c r="FLD63" i="1"/>
  <c r="FLE63" i="1"/>
  <c r="FLF63" i="1"/>
  <c r="FLG63" i="1"/>
  <c r="FLH63" i="1"/>
  <c r="FLI63" i="1"/>
  <c r="FLJ63" i="1"/>
  <c r="FLK63" i="1"/>
  <c r="FLL63" i="1"/>
  <c r="FLM63" i="1"/>
  <c r="FLN63" i="1"/>
  <c r="FLO63" i="1"/>
  <c r="FLP63" i="1"/>
  <c r="FLQ63" i="1"/>
  <c r="FLR63" i="1"/>
  <c r="FLS63" i="1"/>
  <c r="FLT63" i="1"/>
  <c r="FLU63" i="1"/>
  <c r="FLV63" i="1"/>
  <c r="FLW63" i="1"/>
  <c r="FLX63" i="1"/>
  <c r="FLY63" i="1"/>
  <c r="FLZ63" i="1"/>
  <c r="FMA63" i="1"/>
  <c r="FMB63" i="1"/>
  <c r="FMC63" i="1"/>
  <c r="FMD63" i="1"/>
  <c r="FME63" i="1"/>
  <c r="FMF63" i="1"/>
  <c r="FMG63" i="1"/>
  <c r="FMH63" i="1"/>
  <c r="FMI63" i="1"/>
  <c r="FMJ63" i="1"/>
  <c r="FMK63" i="1"/>
  <c r="FML63" i="1"/>
  <c r="FMM63" i="1"/>
  <c r="FMN63" i="1"/>
  <c r="FMO63" i="1"/>
  <c r="FMP63" i="1"/>
  <c r="FMQ63" i="1"/>
  <c r="FMR63" i="1"/>
  <c r="FMS63" i="1"/>
  <c r="FMT63" i="1"/>
  <c r="FMU63" i="1"/>
  <c r="FMV63" i="1"/>
  <c r="FMW63" i="1"/>
  <c r="FMX63" i="1"/>
  <c r="FMY63" i="1"/>
  <c r="FMZ63" i="1"/>
  <c r="FNA63" i="1"/>
  <c r="FNB63" i="1"/>
  <c r="FNC63" i="1"/>
  <c r="FND63" i="1"/>
  <c r="FNE63" i="1"/>
  <c r="FNF63" i="1"/>
  <c r="FNG63" i="1"/>
  <c r="FNH63" i="1"/>
  <c r="FNI63" i="1"/>
  <c r="FNJ63" i="1"/>
  <c r="FNK63" i="1"/>
  <c r="FNL63" i="1"/>
  <c r="FNM63" i="1"/>
  <c r="FNN63" i="1"/>
  <c r="FNO63" i="1"/>
  <c r="FNP63" i="1"/>
  <c r="FNQ63" i="1"/>
  <c r="FNR63" i="1"/>
  <c r="FNS63" i="1"/>
  <c r="FNT63" i="1"/>
  <c r="FNU63" i="1"/>
  <c r="FNV63" i="1"/>
  <c r="FNW63" i="1"/>
  <c r="FNX63" i="1"/>
  <c r="FNY63" i="1"/>
  <c r="FNZ63" i="1"/>
  <c r="FOA63" i="1"/>
  <c r="FOB63" i="1"/>
  <c r="FOC63" i="1"/>
  <c r="FOD63" i="1"/>
  <c r="FOE63" i="1"/>
  <c r="FOF63" i="1"/>
  <c r="FOG63" i="1"/>
  <c r="FOH63" i="1"/>
  <c r="FOI63" i="1"/>
  <c r="FOJ63" i="1"/>
  <c r="FOK63" i="1"/>
  <c r="FOL63" i="1"/>
  <c r="FOM63" i="1"/>
  <c r="FON63" i="1"/>
  <c r="FOO63" i="1"/>
  <c r="FOP63" i="1"/>
  <c r="FOQ63" i="1"/>
  <c r="FOR63" i="1"/>
  <c r="FOS63" i="1"/>
  <c r="FOT63" i="1"/>
  <c r="FOU63" i="1"/>
  <c r="FOV63" i="1"/>
  <c r="FOW63" i="1"/>
  <c r="FOX63" i="1"/>
  <c r="FOY63" i="1"/>
  <c r="FOZ63" i="1"/>
  <c r="FPA63" i="1"/>
  <c r="FPB63" i="1"/>
  <c r="FPC63" i="1"/>
  <c r="FPD63" i="1"/>
  <c r="FPE63" i="1"/>
  <c r="FPF63" i="1"/>
  <c r="FPG63" i="1"/>
  <c r="FPH63" i="1"/>
  <c r="FPI63" i="1"/>
  <c r="FPJ63" i="1"/>
  <c r="FPK63" i="1"/>
  <c r="FPL63" i="1"/>
  <c r="FPM63" i="1"/>
  <c r="FPN63" i="1"/>
  <c r="FPO63" i="1"/>
  <c r="FPP63" i="1"/>
  <c r="FPQ63" i="1"/>
  <c r="FPR63" i="1"/>
  <c r="FPS63" i="1"/>
  <c r="FPT63" i="1"/>
  <c r="FPU63" i="1"/>
  <c r="FPV63" i="1"/>
  <c r="FPW63" i="1"/>
  <c r="FPX63" i="1"/>
  <c r="FPY63" i="1"/>
  <c r="FPZ63" i="1"/>
  <c r="FQA63" i="1"/>
  <c r="FQB63" i="1"/>
  <c r="FQC63" i="1"/>
  <c r="FQD63" i="1"/>
  <c r="FQE63" i="1"/>
  <c r="FQF63" i="1"/>
  <c r="FQG63" i="1"/>
  <c r="FQH63" i="1"/>
  <c r="FQI63" i="1"/>
  <c r="FQJ63" i="1"/>
  <c r="FQK63" i="1"/>
  <c r="FQL63" i="1"/>
  <c r="FQM63" i="1"/>
  <c r="FQN63" i="1"/>
  <c r="FQO63" i="1"/>
  <c r="FQP63" i="1"/>
  <c r="FQQ63" i="1"/>
  <c r="FQR63" i="1"/>
  <c r="FQS63" i="1"/>
  <c r="FQT63" i="1"/>
  <c r="FQU63" i="1"/>
  <c r="FQV63" i="1"/>
  <c r="FQW63" i="1"/>
  <c r="FQX63" i="1"/>
  <c r="FQY63" i="1"/>
  <c r="FQZ63" i="1"/>
  <c r="FRA63" i="1"/>
  <c r="FRB63" i="1"/>
  <c r="FRC63" i="1"/>
  <c r="FRD63" i="1"/>
  <c r="FRE63" i="1"/>
  <c r="FRF63" i="1"/>
  <c r="FRG63" i="1"/>
  <c r="FRH63" i="1"/>
  <c r="FRI63" i="1"/>
  <c r="FRJ63" i="1"/>
  <c r="FRK63" i="1"/>
  <c r="FRL63" i="1"/>
  <c r="FRM63" i="1"/>
  <c r="FRN63" i="1"/>
  <c r="FRO63" i="1"/>
  <c r="FRP63" i="1"/>
  <c r="FRQ63" i="1"/>
  <c r="FRR63" i="1"/>
  <c r="FRS63" i="1"/>
  <c r="FRT63" i="1"/>
  <c r="FRU63" i="1"/>
  <c r="FRV63" i="1"/>
  <c r="FRW63" i="1"/>
  <c r="FRX63" i="1"/>
  <c r="FRY63" i="1"/>
  <c r="FRZ63" i="1"/>
  <c r="FSA63" i="1"/>
  <c r="FSB63" i="1"/>
  <c r="FSC63" i="1"/>
  <c r="FSD63" i="1"/>
  <c r="FSE63" i="1"/>
  <c r="FSF63" i="1"/>
  <c r="FSG63" i="1"/>
  <c r="FSH63" i="1"/>
  <c r="FSI63" i="1"/>
  <c r="FSJ63" i="1"/>
  <c r="FSK63" i="1"/>
  <c r="FSL63" i="1"/>
  <c r="FSM63" i="1"/>
  <c r="FSN63" i="1"/>
  <c r="FSO63" i="1"/>
  <c r="FSP63" i="1"/>
  <c r="FSQ63" i="1"/>
  <c r="FSR63" i="1"/>
  <c r="FSS63" i="1"/>
  <c r="FST63" i="1"/>
  <c r="FSU63" i="1"/>
  <c r="FSV63" i="1"/>
  <c r="FSW63" i="1"/>
  <c r="FSX63" i="1"/>
  <c r="FSY63" i="1"/>
  <c r="FSZ63" i="1"/>
  <c r="FTA63" i="1"/>
  <c r="FTB63" i="1"/>
  <c r="FTC63" i="1"/>
  <c r="FTD63" i="1"/>
  <c r="FTE63" i="1"/>
  <c r="FTF63" i="1"/>
  <c r="FTG63" i="1"/>
  <c r="FTH63" i="1"/>
  <c r="FTI63" i="1"/>
  <c r="FTJ63" i="1"/>
  <c r="FTK63" i="1"/>
  <c r="FTL63" i="1"/>
  <c r="FTM63" i="1"/>
  <c r="FTN63" i="1"/>
  <c r="FTO63" i="1"/>
  <c r="FTP63" i="1"/>
  <c r="FTQ63" i="1"/>
  <c r="FTR63" i="1"/>
  <c r="FTS63" i="1"/>
  <c r="FTT63" i="1"/>
  <c r="FTU63" i="1"/>
  <c r="FTV63" i="1"/>
  <c r="FTW63" i="1"/>
  <c r="FTX63" i="1"/>
  <c r="FTY63" i="1"/>
  <c r="FTZ63" i="1"/>
  <c r="FUA63" i="1"/>
  <c r="FUB63" i="1"/>
  <c r="FUC63" i="1"/>
  <c r="FUD63" i="1"/>
  <c r="FUE63" i="1"/>
  <c r="FUF63" i="1"/>
  <c r="FUG63" i="1"/>
  <c r="FUH63" i="1"/>
  <c r="FUI63" i="1"/>
  <c r="FUJ63" i="1"/>
  <c r="FUK63" i="1"/>
  <c r="FUL63" i="1"/>
  <c r="FUM63" i="1"/>
  <c r="FUN63" i="1"/>
  <c r="FUO63" i="1"/>
  <c r="FUP63" i="1"/>
  <c r="FUQ63" i="1"/>
  <c r="FUR63" i="1"/>
  <c r="FUS63" i="1"/>
  <c r="FUT63" i="1"/>
  <c r="FUU63" i="1"/>
  <c r="FUV63" i="1"/>
  <c r="FUW63" i="1"/>
  <c r="FUX63" i="1"/>
  <c r="FUY63" i="1"/>
  <c r="FUZ63" i="1"/>
  <c r="FVA63" i="1"/>
  <c r="FVB63" i="1"/>
  <c r="FVC63" i="1"/>
  <c r="FVD63" i="1"/>
  <c r="FVE63" i="1"/>
  <c r="FVF63" i="1"/>
  <c r="FVG63" i="1"/>
  <c r="FVH63" i="1"/>
  <c r="FVI63" i="1"/>
  <c r="FVJ63" i="1"/>
  <c r="FVK63" i="1"/>
  <c r="FVL63" i="1"/>
  <c r="FVM63" i="1"/>
  <c r="FVN63" i="1"/>
  <c r="FVO63" i="1"/>
  <c r="FVP63" i="1"/>
  <c r="FVQ63" i="1"/>
  <c r="FVR63" i="1"/>
  <c r="FVS63" i="1"/>
  <c r="FVT63" i="1"/>
  <c r="FVU63" i="1"/>
  <c r="FVV63" i="1"/>
  <c r="FVW63" i="1"/>
  <c r="FVX63" i="1"/>
  <c r="FVY63" i="1"/>
  <c r="FVZ63" i="1"/>
  <c r="FWA63" i="1"/>
  <c r="FWB63" i="1"/>
  <c r="FWC63" i="1"/>
  <c r="FWD63" i="1"/>
  <c r="FWE63" i="1"/>
  <c r="FWF63" i="1"/>
  <c r="FWG63" i="1"/>
  <c r="FWH63" i="1"/>
  <c r="FWI63" i="1"/>
  <c r="FWJ63" i="1"/>
  <c r="FWK63" i="1"/>
  <c r="FWL63" i="1"/>
  <c r="FWM63" i="1"/>
  <c r="FWN63" i="1"/>
  <c r="FWO63" i="1"/>
  <c r="FWP63" i="1"/>
  <c r="FWQ63" i="1"/>
  <c r="FWR63" i="1"/>
  <c r="FWS63" i="1"/>
  <c r="FWT63" i="1"/>
  <c r="FWU63" i="1"/>
  <c r="FWV63" i="1"/>
  <c r="FWW63" i="1"/>
  <c r="FWX63" i="1"/>
  <c r="FWY63" i="1"/>
  <c r="FWZ63" i="1"/>
  <c r="FXA63" i="1"/>
  <c r="FXB63" i="1"/>
  <c r="FXC63" i="1"/>
  <c r="FXD63" i="1"/>
  <c r="FXE63" i="1"/>
  <c r="FXF63" i="1"/>
  <c r="FXG63" i="1"/>
  <c r="FXH63" i="1"/>
  <c r="FXI63" i="1"/>
  <c r="FXJ63" i="1"/>
  <c r="FXK63" i="1"/>
  <c r="FXL63" i="1"/>
  <c r="FXM63" i="1"/>
  <c r="FXN63" i="1"/>
  <c r="FXO63" i="1"/>
  <c r="FXP63" i="1"/>
  <c r="FXQ63" i="1"/>
  <c r="FXR63" i="1"/>
  <c r="FXS63" i="1"/>
  <c r="FXT63" i="1"/>
  <c r="FXU63" i="1"/>
  <c r="FXV63" i="1"/>
  <c r="FXW63" i="1"/>
  <c r="FXX63" i="1"/>
  <c r="FXY63" i="1"/>
  <c r="FXZ63" i="1"/>
  <c r="FYA63" i="1"/>
  <c r="FYB63" i="1"/>
  <c r="FYC63" i="1"/>
  <c r="FYD63" i="1"/>
  <c r="FYE63" i="1"/>
  <c r="FYF63" i="1"/>
  <c r="FYG63" i="1"/>
  <c r="FYH63" i="1"/>
  <c r="FYI63" i="1"/>
  <c r="FYJ63" i="1"/>
  <c r="FYK63" i="1"/>
  <c r="FYL63" i="1"/>
  <c r="FYM63" i="1"/>
  <c r="FYN63" i="1"/>
  <c r="FYO63" i="1"/>
  <c r="FYP63" i="1"/>
  <c r="FYQ63" i="1"/>
  <c r="FYR63" i="1"/>
  <c r="FYS63" i="1"/>
  <c r="FYT63" i="1"/>
  <c r="FYU63" i="1"/>
  <c r="FYV63" i="1"/>
  <c r="FYW63" i="1"/>
  <c r="FYX63" i="1"/>
  <c r="FYY63" i="1"/>
  <c r="FYZ63" i="1"/>
  <c r="FZA63" i="1"/>
  <c r="FZB63" i="1"/>
  <c r="FZC63" i="1"/>
  <c r="FZD63" i="1"/>
  <c r="FZE63" i="1"/>
  <c r="FZF63" i="1"/>
  <c r="FZG63" i="1"/>
  <c r="FZH63" i="1"/>
  <c r="FZI63" i="1"/>
  <c r="FZJ63" i="1"/>
  <c r="FZK63" i="1"/>
  <c r="FZL63" i="1"/>
  <c r="FZM63" i="1"/>
  <c r="FZN63" i="1"/>
  <c r="FZO63" i="1"/>
  <c r="FZP63" i="1"/>
  <c r="FZQ63" i="1"/>
  <c r="FZR63" i="1"/>
  <c r="FZS63" i="1"/>
  <c r="FZT63" i="1"/>
  <c r="FZU63" i="1"/>
  <c r="FZV63" i="1"/>
  <c r="FZW63" i="1"/>
  <c r="FZX63" i="1"/>
  <c r="FZY63" i="1"/>
  <c r="FZZ63" i="1"/>
  <c r="GAA63" i="1"/>
  <c r="GAB63" i="1"/>
  <c r="GAC63" i="1"/>
  <c r="GAD63" i="1"/>
  <c r="GAE63" i="1"/>
  <c r="GAF63" i="1"/>
  <c r="GAG63" i="1"/>
  <c r="GAH63" i="1"/>
  <c r="GAI63" i="1"/>
  <c r="GAJ63" i="1"/>
  <c r="GAK63" i="1"/>
  <c r="GAL63" i="1"/>
  <c r="GAM63" i="1"/>
  <c r="GAN63" i="1"/>
  <c r="GAO63" i="1"/>
  <c r="GAP63" i="1"/>
  <c r="GAQ63" i="1"/>
  <c r="GAR63" i="1"/>
  <c r="GAS63" i="1"/>
  <c r="GAT63" i="1"/>
  <c r="GAU63" i="1"/>
  <c r="GAV63" i="1"/>
  <c r="GAW63" i="1"/>
  <c r="GAX63" i="1"/>
  <c r="GAY63" i="1"/>
  <c r="GAZ63" i="1"/>
  <c r="GBA63" i="1"/>
  <c r="GBB63" i="1"/>
  <c r="GBC63" i="1"/>
  <c r="GBD63" i="1"/>
  <c r="GBE63" i="1"/>
  <c r="GBF63" i="1"/>
  <c r="GBG63" i="1"/>
  <c r="GBH63" i="1"/>
  <c r="GBI63" i="1"/>
  <c r="GBJ63" i="1"/>
  <c r="GBK63" i="1"/>
  <c r="GBL63" i="1"/>
  <c r="GBM63" i="1"/>
  <c r="GBN63" i="1"/>
  <c r="GBO63" i="1"/>
  <c r="GBP63" i="1"/>
  <c r="GBQ63" i="1"/>
  <c r="GBR63" i="1"/>
  <c r="GBS63" i="1"/>
  <c r="GBT63" i="1"/>
  <c r="GBU63" i="1"/>
  <c r="GBV63" i="1"/>
  <c r="GBW63" i="1"/>
  <c r="GBX63" i="1"/>
  <c r="GBY63" i="1"/>
  <c r="GBZ63" i="1"/>
  <c r="GCA63" i="1"/>
  <c r="GCB63" i="1"/>
  <c r="GCC63" i="1"/>
  <c r="GCD63" i="1"/>
  <c r="GCE63" i="1"/>
  <c r="GCF63" i="1"/>
  <c r="GCG63" i="1"/>
  <c r="GCH63" i="1"/>
  <c r="GCI63" i="1"/>
  <c r="GCJ63" i="1"/>
  <c r="GCK63" i="1"/>
  <c r="GCL63" i="1"/>
  <c r="GCM63" i="1"/>
  <c r="GCN63" i="1"/>
  <c r="GCO63" i="1"/>
  <c r="GCP63" i="1"/>
  <c r="GCQ63" i="1"/>
  <c r="GCR63" i="1"/>
  <c r="GCS63" i="1"/>
  <c r="GCT63" i="1"/>
  <c r="GCU63" i="1"/>
  <c r="GCV63" i="1"/>
  <c r="GCW63" i="1"/>
  <c r="GCX63" i="1"/>
  <c r="GCY63" i="1"/>
  <c r="GCZ63" i="1"/>
  <c r="GDA63" i="1"/>
  <c r="GDB63" i="1"/>
  <c r="GDC63" i="1"/>
  <c r="GDD63" i="1"/>
  <c r="GDE63" i="1"/>
  <c r="GDF63" i="1"/>
  <c r="GDG63" i="1"/>
  <c r="GDH63" i="1"/>
  <c r="GDI63" i="1"/>
  <c r="GDJ63" i="1"/>
  <c r="GDK63" i="1"/>
  <c r="GDL63" i="1"/>
  <c r="GDM63" i="1"/>
  <c r="GDN63" i="1"/>
  <c r="GDO63" i="1"/>
  <c r="GDP63" i="1"/>
  <c r="GDQ63" i="1"/>
  <c r="GDR63" i="1"/>
  <c r="GDS63" i="1"/>
  <c r="GDT63" i="1"/>
  <c r="GDU63" i="1"/>
  <c r="GDV63" i="1"/>
  <c r="GDW63" i="1"/>
  <c r="GDX63" i="1"/>
  <c r="GDY63" i="1"/>
  <c r="GDZ63" i="1"/>
  <c r="GEA63" i="1"/>
  <c r="GEB63" i="1"/>
  <c r="GEC63" i="1"/>
  <c r="GED63" i="1"/>
  <c r="GEE63" i="1"/>
  <c r="GEF63" i="1"/>
  <c r="GEG63" i="1"/>
  <c r="GEH63" i="1"/>
  <c r="GEI63" i="1"/>
  <c r="GEJ63" i="1"/>
  <c r="GEK63" i="1"/>
  <c r="GEL63" i="1"/>
  <c r="GEM63" i="1"/>
  <c r="GEN63" i="1"/>
  <c r="GEO63" i="1"/>
  <c r="GEP63" i="1"/>
  <c r="GEQ63" i="1"/>
  <c r="GER63" i="1"/>
  <c r="GES63" i="1"/>
  <c r="GET63" i="1"/>
  <c r="GEU63" i="1"/>
  <c r="GEV63" i="1"/>
  <c r="GEW63" i="1"/>
  <c r="GEX63" i="1"/>
  <c r="GEY63" i="1"/>
  <c r="GEZ63" i="1"/>
  <c r="GFA63" i="1"/>
  <c r="GFB63" i="1"/>
  <c r="GFC63" i="1"/>
  <c r="GFD63" i="1"/>
  <c r="GFE63" i="1"/>
  <c r="GFF63" i="1"/>
  <c r="GFG63" i="1"/>
  <c r="GFH63" i="1"/>
  <c r="GFI63" i="1"/>
  <c r="GFJ63" i="1"/>
  <c r="GFK63" i="1"/>
  <c r="GFL63" i="1"/>
  <c r="GFM63" i="1"/>
  <c r="GFN63" i="1"/>
  <c r="GFO63" i="1"/>
  <c r="GFP63" i="1"/>
  <c r="GFQ63" i="1"/>
  <c r="GFR63" i="1"/>
  <c r="GFS63" i="1"/>
  <c r="GFT63" i="1"/>
  <c r="GFU63" i="1"/>
  <c r="GFV63" i="1"/>
  <c r="GFW63" i="1"/>
  <c r="GFX63" i="1"/>
  <c r="GFY63" i="1"/>
  <c r="GFZ63" i="1"/>
  <c r="GGA63" i="1"/>
  <c r="GGB63" i="1"/>
  <c r="GGC63" i="1"/>
  <c r="GGD63" i="1"/>
  <c r="GGE63" i="1"/>
  <c r="GGF63" i="1"/>
  <c r="GGG63" i="1"/>
  <c r="GGH63" i="1"/>
  <c r="GGI63" i="1"/>
  <c r="GGJ63" i="1"/>
  <c r="GGK63" i="1"/>
  <c r="GGL63" i="1"/>
  <c r="GGM63" i="1"/>
  <c r="GGN63" i="1"/>
  <c r="GGO63" i="1"/>
  <c r="GGP63" i="1"/>
  <c r="GGQ63" i="1"/>
  <c r="GGR63" i="1"/>
  <c r="GGS63" i="1"/>
  <c r="GGT63" i="1"/>
  <c r="GGU63" i="1"/>
  <c r="GGV63" i="1"/>
  <c r="GGW63" i="1"/>
  <c r="GGX63" i="1"/>
  <c r="GGY63" i="1"/>
  <c r="GGZ63" i="1"/>
  <c r="GHA63" i="1"/>
  <c r="GHB63" i="1"/>
  <c r="GHC63" i="1"/>
  <c r="GHD63" i="1"/>
  <c r="GHE63" i="1"/>
  <c r="GHF63" i="1"/>
  <c r="GHG63" i="1"/>
  <c r="GHH63" i="1"/>
  <c r="GHI63" i="1"/>
  <c r="GHJ63" i="1"/>
  <c r="GHK63" i="1"/>
  <c r="GHL63" i="1"/>
  <c r="GHM63" i="1"/>
  <c r="GHN63" i="1"/>
  <c r="GHO63" i="1"/>
  <c r="GHP63" i="1"/>
  <c r="GHQ63" i="1"/>
  <c r="GHR63" i="1"/>
  <c r="GHS63" i="1"/>
  <c r="GHT63" i="1"/>
  <c r="GHU63" i="1"/>
  <c r="GHV63" i="1"/>
  <c r="GHW63" i="1"/>
  <c r="GHX63" i="1"/>
  <c r="GHY63" i="1"/>
  <c r="GHZ63" i="1"/>
  <c r="GIA63" i="1"/>
  <c r="GIB63" i="1"/>
  <c r="GIC63" i="1"/>
  <c r="GID63" i="1"/>
  <c r="GIE63" i="1"/>
  <c r="GIF63" i="1"/>
  <c r="GIG63" i="1"/>
  <c r="GIH63" i="1"/>
  <c r="GII63" i="1"/>
  <c r="GIJ63" i="1"/>
  <c r="GIK63" i="1"/>
  <c r="GIL63" i="1"/>
  <c r="GIM63" i="1"/>
  <c r="GIN63" i="1"/>
  <c r="GIO63" i="1"/>
  <c r="GIP63" i="1"/>
  <c r="GIQ63" i="1"/>
  <c r="GIR63" i="1"/>
  <c r="GIS63" i="1"/>
  <c r="GIT63" i="1"/>
  <c r="GIU63" i="1"/>
  <c r="GIV63" i="1"/>
  <c r="GIW63" i="1"/>
  <c r="GIX63" i="1"/>
  <c r="GIY63" i="1"/>
  <c r="GIZ63" i="1"/>
  <c r="GJA63" i="1"/>
  <c r="GJB63" i="1"/>
  <c r="GJC63" i="1"/>
  <c r="GJD63" i="1"/>
  <c r="GJE63" i="1"/>
  <c r="GJF63" i="1"/>
  <c r="GJG63" i="1"/>
  <c r="GJH63" i="1"/>
  <c r="GJI63" i="1"/>
  <c r="GJJ63" i="1"/>
  <c r="GJK63" i="1"/>
  <c r="GJL63" i="1"/>
  <c r="GJM63" i="1"/>
  <c r="GJN63" i="1"/>
  <c r="GJO63" i="1"/>
  <c r="GJP63" i="1"/>
  <c r="GJQ63" i="1"/>
  <c r="GJR63" i="1"/>
  <c r="GJS63" i="1"/>
  <c r="GJT63" i="1"/>
  <c r="GJU63" i="1"/>
  <c r="GJV63" i="1"/>
  <c r="GJW63" i="1"/>
  <c r="GJX63" i="1"/>
  <c r="GJY63" i="1"/>
  <c r="GJZ63" i="1"/>
  <c r="GKA63" i="1"/>
  <c r="GKB63" i="1"/>
  <c r="GKC63" i="1"/>
  <c r="GKD63" i="1"/>
  <c r="GKE63" i="1"/>
  <c r="GKF63" i="1"/>
  <c r="GKG63" i="1"/>
  <c r="GKH63" i="1"/>
  <c r="GKI63" i="1"/>
  <c r="GKJ63" i="1"/>
  <c r="GKK63" i="1"/>
  <c r="GKL63" i="1"/>
  <c r="GKM63" i="1"/>
  <c r="GKN63" i="1"/>
  <c r="GKO63" i="1"/>
  <c r="GKP63" i="1"/>
  <c r="GKQ63" i="1"/>
  <c r="GKR63" i="1"/>
  <c r="GKS63" i="1"/>
  <c r="GKT63" i="1"/>
  <c r="GKU63" i="1"/>
  <c r="GKV63" i="1"/>
  <c r="GKW63" i="1"/>
  <c r="GKX63" i="1"/>
  <c r="GKY63" i="1"/>
  <c r="GKZ63" i="1"/>
  <c r="GLA63" i="1"/>
  <c r="GLB63" i="1"/>
  <c r="GLC63" i="1"/>
  <c r="GLD63" i="1"/>
  <c r="GLE63" i="1"/>
  <c r="GLF63" i="1"/>
  <c r="GLG63" i="1"/>
  <c r="GLH63" i="1"/>
  <c r="GLI63" i="1"/>
  <c r="GLJ63" i="1"/>
  <c r="GLK63" i="1"/>
  <c r="GLL63" i="1"/>
  <c r="GLM63" i="1"/>
  <c r="GLN63" i="1"/>
  <c r="GLO63" i="1"/>
  <c r="GLP63" i="1"/>
  <c r="GLQ63" i="1"/>
  <c r="GLR63" i="1"/>
  <c r="GLS63" i="1"/>
  <c r="GLT63" i="1"/>
  <c r="GLU63" i="1"/>
  <c r="GLV63" i="1"/>
  <c r="GLW63" i="1"/>
  <c r="GLX63" i="1"/>
  <c r="GLY63" i="1"/>
  <c r="GLZ63" i="1"/>
  <c r="GMA63" i="1"/>
  <c r="GMB63" i="1"/>
  <c r="GMC63" i="1"/>
  <c r="GMD63" i="1"/>
  <c r="GME63" i="1"/>
  <c r="GMF63" i="1"/>
  <c r="GMG63" i="1"/>
  <c r="GMH63" i="1"/>
  <c r="GMI63" i="1"/>
  <c r="GMJ63" i="1"/>
  <c r="GMK63" i="1"/>
  <c r="GML63" i="1"/>
  <c r="GMM63" i="1"/>
  <c r="GMN63" i="1"/>
  <c r="GMO63" i="1"/>
  <c r="GMP63" i="1"/>
  <c r="GMQ63" i="1"/>
  <c r="GMR63" i="1"/>
  <c r="GMS63" i="1"/>
  <c r="GMT63" i="1"/>
  <c r="GMU63" i="1"/>
  <c r="GMV63" i="1"/>
  <c r="GMW63" i="1"/>
  <c r="GMX63" i="1"/>
  <c r="GMY63" i="1"/>
  <c r="GMZ63" i="1"/>
  <c r="GNA63" i="1"/>
  <c r="GNB63" i="1"/>
  <c r="GNC63" i="1"/>
  <c r="GND63" i="1"/>
  <c r="GNE63" i="1"/>
  <c r="GNF63" i="1"/>
  <c r="GNG63" i="1"/>
  <c r="GNH63" i="1"/>
  <c r="GNI63" i="1"/>
  <c r="GNJ63" i="1"/>
  <c r="GNK63" i="1"/>
  <c r="GNL63" i="1"/>
  <c r="GNM63" i="1"/>
  <c r="GNN63" i="1"/>
  <c r="GNO63" i="1"/>
  <c r="GNP63" i="1"/>
  <c r="GNQ63" i="1"/>
  <c r="GNR63" i="1"/>
  <c r="GNS63" i="1"/>
  <c r="GNT63" i="1"/>
  <c r="GNU63" i="1"/>
  <c r="GNV63" i="1"/>
  <c r="GNW63" i="1"/>
  <c r="GNX63" i="1"/>
  <c r="GNY63" i="1"/>
  <c r="GNZ63" i="1"/>
  <c r="GOA63" i="1"/>
  <c r="GOB63" i="1"/>
  <c r="GOC63" i="1"/>
  <c r="GOD63" i="1"/>
  <c r="GOE63" i="1"/>
  <c r="GOF63" i="1"/>
  <c r="GOG63" i="1"/>
  <c r="GOH63" i="1"/>
  <c r="GOI63" i="1"/>
  <c r="GOJ63" i="1"/>
  <c r="GOK63" i="1"/>
  <c r="GOL63" i="1"/>
  <c r="GOM63" i="1"/>
  <c r="GON63" i="1"/>
  <c r="GOO63" i="1"/>
  <c r="GOP63" i="1"/>
  <c r="GOQ63" i="1"/>
  <c r="GOR63" i="1"/>
  <c r="GOS63" i="1"/>
  <c r="GOT63" i="1"/>
  <c r="GOU63" i="1"/>
  <c r="GOV63" i="1"/>
  <c r="GOW63" i="1"/>
  <c r="GOX63" i="1"/>
  <c r="GOY63" i="1"/>
  <c r="GOZ63" i="1"/>
  <c r="GPA63" i="1"/>
  <c r="GPB63" i="1"/>
  <c r="GPC63" i="1"/>
  <c r="GPD63" i="1"/>
  <c r="GPE63" i="1"/>
  <c r="GPF63" i="1"/>
  <c r="GPG63" i="1"/>
  <c r="GPH63" i="1"/>
  <c r="GPI63" i="1"/>
  <c r="GPJ63" i="1"/>
  <c r="GPK63" i="1"/>
  <c r="GPL63" i="1"/>
  <c r="GPM63" i="1"/>
  <c r="GPN63" i="1"/>
  <c r="GPO63" i="1"/>
  <c r="GPP63" i="1"/>
  <c r="GPQ63" i="1"/>
  <c r="GPR63" i="1"/>
  <c r="GPS63" i="1"/>
  <c r="GPT63" i="1"/>
  <c r="GPU63" i="1"/>
  <c r="GPV63" i="1"/>
  <c r="GPW63" i="1"/>
  <c r="GPX63" i="1"/>
  <c r="GPY63" i="1"/>
  <c r="GPZ63" i="1"/>
  <c r="GQA63" i="1"/>
  <c r="GQB63" i="1"/>
  <c r="GQC63" i="1"/>
  <c r="GQD63" i="1"/>
  <c r="GQE63" i="1"/>
  <c r="GQF63" i="1"/>
  <c r="GQG63" i="1"/>
  <c r="GQH63" i="1"/>
  <c r="GQI63" i="1"/>
  <c r="GQJ63" i="1"/>
  <c r="GQK63" i="1"/>
  <c r="GQL63" i="1"/>
  <c r="GQM63" i="1"/>
  <c r="GQN63" i="1"/>
  <c r="GQO63" i="1"/>
  <c r="GQP63" i="1"/>
  <c r="GQQ63" i="1"/>
  <c r="GQR63" i="1"/>
  <c r="GQS63" i="1"/>
  <c r="GQT63" i="1"/>
  <c r="GQU63" i="1"/>
  <c r="GQV63" i="1"/>
  <c r="GQW63" i="1"/>
  <c r="GQX63" i="1"/>
  <c r="GQY63" i="1"/>
  <c r="GQZ63" i="1"/>
  <c r="GRA63" i="1"/>
  <c r="GRB63" i="1"/>
  <c r="GRC63" i="1"/>
  <c r="GRD63" i="1"/>
  <c r="GRE63" i="1"/>
  <c r="GRF63" i="1"/>
  <c r="GRG63" i="1"/>
  <c r="GRH63" i="1"/>
  <c r="GRI63" i="1"/>
  <c r="GRJ63" i="1"/>
  <c r="GRK63" i="1"/>
  <c r="GRL63" i="1"/>
  <c r="GRM63" i="1"/>
  <c r="GRN63" i="1"/>
  <c r="GRO63" i="1"/>
  <c r="GRP63" i="1"/>
  <c r="GRQ63" i="1"/>
  <c r="GRR63" i="1"/>
  <c r="GRS63" i="1"/>
  <c r="GRT63" i="1"/>
  <c r="GRU63" i="1"/>
  <c r="GRV63" i="1"/>
  <c r="GRW63" i="1"/>
  <c r="GRX63" i="1"/>
  <c r="GRY63" i="1"/>
  <c r="GRZ63" i="1"/>
  <c r="GSA63" i="1"/>
  <c r="GSB63" i="1"/>
  <c r="GSC63" i="1"/>
  <c r="GSD63" i="1"/>
  <c r="GSE63" i="1"/>
  <c r="GSF63" i="1"/>
  <c r="GSG63" i="1"/>
  <c r="GSH63" i="1"/>
  <c r="GSI63" i="1"/>
  <c r="GSJ63" i="1"/>
  <c r="GSK63" i="1"/>
  <c r="GSL63" i="1"/>
  <c r="GSM63" i="1"/>
  <c r="GSN63" i="1"/>
  <c r="GSO63" i="1"/>
  <c r="GSP63" i="1"/>
  <c r="GSQ63" i="1"/>
  <c r="GSR63" i="1"/>
  <c r="GSS63" i="1"/>
  <c r="GST63" i="1"/>
  <c r="GSU63" i="1"/>
  <c r="GSV63" i="1"/>
  <c r="GSW63" i="1"/>
  <c r="GSX63" i="1"/>
  <c r="GSY63" i="1"/>
  <c r="GSZ63" i="1"/>
  <c r="GTA63" i="1"/>
  <c r="GTB63" i="1"/>
  <c r="GTC63" i="1"/>
  <c r="GTD63" i="1"/>
  <c r="GTE63" i="1"/>
  <c r="GTF63" i="1"/>
  <c r="GTG63" i="1"/>
  <c r="GTH63" i="1"/>
  <c r="GTI63" i="1"/>
  <c r="GTJ63" i="1"/>
  <c r="GTK63" i="1"/>
  <c r="GTL63" i="1"/>
  <c r="GTM63" i="1"/>
  <c r="GTN63" i="1"/>
  <c r="GTO63" i="1"/>
  <c r="GTP63" i="1"/>
  <c r="GTQ63" i="1"/>
  <c r="GTR63" i="1"/>
  <c r="GTS63" i="1"/>
  <c r="GTT63" i="1"/>
  <c r="GTU63" i="1"/>
  <c r="GTV63" i="1"/>
  <c r="GTW63" i="1"/>
  <c r="GTX63" i="1"/>
  <c r="GTY63" i="1"/>
  <c r="GTZ63" i="1"/>
  <c r="GUA63" i="1"/>
  <c r="GUB63" i="1"/>
  <c r="GUC63" i="1"/>
  <c r="GUD63" i="1"/>
  <c r="GUE63" i="1"/>
  <c r="GUF63" i="1"/>
  <c r="GUG63" i="1"/>
  <c r="GUH63" i="1"/>
  <c r="GUI63" i="1"/>
  <c r="GUJ63" i="1"/>
  <c r="GUK63" i="1"/>
  <c r="GUL63" i="1"/>
  <c r="GUM63" i="1"/>
  <c r="GUN63" i="1"/>
  <c r="GUO63" i="1"/>
  <c r="GUP63" i="1"/>
  <c r="GUQ63" i="1"/>
  <c r="GUR63" i="1"/>
  <c r="GUS63" i="1"/>
  <c r="GUT63" i="1"/>
  <c r="GUU63" i="1"/>
  <c r="GUV63" i="1"/>
  <c r="GUW63" i="1"/>
  <c r="GUX63" i="1"/>
  <c r="GUY63" i="1"/>
  <c r="GUZ63" i="1"/>
  <c r="GVA63" i="1"/>
  <c r="GVB63" i="1"/>
  <c r="GVC63" i="1"/>
  <c r="GVD63" i="1"/>
  <c r="GVE63" i="1"/>
  <c r="GVF63" i="1"/>
  <c r="GVG63" i="1"/>
  <c r="GVH63" i="1"/>
  <c r="GVI63" i="1"/>
  <c r="GVJ63" i="1"/>
  <c r="GVK63" i="1"/>
  <c r="GVL63" i="1"/>
  <c r="GVM63" i="1"/>
  <c r="GVN63" i="1"/>
  <c r="GVO63" i="1"/>
  <c r="GVP63" i="1"/>
  <c r="GVQ63" i="1"/>
  <c r="GVR63" i="1"/>
  <c r="GVS63" i="1"/>
  <c r="GVT63" i="1"/>
  <c r="GVU63" i="1"/>
  <c r="GVV63" i="1"/>
  <c r="GVW63" i="1"/>
  <c r="GVX63" i="1"/>
  <c r="GVY63" i="1"/>
  <c r="GVZ63" i="1"/>
  <c r="GWA63" i="1"/>
  <c r="GWB63" i="1"/>
  <c r="GWC63" i="1"/>
  <c r="GWD63" i="1"/>
  <c r="GWE63" i="1"/>
  <c r="GWF63" i="1"/>
  <c r="GWG63" i="1"/>
  <c r="GWH63" i="1"/>
  <c r="GWI63" i="1"/>
  <c r="GWJ63" i="1"/>
  <c r="GWK63" i="1"/>
  <c r="GWL63" i="1"/>
  <c r="GWM63" i="1"/>
  <c r="GWN63" i="1"/>
  <c r="GWO63" i="1"/>
  <c r="GWP63" i="1"/>
  <c r="GWQ63" i="1"/>
  <c r="GWR63" i="1"/>
  <c r="GWS63" i="1"/>
  <c r="GWT63" i="1"/>
  <c r="GWU63" i="1"/>
  <c r="GWV63" i="1"/>
  <c r="GWW63" i="1"/>
  <c r="GWX63" i="1"/>
  <c r="GWY63" i="1"/>
  <c r="GWZ63" i="1"/>
  <c r="GXA63" i="1"/>
  <c r="GXB63" i="1"/>
  <c r="GXC63" i="1"/>
  <c r="GXD63" i="1"/>
  <c r="GXE63" i="1"/>
  <c r="GXF63" i="1"/>
  <c r="GXG63" i="1"/>
  <c r="GXH63" i="1"/>
  <c r="GXI63" i="1"/>
  <c r="GXJ63" i="1"/>
  <c r="GXK63" i="1"/>
  <c r="GXL63" i="1"/>
  <c r="GXM63" i="1"/>
  <c r="GXN63" i="1"/>
  <c r="GXO63" i="1"/>
  <c r="GXP63" i="1"/>
  <c r="GXQ63" i="1"/>
  <c r="GXR63" i="1"/>
  <c r="GXS63" i="1"/>
  <c r="GXT63" i="1"/>
  <c r="GXU63" i="1"/>
  <c r="GXV63" i="1"/>
  <c r="GXW63" i="1"/>
  <c r="GXX63" i="1"/>
  <c r="GXY63" i="1"/>
  <c r="GXZ63" i="1"/>
  <c r="GYA63" i="1"/>
  <c r="GYB63" i="1"/>
  <c r="GYC63" i="1"/>
  <c r="GYD63" i="1"/>
  <c r="GYE63" i="1"/>
  <c r="GYF63" i="1"/>
  <c r="GYG63" i="1"/>
  <c r="GYH63" i="1"/>
  <c r="GYI63" i="1"/>
  <c r="GYJ63" i="1"/>
  <c r="GYK63" i="1"/>
  <c r="GYL63" i="1"/>
  <c r="GYM63" i="1"/>
  <c r="GYN63" i="1"/>
  <c r="GYO63" i="1"/>
  <c r="GYP63" i="1"/>
  <c r="GYQ63" i="1"/>
  <c r="GYR63" i="1"/>
  <c r="GYS63" i="1"/>
  <c r="GYT63" i="1"/>
  <c r="GYU63" i="1"/>
  <c r="GYV63" i="1"/>
  <c r="GYW63" i="1"/>
  <c r="GYX63" i="1"/>
  <c r="GYY63" i="1"/>
  <c r="GYZ63" i="1"/>
  <c r="GZA63" i="1"/>
  <c r="GZB63" i="1"/>
  <c r="GZC63" i="1"/>
  <c r="GZD63" i="1"/>
  <c r="GZE63" i="1"/>
  <c r="GZF63" i="1"/>
  <c r="GZG63" i="1"/>
  <c r="GZH63" i="1"/>
  <c r="GZI63" i="1"/>
  <c r="GZJ63" i="1"/>
  <c r="GZK63" i="1"/>
  <c r="GZL63" i="1"/>
  <c r="GZM63" i="1"/>
  <c r="GZN63" i="1"/>
  <c r="GZO63" i="1"/>
  <c r="GZP63" i="1"/>
  <c r="GZQ63" i="1"/>
  <c r="GZR63" i="1"/>
  <c r="GZS63" i="1"/>
  <c r="GZT63" i="1"/>
  <c r="GZU63" i="1"/>
  <c r="GZV63" i="1"/>
  <c r="GZW63" i="1"/>
  <c r="GZX63" i="1"/>
  <c r="GZY63" i="1"/>
  <c r="GZZ63" i="1"/>
  <c r="HAA63" i="1"/>
  <c r="HAB63" i="1"/>
  <c r="HAC63" i="1"/>
  <c r="HAD63" i="1"/>
  <c r="HAE63" i="1"/>
  <c r="HAF63" i="1"/>
  <c r="HAG63" i="1"/>
  <c r="HAH63" i="1"/>
  <c r="HAI63" i="1"/>
  <c r="HAJ63" i="1"/>
  <c r="HAK63" i="1"/>
  <c r="HAL63" i="1"/>
  <c r="HAM63" i="1"/>
  <c r="HAN63" i="1"/>
  <c r="HAO63" i="1"/>
  <c r="HAP63" i="1"/>
  <c r="HAQ63" i="1"/>
  <c r="HAR63" i="1"/>
  <c r="HAS63" i="1"/>
  <c r="HAT63" i="1"/>
  <c r="HAU63" i="1"/>
  <c r="HAV63" i="1"/>
  <c r="HAW63" i="1"/>
  <c r="HAX63" i="1"/>
  <c r="HAY63" i="1"/>
  <c r="HAZ63" i="1"/>
  <c r="HBA63" i="1"/>
  <c r="HBB63" i="1"/>
  <c r="HBC63" i="1"/>
  <c r="HBD63" i="1"/>
  <c r="HBE63" i="1"/>
  <c r="HBF63" i="1"/>
  <c r="HBG63" i="1"/>
  <c r="HBH63" i="1"/>
  <c r="HBI63" i="1"/>
  <c r="HBJ63" i="1"/>
  <c r="HBK63" i="1"/>
  <c r="HBL63" i="1"/>
  <c r="HBM63" i="1"/>
  <c r="HBN63" i="1"/>
  <c r="HBO63" i="1"/>
  <c r="HBP63" i="1"/>
  <c r="HBQ63" i="1"/>
  <c r="HBR63" i="1"/>
  <c r="HBS63" i="1"/>
  <c r="HBT63" i="1"/>
  <c r="HBU63" i="1"/>
  <c r="HBV63" i="1"/>
  <c r="HBW63" i="1"/>
  <c r="HBX63" i="1"/>
  <c r="HBY63" i="1"/>
  <c r="HBZ63" i="1"/>
  <c r="HCA63" i="1"/>
  <c r="HCB63" i="1"/>
  <c r="HCC63" i="1"/>
  <c r="HCD63" i="1"/>
  <c r="HCE63" i="1"/>
  <c r="HCF63" i="1"/>
  <c r="HCG63" i="1"/>
  <c r="HCH63" i="1"/>
  <c r="HCI63" i="1"/>
  <c r="HCJ63" i="1"/>
  <c r="HCK63" i="1"/>
  <c r="HCL63" i="1"/>
  <c r="HCM63" i="1"/>
  <c r="HCN63" i="1"/>
  <c r="HCO63" i="1"/>
  <c r="HCP63" i="1"/>
  <c r="HCQ63" i="1"/>
  <c r="HCR63" i="1"/>
  <c r="HCS63" i="1"/>
  <c r="HCT63" i="1"/>
  <c r="HCU63" i="1"/>
  <c r="HCV63" i="1"/>
  <c r="HCW63" i="1"/>
  <c r="HCX63" i="1"/>
  <c r="HCY63" i="1"/>
  <c r="HCZ63" i="1"/>
  <c r="HDA63" i="1"/>
  <c r="HDB63" i="1"/>
  <c r="HDC63" i="1"/>
  <c r="HDD63" i="1"/>
  <c r="HDE63" i="1"/>
  <c r="HDF63" i="1"/>
  <c r="HDG63" i="1"/>
  <c r="HDH63" i="1"/>
  <c r="HDI63" i="1"/>
  <c r="HDJ63" i="1"/>
  <c r="HDK63" i="1"/>
  <c r="HDL63" i="1"/>
  <c r="HDM63" i="1"/>
  <c r="HDN63" i="1"/>
  <c r="HDO63" i="1"/>
  <c r="HDP63" i="1"/>
  <c r="HDQ63" i="1"/>
  <c r="HDR63" i="1"/>
  <c r="HDS63" i="1"/>
  <c r="HDT63" i="1"/>
  <c r="HDU63" i="1"/>
  <c r="HDV63" i="1"/>
  <c r="HDW63" i="1"/>
  <c r="HDX63" i="1"/>
  <c r="HDY63" i="1"/>
  <c r="HDZ63" i="1"/>
  <c r="HEA63" i="1"/>
  <c r="HEB63" i="1"/>
  <c r="HEC63" i="1"/>
  <c r="HED63" i="1"/>
  <c r="HEE63" i="1"/>
  <c r="HEF63" i="1"/>
  <c r="HEG63" i="1"/>
  <c r="HEH63" i="1"/>
  <c r="HEI63" i="1"/>
  <c r="HEJ63" i="1"/>
  <c r="HEK63" i="1"/>
  <c r="HEL63" i="1"/>
  <c r="HEM63" i="1"/>
  <c r="HEN63" i="1"/>
  <c r="HEO63" i="1"/>
  <c r="HEP63" i="1"/>
  <c r="HEQ63" i="1"/>
  <c r="HER63" i="1"/>
  <c r="HES63" i="1"/>
  <c r="HET63" i="1"/>
  <c r="HEU63" i="1"/>
  <c r="HEV63" i="1"/>
  <c r="HEW63" i="1"/>
  <c r="HEX63" i="1"/>
  <c r="HEY63" i="1"/>
  <c r="HEZ63" i="1"/>
  <c r="HFA63" i="1"/>
  <c r="HFB63" i="1"/>
  <c r="HFC63" i="1"/>
  <c r="HFD63" i="1"/>
  <c r="HFE63" i="1"/>
  <c r="HFF63" i="1"/>
  <c r="HFG63" i="1"/>
  <c r="HFH63" i="1"/>
  <c r="HFI63" i="1"/>
  <c r="HFJ63" i="1"/>
  <c r="HFK63" i="1"/>
  <c r="HFL63" i="1"/>
  <c r="HFM63" i="1"/>
  <c r="HFN63" i="1"/>
  <c r="HFO63" i="1"/>
  <c r="HFP63" i="1"/>
  <c r="HFQ63" i="1"/>
  <c r="HFR63" i="1"/>
  <c r="HFS63" i="1"/>
  <c r="HFT63" i="1"/>
  <c r="HFU63" i="1"/>
  <c r="HFV63" i="1"/>
  <c r="HFW63" i="1"/>
  <c r="HFX63" i="1"/>
  <c r="HFY63" i="1"/>
  <c r="HFZ63" i="1"/>
  <c r="HGA63" i="1"/>
  <c r="HGB63" i="1"/>
  <c r="HGC63" i="1"/>
  <c r="HGD63" i="1"/>
  <c r="HGE63" i="1"/>
  <c r="HGF63" i="1"/>
  <c r="HGG63" i="1"/>
  <c r="HGH63" i="1"/>
  <c r="HGI63" i="1"/>
  <c r="HGJ63" i="1"/>
  <c r="HGK63" i="1"/>
  <c r="HGL63" i="1"/>
  <c r="HGM63" i="1"/>
  <c r="HGN63" i="1"/>
  <c r="HGO63" i="1"/>
  <c r="HGP63" i="1"/>
  <c r="HGQ63" i="1"/>
  <c r="HGR63" i="1"/>
  <c r="HGS63" i="1"/>
  <c r="HGT63" i="1"/>
  <c r="HGU63" i="1"/>
  <c r="HGV63" i="1"/>
  <c r="HGW63" i="1"/>
  <c r="HGX63" i="1"/>
  <c r="HGY63" i="1"/>
  <c r="HGZ63" i="1"/>
  <c r="HHA63" i="1"/>
  <c r="HHB63" i="1"/>
  <c r="HHC63" i="1"/>
  <c r="HHD63" i="1"/>
  <c r="HHE63" i="1"/>
  <c r="HHF63" i="1"/>
  <c r="HHG63" i="1"/>
  <c r="HHH63" i="1"/>
  <c r="HHI63" i="1"/>
  <c r="HHJ63" i="1"/>
  <c r="HHK63" i="1"/>
  <c r="HHL63" i="1"/>
  <c r="HHM63" i="1"/>
  <c r="HHN63" i="1"/>
  <c r="HHO63" i="1"/>
  <c r="HHP63" i="1"/>
  <c r="HHQ63" i="1"/>
  <c r="HHR63" i="1"/>
  <c r="HHS63" i="1"/>
  <c r="HHT63" i="1"/>
  <c r="HHU63" i="1"/>
  <c r="HHV63" i="1"/>
  <c r="HHW63" i="1"/>
  <c r="HHX63" i="1"/>
  <c r="HHY63" i="1"/>
  <c r="HHZ63" i="1"/>
  <c r="HIA63" i="1"/>
  <c r="HIB63" i="1"/>
  <c r="HIC63" i="1"/>
  <c r="HID63" i="1"/>
  <c r="HIE63" i="1"/>
  <c r="HIF63" i="1"/>
  <c r="HIG63" i="1"/>
  <c r="HIH63" i="1"/>
  <c r="HII63" i="1"/>
  <c r="HIJ63" i="1"/>
  <c r="HIK63" i="1"/>
  <c r="HIL63" i="1"/>
  <c r="HIM63" i="1"/>
  <c r="HIN63" i="1"/>
  <c r="HIO63" i="1"/>
  <c r="HIP63" i="1"/>
  <c r="HIQ63" i="1"/>
  <c r="HIR63" i="1"/>
  <c r="HIS63" i="1"/>
  <c r="HIT63" i="1"/>
  <c r="HIU63" i="1"/>
  <c r="HIV63" i="1"/>
  <c r="HIW63" i="1"/>
  <c r="HIX63" i="1"/>
  <c r="HIY63" i="1"/>
  <c r="HIZ63" i="1"/>
  <c r="HJA63" i="1"/>
  <c r="HJB63" i="1"/>
  <c r="HJC63" i="1"/>
  <c r="HJD63" i="1"/>
  <c r="HJE63" i="1"/>
  <c r="HJF63" i="1"/>
  <c r="HJG63" i="1"/>
  <c r="HJH63" i="1"/>
  <c r="HJI63" i="1"/>
  <c r="HJJ63" i="1"/>
  <c r="HJK63" i="1"/>
  <c r="HJL63" i="1"/>
  <c r="HJM63" i="1"/>
  <c r="HJN63" i="1"/>
  <c r="HJO63" i="1"/>
  <c r="HJP63" i="1"/>
  <c r="HJQ63" i="1"/>
  <c r="HJR63" i="1"/>
  <c r="HJS63" i="1"/>
  <c r="HJT63" i="1"/>
  <c r="HJU63" i="1"/>
  <c r="HJV63" i="1"/>
  <c r="HJW63" i="1"/>
  <c r="HJX63" i="1"/>
  <c r="HJY63" i="1"/>
  <c r="HJZ63" i="1"/>
  <c r="HKA63" i="1"/>
  <c r="HKB63" i="1"/>
  <c r="HKC63" i="1"/>
  <c r="HKD63" i="1"/>
  <c r="HKE63" i="1"/>
  <c r="HKF63" i="1"/>
  <c r="HKG63" i="1"/>
  <c r="HKH63" i="1"/>
  <c r="HKI63" i="1"/>
  <c r="HKJ63" i="1"/>
  <c r="HKK63" i="1"/>
  <c r="HKL63" i="1"/>
  <c r="HKM63" i="1"/>
  <c r="HKN63" i="1"/>
  <c r="HKO63" i="1"/>
  <c r="HKP63" i="1"/>
  <c r="HKQ63" i="1"/>
  <c r="HKR63" i="1"/>
  <c r="HKS63" i="1"/>
  <c r="HKT63" i="1"/>
  <c r="HKU63" i="1"/>
  <c r="HKV63" i="1"/>
  <c r="HKW63" i="1"/>
  <c r="HKX63" i="1"/>
  <c r="HKY63" i="1"/>
  <c r="HKZ63" i="1"/>
  <c r="HLA63" i="1"/>
  <c r="HLB63" i="1"/>
  <c r="HLC63" i="1"/>
  <c r="HLD63" i="1"/>
  <c r="HLE63" i="1"/>
  <c r="HLF63" i="1"/>
  <c r="HLG63" i="1"/>
  <c r="HLH63" i="1"/>
  <c r="HLI63" i="1"/>
  <c r="HLJ63" i="1"/>
  <c r="HLK63" i="1"/>
  <c r="HLL63" i="1"/>
  <c r="HLM63" i="1"/>
  <c r="HLN63" i="1"/>
  <c r="HLO63" i="1"/>
  <c r="HLP63" i="1"/>
  <c r="HLQ63" i="1"/>
  <c r="HLR63" i="1"/>
  <c r="HLS63" i="1"/>
  <c r="HLT63" i="1"/>
  <c r="HLU63" i="1"/>
  <c r="HLV63" i="1"/>
  <c r="HLW63" i="1"/>
  <c r="HLX63" i="1"/>
  <c r="HLY63" i="1"/>
  <c r="HLZ63" i="1"/>
  <c r="HMA63" i="1"/>
  <c r="HMB63" i="1"/>
  <c r="HMC63" i="1"/>
  <c r="HMD63" i="1"/>
  <c r="HME63" i="1"/>
  <c r="HMF63" i="1"/>
  <c r="HMG63" i="1"/>
  <c r="HMH63" i="1"/>
  <c r="HMI63" i="1"/>
  <c r="HMJ63" i="1"/>
  <c r="HMK63" i="1"/>
  <c r="HML63" i="1"/>
  <c r="HMM63" i="1"/>
  <c r="HMN63" i="1"/>
  <c r="HMO63" i="1"/>
  <c r="HMP63" i="1"/>
  <c r="HMQ63" i="1"/>
  <c r="HMR63" i="1"/>
  <c r="HMS63" i="1"/>
  <c r="HMT63" i="1"/>
  <c r="HMU63" i="1"/>
  <c r="HMV63" i="1"/>
  <c r="HMW63" i="1"/>
  <c r="HMX63" i="1"/>
  <c r="HMY63" i="1"/>
  <c r="HMZ63" i="1"/>
  <c r="HNA63" i="1"/>
  <c r="HNB63" i="1"/>
  <c r="HNC63" i="1"/>
  <c r="HND63" i="1"/>
  <c r="HNE63" i="1"/>
  <c r="HNF63" i="1"/>
  <c r="HNG63" i="1"/>
  <c r="HNH63" i="1"/>
  <c r="HNI63" i="1"/>
  <c r="HNJ63" i="1"/>
  <c r="HNK63" i="1"/>
  <c r="HNL63" i="1"/>
  <c r="HNM63" i="1"/>
  <c r="HNN63" i="1"/>
  <c r="HNO63" i="1"/>
  <c r="HNP63" i="1"/>
  <c r="HNQ63" i="1"/>
  <c r="HNR63" i="1"/>
  <c r="HNS63" i="1"/>
  <c r="HNT63" i="1"/>
  <c r="HNU63" i="1"/>
  <c r="HNV63" i="1"/>
  <c r="HNW63" i="1"/>
  <c r="HNX63" i="1"/>
  <c r="HNY63" i="1"/>
  <c r="HNZ63" i="1"/>
  <c r="HOA63" i="1"/>
  <c r="HOB63" i="1"/>
  <c r="HOC63" i="1"/>
  <c r="HOD63" i="1"/>
  <c r="HOE63" i="1"/>
  <c r="HOF63" i="1"/>
  <c r="HOG63" i="1"/>
  <c r="HOH63" i="1"/>
  <c r="HOI63" i="1"/>
  <c r="HOJ63" i="1"/>
  <c r="HOK63" i="1"/>
  <c r="HOL63" i="1"/>
  <c r="HOM63" i="1"/>
  <c r="HON63" i="1"/>
  <c r="HOO63" i="1"/>
  <c r="HOP63" i="1"/>
  <c r="HOQ63" i="1"/>
  <c r="HOR63" i="1"/>
  <c r="HOS63" i="1"/>
  <c r="HOT63" i="1"/>
  <c r="HOU63" i="1"/>
  <c r="HOV63" i="1"/>
  <c r="HOW63" i="1"/>
  <c r="HOX63" i="1"/>
  <c r="HOY63" i="1"/>
  <c r="HOZ63" i="1"/>
  <c r="HPA63" i="1"/>
  <c r="HPB63" i="1"/>
  <c r="HPC63" i="1"/>
  <c r="HPD63" i="1"/>
  <c r="HPE63" i="1"/>
  <c r="HPF63" i="1"/>
  <c r="HPG63" i="1"/>
  <c r="HPH63" i="1"/>
  <c r="HPI63" i="1"/>
  <c r="HPJ63" i="1"/>
  <c r="HPK63" i="1"/>
  <c r="HPL63" i="1"/>
  <c r="HPM63" i="1"/>
  <c r="HPN63" i="1"/>
  <c r="HPO63" i="1"/>
  <c r="HPP63" i="1"/>
  <c r="HPQ63" i="1"/>
  <c r="HPR63" i="1"/>
  <c r="HPS63" i="1"/>
  <c r="HPT63" i="1"/>
  <c r="HPU63" i="1"/>
  <c r="HPV63" i="1"/>
  <c r="HPW63" i="1"/>
  <c r="HPX63" i="1"/>
  <c r="HPY63" i="1"/>
  <c r="HPZ63" i="1"/>
  <c r="HQA63" i="1"/>
  <c r="HQB63" i="1"/>
  <c r="HQC63" i="1"/>
  <c r="HQD63" i="1"/>
  <c r="HQE63" i="1"/>
  <c r="HQF63" i="1"/>
  <c r="HQG63" i="1"/>
  <c r="HQH63" i="1"/>
  <c r="HQI63" i="1"/>
  <c r="HQJ63" i="1"/>
  <c r="HQK63" i="1"/>
  <c r="HQL63" i="1"/>
  <c r="HQM63" i="1"/>
  <c r="HQN63" i="1"/>
  <c r="HQO63" i="1"/>
  <c r="HQP63" i="1"/>
  <c r="HQQ63" i="1"/>
  <c r="HQR63" i="1"/>
  <c r="HQS63" i="1"/>
  <c r="HQT63" i="1"/>
  <c r="HQU63" i="1"/>
  <c r="HQV63" i="1"/>
  <c r="HQW63" i="1"/>
  <c r="HQX63" i="1"/>
  <c r="HQY63" i="1"/>
  <c r="HQZ63" i="1"/>
  <c r="HRA63" i="1"/>
  <c r="HRB63" i="1"/>
  <c r="HRC63" i="1"/>
  <c r="HRD63" i="1"/>
  <c r="HRE63" i="1"/>
  <c r="HRF63" i="1"/>
  <c r="HRG63" i="1"/>
  <c r="HRH63" i="1"/>
  <c r="HRI63" i="1"/>
  <c r="HRJ63" i="1"/>
  <c r="HRK63" i="1"/>
  <c r="HRL63" i="1"/>
  <c r="HRM63" i="1"/>
  <c r="HRN63" i="1"/>
  <c r="HRO63" i="1"/>
  <c r="HRP63" i="1"/>
  <c r="HRQ63" i="1"/>
  <c r="HRR63" i="1"/>
  <c r="HRS63" i="1"/>
  <c r="HRT63" i="1"/>
  <c r="HRU63" i="1"/>
  <c r="HRV63" i="1"/>
  <c r="HRW63" i="1"/>
  <c r="HRX63" i="1"/>
  <c r="HRY63" i="1"/>
  <c r="HRZ63" i="1"/>
  <c r="HSA63" i="1"/>
  <c r="HSB63" i="1"/>
  <c r="HSC63" i="1"/>
  <c r="HSD63" i="1"/>
  <c r="HSE63" i="1"/>
  <c r="HSF63" i="1"/>
  <c r="HSG63" i="1"/>
  <c r="HSH63" i="1"/>
  <c r="HSI63" i="1"/>
  <c r="HSJ63" i="1"/>
  <c r="HSK63" i="1"/>
  <c r="HSL63" i="1"/>
  <c r="HSM63" i="1"/>
  <c r="HSN63" i="1"/>
  <c r="HSO63" i="1"/>
  <c r="HSP63" i="1"/>
  <c r="HSQ63" i="1"/>
  <c r="HSR63" i="1"/>
  <c r="HSS63" i="1"/>
  <c r="HST63" i="1"/>
  <c r="HSU63" i="1"/>
  <c r="HSV63" i="1"/>
  <c r="HSW63" i="1"/>
  <c r="HSX63" i="1"/>
  <c r="HSY63" i="1"/>
  <c r="HSZ63" i="1"/>
  <c r="HTA63" i="1"/>
  <c r="HTB63" i="1"/>
  <c r="HTC63" i="1"/>
  <c r="HTD63" i="1"/>
  <c r="HTE63" i="1"/>
  <c r="HTF63" i="1"/>
  <c r="HTG63" i="1"/>
  <c r="HTH63" i="1"/>
  <c r="HTI63" i="1"/>
  <c r="HTJ63" i="1"/>
  <c r="HTK63" i="1"/>
  <c r="HTL63" i="1"/>
  <c r="HTM63" i="1"/>
  <c r="HTN63" i="1"/>
  <c r="HTO63" i="1"/>
  <c r="HTP63" i="1"/>
  <c r="HTQ63" i="1"/>
  <c r="HTR63" i="1"/>
  <c r="HTS63" i="1"/>
  <c r="HTT63" i="1"/>
  <c r="HTU63" i="1"/>
  <c r="HTV63" i="1"/>
  <c r="HTW63" i="1"/>
  <c r="HTX63" i="1"/>
  <c r="HTY63" i="1"/>
  <c r="HTZ63" i="1"/>
  <c r="HUA63" i="1"/>
  <c r="HUB63" i="1"/>
  <c r="HUC63" i="1"/>
  <c r="HUD63" i="1"/>
  <c r="HUE63" i="1"/>
  <c r="HUF63" i="1"/>
  <c r="HUG63" i="1"/>
  <c r="HUH63" i="1"/>
  <c r="HUI63" i="1"/>
  <c r="HUJ63" i="1"/>
  <c r="HUK63" i="1"/>
  <c r="HUL63" i="1"/>
  <c r="HUM63" i="1"/>
  <c r="HUN63" i="1"/>
  <c r="HUO63" i="1"/>
  <c r="HUP63" i="1"/>
  <c r="HUQ63" i="1"/>
  <c r="HUR63" i="1"/>
  <c r="HUS63" i="1"/>
  <c r="HUT63" i="1"/>
  <c r="HUU63" i="1"/>
  <c r="HUV63" i="1"/>
  <c r="HUW63" i="1"/>
  <c r="HUX63" i="1"/>
  <c r="HUY63" i="1"/>
  <c r="HUZ63" i="1"/>
  <c r="HVA63" i="1"/>
  <c r="HVB63" i="1"/>
  <c r="HVC63" i="1"/>
  <c r="HVD63" i="1"/>
  <c r="HVE63" i="1"/>
  <c r="HVF63" i="1"/>
  <c r="HVG63" i="1"/>
  <c r="HVH63" i="1"/>
  <c r="HVI63" i="1"/>
  <c r="HVJ63" i="1"/>
  <c r="HVK63" i="1"/>
  <c r="HVL63" i="1"/>
  <c r="HVM63" i="1"/>
  <c r="HVN63" i="1"/>
  <c r="HVO63" i="1"/>
  <c r="HVP63" i="1"/>
  <c r="HVQ63" i="1"/>
  <c r="HVR63" i="1"/>
  <c r="HVS63" i="1"/>
  <c r="HVT63" i="1"/>
  <c r="HVU63" i="1"/>
  <c r="HVV63" i="1"/>
  <c r="HVW63" i="1"/>
  <c r="HVX63" i="1"/>
  <c r="HVY63" i="1"/>
  <c r="HVZ63" i="1"/>
  <c r="HWA63" i="1"/>
  <c r="HWB63" i="1"/>
  <c r="HWC63" i="1"/>
  <c r="HWD63" i="1"/>
  <c r="HWE63" i="1"/>
  <c r="HWF63" i="1"/>
  <c r="HWG63" i="1"/>
  <c r="HWH63" i="1"/>
  <c r="HWI63" i="1"/>
  <c r="HWJ63" i="1"/>
  <c r="HWK63" i="1"/>
  <c r="HWL63" i="1"/>
  <c r="HWM63" i="1"/>
  <c r="HWN63" i="1"/>
  <c r="HWO63" i="1"/>
  <c r="HWP63" i="1"/>
  <c r="HWQ63" i="1"/>
  <c r="HWR63" i="1"/>
  <c r="HWS63" i="1"/>
  <c r="HWT63" i="1"/>
  <c r="HWU63" i="1"/>
  <c r="HWV63" i="1"/>
  <c r="HWW63" i="1"/>
  <c r="HWX63" i="1"/>
  <c r="HWY63" i="1"/>
  <c r="HWZ63" i="1"/>
  <c r="HXA63" i="1"/>
  <c r="HXB63" i="1"/>
  <c r="HXC63" i="1"/>
  <c r="HXD63" i="1"/>
  <c r="HXE63" i="1"/>
  <c r="HXF63" i="1"/>
  <c r="HXG63" i="1"/>
  <c r="HXH63" i="1"/>
  <c r="HXI63" i="1"/>
  <c r="HXJ63" i="1"/>
  <c r="HXK63" i="1"/>
  <c r="HXL63" i="1"/>
  <c r="HXM63" i="1"/>
  <c r="HXN63" i="1"/>
  <c r="HXO63" i="1"/>
  <c r="HXP63" i="1"/>
  <c r="HXQ63" i="1"/>
  <c r="HXR63" i="1"/>
  <c r="HXS63" i="1"/>
  <c r="HXT63" i="1"/>
  <c r="HXU63" i="1"/>
  <c r="HXV63" i="1"/>
  <c r="HXW63" i="1"/>
  <c r="HXX63" i="1"/>
  <c r="HXY63" i="1"/>
  <c r="HXZ63" i="1"/>
  <c r="HYA63" i="1"/>
  <c r="HYB63" i="1"/>
  <c r="HYC63" i="1"/>
  <c r="HYD63" i="1"/>
  <c r="HYE63" i="1"/>
  <c r="HYF63" i="1"/>
  <c r="HYG63" i="1"/>
  <c r="HYH63" i="1"/>
  <c r="HYI63" i="1"/>
  <c r="HYJ63" i="1"/>
  <c r="HYK63" i="1"/>
  <c r="HYL63" i="1"/>
  <c r="HYM63" i="1"/>
  <c r="HYN63" i="1"/>
  <c r="HYO63" i="1"/>
  <c r="HYP63" i="1"/>
  <c r="HYQ63" i="1"/>
  <c r="HYR63" i="1"/>
  <c r="HYS63" i="1"/>
  <c r="HYT63" i="1"/>
  <c r="HYU63" i="1"/>
  <c r="HYV63" i="1"/>
  <c r="HYW63" i="1"/>
  <c r="HYX63" i="1"/>
  <c r="HYY63" i="1"/>
  <c r="HYZ63" i="1"/>
  <c r="HZA63" i="1"/>
  <c r="HZB63" i="1"/>
  <c r="HZC63" i="1"/>
  <c r="HZD63" i="1"/>
  <c r="HZE63" i="1"/>
  <c r="HZF63" i="1"/>
  <c r="HZG63" i="1"/>
  <c r="HZH63" i="1"/>
  <c r="HZI63" i="1"/>
  <c r="HZJ63" i="1"/>
  <c r="HZK63" i="1"/>
  <c r="HZL63" i="1"/>
  <c r="HZM63" i="1"/>
  <c r="HZN63" i="1"/>
  <c r="HZO63" i="1"/>
  <c r="HZP63" i="1"/>
  <c r="HZQ63" i="1"/>
  <c r="HZR63" i="1"/>
  <c r="HZS63" i="1"/>
  <c r="HZT63" i="1"/>
  <c r="HZU63" i="1"/>
  <c r="HZV63" i="1"/>
  <c r="HZW63" i="1"/>
  <c r="HZX63" i="1"/>
  <c r="HZY63" i="1"/>
  <c r="HZZ63" i="1"/>
  <c r="IAA63" i="1"/>
  <c r="IAB63" i="1"/>
  <c r="IAC63" i="1"/>
  <c r="IAD63" i="1"/>
  <c r="IAE63" i="1"/>
  <c r="IAF63" i="1"/>
  <c r="IAG63" i="1"/>
  <c r="IAH63" i="1"/>
  <c r="IAI63" i="1"/>
  <c r="IAJ63" i="1"/>
  <c r="IAK63" i="1"/>
  <c r="IAL63" i="1"/>
  <c r="IAM63" i="1"/>
  <c r="IAN63" i="1"/>
  <c r="IAO63" i="1"/>
  <c r="IAP63" i="1"/>
  <c r="IAQ63" i="1"/>
  <c r="IAR63" i="1"/>
  <c r="IAS63" i="1"/>
  <c r="IAT63" i="1"/>
  <c r="IAU63" i="1"/>
  <c r="IAV63" i="1"/>
  <c r="IAW63" i="1"/>
  <c r="IAX63" i="1"/>
  <c r="IAY63" i="1"/>
  <c r="IAZ63" i="1"/>
  <c r="IBA63" i="1"/>
  <c r="IBB63" i="1"/>
  <c r="IBC63" i="1"/>
  <c r="IBD63" i="1"/>
  <c r="IBE63" i="1"/>
  <c r="IBF63" i="1"/>
  <c r="IBG63" i="1"/>
  <c r="IBH63" i="1"/>
  <c r="IBI63" i="1"/>
  <c r="IBJ63" i="1"/>
  <c r="IBK63" i="1"/>
  <c r="IBL63" i="1"/>
  <c r="IBM63" i="1"/>
  <c r="IBN63" i="1"/>
  <c r="IBO63" i="1"/>
  <c r="IBP63" i="1"/>
  <c r="IBQ63" i="1"/>
  <c r="IBR63" i="1"/>
  <c r="IBS63" i="1"/>
  <c r="IBT63" i="1"/>
  <c r="IBU63" i="1"/>
  <c r="IBV63" i="1"/>
  <c r="IBW63" i="1"/>
  <c r="IBX63" i="1"/>
  <c r="IBY63" i="1"/>
  <c r="IBZ63" i="1"/>
  <c r="ICA63" i="1"/>
  <c r="ICB63" i="1"/>
  <c r="ICC63" i="1"/>
  <c r="ICD63" i="1"/>
  <c r="ICE63" i="1"/>
  <c r="ICF63" i="1"/>
  <c r="ICG63" i="1"/>
  <c r="ICH63" i="1"/>
  <c r="ICI63" i="1"/>
  <c r="ICJ63" i="1"/>
  <c r="ICK63" i="1"/>
  <c r="ICL63" i="1"/>
  <c r="ICM63" i="1"/>
  <c r="ICN63" i="1"/>
  <c r="ICO63" i="1"/>
  <c r="ICP63" i="1"/>
  <c r="ICQ63" i="1"/>
  <c r="ICR63" i="1"/>
  <c r="ICS63" i="1"/>
  <c r="ICT63" i="1"/>
  <c r="ICU63" i="1"/>
  <c r="ICV63" i="1"/>
  <c r="ICW63" i="1"/>
  <c r="ICX63" i="1"/>
  <c r="ICY63" i="1"/>
  <c r="ICZ63" i="1"/>
  <c r="IDA63" i="1"/>
  <c r="IDB63" i="1"/>
  <c r="IDC63" i="1"/>
  <c r="IDD63" i="1"/>
  <c r="IDE63" i="1"/>
  <c r="IDF63" i="1"/>
  <c r="IDG63" i="1"/>
  <c r="IDH63" i="1"/>
  <c r="IDI63" i="1"/>
  <c r="IDJ63" i="1"/>
  <c r="IDK63" i="1"/>
  <c r="IDL63" i="1"/>
  <c r="IDM63" i="1"/>
  <c r="IDN63" i="1"/>
  <c r="IDO63" i="1"/>
  <c r="IDP63" i="1"/>
  <c r="IDQ63" i="1"/>
  <c r="IDR63" i="1"/>
  <c r="IDS63" i="1"/>
  <c r="IDT63" i="1"/>
  <c r="IDU63" i="1"/>
  <c r="IDV63" i="1"/>
  <c r="IDW63" i="1"/>
  <c r="IDX63" i="1"/>
  <c r="IDY63" i="1"/>
  <c r="IDZ63" i="1"/>
  <c r="IEA63" i="1"/>
  <c r="IEB63" i="1"/>
  <c r="IEC63" i="1"/>
  <c r="IED63" i="1"/>
  <c r="IEE63" i="1"/>
  <c r="IEF63" i="1"/>
  <c r="IEG63" i="1"/>
  <c r="IEH63" i="1"/>
  <c r="IEI63" i="1"/>
  <c r="IEJ63" i="1"/>
  <c r="IEK63" i="1"/>
  <c r="IEL63" i="1"/>
  <c r="IEM63" i="1"/>
  <c r="IEN63" i="1"/>
  <c r="IEO63" i="1"/>
  <c r="IEP63" i="1"/>
  <c r="IEQ63" i="1"/>
  <c r="IER63" i="1"/>
  <c r="IES63" i="1"/>
  <c r="IET63" i="1"/>
  <c r="IEU63" i="1"/>
  <c r="IEV63" i="1"/>
  <c r="IEW63" i="1"/>
  <c r="IEX63" i="1"/>
  <c r="IEY63" i="1"/>
  <c r="IEZ63" i="1"/>
  <c r="IFA63" i="1"/>
  <c r="IFB63" i="1"/>
  <c r="IFC63" i="1"/>
  <c r="IFD63" i="1"/>
  <c r="IFE63" i="1"/>
  <c r="IFF63" i="1"/>
  <c r="IFG63" i="1"/>
  <c r="IFH63" i="1"/>
  <c r="IFI63" i="1"/>
  <c r="IFJ63" i="1"/>
  <c r="IFK63" i="1"/>
  <c r="IFL63" i="1"/>
  <c r="IFM63" i="1"/>
  <c r="IFN63" i="1"/>
  <c r="IFO63" i="1"/>
  <c r="IFP63" i="1"/>
  <c r="IFQ63" i="1"/>
  <c r="IFR63" i="1"/>
  <c r="IFS63" i="1"/>
  <c r="IFT63" i="1"/>
  <c r="IFU63" i="1"/>
  <c r="IFV63" i="1"/>
  <c r="IFW63" i="1"/>
  <c r="IFX63" i="1"/>
  <c r="IFY63" i="1"/>
  <c r="IFZ63" i="1"/>
  <c r="IGA63" i="1"/>
  <c r="IGB63" i="1"/>
  <c r="IGC63" i="1"/>
  <c r="IGD63" i="1"/>
  <c r="IGE63" i="1"/>
  <c r="IGF63" i="1"/>
  <c r="IGG63" i="1"/>
  <c r="IGH63" i="1"/>
  <c r="IGI63" i="1"/>
  <c r="IGJ63" i="1"/>
  <c r="IGK63" i="1"/>
  <c r="IGL63" i="1"/>
  <c r="IGM63" i="1"/>
  <c r="IGN63" i="1"/>
  <c r="IGO63" i="1"/>
  <c r="IGP63" i="1"/>
  <c r="IGQ63" i="1"/>
  <c r="IGR63" i="1"/>
  <c r="IGS63" i="1"/>
  <c r="IGT63" i="1"/>
  <c r="IGU63" i="1"/>
  <c r="IGV63" i="1"/>
  <c r="IGW63" i="1"/>
  <c r="IGX63" i="1"/>
  <c r="IGY63" i="1"/>
  <c r="IGZ63" i="1"/>
  <c r="IHA63" i="1"/>
  <c r="IHB63" i="1"/>
  <c r="IHC63" i="1"/>
  <c r="IHD63" i="1"/>
  <c r="IHE63" i="1"/>
  <c r="IHF63" i="1"/>
  <c r="IHG63" i="1"/>
  <c r="IHH63" i="1"/>
  <c r="IHI63" i="1"/>
  <c r="IHJ63" i="1"/>
  <c r="IHK63" i="1"/>
  <c r="IHL63" i="1"/>
  <c r="IHM63" i="1"/>
  <c r="IHN63" i="1"/>
  <c r="IHO63" i="1"/>
  <c r="IHP63" i="1"/>
  <c r="IHQ63" i="1"/>
  <c r="IHR63" i="1"/>
  <c r="IHS63" i="1"/>
  <c r="IHT63" i="1"/>
  <c r="IHU63" i="1"/>
  <c r="IHV63" i="1"/>
  <c r="IHW63" i="1"/>
  <c r="IHX63" i="1"/>
  <c r="IHY63" i="1"/>
  <c r="IHZ63" i="1"/>
  <c r="IIA63" i="1"/>
  <c r="IIB63" i="1"/>
  <c r="IIC63" i="1"/>
  <c r="IID63" i="1"/>
  <c r="IIE63" i="1"/>
  <c r="IIF63" i="1"/>
  <c r="IIG63" i="1"/>
  <c r="IIH63" i="1"/>
  <c r="III63" i="1"/>
  <c r="IIJ63" i="1"/>
  <c r="IIK63" i="1"/>
  <c r="IIL63" i="1"/>
  <c r="IIM63" i="1"/>
  <c r="IIN63" i="1"/>
  <c r="IIO63" i="1"/>
  <c r="IIP63" i="1"/>
  <c r="IIQ63" i="1"/>
  <c r="IIR63" i="1"/>
  <c r="IIS63" i="1"/>
  <c r="IIT63" i="1"/>
  <c r="IIU63" i="1"/>
  <c r="IIV63" i="1"/>
  <c r="IIW63" i="1"/>
  <c r="IIX63" i="1"/>
  <c r="IIY63" i="1"/>
  <c r="IIZ63" i="1"/>
  <c r="IJA63" i="1"/>
  <c r="IJB63" i="1"/>
  <c r="IJC63" i="1"/>
  <c r="IJD63" i="1"/>
  <c r="IJE63" i="1"/>
  <c r="IJF63" i="1"/>
  <c r="IJG63" i="1"/>
  <c r="IJH63" i="1"/>
  <c r="IJI63" i="1"/>
  <c r="IJJ63" i="1"/>
  <c r="IJK63" i="1"/>
  <c r="IJL63" i="1"/>
  <c r="IJM63" i="1"/>
  <c r="IJN63" i="1"/>
  <c r="IJO63" i="1"/>
  <c r="IJP63" i="1"/>
  <c r="IJQ63" i="1"/>
  <c r="IJR63" i="1"/>
  <c r="IJS63" i="1"/>
  <c r="IJT63" i="1"/>
  <c r="IJU63" i="1"/>
  <c r="IJV63" i="1"/>
  <c r="IJW63" i="1"/>
  <c r="IJX63" i="1"/>
  <c r="IJY63" i="1"/>
  <c r="IJZ63" i="1"/>
  <c r="IKA63" i="1"/>
  <c r="IKB63" i="1"/>
  <c r="IKC63" i="1"/>
  <c r="IKD63" i="1"/>
  <c r="IKE63" i="1"/>
  <c r="IKF63" i="1"/>
  <c r="IKG63" i="1"/>
  <c r="IKH63" i="1"/>
  <c r="IKI63" i="1"/>
  <c r="IKJ63" i="1"/>
  <c r="IKK63" i="1"/>
  <c r="IKL63" i="1"/>
  <c r="IKM63" i="1"/>
  <c r="IKN63" i="1"/>
  <c r="IKO63" i="1"/>
  <c r="IKP63" i="1"/>
  <c r="IKQ63" i="1"/>
  <c r="IKR63" i="1"/>
  <c r="IKS63" i="1"/>
  <c r="IKT63" i="1"/>
  <c r="IKU63" i="1"/>
  <c r="IKV63" i="1"/>
  <c r="IKW63" i="1"/>
  <c r="IKX63" i="1"/>
  <c r="IKY63" i="1"/>
  <c r="IKZ63" i="1"/>
  <c r="ILA63" i="1"/>
  <c r="ILB63" i="1"/>
  <c r="ILC63" i="1"/>
  <c r="ILD63" i="1"/>
  <c r="ILE63" i="1"/>
  <c r="ILF63" i="1"/>
  <c r="ILG63" i="1"/>
  <c r="ILH63" i="1"/>
  <c r="ILI63" i="1"/>
  <c r="ILJ63" i="1"/>
  <c r="ILK63" i="1"/>
  <c r="ILL63" i="1"/>
  <c r="ILM63" i="1"/>
  <c r="ILN63" i="1"/>
  <c r="ILO63" i="1"/>
  <c r="ILP63" i="1"/>
  <c r="ILQ63" i="1"/>
  <c r="ILR63" i="1"/>
  <c r="ILS63" i="1"/>
  <c r="ILT63" i="1"/>
  <c r="ILU63" i="1"/>
  <c r="ILV63" i="1"/>
  <c r="ILW63" i="1"/>
  <c r="ILX63" i="1"/>
  <c r="ILY63" i="1"/>
  <c r="ILZ63" i="1"/>
  <c r="IMA63" i="1"/>
  <c r="IMB63" i="1"/>
  <c r="IMC63" i="1"/>
  <c r="IMD63" i="1"/>
  <c r="IME63" i="1"/>
  <c r="IMF63" i="1"/>
  <c r="IMG63" i="1"/>
  <c r="IMH63" i="1"/>
  <c r="IMI63" i="1"/>
  <c r="IMJ63" i="1"/>
  <c r="IMK63" i="1"/>
  <c r="IML63" i="1"/>
  <c r="IMM63" i="1"/>
  <c r="IMN63" i="1"/>
  <c r="IMO63" i="1"/>
  <c r="IMP63" i="1"/>
  <c r="IMQ63" i="1"/>
  <c r="IMR63" i="1"/>
  <c r="IMS63" i="1"/>
  <c r="IMT63" i="1"/>
  <c r="IMU63" i="1"/>
  <c r="IMV63" i="1"/>
  <c r="IMW63" i="1"/>
  <c r="IMX63" i="1"/>
  <c r="IMY63" i="1"/>
  <c r="IMZ63" i="1"/>
  <c r="INA63" i="1"/>
  <c r="INB63" i="1"/>
  <c r="INC63" i="1"/>
  <c r="IND63" i="1"/>
  <c r="INE63" i="1"/>
  <c r="INF63" i="1"/>
  <c r="ING63" i="1"/>
  <c r="INH63" i="1"/>
  <c r="INI63" i="1"/>
  <c r="INJ63" i="1"/>
  <c r="INK63" i="1"/>
  <c r="INL63" i="1"/>
  <c r="INM63" i="1"/>
  <c r="INN63" i="1"/>
  <c r="INO63" i="1"/>
  <c r="INP63" i="1"/>
  <c r="INQ63" i="1"/>
  <c r="INR63" i="1"/>
  <c r="INS63" i="1"/>
  <c r="INT63" i="1"/>
  <c r="INU63" i="1"/>
  <c r="INV63" i="1"/>
  <c r="INW63" i="1"/>
  <c r="INX63" i="1"/>
  <c r="INY63" i="1"/>
  <c r="INZ63" i="1"/>
  <c r="IOA63" i="1"/>
  <c r="IOB63" i="1"/>
  <c r="IOC63" i="1"/>
  <c r="IOD63" i="1"/>
  <c r="IOE63" i="1"/>
  <c r="IOF63" i="1"/>
  <c r="IOG63" i="1"/>
  <c r="IOH63" i="1"/>
  <c r="IOI63" i="1"/>
  <c r="IOJ63" i="1"/>
  <c r="IOK63" i="1"/>
  <c r="IOL63" i="1"/>
  <c r="IOM63" i="1"/>
  <c r="ION63" i="1"/>
  <c r="IOO63" i="1"/>
  <c r="IOP63" i="1"/>
  <c r="IOQ63" i="1"/>
  <c r="IOR63" i="1"/>
  <c r="IOS63" i="1"/>
  <c r="IOT63" i="1"/>
  <c r="IOU63" i="1"/>
  <c r="IOV63" i="1"/>
  <c r="IOW63" i="1"/>
  <c r="IOX63" i="1"/>
  <c r="IOY63" i="1"/>
  <c r="IOZ63" i="1"/>
  <c r="IPA63" i="1"/>
  <c r="IPB63" i="1"/>
  <c r="IPC63" i="1"/>
  <c r="IPD63" i="1"/>
  <c r="IPE63" i="1"/>
  <c r="IPF63" i="1"/>
  <c r="IPG63" i="1"/>
  <c r="IPH63" i="1"/>
  <c r="IPI63" i="1"/>
  <c r="IPJ63" i="1"/>
  <c r="IPK63" i="1"/>
  <c r="IPL63" i="1"/>
  <c r="IPM63" i="1"/>
  <c r="IPN63" i="1"/>
  <c r="IPO63" i="1"/>
  <c r="IPP63" i="1"/>
  <c r="IPQ63" i="1"/>
  <c r="IPR63" i="1"/>
  <c r="IPS63" i="1"/>
  <c r="IPT63" i="1"/>
  <c r="IPU63" i="1"/>
  <c r="IPV63" i="1"/>
  <c r="IPW63" i="1"/>
  <c r="IPX63" i="1"/>
  <c r="IPY63" i="1"/>
  <c r="IPZ63" i="1"/>
  <c r="IQA63" i="1"/>
  <c r="IQB63" i="1"/>
  <c r="IQC63" i="1"/>
  <c r="IQD63" i="1"/>
  <c r="IQE63" i="1"/>
  <c r="IQF63" i="1"/>
  <c r="IQG63" i="1"/>
  <c r="IQH63" i="1"/>
  <c r="IQI63" i="1"/>
  <c r="IQJ63" i="1"/>
  <c r="IQK63" i="1"/>
  <c r="IQL63" i="1"/>
  <c r="IQM63" i="1"/>
  <c r="IQN63" i="1"/>
  <c r="IQO63" i="1"/>
  <c r="IQP63" i="1"/>
  <c r="IQQ63" i="1"/>
  <c r="IQR63" i="1"/>
  <c r="IQS63" i="1"/>
  <c r="IQT63" i="1"/>
  <c r="IQU63" i="1"/>
  <c r="IQV63" i="1"/>
  <c r="IQW63" i="1"/>
  <c r="IQX63" i="1"/>
  <c r="IQY63" i="1"/>
  <c r="IQZ63" i="1"/>
  <c r="IRA63" i="1"/>
  <c r="IRB63" i="1"/>
  <c r="IRC63" i="1"/>
  <c r="IRD63" i="1"/>
  <c r="IRE63" i="1"/>
  <c r="IRF63" i="1"/>
  <c r="IRG63" i="1"/>
  <c r="IRH63" i="1"/>
  <c r="IRI63" i="1"/>
  <c r="IRJ63" i="1"/>
  <c r="IRK63" i="1"/>
  <c r="IRL63" i="1"/>
  <c r="IRM63" i="1"/>
  <c r="IRN63" i="1"/>
  <c r="IRO63" i="1"/>
  <c r="IRP63" i="1"/>
  <c r="IRQ63" i="1"/>
  <c r="IRR63" i="1"/>
  <c r="IRS63" i="1"/>
  <c r="IRT63" i="1"/>
  <c r="IRU63" i="1"/>
  <c r="IRV63" i="1"/>
  <c r="IRW63" i="1"/>
  <c r="IRX63" i="1"/>
  <c r="IRY63" i="1"/>
  <c r="IRZ63" i="1"/>
  <c r="ISA63" i="1"/>
  <c r="ISB63" i="1"/>
  <c r="ISC63" i="1"/>
  <c r="ISD63" i="1"/>
  <c r="ISE63" i="1"/>
  <c r="ISF63" i="1"/>
  <c r="ISG63" i="1"/>
  <c r="ISH63" i="1"/>
  <c r="ISI63" i="1"/>
  <c r="ISJ63" i="1"/>
  <c r="ISK63" i="1"/>
  <c r="ISL63" i="1"/>
  <c r="ISM63" i="1"/>
  <c r="ISN63" i="1"/>
  <c r="ISO63" i="1"/>
  <c r="ISP63" i="1"/>
  <c r="ISQ63" i="1"/>
  <c r="ISR63" i="1"/>
  <c r="ISS63" i="1"/>
  <c r="IST63" i="1"/>
  <c r="ISU63" i="1"/>
  <c r="ISV63" i="1"/>
  <c r="ISW63" i="1"/>
  <c r="ISX63" i="1"/>
  <c r="ISY63" i="1"/>
  <c r="ISZ63" i="1"/>
  <c r="ITA63" i="1"/>
  <c r="ITB63" i="1"/>
  <c r="ITC63" i="1"/>
  <c r="ITD63" i="1"/>
  <c r="ITE63" i="1"/>
  <c r="ITF63" i="1"/>
  <c r="ITG63" i="1"/>
  <c r="ITH63" i="1"/>
  <c r="ITI63" i="1"/>
  <c r="ITJ63" i="1"/>
  <c r="ITK63" i="1"/>
  <c r="ITL63" i="1"/>
  <c r="ITM63" i="1"/>
  <c r="ITN63" i="1"/>
  <c r="ITO63" i="1"/>
  <c r="ITP63" i="1"/>
  <c r="ITQ63" i="1"/>
  <c r="ITR63" i="1"/>
  <c r="ITS63" i="1"/>
  <c r="ITT63" i="1"/>
  <c r="ITU63" i="1"/>
  <c r="ITV63" i="1"/>
  <c r="ITW63" i="1"/>
  <c r="ITX63" i="1"/>
  <c r="ITY63" i="1"/>
  <c r="ITZ63" i="1"/>
  <c r="IUA63" i="1"/>
  <c r="IUB63" i="1"/>
  <c r="IUC63" i="1"/>
  <c r="IUD63" i="1"/>
  <c r="IUE63" i="1"/>
  <c r="IUF63" i="1"/>
  <c r="IUG63" i="1"/>
  <c r="IUH63" i="1"/>
  <c r="IUI63" i="1"/>
  <c r="IUJ63" i="1"/>
  <c r="IUK63" i="1"/>
  <c r="IUL63" i="1"/>
  <c r="IUM63" i="1"/>
  <c r="IUN63" i="1"/>
  <c r="IUO63" i="1"/>
  <c r="IUP63" i="1"/>
  <c r="IUQ63" i="1"/>
  <c r="IUR63" i="1"/>
  <c r="IUS63" i="1"/>
  <c r="IUT63" i="1"/>
  <c r="IUU63" i="1"/>
  <c r="IUV63" i="1"/>
  <c r="IUW63" i="1"/>
  <c r="IUX63" i="1"/>
  <c r="IUY63" i="1"/>
  <c r="IUZ63" i="1"/>
  <c r="IVA63" i="1"/>
  <c r="IVB63" i="1"/>
  <c r="IVC63" i="1"/>
  <c r="IVD63" i="1"/>
  <c r="IVE63" i="1"/>
  <c r="IVF63" i="1"/>
  <c r="IVG63" i="1"/>
  <c r="IVH63" i="1"/>
  <c r="IVI63" i="1"/>
  <c r="IVJ63" i="1"/>
  <c r="IVK63" i="1"/>
  <c r="IVL63" i="1"/>
  <c r="IVM63" i="1"/>
  <c r="IVN63" i="1"/>
  <c r="IVO63" i="1"/>
  <c r="IVP63" i="1"/>
  <c r="IVQ63" i="1"/>
  <c r="IVR63" i="1"/>
  <c r="IVS63" i="1"/>
  <c r="IVT63" i="1"/>
  <c r="IVU63" i="1"/>
  <c r="IVV63" i="1"/>
  <c r="IVW63" i="1"/>
  <c r="IVX63" i="1"/>
  <c r="IVY63" i="1"/>
  <c r="IVZ63" i="1"/>
  <c r="IWA63" i="1"/>
  <c r="IWB63" i="1"/>
  <c r="IWC63" i="1"/>
  <c r="IWD63" i="1"/>
  <c r="IWE63" i="1"/>
  <c r="IWF63" i="1"/>
  <c r="IWG63" i="1"/>
  <c r="IWH63" i="1"/>
  <c r="IWI63" i="1"/>
  <c r="IWJ63" i="1"/>
  <c r="IWK63" i="1"/>
  <c r="IWL63" i="1"/>
  <c r="IWM63" i="1"/>
  <c r="IWN63" i="1"/>
  <c r="IWO63" i="1"/>
  <c r="IWP63" i="1"/>
  <c r="IWQ63" i="1"/>
  <c r="IWR63" i="1"/>
  <c r="IWS63" i="1"/>
  <c r="IWT63" i="1"/>
  <c r="IWU63" i="1"/>
  <c r="IWV63" i="1"/>
  <c r="IWW63" i="1"/>
  <c r="IWX63" i="1"/>
  <c r="IWY63" i="1"/>
  <c r="IWZ63" i="1"/>
  <c r="IXA63" i="1"/>
  <c r="IXB63" i="1"/>
  <c r="IXC63" i="1"/>
  <c r="IXD63" i="1"/>
  <c r="IXE63" i="1"/>
  <c r="IXF63" i="1"/>
  <c r="IXG63" i="1"/>
  <c r="IXH63" i="1"/>
  <c r="IXI63" i="1"/>
  <c r="IXJ63" i="1"/>
  <c r="IXK63" i="1"/>
  <c r="IXL63" i="1"/>
  <c r="IXM63" i="1"/>
  <c r="IXN63" i="1"/>
  <c r="IXO63" i="1"/>
  <c r="IXP63" i="1"/>
  <c r="IXQ63" i="1"/>
  <c r="IXR63" i="1"/>
  <c r="IXS63" i="1"/>
  <c r="IXT63" i="1"/>
  <c r="IXU63" i="1"/>
  <c r="IXV63" i="1"/>
  <c r="IXW63" i="1"/>
  <c r="IXX63" i="1"/>
  <c r="IXY63" i="1"/>
  <c r="IXZ63" i="1"/>
  <c r="IYA63" i="1"/>
  <c r="IYB63" i="1"/>
  <c r="IYC63" i="1"/>
  <c r="IYD63" i="1"/>
  <c r="IYE63" i="1"/>
  <c r="IYF63" i="1"/>
  <c r="IYG63" i="1"/>
  <c r="IYH63" i="1"/>
  <c r="IYI63" i="1"/>
  <c r="IYJ63" i="1"/>
  <c r="IYK63" i="1"/>
  <c r="IYL63" i="1"/>
  <c r="IYM63" i="1"/>
  <c r="IYN63" i="1"/>
  <c r="IYO63" i="1"/>
  <c r="IYP63" i="1"/>
  <c r="IYQ63" i="1"/>
  <c r="IYR63" i="1"/>
  <c r="IYS63" i="1"/>
  <c r="IYT63" i="1"/>
  <c r="IYU63" i="1"/>
  <c r="IYV63" i="1"/>
  <c r="IYW63" i="1"/>
  <c r="IYX63" i="1"/>
  <c r="IYY63" i="1"/>
  <c r="IYZ63" i="1"/>
  <c r="IZA63" i="1"/>
  <c r="IZB63" i="1"/>
  <c r="IZC63" i="1"/>
  <c r="IZD63" i="1"/>
  <c r="IZE63" i="1"/>
  <c r="IZF63" i="1"/>
  <c r="IZG63" i="1"/>
  <c r="IZH63" i="1"/>
  <c r="IZI63" i="1"/>
  <c r="IZJ63" i="1"/>
  <c r="IZK63" i="1"/>
  <c r="IZL63" i="1"/>
  <c r="IZM63" i="1"/>
  <c r="IZN63" i="1"/>
  <c r="IZO63" i="1"/>
  <c r="IZP63" i="1"/>
  <c r="IZQ63" i="1"/>
  <c r="IZR63" i="1"/>
  <c r="IZS63" i="1"/>
  <c r="IZT63" i="1"/>
  <c r="IZU63" i="1"/>
  <c r="IZV63" i="1"/>
  <c r="IZW63" i="1"/>
  <c r="IZX63" i="1"/>
  <c r="IZY63" i="1"/>
  <c r="IZZ63" i="1"/>
  <c r="JAA63" i="1"/>
  <c r="JAB63" i="1"/>
  <c r="JAC63" i="1"/>
  <c r="JAD63" i="1"/>
  <c r="JAE63" i="1"/>
  <c r="JAF63" i="1"/>
  <c r="JAG63" i="1"/>
  <c r="JAH63" i="1"/>
  <c r="JAI63" i="1"/>
  <c r="JAJ63" i="1"/>
  <c r="JAK63" i="1"/>
  <c r="JAL63" i="1"/>
  <c r="JAM63" i="1"/>
  <c r="JAN63" i="1"/>
  <c r="JAO63" i="1"/>
  <c r="JAP63" i="1"/>
  <c r="JAQ63" i="1"/>
  <c r="JAR63" i="1"/>
  <c r="JAS63" i="1"/>
  <c r="JAT63" i="1"/>
  <c r="JAU63" i="1"/>
  <c r="JAV63" i="1"/>
  <c r="JAW63" i="1"/>
  <c r="JAX63" i="1"/>
  <c r="JAY63" i="1"/>
  <c r="JAZ63" i="1"/>
  <c r="JBA63" i="1"/>
  <c r="JBB63" i="1"/>
  <c r="JBC63" i="1"/>
  <c r="JBD63" i="1"/>
  <c r="JBE63" i="1"/>
  <c r="JBF63" i="1"/>
  <c r="JBG63" i="1"/>
  <c r="JBH63" i="1"/>
  <c r="JBI63" i="1"/>
  <c r="JBJ63" i="1"/>
  <c r="JBK63" i="1"/>
  <c r="JBL63" i="1"/>
  <c r="JBM63" i="1"/>
  <c r="JBN63" i="1"/>
  <c r="JBO63" i="1"/>
  <c r="JBP63" i="1"/>
  <c r="JBQ63" i="1"/>
  <c r="JBR63" i="1"/>
  <c r="JBS63" i="1"/>
  <c r="JBT63" i="1"/>
  <c r="JBU63" i="1"/>
  <c r="JBV63" i="1"/>
  <c r="JBW63" i="1"/>
  <c r="JBX63" i="1"/>
  <c r="JBY63" i="1"/>
  <c r="JBZ63" i="1"/>
  <c r="JCA63" i="1"/>
  <c r="JCB63" i="1"/>
  <c r="JCC63" i="1"/>
  <c r="JCD63" i="1"/>
  <c r="JCE63" i="1"/>
  <c r="JCF63" i="1"/>
  <c r="JCG63" i="1"/>
  <c r="JCH63" i="1"/>
  <c r="JCI63" i="1"/>
  <c r="JCJ63" i="1"/>
  <c r="JCK63" i="1"/>
  <c r="JCL63" i="1"/>
  <c r="JCM63" i="1"/>
  <c r="JCN63" i="1"/>
  <c r="JCO63" i="1"/>
  <c r="JCP63" i="1"/>
  <c r="JCQ63" i="1"/>
  <c r="JCR63" i="1"/>
  <c r="JCS63" i="1"/>
  <c r="JCT63" i="1"/>
  <c r="JCU63" i="1"/>
  <c r="JCV63" i="1"/>
  <c r="JCW63" i="1"/>
  <c r="JCX63" i="1"/>
  <c r="JCY63" i="1"/>
  <c r="JCZ63" i="1"/>
  <c r="JDA63" i="1"/>
  <c r="JDB63" i="1"/>
  <c r="JDC63" i="1"/>
  <c r="JDD63" i="1"/>
  <c r="JDE63" i="1"/>
  <c r="JDF63" i="1"/>
  <c r="JDG63" i="1"/>
  <c r="JDH63" i="1"/>
  <c r="JDI63" i="1"/>
  <c r="JDJ63" i="1"/>
  <c r="JDK63" i="1"/>
  <c r="JDL63" i="1"/>
  <c r="JDM63" i="1"/>
  <c r="JDN63" i="1"/>
  <c r="JDO63" i="1"/>
  <c r="JDP63" i="1"/>
  <c r="JDQ63" i="1"/>
  <c r="JDR63" i="1"/>
  <c r="JDS63" i="1"/>
  <c r="JDT63" i="1"/>
  <c r="JDU63" i="1"/>
  <c r="JDV63" i="1"/>
  <c r="JDW63" i="1"/>
  <c r="JDX63" i="1"/>
  <c r="JDY63" i="1"/>
  <c r="JDZ63" i="1"/>
  <c r="JEA63" i="1"/>
  <c r="JEB63" i="1"/>
  <c r="JEC63" i="1"/>
  <c r="JED63" i="1"/>
  <c r="JEE63" i="1"/>
  <c r="JEF63" i="1"/>
  <c r="JEG63" i="1"/>
  <c r="JEH63" i="1"/>
  <c r="JEI63" i="1"/>
  <c r="JEJ63" i="1"/>
  <c r="JEK63" i="1"/>
  <c r="JEL63" i="1"/>
  <c r="JEM63" i="1"/>
  <c r="JEN63" i="1"/>
  <c r="JEO63" i="1"/>
  <c r="JEP63" i="1"/>
  <c r="JEQ63" i="1"/>
  <c r="JER63" i="1"/>
  <c r="JES63" i="1"/>
  <c r="JET63" i="1"/>
  <c r="JEU63" i="1"/>
  <c r="JEV63" i="1"/>
  <c r="JEW63" i="1"/>
  <c r="JEX63" i="1"/>
  <c r="JEY63" i="1"/>
  <c r="JEZ63" i="1"/>
  <c r="JFA63" i="1"/>
  <c r="JFB63" i="1"/>
  <c r="JFC63" i="1"/>
  <c r="JFD63" i="1"/>
  <c r="JFE63" i="1"/>
  <c r="JFF63" i="1"/>
  <c r="JFG63" i="1"/>
  <c r="JFH63" i="1"/>
  <c r="JFI63" i="1"/>
  <c r="JFJ63" i="1"/>
  <c r="JFK63" i="1"/>
  <c r="JFL63" i="1"/>
  <c r="JFM63" i="1"/>
  <c r="JFN63" i="1"/>
  <c r="JFO63" i="1"/>
  <c r="JFP63" i="1"/>
  <c r="JFQ63" i="1"/>
  <c r="JFR63" i="1"/>
  <c r="JFS63" i="1"/>
  <c r="JFT63" i="1"/>
  <c r="JFU63" i="1"/>
  <c r="JFV63" i="1"/>
  <c r="JFW63" i="1"/>
  <c r="JFX63" i="1"/>
  <c r="JFY63" i="1"/>
  <c r="JFZ63" i="1"/>
  <c r="JGA63" i="1"/>
  <c r="JGB63" i="1"/>
  <c r="JGC63" i="1"/>
  <c r="JGD63" i="1"/>
  <c r="JGE63" i="1"/>
  <c r="JGF63" i="1"/>
  <c r="JGG63" i="1"/>
  <c r="JGH63" i="1"/>
  <c r="JGI63" i="1"/>
  <c r="JGJ63" i="1"/>
  <c r="JGK63" i="1"/>
  <c r="JGL63" i="1"/>
  <c r="JGM63" i="1"/>
  <c r="JGN63" i="1"/>
  <c r="JGO63" i="1"/>
  <c r="JGP63" i="1"/>
  <c r="JGQ63" i="1"/>
  <c r="JGR63" i="1"/>
  <c r="JGS63" i="1"/>
  <c r="JGT63" i="1"/>
  <c r="JGU63" i="1"/>
  <c r="JGV63" i="1"/>
  <c r="JGW63" i="1"/>
  <c r="JGX63" i="1"/>
  <c r="JGY63" i="1"/>
  <c r="JGZ63" i="1"/>
  <c r="JHA63" i="1"/>
  <c r="JHB63" i="1"/>
  <c r="JHC63" i="1"/>
  <c r="JHD63" i="1"/>
  <c r="JHE63" i="1"/>
  <c r="JHF63" i="1"/>
  <c r="JHG63" i="1"/>
  <c r="JHH63" i="1"/>
  <c r="JHI63" i="1"/>
  <c r="JHJ63" i="1"/>
  <c r="JHK63" i="1"/>
  <c r="JHL63" i="1"/>
  <c r="JHM63" i="1"/>
  <c r="JHN63" i="1"/>
  <c r="JHO63" i="1"/>
  <c r="JHP63" i="1"/>
  <c r="JHQ63" i="1"/>
  <c r="JHR63" i="1"/>
  <c r="JHS63" i="1"/>
  <c r="JHT63" i="1"/>
  <c r="JHU63" i="1"/>
  <c r="JHV63" i="1"/>
  <c r="JHW63" i="1"/>
  <c r="JHX63" i="1"/>
  <c r="JHY63" i="1"/>
  <c r="JHZ63" i="1"/>
  <c r="JIA63" i="1"/>
  <c r="JIB63" i="1"/>
  <c r="JIC63" i="1"/>
  <c r="JID63" i="1"/>
  <c r="JIE63" i="1"/>
  <c r="JIF63" i="1"/>
  <c r="JIG63" i="1"/>
  <c r="JIH63" i="1"/>
  <c r="JII63" i="1"/>
  <c r="JIJ63" i="1"/>
  <c r="JIK63" i="1"/>
  <c r="JIL63" i="1"/>
  <c r="JIM63" i="1"/>
  <c r="JIN63" i="1"/>
  <c r="JIO63" i="1"/>
  <c r="JIP63" i="1"/>
  <c r="JIQ63" i="1"/>
  <c r="JIR63" i="1"/>
  <c r="JIS63" i="1"/>
  <c r="JIT63" i="1"/>
  <c r="JIU63" i="1"/>
  <c r="JIV63" i="1"/>
  <c r="JIW63" i="1"/>
  <c r="JIX63" i="1"/>
  <c r="JIY63" i="1"/>
  <c r="JIZ63" i="1"/>
  <c r="JJA63" i="1"/>
  <c r="JJB63" i="1"/>
  <c r="JJC63" i="1"/>
  <c r="JJD63" i="1"/>
  <c r="JJE63" i="1"/>
  <c r="JJF63" i="1"/>
  <c r="JJG63" i="1"/>
  <c r="JJH63" i="1"/>
  <c r="JJI63" i="1"/>
  <c r="JJJ63" i="1"/>
  <c r="JJK63" i="1"/>
  <c r="JJL63" i="1"/>
  <c r="JJM63" i="1"/>
  <c r="JJN63" i="1"/>
  <c r="JJO63" i="1"/>
  <c r="JJP63" i="1"/>
  <c r="JJQ63" i="1"/>
  <c r="JJR63" i="1"/>
  <c r="JJS63" i="1"/>
  <c r="JJT63" i="1"/>
  <c r="JJU63" i="1"/>
  <c r="JJV63" i="1"/>
  <c r="JJW63" i="1"/>
  <c r="JJX63" i="1"/>
  <c r="JJY63" i="1"/>
  <c r="JJZ63" i="1"/>
  <c r="JKA63" i="1"/>
  <c r="JKB63" i="1"/>
  <c r="JKC63" i="1"/>
  <c r="JKD63" i="1"/>
  <c r="JKE63" i="1"/>
  <c r="JKF63" i="1"/>
  <c r="JKG63" i="1"/>
  <c r="JKH63" i="1"/>
  <c r="JKI63" i="1"/>
  <c r="JKJ63" i="1"/>
  <c r="JKK63" i="1"/>
  <c r="JKL63" i="1"/>
  <c r="JKM63" i="1"/>
  <c r="JKN63" i="1"/>
  <c r="JKO63" i="1"/>
  <c r="JKP63" i="1"/>
  <c r="JKQ63" i="1"/>
  <c r="JKR63" i="1"/>
  <c r="JKS63" i="1"/>
  <c r="JKT63" i="1"/>
  <c r="JKU63" i="1"/>
  <c r="JKV63" i="1"/>
  <c r="JKW63" i="1"/>
  <c r="JKX63" i="1"/>
  <c r="JKY63" i="1"/>
  <c r="JKZ63" i="1"/>
  <c r="JLA63" i="1"/>
  <c r="JLB63" i="1"/>
  <c r="JLC63" i="1"/>
  <c r="JLD63" i="1"/>
  <c r="JLE63" i="1"/>
  <c r="JLF63" i="1"/>
  <c r="JLG63" i="1"/>
  <c r="JLH63" i="1"/>
  <c r="JLI63" i="1"/>
  <c r="JLJ63" i="1"/>
  <c r="JLK63" i="1"/>
  <c r="JLL63" i="1"/>
  <c r="JLM63" i="1"/>
  <c r="JLN63" i="1"/>
  <c r="JLO63" i="1"/>
  <c r="JLP63" i="1"/>
  <c r="JLQ63" i="1"/>
  <c r="JLR63" i="1"/>
  <c r="JLS63" i="1"/>
  <c r="JLT63" i="1"/>
  <c r="JLU63" i="1"/>
  <c r="JLV63" i="1"/>
  <c r="JLW63" i="1"/>
  <c r="JLX63" i="1"/>
  <c r="JLY63" i="1"/>
  <c r="JLZ63" i="1"/>
  <c r="JMA63" i="1"/>
  <c r="JMB63" i="1"/>
  <c r="JMC63" i="1"/>
  <c r="JMD63" i="1"/>
  <c r="JME63" i="1"/>
  <c r="JMF63" i="1"/>
  <c r="JMG63" i="1"/>
  <c r="JMH63" i="1"/>
  <c r="JMI63" i="1"/>
  <c r="JMJ63" i="1"/>
  <c r="JMK63" i="1"/>
  <c r="JML63" i="1"/>
  <c r="JMM63" i="1"/>
  <c r="JMN63" i="1"/>
  <c r="JMO63" i="1"/>
  <c r="JMP63" i="1"/>
  <c r="JMQ63" i="1"/>
  <c r="JMR63" i="1"/>
  <c r="JMS63" i="1"/>
  <c r="JMT63" i="1"/>
  <c r="JMU63" i="1"/>
  <c r="JMV63" i="1"/>
  <c r="JMW63" i="1"/>
  <c r="JMX63" i="1"/>
  <c r="JMY63" i="1"/>
  <c r="JMZ63" i="1"/>
  <c r="JNA63" i="1"/>
  <c r="JNB63" i="1"/>
  <c r="JNC63" i="1"/>
  <c r="JND63" i="1"/>
  <c r="JNE63" i="1"/>
  <c r="JNF63" i="1"/>
  <c r="JNG63" i="1"/>
  <c r="JNH63" i="1"/>
  <c r="JNI63" i="1"/>
  <c r="JNJ63" i="1"/>
  <c r="JNK63" i="1"/>
  <c r="JNL63" i="1"/>
  <c r="JNM63" i="1"/>
  <c r="JNN63" i="1"/>
  <c r="JNO63" i="1"/>
  <c r="JNP63" i="1"/>
  <c r="JNQ63" i="1"/>
  <c r="JNR63" i="1"/>
  <c r="JNS63" i="1"/>
  <c r="JNT63" i="1"/>
  <c r="JNU63" i="1"/>
  <c r="JNV63" i="1"/>
  <c r="JNW63" i="1"/>
  <c r="JNX63" i="1"/>
  <c r="JNY63" i="1"/>
  <c r="JNZ63" i="1"/>
  <c r="JOA63" i="1"/>
  <c r="JOB63" i="1"/>
  <c r="JOC63" i="1"/>
  <c r="JOD63" i="1"/>
  <c r="JOE63" i="1"/>
  <c r="JOF63" i="1"/>
  <c r="JOG63" i="1"/>
  <c r="JOH63" i="1"/>
  <c r="JOI63" i="1"/>
  <c r="JOJ63" i="1"/>
  <c r="JOK63" i="1"/>
  <c r="JOL63" i="1"/>
  <c r="JOM63" i="1"/>
  <c r="JON63" i="1"/>
  <c r="JOO63" i="1"/>
  <c r="JOP63" i="1"/>
  <c r="JOQ63" i="1"/>
  <c r="JOR63" i="1"/>
  <c r="JOS63" i="1"/>
  <c r="JOT63" i="1"/>
  <c r="JOU63" i="1"/>
  <c r="JOV63" i="1"/>
  <c r="JOW63" i="1"/>
  <c r="JOX63" i="1"/>
  <c r="JOY63" i="1"/>
  <c r="JOZ63" i="1"/>
  <c r="JPA63" i="1"/>
  <c r="JPB63" i="1"/>
  <c r="JPC63" i="1"/>
  <c r="JPD63" i="1"/>
  <c r="JPE63" i="1"/>
  <c r="JPF63" i="1"/>
  <c r="JPG63" i="1"/>
  <c r="JPH63" i="1"/>
  <c r="JPI63" i="1"/>
  <c r="JPJ63" i="1"/>
  <c r="JPK63" i="1"/>
  <c r="JPL63" i="1"/>
  <c r="JPM63" i="1"/>
  <c r="JPN63" i="1"/>
  <c r="JPO63" i="1"/>
  <c r="JPP63" i="1"/>
  <c r="JPQ63" i="1"/>
  <c r="JPR63" i="1"/>
  <c r="JPS63" i="1"/>
  <c r="JPT63" i="1"/>
  <c r="JPU63" i="1"/>
  <c r="JPV63" i="1"/>
  <c r="JPW63" i="1"/>
  <c r="JPX63" i="1"/>
  <c r="JPY63" i="1"/>
  <c r="JPZ63" i="1"/>
  <c r="JQA63" i="1"/>
  <c r="JQB63" i="1"/>
  <c r="JQC63" i="1"/>
  <c r="JQD63" i="1"/>
  <c r="JQE63" i="1"/>
  <c r="JQF63" i="1"/>
  <c r="JQG63" i="1"/>
  <c r="JQH63" i="1"/>
  <c r="JQI63" i="1"/>
  <c r="JQJ63" i="1"/>
  <c r="JQK63" i="1"/>
  <c r="JQL63" i="1"/>
  <c r="JQM63" i="1"/>
  <c r="JQN63" i="1"/>
  <c r="JQO63" i="1"/>
  <c r="JQP63" i="1"/>
  <c r="JQQ63" i="1"/>
  <c r="JQR63" i="1"/>
  <c r="JQS63" i="1"/>
  <c r="JQT63" i="1"/>
  <c r="JQU63" i="1"/>
  <c r="JQV63" i="1"/>
  <c r="JQW63" i="1"/>
  <c r="JQX63" i="1"/>
  <c r="JQY63" i="1"/>
  <c r="JQZ63" i="1"/>
  <c r="JRA63" i="1"/>
  <c r="JRB63" i="1"/>
  <c r="JRC63" i="1"/>
  <c r="JRD63" i="1"/>
  <c r="JRE63" i="1"/>
  <c r="JRF63" i="1"/>
  <c r="JRG63" i="1"/>
  <c r="JRH63" i="1"/>
  <c r="JRI63" i="1"/>
  <c r="JRJ63" i="1"/>
  <c r="JRK63" i="1"/>
  <c r="JRL63" i="1"/>
  <c r="JRM63" i="1"/>
  <c r="JRN63" i="1"/>
  <c r="JRO63" i="1"/>
  <c r="JRP63" i="1"/>
  <c r="JRQ63" i="1"/>
  <c r="JRR63" i="1"/>
  <c r="JRS63" i="1"/>
  <c r="JRT63" i="1"/>
  <c r="JRU63" i="1"/>
  <c r="JRV63" i="1"/>
  <c r="JRW63" i="1"/>
  <c r="JRX63" i="1"/>
  <c r="JRY63" i="1"/>
  <c r="JRZ63" i="1"/>
  <c r="JSA63" i="1"/>
  <c r="JSB63" i="1"/>
  <c r="JSC63" i="1"/>
  <c r="JSD63" i="1"/>
  <c r="JSE63" i="1"/>
  <c r="JSF63" i="1"/>
  <c r="JSG63" i="1"/>
  <c r="JSH63" i="1"/>
  <c r="JSI63" i="1"/>
  <c r="JSJ63" i="1"/>
  <c r="JSK63" i="1"/>
  <c r="JSL63" i="1"/>
  <c r="JSM63" i="1"/>
  <c r="JSN63" i="1"/>
  <c r="JSO63" i="1"/>
  <c r="JSP63" i="1"/>
  <c r="JSQ63" i="1"/>
  <c r="JSR63" i="1"/>
  <c r="JSS63" i="1"/>
  <c r="JST63" i="1"/>
  <c r="JSU63" i="1"/>
  <c r="JSV63" i="1"/>
  <c r="JSW63" i="1"/>
  <c r="JSX63" i="1"/>
  <c r="JSY63" i="1"/>
  <c r="JSZ63" i="1"/>
  <c r="JTA63" i="1"/>
  <c r="JTB63" i="1"/>
  <c r="JTC63" i="1"/>
  <c r="JTD63" i="1"/>
  <c r="JTE63" i="1"/>
  <c r="JTF63" i="1"/>
  <c r="JTG63" i="1"/>
  <c r="JTH63" i="1"/>
  <c r="JTI63" i="1"/>
  <c r="JTJ63" i="1"/>
  <c r="JTK63" i="1"/>
  <c r="JTL63" i="1"/>
  <c r="JTM63" i="1"/>
  <c r="JTN63" i="1"/>
  <c r="JTO63" i="1"/>
  <c r="JTP63" i="1"/>
  <c r="JTQ63" i="1"/>
  <c r="JTR63" i="1"/>
  <c r="JTS63" i="1"/>
  <c r="JTT63" i="1"/>
  <c r="JTU63" i="1"/>
  <c r="JTV63" i="1"/>
  <c r="JTW63" i="1"/>
  <c r="JTX63" i="1"/>
  <c r="JTY63" i="1"/>
  <c r="JTZ63" i="1"/>
  <c r="JUA63" i="1"/>
  <c r="JUB63" i="1"/>
  <c r="JUC63" i="1"/>
  <c r="JUD63" i="1"/>
  <c r="JUE63" i="1"/>
  <c r="JUF63" i="1"/>
  <c r="JUG63" i="1"/>
  <c r="JUH63" i="1"/>
  <c r="JUI63" i="1"/>
  <c r="JUJ63" i="1"/>
  <c r="JUK63" i="1"/>
  <c r="JUL63" i="1"/>
  <c r="JUM63" i="1"/>
  <c r="JUN63" i="1"/>
  <c r="JUO63" i="1"/>
  <c r="JUP63" i="1"/>
  <c r="JUQ63" i="1"/>
  <c r="JUR63" i="1"/>
  <c r="JUS63" i="1"/>
  <c r="JUT63" i="1"/>
  <c r="JUU63" i="1"/>
  <c r="JUV63" i="1"/>
  <c r="JUW63" i="1"/>
  <c r="JUX63" i="1"/>
  <c r="JUY63" i="1"/>
  <c r="JUZ63" i="1"/>
  <c r="JVA63" i="1"/>
  <c r="JVB63" i="1"/>
  <c r="JVC63" i="1"/>
  <c r="JVD63" i="1"/>
  <c r="JVE63" i="1"/>
  <c r="JVF63" i="1"/>
  <c r="JVG63" i="1"/>
  <c r="JVH63" i="1"/>
  <c r="JVI63" i="1"/>
  <c r="JVJ63" i="1"/>
  <c r="JVK63" i="1"/>
  <c r="JVL63" i="1"/>
  <c r="JVM63" i="1"/>
  <c r="JVN63" i="1"/>
  <c r="JVO63" i="1"/>
  <c r="JVP63" i="1"/>
  <c r="JVQ63" i="1"/>
  <c r="JVR63" i="1"/>
  <c r="JVS63" i="1"/>
  <c r="JVT63" i="1"/>
  <c r="JVU63" i="1"/>
  <c r="JVV63" i="1"/>
  <c r="JVW63" i="1"/>
  <c r="JVX63" i="1"/>
  <c r="JVY63" i="1"/>
  <c r="JVZ63" i="1"/>
  <c r="JWA63" i="1"/>
  <c r="JWB63" i="1"/>
  <c r="JWC63" i="1"/>
  <c r="JWD63" i="1"/>
  <c r="JWE63" i="1"/>
  <c r="JWF63" i="1"/>
  <c r="JWG63" i="1"/>
  <c r="JWH63" i="1"/>
  <c r="JWI63" i="1"/>
  <c r="JWJ63" i="1"/>
  <c r="JWK63" i="1"/>
  <c r="JWL63" i="1"/>
  <c r="JWM63" i="1"/>
  <c r="JWN63" i="1"/>
  <c r="JWO63" i="1"/>
  <c r="JWP63" i="1"/>
  <c r="JWQ63" i="1"/>
  <c r="JWR63" i="1"/>
  <c r="JWS63" i="1"/>
  <c r="JWT63" i="1"/>
  <c r="JWU63" i="1"/>
  <c r="JWV63" i="1"/>
  <c r="JWW63" i="1"/>
  <c r="JWX63" i="1"/>
  <c r="JWY63" i="1"/>
  <c r="JWZ63" i="1"/>
  <c r="JXA63" i="1"/>
  <c r="JXB63" i="1"/>
  <c r="JXC63" i="1"/>
  <c r="JXD63" i="1"/>
  <c r="JXE63" i="1"/>
  <c r="JXF63" i="1"/>
  <c r="JXG63" i="1"/>
  <c r="JXH63" i="1"/>
  <c r="JXI63" i="1"/>
  <c r="JXJ63" i="1"/>
  <c r="JXK63" i="1"/>
  <c r="JXL63" i="1"/>
  <c r="JXM63" i="1"/>
  <c r="JXN63" i="1"/>
  <c r="JXO63" i="1"/>
  <c r="JXP63" i="1"/>
  <c r="JXQ63" i="1"/>
  <c r="JXR63" i="1"/>
  <c r="JXS63" i="1"/>
  <c r="JXT63" i="1"/>
  <c r="JXU63" i="1"/>
  <c r="JXV63" i="1"/>
  <c r="JXW63" i="1"/>
  <c r="JXX63" i="1"/>
  <c r="JXY63" i="1"/>
  <c r="JXZ63" i="1"/>
  <c r="JYA63" i="1"/>
  <c r="JYB63" i="1"/>
  <c r="JYC63" i="1"/>
  <c r="JYD63" i="1"/>
  <c r="JYE63" i="1"/>
  <c r="JYF63" i="1"/>
  <c r="JYG63" i="1"/>
  <c r="JYH63" i="1"/>
  <c r="JYI63" i="1"/>
  <c r="JYJ63" i="1"/>
  <c r="JYK63" i="1"/>
  <c r="JYL63" i="1"/>
  <c r="JYM63" i="1"/>
  <c r="JYN63" i="1"/>
  <c r="JYO63" i="1"/>
  <c r="JYP63" i="1"/>
  <c r="JYQ63" i="1"/>
  <c r="JYR63" i="1"/>
  <c r="JYS63" i="1"/>
  <c r="JYT63" i="1"/>
  <c r="JYU63" i="1"/>
  <c r="JYV63" i="1"/>
  <c r="JYW63" i="1"/>
  <c r="JYX63" i="1"/>
  <c r="JYY63" i="1"/>
  <c r="JYZ63" i="1"/>
  <c r="JZA63" i="1"/>
  <c r="JZB63" i="1"/>
  <c r="JZC63" i="1"/>
  <c r="JZD63" i="1"/>
  <c r="JZE63" i="1"/>
  <c r="JZF63" i="1"/>
  <c r="JZG63" i="1"/>
  <c r="JZH63" i="1"/>
  <c r="JZI63" i="1"/>
  <c r="JZJ63" i="1"/>
  <c r="JZK63" i="1"/>
  <c r="JZL63" i="1"/>
  <c r="JZM63" i="1"/>
  <c r="JZN63" i="1"/>
  <c r="JZO63" i="1"/>
  <c r="JZP63" i="1"/>
  <c r="JZQ63" i="1"/>
  <c r="JZR63" i="1"/>
  <c r="JZS63" i="1"/>
  <c r="JZT63" i="1"/>
  <c r="JZU63" i="1"/>
  <c r="JZV63" i="1"/>
  <c r="JZW63" i="1"/>
  <c r="JZX63" i="1"/>
  <c r="JZY63" i="1"/>
  <c r="JZZ63" i="1"/>
  <c r="KAA63" i="1"/>
  <c r="KAB63" i="1"/>
  <c r="KAC63" i="1"/>
  <c r="KAD63" i="1"/>
  <c r="KAE63" i="1"/>
  <c r="KAF63" i="1"/>
  <c r="KAG63" i="1"/>
  <c r="KAH63" i="1"/>
  <c r="KAI63" i="1"/>
  <c r="KAJ63" i="1"/>
  <c r="KAK63" i="1"/>
  <c r="KAL63" i="1"/>
  <c r="KAM63" i="1"/>
  <c r="KAN63" i="1"/>
  <c r="KAO63" i="1"/>
  <c r="KAP63" i="1"/>
  <c r="KAQ63" i="1"/>
  <c r="KAR63" i="1"/>
  <c r="KAS63" i="1"/>
  <c r="KAT63" i="1"/>
  <c r="KAU63" i="1"/>
  <c r="KAV63" i="1"/>
  <c r="KAW63" i="1"/>
  <c r="KAX63" i="1"/>
  <c r="KAY63" i="1"/>
  <c r="KAZ63" i="1"/>
  <c r="KBA63" i="1"/>
  <c r="KBB63" i="1"/>
  <c r="KBC63" i="1"/>
  <c r="KBD63" i="1"/>
  <c r="KBE63" i="1"/>
  <c r="KBF63" i="1"/>
  <c r="KBG63" i="1"/>
  <c r="KBH63" i="1"/>
  <c r="KBI63" i="1"/>
  <c r="KBJ63" i="1"/>
  <c r="KBK63" i="1"/>
  <c r="KBL63" i="1"/>
  <c r="KBM63" i="1"/>
  <c r="KBN63" i="1"/>
  <c r="KBO63" i="1"/>
  <c r="KBP63" i="1"/>
  <c r="KBQ63" i="1"/>
  <c r="KBR63" i="1"/>
  <c r="KBS63" i="1"/>
  <c r="KBT63" i="1"/>
  <c r="KBU63" i="1"/>
  <c r="KBV63" i="1"/>
  <c r="KBW63" i="1"/>
  <c r="KBX63" i="1"/>
  <c r="KBY63" i="1"/>
  <c r="KBZ63" i="1"/>
  <c r="KCA63" i="1"/>
  <c r="KCB63" i="1"/>
  <c r="KCC63" i="1"/>
  <c r="KCD63" i="1"/>
  <c r="KCE63" i="1"/>
  <c r="KCF63" i="1"/>
  <c r="KCG63" i="1"/>
  <c r="KCH63" i="1"/>
  <c r="KCI63" i="1"/>
  <c r="KCJ63" i="1"/>
  <c r="KCK63" i="1"/>
  <c r="KCL63" i="1"/>
  <c r="KCM63" i="1"/>
  <c r="KCN63" i="1"/>
  <c r="KCO63" i="1"/>
  <c r="KCP63" i="1"/>
  <c r="KCQ63" i="1"/>
  <c r="KCR63" i="1"/>
  <c r="KCS63" i="1"/>
  <c r="KCT63" i="1"/>
  <c r="KCU63" i="1"/>
  <c r="KCV63" i="1"/>
  <c r="KCW63" i="1"/>
  <c r="KCX63" i="1"/>
  <c r="KCY63" i="1"/>
  <c r="KCZ63" i="1"/>
  <c r="KDA63" i="1"/>
  <c r="KDB63" i="1"/>
  <c r="KDC63" i="1"/>
  <c r="KDD63" i="1"/>
  <c r="KDE63" i="1"/>
  <c r="KDF63" i="1"/>
  <c r="KDG63" i="1"/>
  <c r="KDH63" i="1"/>
  <c r="KDI63" i="1"/>
  <c r="KDJ63" i="1"/>
  <c r="KDK63" i="1"/>
  <c r="KDL63" i="1"/>
  <c r="KDM63" i="1"/>
  <c r="KDN63" i="1"/>
  <c r="KDO63" i="1"/>
  <c r="KDP63" i="1"/>
  <c r="KDQ63" i="1"/>
  <c r="KDR63" i="1"/>
  <c r="KDS63" i="1"/>
  <c r="KDT63" i="1"/>
  <c r="KDU63" i="1"/>
  <c r="KDV63" i="1"/>
  <c r="KDW63" i="1"/>
  <c r="KDX63" i="1"/>
  <c r="KDY63" i="1"/>
  <c r="KDZ63" i="1"/>
  <c r="KEA63" i="1"/>
  <c r="KEB63" i="1"/>
  <c r="KEC63" i="1"/>
  <c r="KED63" i="1"/>
  <c r="KEE63" i="1"/>
  <c r="KEF63" i="1"/>
  <c r="KEG63" i="1"/>
  <c r="KEH63" i="1"/>
  <c r="KEI63" i="1"/>
  <c r="KEJ63" i="1"/>
  <c r="KEK63" i="1"/>
  <c r="KEL63" i="1"/>
  <c r="KEM63" i="1"/>
  <c r="KEN63" i="1"/>
  <c r="KEO63" i="1"/>
  <c r="KEP63" i="1"/>
  <c r="KEQ63" i="1"/>
  <c r="KER63" i="1"/>
  <c r="KES63" i="1"/>
  <c r="KET63" i="1"/>
  <c r="KEU63" i="1"/>
  <c r="KEV63" i="1"/>
  <c r="KEW63" i="1"/>
  <c r="KEX63" i="1"/>
  <c r="KEY63" i="1"/>
  <c r="KEZ63" i="1"/>
  <c r="KFA63" i="1"/>
  <c r="KFB63" i="1"/>
  <c r="KFC63" i="1"/>
  <c r="KFD63" i="1"/>
  <c r="KFE63" i="1"/>
  <c r="KFF63" i="1"/>
  <c r="KFG63" i="1"/>
  <c r="KFH63" i="1"/>
  <c r="KFI63" i="1"/>
  <c r="KFJ63" i="1"/>
  <c r="KFK63" i="1"/>
  <c r="KFL63" i="1"/>
  <c r="KFM63" i="1"/>
  <c r="KFN63" i="1"/>
  <c r="KFO63" i="1"/>
  <c r="KFP63" i="1"/>
  <c r="KFQ63" i="1"/>
  <c r="KFR63" i="1"/>
  <c r="KFS63" i="1"/>
  <c r="KFT63" i="1"/>
  <c r="KFU63" i="1"/>
  <c r="KFV63" i="1"/>
  <c r="KFW63" i="1"/>
  <c r="KFX63" i="1"/>
  <c r="KFY63" i="1"/>
  <c r="KFZ63" i="1"/>
  <c r="KGA63" i="1"/>
  <c r="KGB63" i="1"/>
  <c r="KGC63" i="1"/>
  <c r="KGD63" i="1"/>
  <c r="KGE63" i="1"/>
  <c r="KGF63" i="1"/>
  <c r="KGG63" i="1"/>
  <c r="KGH63" i="1"/>
  <c r="KGI63" i="1"/>
  <c r="KGJ63" i="1"/>
  <c r="KGK63" i="1"/>
  <c r="KGL63" i="1"/>
  <c r="KGM63" i="1"/>
  <c r="KGN63" i="1"/>
  <c r="KGO63" i="1"/>
  <c r="KGP63" i="1"/>
  <c r="KGQ63" i="1"/>
  <c r="KGR63" i="1"/>
  <c r="KGS63" i="1"/>
  <c r="KGT63" i="1"/>
  <c r="KGU63" i="1"/>
  <c r="KGV63" i="1"/>
  <c r="KGW63" i="1"/>
  <c r="KGX63" i="1"/>
  <c r="KGY63" i="1"/>
  <c r="KGZ63" i="1"/>
  <c r="KHA63" i="1"/>
  <c r="KHB63" i="1"/>
  <c r="KHC63" i="1"/>
  <c r="KHD63" i="1"/>
  <c r="KHE63" i="1"/>
  <c r="KHF63" i="1"/>
  <c r="KHG63" i="1"/>
  <c r="KHH63" i="1"/>
  <c r="KHI63" i="1"/>
  <c r="KHJ63" i="1"/>
  <c r="KHK63" i="1"/>
  <c r="KHL63" i="1"/>
  <c r="KHM63" i="1"/>
  <c r="KHN63" i="1"/>
  <c r="KHO63" i="1"/>
  <c r="KHP63" i="1"/>
  <c r="KHQ63" i="1"/>
  <c r="KHR63" i="1"/>
  <c r="KHS63" i="1"/>
  <c r="KHT63" i="1"/>
  <c r="KHU63" i="1"/>
  <c r="KHV63" i="1"/>
  <c r="KHW63" i="1"/>
  <c r="KHX63" i="1"/>
  <c r="KHY63" i="1"/>
  <c r="KHZ63" i="1"/>
  <c r="KIA63" i="1"/>
  <c r="KIB63" i="1"/>
  <c r="KIC63" i="1"/>
  <c r="KID63" i="1"/>
  <c r="KIE63" i="1"/>
  <c r="KIF63" i="1"/>
  <c r="KIG63" i="1"/>
  <c r="KIH63" i="1"/>
  <c r="KII63" i="1"/>
  <c r="KIJ63" i="1"/>
  <c r="KIK63" i="1"/>
  <c r="KIL63" i="1"/>
  <c r="KIM63" i="1"/>
  <c r="KIN63" i="1"/>
  <c r="KIO63" i="1"/>
  <c r="KIP63" i="1"/>
  <c r="KIQ63" i="1"/>
  <c r="KIR63" i="1"/>
  <c r="KIS63" i="1"/>
  <c r="KIT63" i="1"/>
  <c r="KIU63" i="1"/>
  <c r="KIV63" i="1"/>
  <c r="KIW63" i="1"/>
  <c r="KIX63" i="1"/>
  <c r="KIY63" i="1"/>
  <c r="KIZ63" i="1"/>
  <c r="KJA63" i="1"/>
  <c r="KJB63" i="1"/>
  <c r="KJC63" i="1"/>
  <c r="KJD63" i="1"/>
  <c r="KJE63" i="1"/>
  <c r="KJF63" i="1"/>
  <c r="KJG63" i="1"/>
  <c r="KJH63" i="1"/>
  <c r="KJI63" i="1"/>
  <c r="KJJ63" i="1"/>
  <c r="KJK63" i="1"/>
  <c r="KJL63" i="1"/>
  <c r="KJM63" i="1"/>
  <c r="KJN63" i="1"/>
  <c r="KJO63" i="1"/>
  <c r="KJP63" i="1"/>
  <c r="KJQ63" i="1"/>
  <c r="KJR63" i="1"/>
  <c r="KJS63" i="1"/>
  <c r="KJT63" i="1"/>
  <c r="KJU63" i="1"/>
  <c r="KJV63" i="1"/>
  <c r="KJW63" i="1"/>
  <c r="KJX63" i="1"/>
  <c r="KJY63" i="1"/>
  <c r="KJZ63" i="1"/>
  <c r="KKA63" i="1"/>
  <c r="KKB63" i="1"/>
  <c r="KKC63" i="1"/>
  <c r="KKD63" i="1"/>
  <c r="KKE63" i="1"/>
  <c r="KKF63" i="1"/>
  <c r="KKG63" i="1"/>
  <c r="KKH63" i="1"/>
  <c r="KKI63" i="1"/>
  <c r="KKJ63" i="1"/>
  <c r="KKK63" i="1"/>
  <c r="KKL63" i="1"/>
  <c r="KKM63" i="1"/>
  <c r="KKN63" i="1"/>
  <c r="KKO63" i="1"/>
  <c r="KKP63" i="1"/>
  <c r="KKQ63" i="1"/>
  <c r="KKR63" i="1"/>
  <c r="KKS63" i="1"/>
  <c r="KKT63" i="1"/>
  <c r="KKU63" i="1"/>
  <c r="KKV63" i="1"/>
  <c r="KKW63" i="1"/>
  <c r="KKX63" i="1"/>
  <c r="KKY63" i="1"/>
  <c r="KKZ63" i="1"/>
  <c r="KLA63" i="1"/>
  <c r="KLB63" i="1"/>
  <c r="KLC63" i="1"/>
  <c r="KLD63" i="1"/>
  <c r="KLE63" i="1"/>
  <c r="KLF63" i="1"/>
  <c r="KLG63" i="1"/>
  <c r="KLH63" i="1"/>
  <c r="KLI63" i="1"/>
  <c r="KLJ63" i="1"/>
  <c r="KLK63" i="1"/>
  <c r="KLL63" i="1"/>
  <c r="KLM63" i="1"/>
  <c r="KLN63" i="1"/>
  <c r="KLO63" i="1"/>
  <c r="KLP63" i="1"/>
  <c r="KLQ63" i="1"/>
  <c r="KLR63" i="1"/>
  <c r="KLS63" i="1"/>
  <c r="KLT63" i="1"/>
  <c r="KLU63" i="1"/>
  <c r="KLV63" i="1"/>
  <c r="KLW63" i="1"/>
  <c r="KLX63" i="1"/>
  <c r="KLY63" i="1"/>
  <c r="KLZ63" i="1"/>
  <c r="KMA63" i="1"/>
  <c r="KMB63" i="1"/>
  <c r="KMC63" i="1"/>
  <c r="KMD63" i="1"/>
  <c r="KME63" i="1"/>
  <c r="KMF63" i="1"/>
  <c r="KMG63" i="1"/>
  <c r="KMH63" i="1"/>
  <c r="KMI63" i="1"/>
  <c r="KMJ63" i="1"/>
  <c r="KMK63" i="1"/>
  <c r="KML63" i="1"/>
  <c r="KMM63" i="1"/>
  <c r="KMN63" i="1"/>
  <c r="KMO63" i="1"/>
  <c r="KMP63" i="1"/>
  <c r="KMQ63" i="1"/>
  <c r="KMR63" i="1"/>
  <c r="KMS63" i="1"/>
  <c r="KMT63" i="1"/>
  <c r="KMU63" i="1"/>
  <c r="KMV63" i="1"/>
  <c r="KMW63" i="1"/>
  <c r="KMX63" i="1"/>
  <c r="KMY63" i="1"/>
  <c r="KMZ63" i="1"/>
  <c r="KNA63" i="1"/>
  <c r="KNB63" i="1"/>
  <c r="KNC63" i="1"/>
  <c r="KND63" i="1"/>
  <c r="KNE63" i="1"/>
  <c r="KNF63" i="1"/>
  <c r="KNG63" i="1"/>
  <c r="KNH63" i="1"/>
  <c r="KNI63" i="1"/>
  <c r="KNJ63" i="1"/>
  <c r="KNK63" i="1"/>
  <c r="KNL63" i="1"/>
  <c r="KNM63" i="1"/>
  <c r="KNN63" i="1"/>
  <c r="KNO63" i="1"/>
  <c r="KNP63" i="1"/>
  <c r="KNQ63" i="1"/>
  <c r="KNR63" i="1"/>
  <c r="KNS63" i="1"/>
  <c r="KNT63" i="1"/>
  <c r="KNU63" i="1"/>
  <c r="KNV63" i="1"/>
  <c r="KNW63" i="1"/>
  <c r="KNX63" i="1"/>
  <c r="KNY63" i="1"/>
  <c r="KNZ63" i="1"/>
  <c r="KOA63" i="1"/>
  <c r="KOB63" i="1"/>
  <c r="KOC63" i="1"/>
  <c r="KOD63" i="1"/>
  <c r="KOE63" i="1"/>
  <c r="KOF63" i="1"/>
  <c r="KOG63" i="1"/>
  <c r="KOH63" i="1"/>
  <c r="KOI63" i="1"/>
  <c r="KOJ63" i="1"/>
  <c r="KOK63" i="1"/>
  <c r="KOL63" i="1"/>
  <c r="KOM63" i="1"/>
  <c r="KON63" i="1"/>
  <c r="KOO63" i="1"/>
  <c r="KOP63" i="1"/>
  <c r="KOQ63" i="1"/>
  <c r="KOR63" i="1"/>
  <c r="KOS63" i="1"/>
  <c r="KOT63" i="1"/>
  <c r="KOU63" i="1"/>
  <c r="KOV63" i="1"/>
  <c r="KOW63" i="1"/>
  <c r="KOX63" i="1"/>
  <c r="KOY63" i="1"/>
  <c r="KOZ63" i="1"/>
  <c r="KPA63" i="1"/>
  <c r="KPB63" i="1"/>
  <c r="KPC63" i="1"/>
  <c r="KPD63" i="1"/>
  <c r="KPE63" i="1"/>
  <c r="KPF63" i="1"/>
  <c r="KPG63" i="1"/>
  <c r="KPH63" i="1"/>
  <c r="KPI63" i="1"/>
  <c r="KPJ63" i="1"/>
  <c r="KPK63" i="1"/>
  <c r="KPL63" i="1"/>
  <c r="KPM63" i="1"/>
  <c r="KPN63" i="1"/>
  <c r="KPO63" i="1"/>
  <c r="KPP63" i="1"/>
  <c r="KPQ63" i="1"/>
  <c r="KPR63" i="1"/>
  <c r="KPS63" i="1"/>
  <c r="KPT63" i="1"/>
  <c r="KPU63" i="1"/>
  <c r="KPV63" i="1"/>
  <c r="KPW63" i="1"/>
  <c r="KPX63" i="1"/>
  <c r="KPY63" i="1"/>
  <c r="KPZ63" i="1"/>
  <c r="KQA63" i="1"/>
  <c r="KQB63" i="1"/>
  <c r="KQC63" i="1"/>
  <c r="KQD63" i="1"/>
  <c r="KQE63" i="1"/>
  <c r="KQF63" i="1"/>
  <c r="KQG63" i="1"/>
  <c r="KQH63" i="1"/>
  <c r="KQI63" i="1"/>
  <c r="KQJ63" i="1"/>
  <c r="KQK63" i="1"/>
  <c r="KQL63" i="1"/>
  <c r="KQM63" i="1"/>
  <c r="KQN63" i="1"/>
  <c r="KQO63" i="1"/>
  <c r="KQP63" i="1"/>
  <c r="KQQ63" i="1"/>
  <c r="KQR63" i="1"/>
  <c r="KQS63" i="1"/>
  <c r="KQT63" i="1"/>
  <c r="KQU63" i="1"/>
  <c r="KQV63" i="1"/>
  <c r="KQW63" i="1"/>
  <c r="KQX63" i="1"/>
  <c r="KQY63" i="1"/>
  <c r="KQZ63" i="1"/>
  <c r="KRA63" i="1"/>
  <c r="KRB63" i="1"/>
  <c r="KRC63" i="1"/>
  <c r="KRD63" i="1"/>
  <c r="KRE63" i="1"/>
  <c r="KRF63" i="1"/>
  <c r="KRG63" i="1"/>
  <c r="KRH63" i="1"/>
  <c r="KRI63" i="1"/>
  <c r="KRJ63" i="1"/>
  <c r="KRK63" i="1"/>
  <c r="KRL63" i="1"/>
  <c r="KRM63" i="1"/>
  <c r="KRN63" i="1"/>
  <c r="KRO63" i="1"/>
  <c r="KRP63" i="1"/>
  <c r="KRQ63" i="1"/>
  <c r="KRR63" i="1"/>
  <c r="KRS63" i="1"/>
  <c r="KRT63" i="1"/>
  <c r="KRU63" i="1"/>
  <c r="KRV63" i="1"/>
  <c r="KRW63" i="1"/>
  <c r="KRX63" i="1"/>
  <c r="KRY63" i="1"/>
  <c r="KRZ63" i="1"/>
  <c r="KSA63" i="1"/>
  <c r="KSB63" i="1"/>
  <c r="KSC63" i="1"/>
  <c r="KSD63" i="1"/>
  <c r="KSE63" i="1"/>
  <c r="KSF63" i="1"/>
  <c r="KSG63" i="1"/>
  <c r="KSH63" i="1"/>
  <c r="KSI63" i="1"/>
  <c r="KSJ63" i="1"/>
  <c r="KSK63" i="1"/>
  <c r="KSL63" i="1"/>
  <c r="KSM63" i="1"/>
  <c r="KSN63" i="1"/>
  <c r="KSO63" i="1"/>
  <c r="KSP63" i="1"/>
  <c r="KSQ63" i="1"/>
  <c r="KSR63" i="1"/>
  <c r="KSS63" i="1"/>
  <c r="KST63" i="1"/>
  <c r="KSU63" i="1"/>
  <c r="KSV63" i="1"/>
  <c r="KSW63" i="1"/>
  <c r="KSX63" i="1"/>
  <c r="KSY63" i="1"/>
  <c r="KSZ63" i="1"/>
  <c r="KTA63" i="1"/>
  <c r="KTB63" i="1"/>
  <c r="KTC63" i="1"/>
  <c r="KTD63" i="1"/>
  <c r="KTE63" i="1"/>
  <c r="KTF63" i="1"/>
  <c r="KTG63" i="1"/>
  <c r="KTH63" i="1"/>
  <c r="KTI63" i="1"/>
  <c r="KTJ63" i="1"/>
  <c r="KTK63" i="1"/>
  <c r="KTL63" i="1"/>
  <c r="KTM63" i="1"/>
  <c r="KTN63" i="1"/>
  <c r="KTO63" i="1"/>
  <c r="KTP63" i="1"/>
  <c r="KTQ63" i="1"/>
  <c r="KTR63" i="1"/>
  <c r="KTS63" i="1"/>
  <c r="KTT63" i="1"/>
  <c r="KTU63" i="1"/>
  <c r="KTV63" i="1"/>
  <c r="KTW63" i="1"/>
  <c r="KTX63" i="1"/>
  <c r="KTY63" i="1"/>
  <c r="KTZ63" i="1"/>
  <c r="KUA63" i="1"/>
  <c r="KUB63" i="1"/>
  <c r="KUC63" i="1"/>
  <c r="KUD63" i="1"/>
  <c r="KUE63" i="1"/>
  <c r="KUF63" i="1"/>
  <c r="KUG63" i="1"/>
  <c r="KUH63" i="1"/>
  <c r="KUI63" i="1"/>
  <c r="KUJ63" i="1"/>
  <c r="KUK63" i="1"/>
  <c r="KUL63" i="1"/>
  <c r="KUM63" i="1"/>
  <c r="KUN63" i="1"/>
  <c r="KUO63" i="1"/>
  <c r="KUP63" i="1"/>
  <c r="KUQ63" i="1"/>
  <c r="KUR63" i="1"/>
  <c r="KUS63" i="1"/>
  <c r="KUT63" i="1"/>
  <c r="KUU63" i="1"/>
  <c r="KUV63" i="1"/>
  <c r="KUW63" i="1"/>
  <c r="KUX63" i="1"/>
  <c r="KUY63" i="1"/>
  <c r="KUZ63" i="1"/>
  <c r="KVA63" i="1"/>
  <c r="KVB63" i="1"/>
  <c r="KVC63" i="1"/>
  <c r="KVD63" i="1"/>
  <c r="KVE63" i="1"/>
  <c r="KVF63" i="1"/>
  <c r="KVG63" i="1"/>
  <c r="KVH63" i="1"/>
  <c r="KVI63" i="1"/>
  <c r="KVJ63" i="1"/>
  <c r="KVK63" i="1"/>
  <c r="KVL63" i="1"/>
  <c r="KVM63" i="1"/>
  <c r="KVN63" i="1"/>
  <c r="KVO63" i="1"/>
  <c r="KVP63" i="1"/>
  <c r="KVQ63" i="1"/>
  <c r="KVR63" i="1"/>
  <c r="KVS63" i="1"/>
  <c r="KVT63" i="1"/>
  <c r="KVU63" i="1"/>
  <c r="KVV63" i="1"/>
  <c r="KVW63" i="1"/>
  <c r="KVX63" i="1"/>
  <c r="KVY63" i="1"/>
  <c r="KVZ63" i="1"/>
  <c r="KWA63" i="1"/>
  <c r="KWB63" i="1"/>
  <c r="KWC63" i="1"/>
  <c r="KWD63" i="1"/>
  <c r="KWE63" i="1"/>
  <c r="KWF63" i="1"/>
  <c r="KWG63" i="1"/>
  <c r="KWH63" i="1"/>
  <c r="KWI63" i="1"/>
  <c r="KWJ63" i="1"/>
  <c r="KWK63" i="1"/>
  <c r="KWL63" i="1"/>
  <c r="KWM63" i="1"/>
  <c r="KWN63" i="1"/>
  <c r="KWO63" i="1"/>
  <c r="KWP63" i="1"/>
  <c r="KWQ63" i="1"/>
  <c r="KWR63" i="1"/>
  <c r="KWS63" i="1"/>
  <c r="KWT63" i="1"/>
  <c r="KWU63" i="1"/>
  <c r="KWV63" i="1"/>
  <c r="KWW63" i="1"/>
  <c r="KWX63" i="1"/>
  <c r="KWY63" i="1"/>
  <c r="KWZ63" i="1"/>
  <c r="KXA63" i="1"/>
  <c r="KXB63" i="1"/>
  <c r="KXC63" i="1"/>
  <c r="KXD63" i="1"/>
  <c r="KXE63" i="1"/>
  <c r="KXF63" i="1"/>
  <c r="KXG63" i="1"/>
  <c r="KXH63" i="1"/>
  <c r="KXI63" i="1"/>
  <c r="KXJ63" i="1"/>
  <c r="KXK63" i="1"/>
  <c r="KXL63" i="1"/>
  <c r="KXM63" i="1"/>
  <c r="KXN63" i="1"/>
  <c r="KXO63" i="1"/>
  <c r="KXP63" i="1"/>
  <c r="KXQ63" i="1"/>
  <c r="KXR63" i="1"/>
  <c r="KXS63" i="1"/>
  <c r="KXT63" i="1"/>
  <c r="KXU63" i="1"/>
  <c r="KXV63" i="1"/>
  <c r="KXW63" i="1"/>
  <c r="KXX63" i="1"/>
  <c r="KXY63" i="1"/>
  <c r="KXZ63" i="1"/>
  <c r="KYA63" i="1"/>
  <c r="KYB63" i="1"/>
  <c r="KYC63" i="1"/>
  <c r="KYD63" i="1"/>
  <c r="KYE63" i="1"/>
  <c r="KYF63" i="1"/>
  <c r="KYG63" i="1"/>
  <c r="KYH63" i="1"/>
  <c r="KYI63" i="1"/>
  <c r="KYJ63" i="1"/>
  <c r="KYK63" i="1"/>
  <c r="KYL63" i="1"/>
  <c r="KYM63" i="1"/>
  <c r="KYN63" i="1"/>
  <c r="KYO63" i="1"/>
  <c r="KYP63" i="1"/>
  <c r="KYQ63" i="1"/>
  <c r="KYR63" i="1"/>
  <c r="KYS63" i="1"/>
  <c r="KYT63" i="1"/>
  <c r="KYU63" i="1"/>
  <c r="KYV63" i="1"/>
  <c r="KYW63" i="1"/>
  <c r="KYX63" i="1"/>
  <c r="KYY63" i="1"/>
  <c r="KYZ63" i="1"/>
  <c r="KZA63" i="1"/>
  <c r="KZB63" i="1"/>
  <c r="KZC63" i="1"/>
  <c r="KZD63" i="1"/>
  <c r="KZE63" i="1"/>
  <c r="KZF63" i="1"/>
  <c r="KZG63" i="1"/>
  <c r="KZH63" i="1"/>
  <c r="KZI63" i="1"/>
  <c r="KZJ63" i="1"/>
  <c r="KZK63" i="1"/>
  <c r="KZL63" i="1"/>
  <c r="KZM63" i="1"/>
  <c r="KZN63" i="1"/>
  <c r="KZO63" i="1"/>
  <c r="KZP63" i="1"/>
  <c r="KZQ63" i="1"/>
  <c r="KZR63" i="1"/>
  <c r="KZS63" i="1"/>
  <c r="KZT63" i="1"/>
  <c r="KZU63" i="1"/>
  <c r="KZV63" i="1"/>
  <c r="KZW63" i="1"/>
  <c r="KZX63" i="1"/>
  <c r="KZY63" i="1"/>
  <c r="KZZ63" i="1"/>
  <c r="LAA63" i="1"/>
  <c r="LAB63" i="1"/>
  <c r="LAC63" i="1"/>
  <c r="LAD63" i="1"/>
  <c r="LAE63" i="1"/>
  <c r="LAF63" i="1"/>
  <c r="LAG63" i="1"/>
  <c r="LAH63" i="1"/>
  <c r="LAI63" i="1"/>
  <c r="LAJ63" i="1"/>
  <c r="LAK63" i="1"/>
  <c r="LAL63" i="1"/>
  <c r="LAM63" i="1"/>
  <c r="LAN63" i="1"/>
  <c r="LAO63" i="1"/>
  <c r="LAP63" i="1"/>
  <c r="LAQ63" i="1"/>
  <c r="LAR63" i="1"/>
  <c r="LAS63" i="1"/>
  <c r="LAT63" i="1"/>
  <c r="LAU63" i="1"/>
  <c r="LAV63" i="1"/>
  <c r="LAW63" i="1"/>
  <c r="LAX63" i="1"/>
  <c r="LAY63" i="1"/>
  <c r="LAZ63" i="1"/>
  <c r="LBA63" i="1"/>
  <c r="LBB63" i="1"/>
  <c r="LBC63" i="1"/>
  <c r="LBD63" i="1"/>
  <c r="LBE63" i="1"/>
  <c r="LBF63" i="1"/>
  <c r="LBG63" i="1"/>
  <c r="LBH63" i="1"/>
  <c r="LBI63" i="1"/>
  <c r="LBJ63" i="1"/>
  <c r="LBK63" i="1"/>
  <c r="LBL63" i="1"/>
  <c r="LBM63" i="1"/>
  <c r="LBN63" i="1"/>
  <c r="LBO63" i="1"/>
  <c r="LBP63" i="1"/>
  <c r="LBQ63" i="1"/>
  <c r="LBR63" i="1"/>
  <c r="LBS63" i="1"/>
  <c r="LBT63" i="1"/>
  <c r="LBU63" i="1"/>
  <c r="LBV63" i="1"/>
  <c r="LBW63" i="1"/>
  <c r="LBX63" i="1"/>
  <c r="LBY63" i="1"/>
  <c r="LBZ63" i="1"/>
  <c r="LCA63" i="1"/>
  <c r="LCB63" i="1"/>
  <c r="LCC63" i="1"/>
  <c r="LCD63" i="1"/>
  <c r="LCE63" i="1"/>
  <c r="LCF63" i="1"/>
  <c r="LCG63" i="1"/>
  <c r="LCH63" i="1"/>
  <c r="LCI63" i="1"/>
  <c r="LCJ63" i="1"/>
  <c r="LCK63" i="1"/>
  <c r="LCL63" i="1"/>
  <c r="LCM63" i="1"/>
  <c r="LCN63" i="1"/>
  <c r="LCO63" i="1"/>
  <c r="LCP63" i="1"/>
  <c r="LCQ63" i="1"/>
  <c r="LCR63" i="1"/>
  <c r="LCS63" i="1"/>
  <c r="LCT63" i="1"/>
  <c r="LCU63" i="1"/>
  <c r="LCV63" i="1"/>
  <c r="LCW63" i="1"/>
  <c r="LCX63" i="1"/>
  <c r="LCY63" i="1"/>
  <c r="LCZ63" i="1"/>
  <c r="LDA63" i="1"/>
  <c r="LDB63" i="1"/>
  <c r="LDC63" i="1"/>
  <c r="LDD63" i="1"/>
  <c r="LDE63" i="1"/>
  <c r="LDF63" i="1"/>
  <c r="LDG63" i="1"/>
  <c r="LDH63" i="1"/>
  <c r="LDI63" i="1"/>
  <c r="LDJ63" i="1"/>
  <c r="LDK63" i="1"/>
  <c r="LDL63" i="1"/>
  <c r="LDM63" i="1"/>
  <c r="LDN63" i="1"/>
  <c r="LDO63" i="1"/>
  <c r="LDP63" i="1"/>
  <c r="LDQ63" i="1"/>
  <c r="LDR63" i="1"/>
  <c r="LDS63" i="1"/>
  <c r="LDT63" i="1"/>
  <c r="LDU63" i="1"/>
  <c r="LDV63" i="1"/>
  <c r="LDW63" i="1"/>
  <c r="LDX63" i="1"/>
  <c r="LDY63" i="1"/>
  <c r="LDZ63" i="1"/>
  <c r="LEA63" i="1"/>
  <c r="LEB63" i="1"/>
  <c r="LEC63" i="1"/>
  <c r="LED63" i="1"/>
  <c r="LEE63" i="1"/>
  <c r="LEF63" i="1"/>
  <c r="LEG63" i="1"/>
  <c r="LEH63" i="1"/>
  <c r="LEI63" i="1"/>
  <c r="LEJ63" i="1"/>
  <c r="LEK63" i="1"/>
  <c r="LEL63" i="1"/>
  <c r="LEM63" i="1"/>
  <c r="LEN63" i="1"/>
  <c r="LEO63" i="1"/>
  <c r="LEP63" i="1"/>
  <c r="LEQ63" i="1"/>
  <c r="LER63" i="1"/>
  <c r="LES63" i="1"/>
  <c r="LET63" i="1"/>
  <c r="LEU63" i="1"/>
  <c r="LEV63" i="1"/>
  <c r="LEW63" i="1"/>
  <c r="LEX63" i="1"/>
  <c r="LEY63" i="1"/>
  <c r="LEZ63" i="1"/>
  <c r="LFA63" i="1"/>
  <c r="LFB63" i="1"/>
  <c r="LFC63" i="1"/>
  <c r="LFD63" i="1"/>
  <c r="LFE63" i="1"/>
  <c r="LFF63" i="1"/>
  <c r="LFG63" i="1"/>
  <c r="LFH63" i="1"/>
  <c r="LFI63" i="1"/>
  <c r="LFJ63" i="1"/>
  <c r="LFK63" i="1"/>
  <c r="LFL63" i="1"/>
  <c r="LFM63" i="1"/>
  <c r="LFN63" i="1"/>
  <c r="LFO63" i="1"/>
  <c r="LFP63" i="1"/>
  <c r="LFQ63" i="1"/>
  <c r="LFR63" i="1"/>
  <c r="LFS63" i="1"/>
  <c r="LFT63" i="1"/>
  <c r="LFU63" i="1"/>
  <c r="LFV63" i="1"/>
  <c r="LFW63" i="1"/>
  <c r="LFX63" i="1"/>
  <c r="LFY63" i="1"/>
  <c r="LFZ63" i="1"/>
  <c r="LGA63" i="1"/>
  <c r="LGB63" i="1"/>
  <c r="LGC63" i="1"/>
  <c r="LGD63" i="1"/>
  <c r="LGE63" i="1"/>
  <c r="LGF63" i="1"/>
  <c r="LGG63" i="1"/>
  <c r="LGH63" i="1"/>
  <c r="LGI63" i="1"/>
  <c r="LGJ63" i="1"/>
  <c r="LGK63" i="1"/>
  <c r="LGL63" i="1"/>
  <c r="LGM63" i="1"/>
  <c r="LGN63" i="1"/>
  <c r="LGO63" i="1"/>
  <c r="LGP63" i="1"/>
  <c r="LGQ63" i="1"/>
  <c r="LGR63" i="1"/>
  <c r="LGS63" i="1"/>
  <c r="LGT63" i="1"/>
  <c r="LGU63" i="1"/>
  <c r="LGV63" i="1"/>
  <c r="LGW63" i="1"/>
  <c r="LGX63" i="1"/>
  <c r="LGY63" i="1"/>
  <c r="LGZ63" i="1"/>
  <c r="LHA63" i="1"/>
  <c r="LHB63" i="1"/>
  <c r="LHC63" i="1"/>
  <c r="LHD63" i="1"/>
  <c r="LHE63" i="1"/>
  <c r="LHF63" i="1"/>
  <c r="LHG63" i="1"/>
  <c r="LHH63" i="1"/>
  <c r="LHI63" i="1"/>
  <c r="LHJ63" i="1"/>
  <c r="LHK63" i="1"/>
  <c r="LHL63" i="1"/>
  <c r="LHM63" i="1"/>
  <c r="LHN63" i="1"/>
  <c r="LHO63" i="1"/>
  <c r="LHP63" i="1"/>
  <c r="LHQ63" i="1"/>
  <c r="LHR63" i="1"/>
  <c r="LHS63" i="1"/>
  <c r="LHT63" i="1"/>
  <c r="LHU63" i="1"/>
  <c r="LHV63" i="1"/>
  <c r="LHW63" i="1"/>
  <c r="LHX63" i="1"/>
  <c r="LHY63" i="1"/>
  <c r="LHZ63" i="1"/>
  <c r="LIA63" i="1"/>
  <c r="LIB63" i="1"/>
  <c r="LIC63" i="1"/>
  <c r="LID63" i="1"/>
  <c r="LIE63" i="1"/>
  <c r="LIF63" i="1"/>
  <c r="LIG63" i="1"/>
  <c r="LIH63" i="1"/>
  <c r="LII63" i="1"/>
  <c r="LIJ63" i="1"/>
  <c r="LIK63" i="1"/>
  <c r="LIL63" i="1"/>
  <c r="LIM63" i="1"/>
  <c r="LIN63" i="1"/>
  <c r="LIO63" i="1"/>
  <c r="LIP63" i="1"/>
  <c r="LIQ63" i="1"/>
  <c r="LIR63" i="1"/>
  <c r="LIS63" i="1"/>
  <c r="LIT63" i="1"/>
  <c r="LIU63" i="1"/>
  <c r="LIV63" i="1"/>
  <c r="LIW63" i="1"/>
  <c r="LIX63" i="1"/>
  <c r="LIY63" i="1"/>
  <c r="LIZ63" i="1"/>
  <c r="LJA63" i="1"/>
  <c r="LJB63" i="1"/>
  <c r="LJC63" i="1"/>
  <c r="LJD63" i="1"/>
  <c r="LJE63" i="1"/>
  <c r="LJF63" i="1"/>
  <c r="LJG63" i="1"/>
  <c r="LJH63" i="1"/>
  <c r="LJI63" i="1"/>
  <c r="LJJ63" i="1"/>
  <c r="LJK63" i="1"/>
  <c r="LJL63" i="1"/>
  <c r="LJM63" i="1"/>
  <c r="LJN63" i="1"/>
  <c r="LJO63" i="1"/>
  <c r="LJP63" i="1"/>
  <c r="LJQ63" i="1"/>
  <c r="LJR63" i="1"/>
  <c r="LJS63" i="1"/>
  <c r="LJT63" i="1"/>
  <c r="LJU63" i="1"/>
  <c r="LJV63" i="1"/>
  <c r="LJW63" i="1"/>
  <c r="LJX63" i="1"/>
  <c r="LJY63" i="1"/>
  <c r="LJZ63" i="1"/>
  <c r="LKA63" i="1"/>
  <c r="LKB63" i="1"/>
  <c r="LKC63" i="1"/>
  <c r="LKD63" i="1"/>
  <c r="LKE63" i="1"/>
  <c r="LKF63" i="1"/>
  <c r="LKG63" i="1"/>
  <c r="LKH63" i="1"/>
  <c r="LKI63" i="1"/>
  <c r="LKJ63" i="1"/>
  <c r="LKK63" i="1"/>
  <c r="LKL63" i="1"/>
  <c r="LKM63" i="1"/>
  <c r="LKN63" i="1"/>
  <c r="LKO63" i="1"/>
  <c r="LKP63" i="1"/>
  <c r="LKQ63" i="1"/>
  <c r="LKR63" i="1"/>
  <c r="LKS63" i="1"/>
  <c r="LKT63" i="1"/>
  <c r="LKU63" i="1"/>
  <c r="LKV63" i="1"/>
  <c r="LKW63" i="1"/>
  <c r="LKX63" i="1"/>
  <c r="LKY63" i="1"/>
  <c r="LKZ63" i="1"/>
  <c r="LLA63" i="1"/>
  <c r="LLB63" i="1"/>
  <c r="LLC63" i="1"/>
  <c r="LLD63" i="1"/>
  <c r="LLE63" i="1"/>
  <c r="LLF63" i="1"/>
  <c r="LLG63" i="1"/>
  <c r="LLH63" i="1"/>
  <c r="LLI63" i="1"/>
  <c r="LLJ63" i="1"/>
  <c r="LLK63" i="1"/>
  <c r="LLL63" i="1"/>
  <c r="LLM63" i="1"/>
  <c r="LLN63" i="1"/>
  <c r="LLO63" i="1"/>
  <c r="LLP63" i="1"/>
  <c r="LLQ63" i="1"/>
  <c r="LLR63" i="1"/>
  <c r="LLS63" i="1"/>
  <c r="LLT63" i="1"/>
  <c r="LLU63" i="1"/>
  <c r="LLV63" i="1"/>
  <c r="LLW63" i="1"/>
  <c r="LLX63" i="1"/>
  <c r="LLY63" i="1"/>
  <c r="LLZ63" i="1"/>
  <c r="LMA63" i="1"/>
  <c r="LMB63" i="1"/>
  <c r="LMC63" i="1"/>
  <c r="LMD63" i="1"/>
  <c r="LME63" i="1"/>
  <c r="LMF63" i="1"/>
  <c r="LMG63" i="1"/>
  <c r="LMH63" i="1"/>
  <c r="LMI63" i="1"/>
  <c r="LMJ63" i="1"/>
  <c r="LMK63" i="1"/>
  <c r="LML63" i="1"/>
  <c r="LMM63" i="1"/>
  <c r="LMN63" i="1"/>
  <c r="LMO63" i="1"/>
  <c r="LMP63" i="1"/>
  <c r="LMQ63" i="1"/>
  <c r="LMR63" i="1"/>
  <c r="LMS63" i="1"/>
  <c r="LMT63" i="1"/>
  <c r="LMU63" i="1"/>
  <c r="LMV63" i="1"/>
  <c r="LMW63" i="1"/>
  <c r="LMX63" i="1"/>
  <c r="LMY63" i="1"/>
  <c r="LMZ63" i="1"/>
  <c r="LNA63" i="1"/>
  <c r="LNB63" i="1"/>
  <c r="LNC63" i="1"/>
  <c r="LND63" i="1"/>
  <c r="LNE63" i="1"/>
  <c r="LNF63" i="1"/>
  <c r="LNG63" i="1"/>
  <c r="LNH63" i="1"/>
  <c r="LNI63" i="1"/>
  <c r="LNJ63" i="1"/>
  <c r="LNK63" i="1"/>
  <c r="LNL63" i="1"/>
  <c r="LNM63" i="1"/>
  <c r="LNN63" i="1"/>
  <c r="LNO63" i="1"/>
  <c r="LNP63" i="1"/>
  <c r="LNQ63" i="1"/>
  <c r="LNR63" i="1"/>
  <c r="LNS63" i="1"/>
  <c r="LNT63" i="1"/>
  <c r="LNU63" i="1"/>
  <c r="LNV63" i="1"/>
  <c r="LNW63" i="1"/>
  <c r="LNX63" i="1"/>
  <c r="LNY63" i="1"/>
  <c r="LNZ63" i="1"/>
  <c r="LOA63" i="1"/>
  <c r="LOB63" i="1"/>
  <c r="LOC63" i="1"/>
  <c r="LOD63" i="1"/>
  <c r="LOE63" i="1"/>
  <c r="LOF63" i="1"/>
  <c r="LOG63" i="1"/>
  <c r="LOH63" i="1"/>
  <c r="LOI63" i="1"/>
  <c r="LOJ63" i="1"/>
  <c r="LOK63" i="1"/>
  <c r="LOL63" i="1"/>
  <c r="LOM63" i="1"/>
  <c r="LON63" i="1"/>
  <c r="LOO63" i="1"/>
  <c r="LOP63" i="1"/>
  <c r="LOQ63" i="1"/>
  <c r="LOR63" i="1"/>
  <c r="LOS63" i="1"/>
  <c r="LOT63" i="1"/>
  <c r="LOU63" i="1"/>
  <c r="LOV63" i="1"/>
  <c r="LOW63" i="1"/>
  <c r="LOX63" i="1"/>
  <c r="LOY63" i="1"/>
  <c r="LOZ63" i="1"/>
  <c r="LPA63" i="1"/>
  <c r="LPB63" i="1"/>
  <c r="LPC63" i="1"/>
  <c r="LPD63" i="1"/>
  <c r="LPE63" i="1"/>
  <c r="LPF63" i="1"/>
  <c r="LPG63" i="1"/>
  <c r="LPH63" i="1"/>
  <c r="LPI63" i="1"/>
  <c r="LPJ63" i="1"/>
  <c r="LPK63" i="1"/>
  <c r="LPL63" i="1"/>
  <c r="LPM63" i="1"/>
  <c r="LPN63" i="1"/>
  <c r="LPO63" i="1"/>
  <c r="LPP63" i="1"/>
  <c r="LPQ63" i="1"/>
  <c r="LPR63" i="1"/>
  <c r="LPS63" i="1"/>
  <c r="LPT63" i="1"/>
  <c r="LPU63" i="1"/>
  <c r="LPV63" i="1"/>
  <c r="LPW63" i="1"/>
  <c r="LPX63" i="1"/>
  <c r="LPY63" i="1"/>
  <c r="LPZ63" i="1"/>
  <c r="LQA63" i="1"/>
  <c r="LQB63" i="1"/>
  <c r="LQC63" i="1"/>
  <c r="LQD63" i="1"/>
  <c r="LQE63" i="1"/>
  <c r="LQF63" i="1"/>
  <c r="LQG63" i="1"/>
  <c r="LQH63" i="1"/>
  <c r="LQI63" i="1"/>
  <c r="LQJ63" i="1"/>
  <c r="LQK63" i="1"/>
  <c r="LQL63" i="1"/>
  <c r="LQM63" i="1"/>
  <c r="LQN63" i="1"/>
  <c r="LQO63" i="1"/>
  <c r="LQP63" i="1"/>
  <c r="LQQ63" i="1"/>
  <c r="LQR63" i="1"/>
  <c r="LQS63" i="1"/>
  <c r="LQT63" i="1"/>
  <c r="LQU63" i="1"/>
  <c r="LQV63" i="1"/>
  <c r="LQW63" i="1"/>
  <c r="LQX63" i="1"/>
  <c r="LQY63" i="1"/>
  <c r="LQZ63" i="1"/>
  <c r="LRA63" i="1"/>
  <c r="LRB63" i="1"/>
  <c r="LRC63" i="1"/>
  <c r="LRD63" i="1"/>
  <c r="LRE63" i="1"/>
  <c r="LRF63" i="1"/>
  <c r="LRG63" i="1"/>
  <c r="LRH63" i="1"/>
  <c r="LRI63" i="1"/>
  <c r="LRJ63" i="1"/>
  <c r="LRK63" i="1"/>
  <c r="LRL63" i="1"/>
  <c r="LRM63" i="1"/>
  <c r="LRN63" i="1"/>
  <c r="LRO63" i="1"/>
  <c r="LRP63" i="1"/>
  <c r="LRQ63" i="1"/>
  <c r="LRR63" i="1"/>
  <c r="LRS63" i="1"/>
  <c r="LRT63" i="1"/>
  <c r="LRU63" i="1"/>
  <c r="LRV63" i="1"/>
  <c r="LRW63" i="1"/>
  <c r="LRX63" i="1"/>
  <c r="LRY63" i="1"/>
  <c r="LRZ63" i="1"/>
  <c r="LSA63" i="1"/>
  <c r="LSB63" i="1"/>
  <c r="LSC63" i="1"/>
  <c r="LSD63" i="1"/>
  <c r="LSE63" i="1"/>
  <c r="LSF63" i="1"/>
  <c r="LSG63" i="1"/>
  <c r="LSH63" i="1"/>
  <c r="LSI63" i="1"/>
  <c r="LSJ63" i="1"/>
  <c r="LSK63" i="1"/>
  <c r="LSL63" i="1"/>
  <c r="LSM63" i="1"/>
  <c r="LSN63" i="1"/>
  <c r="LSO63" i="1"/>
  <c r="LSP63" i="1"/>
  <c r="LSQ63" i="1"/>
  <c r="LSR63" i="1"/>
  <c r="LSS63" i="1"/>
  <c r="LST63" i="1"/>
  <c r="LSU63" i="1"/>
  <c r="LSV63" i="1"/>
  <c r="LSW63" i="1"/>
  <c r="LSX63" i="1"/>
  <c r="LSY63" i="1"/>
  <c r="LSZ63" i="1"/>
  <c r="LTA63" i="1"/>
  <c r="LTB63" i="1"/>
  <c r="LTC63" i="1"/>
  <c r="LTD63" i="1"/>
  <c r="LTE63" i="1"/>
  <c r="LTF63" i="1"/>
  <c r="LTG63" i="1"/>
  <c r="LTH63" i="1"/>
  <c r="LTI63" i="1"/>
  <c r="LTJ63" i="1"/>
  <c r="LTK63" i="1"/>
  <c r="LTL63" i="1"/>
  <c r="LTM63" i="1"/>
  <c r="LTN63" i="1"/>
  <c r="LTO63" i="1"/>
  <c r="LTP63" i="1"/>
  <c r="LTQ63" i="1"/>
  <c r="LTR63" i="1"/>
  <c r="LTS63" i="1"/>
  <c r="LTT63" i="1"/>
  <c r="LTU63" i="1"/>
  <c r="LTV63" i="1"/>
  <c r="LTW63" i="1"/>
  <c r="LTX63" i="1"/>
  <c r="LTY63" i="1"/>
  <c r="LTZ63" i="1"/>
  <c r="LUA63" i="1"/>
  <c r="LUB63" i="1"/>
  <c r="LUC63" i="1"/>
  <c r="LUD63" i="1"/>
  <c r="LUE63" i="1"/>
  <c r="LUF63" i="1"/>
  <c r="LUG63" i="1"/>
  <c r="LUH63" i="1"/>
  <c r="LUI63" i="1"/>
  <c r="LUJ63" i="1"/>
  <c r="LUK63" i="1"/>
  <c r="LUL63" i="1"/>
  <c r="LUM63" i="1"/>
  <c r="LUN63" i="1"/>
  <c r="LUO63" i="1"/>
  <c r="LUP63" i="1"/>
  <c r="LUQ63" i="1"/>
  <c r="LUR63" i="1"/>
  <c r="LUS63" i="1"/>
  <c r="LUT63" i="1"/>
  <c r="LUU63" i="1"/>
  <c r="LUV63" i="1"/>
  <c r="LUW63" i="1"/>
  <c r="LUX63" i="1"/>
  <c r="LUY63" i="1"/>
  <c r="LUZ63" i="1"/>
  <c r="LVA63" i="1"/>
  <c r="LVB63" i="1"/>
  <c r="LVC63" i="1"/>
  <c r="LVD63" i="1"/>
  <c r="LVE63" i="1"/>
  <c r="LVF63" i="1"/>
  <c r="LVG63" i="1"/>
  <c r="LVH63" i="1"/>
  <c r="LVI63" i="1"/>
  <c r="LVJ63" i="1"/>
  <c r="LVK63" i="1"/>
  <c r="LVL63" i="1"/>
  <c r="LVM63" i="1"/>
  <c r="LVN63" i="1"/>
  <c r="LVO63" i="1"/>
  <c r="LVP63" i="1"/>
  <c r="LVQ63" i="1"/>
  <c r="LVR63" i="1"/>
  <c r="LVS63" i="1"/>
  <c r="LVT63" i="1"/>
  <c r="LVU63" i="1"/>
  <c r="LVV63" i="1"/>
  <c r="LVW63" i="1"/>
  <c r="LVX63" i="1"/>
  <c r="LVY63" i="1"/>
  <c r="LVZ63" i="1"/>
  <c r="LWA63" i="1"/>
  <c r="LWB63" i="1"/>
  <c r="LWC63" i="1"/>
  <c r="LWD63" i="1"/>
  <c r="LWE63" i="1"/>
  <c r="LWF63" i="1"/>
  <c r="LWG63" i="1"/>
  <c r="LWH63" i="1"/>
  <c r="LWI63" i="1"/>
  <c r="LWJ63" i="1"/>
  <c r="LWK63" i="1"/>
  <c r="LWL63" i="1"/>
  <c r="LWM63" i="1"/>
  <c r="LWN63" i="1"/>
  <c r="LWO63" i="1"/>
  <c r="LWP63" i="1"/>
  <c r="LWQ63" i="1"/>
  <c r="LWR63" i="1"/>
  <c r="LWS63" i="1"/>
  <c r="LWT63" i="1"/>
  <c r="LWU63" i="1"/>
  <c r="LWV63" i="1"/>
  <c r="LWW63" i="1"/>
  <c r="LWX63" i="1"/>
  <c r="LWY63" i="1"/>
  <c r="LWZ63" i="1"/>
  <c r="LXA63" i="1"/>
  <c r="LXB63" i="1"/>
  <c r="LXC63" i="1"/>
  <c r="LXD63" i="1"/>
  <c r="LXE63" i="1"/>
  <c r="LXF63" i="1"/>
  <c r="LXG63" i="1"/>
  <c r="LXH63" i="1"/>
  <c r="LXI63" i="1"/>
  <c r="LXJ63" i="1"/>
  <c r="LXK63" i="1"/>
  <c r="LXL63" i="1"/>
  <c r="LXM63" i="1"/>
  <c r="LXN63" i="1"/>
  <c r="LXO63" i="1"/>
  <c r="LXP63" i="1"/>
  <c r="LXQ63" i="1"/>
  <c r="LXR63" i="1"/>
  <c r="LXS63" i="1"/>
  <c r="LXT63" i="1"/>
  <c r="LXU63" i="1"/>
  <c r="LXV63" i="1"/>
  <c r="LXW63" i="1"/>
  <c r="LXX63" i="1"/>
  <c r="LXY63" i="1"/>
  <c r="LXZ63" i="1"/>
  <c r="LYA63" i="1"/>
  <c r="LYB63" i="1"/>
  <c r="LYC63" i="1"/>
  <c r="LYD63" i="1"/>
  <c r="LYE63" i="1"/>
  <c r="LYF63" i="1"/>
  <c r="LYG63" i="1"/>
  <c r="LYH63" i="1"/>
  <c r="LYI63" i="1"/>
  <c r="LYJ63" i="1"/>
  <c r="LYK63" i="1"/>
  <c r="LYL63" i="1"/>
  <c r="LYM63" i="1"/>
  <c r="LYN63" i="1"/>
  <c r="LYO63" i="1"/>
  <c r="LYP63" i="1"/>
  <c r="LYQ63" i="1"/>
  <c r="LYR63" i="1"/>
  <c r="LYS63" i="1"/>
  <c r="LYT63" i="1"/>
  <c r="LYU63" i="1"/>
  <c r="LYV63" i="1"/>
  <c r="LYW63" i="1"/>
  <c r="LYX63" i="1"/>
  <c r="LYY63" i="1"/>
  <c r="LYZ63" i="1"/>
  <c r="LZA63" i="1"/>
  <c r="LZB63" i="1"/>
  <c r="LZC63" i="1"/>
  <c r="LZD63" i="1"/>
  <c r="LZE63" i="1"/>
  <c r="LZF63" i="1"/>
  <c r="LZG63" i="1"/>
  <c r="LZH63" i="1"/>
  <c r="LZI63" i="1"/>
  <c r="LZJ63" i="1"/>
  <c r="LZK63" i="1"/>
  <c r="LZL63" i="1"/>
  <c r="LZM63" i="1"/>
  <c r="LZN63" i="1"/>
  <c r="LZO63" i="1"/>
  <c r="LZP63" i="1"/>
  <c r="LZQ63" i="1"/>
  <c r="LZR63" i="1"/>
  <c r="LZS63" i="1"/>
  <c r="LZT63" i="1"/>
  <c r="LZU63" i="1"/>
  <c r="LZV63" i="1"/>
  <c r="LZW63" i="1"/>
  <c r="LZX63" i="1"/>
  <c r="LZY63" i="1"/>
  <c r="LZZ63" i="1"/>
  <c r="MAA63" i="1"/>
  <c r="MAB63" i="1"/>
  <c r="MAC63" i="1"/>
  <c r="MAD63" i="1"/>
  <c r="MAE63" i="1"/>
  <c r="MAF63" i="1"/>
  <c r="MAG63" i="1"/>
  <c r="MAH63" i="1"/>
  <c r="MAI63" i="1"/>
  <c r="MAJ63" i="1"/>
  <c r="MAK63" i="1"/>
  <c r="MAL63" i="1"/>
  <c r="MAM63" i="1"/>
  <c r="MAN63" i="1"/>
  <c r="MAO63" i="1"/>
  <c r="MAP63" i="1"/>
  <c r="MAQ63" i="1"/>
  <c r="MAR63" i="1"/>
  <c r="MAS63" i="1"/>
  <c r="MAT63" i="1"/>
  <c r="MAU63" i="1"/>
  <c r="MAV63" i="1"/>
  <c r="MAW63" i="1"/>
  <c r="MAX63" i="1"/>
  <c r="MAY63" i="1"/>
  <c r="MAZ63" i="1"/>
  <c r="MBA63" i="1"/>
  <c r="MBB63" i="1"/>
  <c r="MBC63" i="1"/>
  <c r="MBD63" i="1"/>
  <c r="MBE63" i="1"/>
  <c r="MBF63" i="1"/>
  <c r="MBG63" i="1"/>
  <c r="MBH63" i="1"/>
  <c r="MBI63" i="1"/>
  <c r="MBJ63" i="1"/>
  <c r="MBK63" i="1"/>
  <c r="MBL63" i="1"/>
  <c r="MBM63" i="1"/>
  <c r="MBN63" i="1"/>
  <c r="MBO63" i="1"/>
  <c r="MBP63" i="1"/>
  <c r="MBQ63" i="1"/>
  <c r="MBR63" i="1"/>
  <c r="MBS63" i="1"/>
  <c r="MBT63" i="1"/>
  <c r="MBU63" i="1"/>
  <c r="MBV63" i="1"/>
  <c r="MBW63" i="1"/>
  <c r="MBX63" i="1"/>
  <c r="MBY63" i="1"/>
  <c r="MBZ63" i="1"/>
  <c r="MCA63" i="1"/>
  <c r="MCB63" i="1"/>
  <c r="MCC63" i="1"/>
  <c r="MCD63" i="1"/>
  <c r="MCE63" i="1"/>
  <c r="MCF63" i="1"/>
  <c r="MCG63" i="1"/>
  <c r="MCH63" i="1"/>
  <c r="MCI63" i="1"/>
  <c r="MCJ63" i="1"/>
  <c r="MCK63" i="1"/>
  <c r="MCL63" i="1"/>
  <c r="MCM63" i="1"/>
  <c r="MCN63" i="1"/>
  <c r="MCO63" i="1"/>
  <c r="MCP63" i="1"/>
  <c r="MCQ63" i="1"/>
  <c r="MCR63" i="1"/>
  <c r="MCS63" i="1"/>
  <c r="MCT63" i="1"/>
  <c r="MCU63" i="1"/>
  <c r="MCV63" i="1"/>
  <c r="MCW63" i="1"/>
  <c r="MCX63" i="1"/>
  <c r="MCY63" i="1"/>
  <c r="MCZ63" i="1"/>
  <c r="MDA63" i="1"/>
  <c r="MDB63" i="1"/>
  <c r="MDC63" i="1"/>
  <c r="MDD63" i="1"/>
  <c r="MDE63" i="1"/>
  <c r="MDF63" i="1"/>
  <c r="MDG63" i="1"/>
  <c r="MDH63" i="1"/>
  <c r="MDI63" i="1"/>
  <c r="MDJ63" i="1"/>
  <c r="MDK63" i="1"/>
  <c r="MDL63" i="1"/>
  <c r="MDM63" i="1"/>
  <c r="MDN63" i="1"/>
  <c r="MDO63" i="1"/>
  <c r="MDP63" i="1"/>
  <c r="MDQ63" i="1"/>
  <c r="MDR63" i="1"/>
  <c r="MDS63" i="1"/>
  <c r="MDT63" i="1"/>
  <c r="MDU63" i="1"/>
  <c r="MDV63" i="1"/>
  <c r="MDW63" i="1"/>
  <c r="MDX63" i="1"/>
  <c r="MDY63" i="1"/>
  <c r="MDZ63" i="1"/>
  <c r="MEA63" i="1"/>
  <c r="MEB63" i="1"/>
  <c r="MEC63" i="1"/>
  <c r="MED63" i="1"/>
  <c r="MEE63" i="1"/>
  <c r="MEF63" i="1"/>
  <c r="MEG63" i="1"/>
  <c r="MEH63" i="1"/>
  <c r="MEI63" i="1"/>
  <c r="MEJ63" i="1"/>
  <c r="MEK63" i="1"/>
  <c r="MEL63" i="1"/>
  <c r="MEM63" i="1"/>
  <c r="MEN63" i="1"/>
  <c r="MEO63" i="1"/>
  <c r="MEP63" i="1"/>
  <c r="MEQ63" i="1"/>
  <c r="MER63" i="1"/>
  <c r="MES63" i="1"/>
  <c r="MET63" i="1"/>
  <c r="MEU63" i="1"/>
  <c r="MEV63" i="1"/>
  <c r="MEW63" i="1"/>
  <c r="MEX63" i="1"/>
  <c r="MEY63" i="1"/>
  <c r="MEZ63" i="1"/>
  <c r="MFA63" i="1"/>
  <c r="MFB63" i="1"/>
  <c r="MFC63" i="1"/>
  <c r="MFD63" i="1"/>
  <c r="MFE63" i="1"/>
  <c r="MFF63" i="1"/>
  <c r="MFG63" i="1"/>
  <c r="MFH63" i="1"/>
  <c r="MFI63" i="1"/>
  <c r="MFJ63" i="1"/>
  <c r="MFK63" i="1"/>
  <c r="MFL63" i="1"/>
  <c r="MFM63" i="1"/>
  <c r="MFN63" i="1"/>
  <c r="MFO63" i="1"/>
  <c r="MFP63" i="1"/>
  <c r="MFQ63" i="1"/>
  <c r="MFR63" i="1"/>
  <c r="MFS63" i="1"/>
  <c r="MFT63" i="1"/>
  <c r="MFU63" i="1"/>
  <c r="MFV63" i="1"/>
  <c r="MFW63" i="1"/>
  <c r="MFX63" i="1"/>
  <c r="MFY63" i="1"/>
  <c r="MFZ63" i="1"/>
  <c r="MGA63" i="1"/>
  <c r="MGB63" i="1"/>
  <c r="MGC63" i="1"/>
  <c r="MGD63" i="1"/>
  <c r="MGE63" i="1"/>
  <c r="MGF63" i="1"/>
  <c r="MGG63" i="1"/>
  <c r="MGH63" i="1"/>
  <c r="MGI63" i="1"/>
  <c r="MGJ63" i="1"/>
  <c r="MGK63" i="1"/>
  <c r="MGL63" i="1"/>
  <c r="MGM63" i="1"/>
  <c r="MGN63" i="1"/>
  <c r="MGO63" i="1"/>
  <c r="MGP63" i="1"/>
  <c r="MGQ63" i="1"/>
  <c r="MGR63" i="1"/>
  <c r="MGS63" i="1"/>
  <c r="MGT63" i="1"/>
  <c r="MGU63" i="1"/>
  <c r="MGV63" i="1"/>
  <c r="MGW63" i="1"/>
  <c r="MGX63" i="1"/>
  <c r="MGY63" i="1"/>
  <c r="MGZ63" i="1"/>
  <c r="MHA63" i="1"/>
  <c r="MHB63" i="1"/>
  <c r="MHC63" i="1"/>
  <c r="MHD63" i="1"/>
  <c r="MHE63" i="1"/>
  <c r="MHF63" i="1"/>
  <c r="MHG63" i="1"/>
  <c r="MHH63" i="1"/>
  <c r="MHI63" i="1"/>
  <c r="MHJ63" i="1"/>
  <c r="MHK63" i="1"/>
  <c r="MHL63" i="1"/>
  <c r="MHM63" i="1"/>
  <c r="MHN63" i="1"/>
  <c r="MHO63" i="1"/>
  <c r="MHP63" i="1"/>
  <c r="MHQ63" i="1"/>
  <c r="MHR63" i="1"/>
  <c r="MHS63" i="1"/>
  <c r="MHT63" i="1"/>
  <c r="MHU63" i="1"/>
  <c r="MHV63" i="1"/>
  <c r="MHW63" i="1"/>
  <c r="MHX63" i="1"/>
  <c r="MHY63" i="1"/>
  <c r="MHZ63" i="1"/>
  <c r="MIA63" i="1"/>
  <c r="MIB63" i="1"/>
  <c r="MIC63" i="1"/>
  <c r="MID63" i="1"/>
  <c r="MIE63" i="1"/>
  <c r="MIF63" i="1"/>
  <c r="MIG63" i="1"/>
  <c r="MIH63" i="1"/>
  <c r="MII63" i="1"/>
  <c r="MIJ63" i="1"/>
  <c r="MIK63" i="1"/>
  <c r="MIL63" i="1"/>
  <c r="MIM63" i="1"/>
  <c r="MIN63" i="1"/>
  <c r="MIO63" i="1"/>
  <c r="MIP63" i="1"/>
  <c r="MIQ63" i="1"/>
  <c r="MIR63" i="1"/>
  <c r="MIS63" i="1"/>
  <c r="MIT63" i="1"/>
  <c r="MIU63" i="1"/>
  <c r="MIV63" i="1"/>
  <c r="MIW63" i="1"/>
  <c r="MIX63" i="1"/>
  <c r="MIY63" i="1"/>
  <c r="MIZ63" i="1"/>
  <c r="MJA63" i="1"/>
  <c r="MJB63" i="1"/>
  <c r="MJC63" i="1"/>
  <c r="MJD63" i="1"/>
  <c r="MJE63" i="1"/>
  <c r="MJF63" i="1"/>
  <c r="MJG63" i="1"/>
  <c r="MJH63" i="1"/>
  <c r="MJI63" i="1"/>
  <c r="MJJ63" i="1"/>
  <c r="MJK63" i="1"/>
  <c r="MJL63" i="1"/>
  <c r="MJM63" i="1"/>
  <c r="MJN63" i="1"/>
  <c r="MJO63" i="1"/>
  <c r="MJP63" i="1"/>
  <c r="MJQ63" i="1"/>
  <c r="MJR63" i="1"/>
  <c r="MJS63" i="1"/>
  <c r="MJT63" i="1"/>
  <c r="MJU63" i="1"/>
  <c r="MJV63" i="1"/>
  <c r="MJW63" i="1"/>
  <c r="MJX63" i="1"/>
  <c r="MJY63" i="1"/>
  <c r="MJZ63" i="1"/>
  <c r="MKA63" i="1"/>
  <c r="MKB63" i="1"/>
  <c r="MKC63" i="1"/>
  <c r="MKD63" i="1"/>
  <c r="MKE63" i="1"/>
  <c r="MKF63" i="1"/>
  <c r="MKG63" i="1"/>
  <c r="MKH63" i="1"/>
  <c r="MKI63" i="1"/>
  <c r="MKJ63" i="1"/>
  <c r="MKK63" i="1"/>
  <c r="MKL63" i="1"/>
  <c r="MKM63" i="1"/>
  <c r="MKN63" i="1"/>
  <c r="MKO63" i="1"/>
  <c r="MKP63" i="1"/>
  <c r="MKQ63" i="1"/>
  <c r="MKR63" i="1"/>
  <c r="MKS63" i="1"/>
  <c r="MKT63" i="1"/>
  <c r="MKU63" i="1"/>
  <c r="MKV63" i="1"/>
  <c r="MKW63" i="1"/>
  <c r="MKX63" i="1"/>
  <c r="MKY63" i="1"/>
  <c r="MKZ63" i="1"/>
  <c r="MLA63" i="1"/>
  <c r="MLB63" i="1"/>
  <c r="MLC63" i="1"/>
  <c r="MLD63" i="1"/>
  <c r="MLE63" i="1"/>
  <c r="MLF63" i="1"/>
  <c r="MLG63" i="1"/>
  <c r="MLH63" i="1"/>
  <c r="MLI63" i="1"/>
  <c r="MLJ63" i="1"/>
  <c r="MLK63" i="1"/>
  <c r="MLL63" i="1"/>
  <c r="MLM63" i="1"/>
  <c r="MLN63" i="1"/>
  <c r="MLO63" i="1"/>
  <c r="MLP63" i="1"/>
  <c r="MLQ63" i="1"/>
  <c r="MLR63" i="1"/>
  <c r="MLS63" i="1"/>
  <c r="MLT63" i="1"/>
  <c r="MLU63" i="1"/>
  <c r="MLV63" i="1"/>
  <c r="MLW63" i="1"/>
  <c r="MLX63" i="1"/>
  <c r="MLY63" i="1"/>
  <c r="MLZ63" i="1"/>
  <c r="MMA63" i="1"/>
  <c r="MMB63" i="1"/>
  <c r="MMC63" i="1"/>
  <c r="MMD63" i="1"/>
  <c r="MME63" i="1"/>
  <c r="MMF63" i="1"/>
  <c r="MMG63" i="1"/>
  <c r="MMH63" i="1"/>
  <c r="MMI63" i="1"/>
  <c r="MMJ63" i="1"/>
  <c r="MMK63" i="1"/>
  <c r="MML63" i="1"/>
  <c r="MMM63" i="1"/>
  <c r="MMN63" i="1"/>
  <c r="MMO63" i="1"/>
  <c r="MMP63" i="1"/>
  <c r="MMQ63" i="1"/>
  <c r="MMR63" i="1"/>
  <c r="MMS63" i="1"/>
  <c r="MMT63" i="1"/>
  <c r="MMU63" i="1"/>
  <c r="MMV63" i="1"/>
  <c r="MMW63" i="1"/>
  <c r="MMX63" i="1"/>
  <c r="MMY63" i="1"/>
  <c r="MMZ63" i="1"/>
  <c r="MNA63" i="1"/>
  <c r="MNB63" i="1"/>
  <c r="MNC63" i="1"/>
  <c r="MND63" i="1"/>
  <c r="MNE63" i="1"/>
  <c r="MNF63" i="1"/>
  <c r="MNG63" i="1"/>
  <c r="MNH63" i="1"/>
  <c r="MNI63" i="1"/>
  <c r="MNJ63" i="1"/>
  <c r="MNK63" i="1"/>
  <c r="MNL63" i="1"/>
  <c r="MNM63" i="1"/>
  <c r="MNN63" i="1"/>
  <c r="MNO63" i="1"/>
  <c r="MNP63" i="1"/>
  <c r="MNQ63" i="1"/>
  <c r="MNR63" i="1"/>
  <c r="MNS63" i="1"/>
  <c r="MNT63" i="1"/>
  <c r="MNU63" i="1"/>
  <c r="MNV63" i="1"/>
  <c r="MNW63" i="1"/>
  <c r="MNX63" i="1"/>
  <c r="MNY63" i="1"/>
  <c r="MNZ63" i="1"/>
  <c r="MOA63" i="1"/>
  <c r="MOB63" i="1"/>
  <c r="MOC63" i="1"/>
  <c r="MOD63" i="1"/>
  <c r="MOE63" i="1"/>
  <c r="MOF63" i="1"/>
  <c r="MOG63" i="1"/>
  <c r="MOH63" i="1"/>
  <c r="MOI63" i="1"/>
  <c r="MOJ63" i="1"/>
  <c r="MOK63" i="1"/>
  <c r="MOL63" i="1"/>
  <c r="MOM63" i="1"/>
  <c r="MON63" i="1"/>
  <c r="MOO63" i="1"/>
  <c r="MOP63" i="1"/>
  <c r="MOQ63" i="1"/>
  <c r="MOR63" i="1"/>
  <c r="MOS63" i="1"/>
  <c r="MOT63" i="1"/>
  <c r="MOU63" i="1"/>
  <c r="MOV63" i="1"/>
  <c r="MOW63" i="1"/>
  <c r="MOX63" i="1"/>
  <c r="MOY63" i="1"/>
  <c r="MOZ63" i="1"/>
  <c r="MPA63" i="1"/>
  <c r="MPB63" i="1"/>
  <c r="MPC63" i="1"/>
  <c r="MPD63" i="1"/>
  <c r="MPE63" i="1"/>
  <c r="MPF63" i="1"/>
  <c r="MPG63" i="1"/>
  <c r="MPH63" i="1"/>
  <c r="MPI63" i="1"/>
  <c r="MPJ63" i="1"/>
  <c r="MPK63" i="1"/>
  <c r="MPL63" i="1"/>
  <c r="MPM63" i="1"/>
  <c r="MPN63" i="1"/>
  <c r="MPO63" i="1"/>
  <c r="MPP63" i="1"/>
  <c r="MPQ63" i="1"/>
  <c r="MPR63" i="1"/>
  <c r="MPS63" i="1"/>
  <c r="MPT63" i="1"/>
  <c r="MPU63" i="1"/>
  <c r="MPV63" i="1"/>
  <c r="MPW63" i="1"/>
  <c r="MPX63" i="1"/>
  <c r="MPY63" i="1"/>
  <c r="MPZ63" i="1"/>
  <c r="MQA63" i="1"/>
  <c r="MQB63" i="1"/>
  <c r="MQC63" i="1"/>
  <c r="MQD63" i="1"/>
  <c r="MQE63" i="1"/>
  <c r="MQF63" i="1"/>
  <c r="MQG63" i="1"/>
  <c r="MQH63" i="1"/>
  <c r="MQI63" i="1"/>
  <c r="MQJ63" i="1"/>
  <c r="MQK63" i="1"/>
  <c r="MQL63" i="1"/>
  <c r="MQM63" i="1"/>
  <c r="MQN63" i="1"/>
  <c r="MQO63" i="1"/>
  <c r="MQP63" i="1"/>
  <c r="MQQ63" i="1"/>
  <c r="MQR63" i="1"/>
  <c r="MQS63" i="1"/>
  <c r="MQT63" i="1"/>
  <c r="MQU63" i="1"/>
  <c r="MQV63" i="1"/>
  <c r="MQW63" i="1"/>
  <c r="MQX63" i="1"/>
  <c r="MQY63" i="1"/>
  <c r="MQZ63" i="1"/>
  <c r="MRA63" i="1"/>
  <c r="MRB63" i="1"/>
  <c r="MRC63" i="1"/>
  <c r="MRD63" i="1"/>
  <c r="MRE63" i="1"/>
  <c r="MRF63" i="1"/>
  <c r="MRG63" i="1"/>
  <c r="MRH63" i="1"/>
  <c r="MRI63" i="1"/>
  <c r="MRJ63" i="1"/>
  <c r="MRK63" i="1"/>
  <c r="MRL63" i="1"/>
  <c r="MRM63" i="1"/>
  <c r="MRN63" i="1"/>
  <c r="MRO63" i="1"/>
  <c r="MRP63" i="1"/>
  <c r="MRQ63" i="1"/>
  <c r="MRR63" i="1"/>
  <c r="MRS63" i="1"/>
  <c r="MRT63" i="1"/>
  <c r="MRU63" i="1"/>
  <c r="MRV63" i="1"/>
  <c r="MRW63" i="1"/>
  <c r="MRX63" i="1"/>
  <c r="MRY63" i="1"/>
  <c r="MRZ63" i="1"/>
  <c r="MSA63" i="1"/>
  <c r="MSB63" i="1"/>
  <c r="MSC63" i="1"/>
  <c r="MSD63" i="1"/>
  <c r="MSE63" i="1"/>
  <c r="MSF63" i="1"/>
  <c r="MSG63" i="1"/>
  <c r="MSH63" i="1"/>
  <c r="MSI63" i="1"/>
  <c r="MSJ63" i="1"/>
  <c r="MSK63" i="1"/>
  <c r="MSL63" i="1"/>
  <c r="MSM63" i="1"/>
  <c r="MSN63" i="1"/>
  <c r="MSO63" i="1"/>
  <c r="MSP63" i="1"/>
  <c r="MSQ63" i="1"/>
  <c r="MSR63" i="1"/>
  <c r="MSS63" i="1"/>
  <c r="MST63" i="1"/>
  <c r="MSU63" i="1"/>
  <c r="MSV63" i="1"/>
  <c r="MSW63" i="1"/>
  <c r="MSX63" i="1"/>
  <c r="MSY63" i="1"/>
  <c r="MSZ63" i="1"/>
  <c r="MTA63" i="1"/>
  <c r="MTB63" i="1"/>
  <c r="MTC63" i="1"/>
  <c r="MTD63" i="1"/>
  <c r="MTE63" i="1"/>
  <c r="MTF63" i="1"/>
  <c r="MTG63" i="1"/>
  <c r="MTH63" i="1"/>
  <c r="MTI63" i="1"/>
  <c r="MTJ63" i="1"/>
  <c r="MTK63" i="1"/>
  <c r="MTL63" i="1"/>
  <c r="MTM63" i="1"/>
  <c r="MTN63" i="1"/>
  <c r="MTO63" i="1"/>
  <c r="MTP63" i="1"/>
  <c r="MTQ63" i="1"/>
  <c r="MTR63" i="1"/>
  <c r="MTS63" i="1"/>
  <c r="MTT63" i="1"/>
  <c r="MTU63" i="1"/>
  <c r="MTV63" i="1"/>
  <c r="MTW63" i="1"/>
  <c r="MTX63" i="1"/>
  <c r="MTY63" i="1"/>
  <c r="MTZ63" i="1"/>
  <c r="MUA63" i="1"/>
  <c r="MUB63" i="1"/>
  <c r="MUC63" i="1"/>
  <c r="MUD63" i="1"/>
  <c r="MUE63" i="1"/>
  <c r="MUF63" i="1"/>
  <c r="MUG63" i="1"/>
  <c r="MUH63" i="1"/>
  <c r="MUI63" i="1"/>
  <c r="MUJ63" i="1"/>
  <c r="MUK63" i="1"/>
  <c r="MUL63" i="1"/>
  <c r="MUM63" i="1"/>
  <c r="MUN63" i="1"/>
  <c r="MUO63" i="1"/>
  <c r="MUP63" i="1"/>
  <c r="MUQ63" i="1"/>
  <c r="MUR63" i="1"/>
  <c r="MUS63" i="1"/>
  <c r="MUT63" i="1"/>
  <c r="MUU63" i="1"/>
  <c r="MUV63" i="1"/>
  <c r="MUW63" i="1"/>
  <c r="MUX63" i="1"/>
  <c r="MUY63" i="1"/>
  <c r="MUZ63" i="1"/>
  <c r="MVA63" i="1"/>
  <c r="MVB63" i="1"/>
  <c r="MVC63" i="1"/>
  <c r="MVD63" i="1"/>
  <c r="MVE63" i="1"/>
  <c r="MVF63" i="1"/>
  <c r="MVG63" i="1"/>
  <c r="MVH63" i="1"/>
  <c r="MVI63" i="1"/>
  <c r="MVJ63" i="1"/>
  <c r="MVK63" i="1"/>
  <c r="MVL63" i="1"/>
  <c r="MVM63" i="1"/>
  <c r="MVN63" i="1"/>
  <c r="MVO63" i="1"/>
  <c r="MVP63" i="1"/>
  <c r="MVQ63" i="1"/>
  <c r="MVR63" i="1"/>
  <c r="MVS63" i="1"/>
  <c r="MVT63" i="1"/>
  <c r="MVU63" i="1"/>
  <c r="MVV63" i="1"/>
  <c r="MVW63" i="1"/>
  <c r="MVX63" i="1"/>
  <c r="MVY63" i="1"/>
  <c r="MVZ63" i="1"/>
  <c r="MWA63" i="1"/>
  <c r="MWB63" i="1"/>
  <c r="MWC63" i="1"/>
  <c r="MWD63" i="1"/>
  <c r="MWE63" i="1"/>
  <c r="MWF63" i="1"/>
  <c r="MWG63" i="1"/>
  <c r="MWH63" i="1"/>
  <c r="MWI63" i="1"/>
  <c r="MWJ63" i="1"/>
  <c r="MWK63" i="1"/>
  <c r="MWL63" i="1"/>
  <c r="MWM63" i="1"/>
  <c r="MWN63" i="1"/>
  <c r="MWO63" i="1"/>
  <c r="MWP63" i="1"/>
  <c r="MWQ63" i="1"/>
  <c r="MWR63" i="1"/>
  <c r="MWS63" i="1"/>
  <c r="MWT63" i="1"/>
  <c r="MWU63" i="1"/>
  <c r="MWV63" i="1"/>
  <c r="MWW63" i="1"/>
  <c r="MWX63" i="1"/>
  <c r="MWY63" i="1"/>
  <c r="MWZ63" i="1"/>
  <c r="MXA63" i="1"/>
  <c r="MXB63" i="1"/>
  <c r="MXC63" i="1"/>
  <c r="MXD63" i="1"/>
  <c r="MXE63" i="1"/>
  <c r="MXF63" i="1"/>
  <c r="MXG63" i="1"/>
  <c r="MXH63" i="1"/>
  <c r="MXI63" i="1"/>
  <c r="MXJ63" i="1"/>
  <c r="MXK63" i="1"/>
  <c r="MXL63" i="1"/>
  <c r="MXM63" i="1"/>
  <c r="MXN63" i="1"/>
  <c r="MXO63" i="1"/>
  <c r="MXP63" i="1"/>
  <c r="MXQ63" i="1"/>
  <c r="MXR63" i="1"/>
  <c r="MXS63" i="1"/>
  <c r="MXT63" i="1"/>
  <c r="MXU63" i="1"/>
  <c r="MXV63" i="1"/>
  <c r="MXW63" i="1"/>
  <c r="MXX63" i="1"/>
  <c r="MXY63" i="1"/>
  <c r="MXZ63" i="1"/>
  <c r="MYA63" i="1"/>
  <c r="MYB63" i="1"/>
  <c r="MYC63" i="1"/>
  <c r="MYD63" i="1"/>
  <c r="MYE63" i="1"/>
  <c r="MYF63" i="1"/>
  <c r="MYG63" i="1"/>
  <c r="MYH63" i="1"/>
  <c r="MYI63" i="1"/>
  <c r="MYJ63" i="1"/>
  <c r="MYK63" i="1"/>
  <c r="MYL63" i="1"/>
  <c r="MYM63" i="1"/>
  <c r="MYN63" i="1"/>
  <c r="MYO63" i="1"/>
  <c r="MYP63" i="1"/>
  <c r="MYQ63" i="1"/>
  <c r="MYR63" i="1"/>
  <c r="MYS63" i="1"/>
  <c r="MYT63" i="1"/>
  <c r="MYU63" i="1"/>
  <c r="MYV63" i="1"/>
  <c r="MYW63" i="1"/>
  <c r="MYX63" i="1"/>
  <c r="MYY63" i="1"/>
  <c r="MYZ63" i="1"/>
  <c r="MZA63" i="1"/>
  <c r="MZB63" i="1"/>
  <c r="MZC63" i="1"/>
  <c r="MZD63" i="1"/>
  <c r="MZE63" i="1"/>
  <c r="MZF63" i="1"/>
  <c r="MZG63" i="1"/>
  <c r="MZH63" i="1"/>
  <c r="MZI63" i="1"/>
  <c r="MZJ63" i="1"/>
  <c r="MZK63" i="1"/>
  <c r="MZL63" i="1"/>
  <c r="MZM63" i="1"/>
  <c r="MZN63" i="1"/>
  <c r="MZO63" i="1"/>
  <c r="MZP63" i="1"/>
  <c r="MZQ63" i="1"/>
  <c r="MZR63" i="1"/>
  <c r="MZS63" i="1"/>
  <c r="MZT63" i="1"/>
  <c r="MZU63" i="1"/>
  <c r="MZV63" i="1"/>
  <c r="MZW63" i="1"/>
  <c r="MZX63" i="1"/>
  <c r="MZY63" i="1"/>
  <c r="MZZ63" i="1"/>
  <c r="NAA63" i="1"/>
  <c r="NAB63" i="1"/>
  <c r="NAC63" i="1"/>
  <c r="NAD63" i="1"/>
  <c r="NAE63" i="1"/>
  <c r="NAF63" i="1"/>
  <c r="NAG63" i="1"/>
  <c r="NAH63" i="1"/>
  <c r="NAI63" i="1"/>
  <c r="NAJ63" i="1"/>
  <c r="NAK63" i="1"/>
  <c r="NAL63" i="1"/>
  <c r="NAM63" i="1"/>
  <c r="NAN63" i="1"/>
  <c r="NAO63" i="1"/>
  <c r="NAP63" i="1"/>
  <c r="NAQ63" i="1"/>
  <c r="NAR63" i="1"/>
  <c r="NAS63" i="1"/>
  <c r="NAT63" i="1"/>
  <c r="NAU63" i="1"/>
  <c r="NAV63" i="1"/>
  <c r="NAW63" i="1"/>
  <c r="NAX63" i="1"/>
  <c r="NAY63" i="1"/>
  <c r="NAZ63" i="1"/>
  <c r="NBA63" i="1"/>
  <c r="NBB63" i="1"/>
  <c r="NBC63" i="1"/>
  <c r="NBD63" i="1"/>
  <c r="NBE63" i="1"/>
  <c r="NBF63" i="1"/>
  <c r="NBG63" i="1"/>
  <c r="NBH63" i="1"/>
  <c r="NBI63" i="1"/>
  <c r="NBJ63" i="1"/>
  <c r="NBK63" i="1"/>
  <c r="NBL63" i="1"/>
  <c r="NBM63" i="1"/>
  <c r="NBN63" i="1"/>
  <c r="NBO63" i="1"/>
  <c r="NBP63" i="1"/>
  <c r="NBQ63" i="1"/>
  <c r="NBR63" i="1"/>
  <c r="NBS63" i="1"/>
  <c r="NBT63" i="1"/>
  <c r="NBU63" i="1"/>
  <c r="NBV63" i="1"/>
  <c r="NBW63" i="1"/>
  <c r="NBX63" i="1"/>
  <c r="NBY63" i="1"/>
  <c r="NBZ63" i="1"/>
  <c r="NCA63" i="1"/>
  <c r="NCB63" i="1"/>
  <c r="NCC63" i="1"/>
  <c r="NCD63" i="1"/>
  <c r="NCE63" i="1"/>
  <c r="NCF63" i="1"/>
  <c r="NCG63" i="1"/>
  <c r="NCH63" i="1"/>
  <c r="NCI63" i="1"/>
  <c r="NCJ63" i="1"/>
  <c r="NCK63" i="1"/>
  <c r="NCL63" i="1"/>
  <c r="NCM63" i="1"/>
  <c r="NCN63" i="1"/>
  <c r="NCO63" i="1"/>
  <c r="NCP63" i="1"/>
  <c r="NCQ63" i="1"/>
  <c r="NCR63" i="1"/>
  <c r="NCS63" i="1"/>
  <c r="NCT63" i="1"/>
  <c r="NCU63" i="1"/>
  <c r="NCV63" i="1"/>
  <c r="NCW63" i="1"/>
  <c r="NCX63" i="1"/>
  <c r="NCY63" i="1"/>
  <c r="NCZ63" i="1"/>
  <c r="NDA63" i="1"/>
  <c r="NDB63" i="1"/>
  <c r="NDC63" i="1"/>
  <c r="NDD63" i="1"/>
  <c r="NDE63" i="1"/>
  <c r="NDF63" i="1"/>
  <c r="NDG63" i="1"/>
  <c r="NDH63" i="1"/>
  <c r="NDI63" i="1"/>
  <c r="NDJ63" i="1"/>
  <c r="NDK63" i="1"/>
  <c r="NDL63" i="1"/>
  <c r="NDM63" i="1"/>
  <c r="NDN63" i="1"/>
  <c r="NDO63" i="1"/>
  <c r="NDP63" i="1"/>
  <c r="NDQ63" i="1"/>
  <c r="NDR63" i="1"/>
  <c r="NDS63" i="1"/>
  <c r="NDT63" i="1"/>
  <c r="NDU63" i="1"/>
  <c r="NDV63" i="1"/>
  <c r="NDW63" i="1"/>
  <c r="NDX63" i="1"/>
  <c r="NDY63" i="1"/>
  <c r="NDZ63" i="1"/>
  <c r="NEA63" i="1"/>
  <c r="NEB63" i="1"/>
  <c r="NEC63" i="1"/>
  <c r="NED63" i="1"/>
  <c r="NEE63" i="1"/>
  <c r="NEF63" i="1"/>
  <c r="NEG63" i="1"/>
  <c r="NEH63" i="1"/>
  <c r="NEI63" i="1"/>
  <c r="NEJ63" i="1"/>
  <c r="NEK63" i="1"/>
  <c r="NEL63" i="1"/>
  <c r="NEM63" i="1"/>
  <c r="NEN63" i="1"/>
  <c r="NEO63" i="1"/>
  <c r="NEP63" i="1"/>
  <c r="NEQ63" i="1"/>
  <c r="NER63" i="1"/>
  <c r="NES63" i="1"/>
  <c r="NET63" i="1"/>
  <c r="NEU63" i="1"/>
  <c r="NEV63" i="1"/>
  <c r="NEW63" i="1"/>
  <c r="NEX63" i="1"/>
  <c r="NEY63" i="1"/>
  <c r="NEZ63" i="1"/>
  <c r="NFA63" i="1"/>
  <c r="NFB63" i="1"/>
  <c r="NFC63" i="1"/>
  <c r="NFD63" i="1"/>
  <c r="NFE63" i="1"/>
  <c r="NFF63" i="1"/>
  <c r="NFG63" i="1"/>
  <c r="NFH63" i="1"/>
  <c r="NFI63" i="1"/>
  <c r="NFJ63" i="1"/>
  <c r="NFK63" i="1"/>
  <c r="NFL63" i="1"/>
  <c r="NFM63" i="1"/>
  <c r="NFN63" i="1"/>
  <c r="NFO63" i="1"/>
  <c r="NFP63" i="1"/>
  <c r="NFQ63" i="1"/>
  <c r="NFR63" i="1"/>
  <c r="NFS63" i="1"/>
  <c r="NFT63" i="1"/>
  <c r="NFU63" i="1"/>
  <c r="NFV63" i="1"/>
  <c r="NFW63" i="1"/>
  <c r="NFX63" i="1"/>
  <c r="NFY63" i="1"/>
  <c r="NFZ63" i="1"/>
  <c r="NGA63" i="1"/>
  <c r="NGB63" i="1"/>
  <c r="NGC63" i="1"/>
  <c r="NGD63" i="1"/>
  <c r="NGE63" i="1"/>
  <c r="NGF63" i="1"/>
  <c r="NGG63" i="1"/>
  <c r="NGH63" i="1"/>
  <c r="NGI63" i="1"/>
  <c r="NGJ63" i="1"/>
  <c r="NGK63" i="1"/>
  <c r="NGL63" i="1"/>
  <c r="NGM63" i="1"/>
  <c r="NGN63" i="1"/>
  <c r="NGO63" i="1"/>
  <c r="NGP63" i="1"/>
  <c r="NGQ63" i="1"/>
  <c r="NGR63" i="1"/>
  <c r="NGS63" i="1"/>
  <c r="NGT63" i="1"/>
  <c r="NGU63" i="1"/>
  <c r="NGV63" i="1"/>
  <c r="NGW63" i="1"/>
  <c r="NGX63" i="1"/>
  <c r="NGY63" i="1"/>
  <c r="NGZ63" i="1"/>
  <c r="NHA63" i="1"/>
  <c r="NHB63" i="1"/>
  <c r="NHC63" i="1"/>
  <c r="NHD63" i="1"/>
  <c r="NHE63" i="1"/>
  <c r="NHF63" i="1"/>
  <c r="NHG63" i="1"/>
  <c r="NHH63" i="1"/>
  <c r="NHI63" i="1"/>
  <c r="NHJ63" i="1"/>
  <c r="NHK63" i="1"/>
  <c r="NHL63" i="1"/>
  <c r="NHM63" i="1"/>
  <c r="NHN63" i="1"/>
  <c r="NHO63" i="1"/>
  <c r="NHP63" i="1"/>
  <c r="NHQ63" i="1"/>
  <c r="NHR63" i="1"/>
  <c r="NHS63" i="1"/>
  <c r="NHT63" i="1"/>
  <c r="NHU63" i="1"/>
  <c r="NHV63" i="1"/>
  <c r="NHW63" i="1"/>
  <c r="NHX63" i="1"/>
  <c r="NHY63" i="1"/>
  <c r="NHZ63" i="1"/>
  <c r="NIA63" i="1"/>
  <c r="NIB63" i="1"/>
  <c r="NIC63" i="1"/>
  <c r="NID63" i="1"/>
  <c r="NIE63" i="1"/>
  <c r="NIF63" i="1"/>
  <c r="NIG63" i="1"/>
  <c r="NIH63" i="1"/>
  <c r="NII63" i="1"/>
  <c r="NIJ63" i="1"/>
  <c r="NIK63" i="1"/>
  <c r="NIL63" i="1"/>
  <c r="NIM63" i="1"/>
  <c r="NIN63" i="1"/>
  <c r="NIO63" i="1"/>
  <c r="NIP63" i="1"/>
  <c r="NIQ63" i="1"/>
  <c r="NIR63" i="1"/>
  <c r="NIS63" i="1"/>
  <c r="NIT63" i="1"/>
  <c r="NIU63" i="1"/>
  <c r="NIV63" i="1"/>
  <c r="NIW63" i="1"/>
  <c r="NIX63" i="1"/>
  <c r="NIY63" i="1"/>
  <c r="NIZ63" i="1"/>
  <c r="NJA63" i="1"/>
  <c r="NJB63" i="1"/>
  <c r="NJC63" i="1"/>
  <c r="NJD63" i="1"/>
  <c r="NJE63" i="1"/>
  <c r="NJF63" i="1"/>
  <c r="NJG63" i="1"/>
  <c r="NJH63" i="1"/>
  <c r="NJI63" i="1"/>
  <c r="NJJ63" i="1"/>
  <c r="NJK63" i="1"/>
  <c r="NJL63" i="1"/>
  <c r="NJM63" i="1"/>
  <c r="NJN63" i="1"/>
  <c r="NJO63" i="1"/>
  <c r="NJP63" i="1"/>
  <c r="NJQ63" i="1"/>
  <c r="NJR63" i="1"/>
  <c r="NJS63" i="1"/>
  <c r="NJT63" i="1"/>
  <c r="NJU63" i="1"/>
  <c r="NJV63" i="1"/>
  <c r="NJW63" i="1"/>
  <c r="NJX63" i="1"/>
  <c r="NJY63" i="1"/>
  <c r="NJZ63" i="1"/>
  <c r="NKA63" i="1"/>
  <c r="NKB63" i="1"/>
  <c r="NKC63" i="1"/>
  <c r="NKD63" i="1"/>
  <c r="NKE63" i="1"/>
  <c r="NKF63" i="1"/>
  <c r="NKG63" i="1"/>
  <c r="NKH63" i="1"/>
  <c r="NKI63" i="1"/>
  <c r="NKJ63" i="1"/>
  <c r="NKK63" i="1"/>
  <c r="NKL63" i="1"/>
  <c r="NKM63" i="1"/>
  <c r="NKN63" i="1"/>
  <c r="NKO63" i="1"/>
  <c r="NKP63" i="1"/>
  <c r="NKQ63" i="1"/>
  <c r="NKR63" i="1"/>
  <c r="NKS63" i="1"/>
  <c r="NKT63" i="1"/>
  <c r="NKU63" i="1"/>
  <c r="NKV63" i="1"/>
  <c r="NKW63" i="1"/>
  <c r="NKX63" i="1"/>
  <c r="NKY63" i="1"/>
  <c r="NKZ63" i="1"/>
  <c r="NLA63" i="1"/>
  <c r="NLB63" i="1"/>
  <c r="NLC63" i="1"/>
  <c r="NLD63" i="1"/>
  <c r="NLE63" i="1"/>
  <c r="NLF63" i="1"/>
  <c r="NLG63" i="1"/>
  <c r="NLH63" i="1"/>
  <c r="NLI63" i="1"/>
  <c r="NLJ63" i="1"/>
  <c r="NLK63" i="1"/>
  <c r="NLL63" i="1"/>
  <c r="NLM63" i="1"/>
  <c r="NLN63" i="1"/>
  <c r="NLO63" i="1"/>
  <c r="NLP63" i="1"/>
  <c r="NLQ63" i="1"/>
  <c r="NLR63" i="1"/>
  <c r="NLS63" i="1"/>
  <c r="NLT63" i="1"/>
  <c r="NLU63" i="1"/>
  <c r="NLV63" i="1"/>
  <c r="NLW63" i="1"/>
  <c r="NLX63" i="1"/>
  <c r="NLY63" i="1"/>
  <c r="NLZ63" i="1"/>
  <c r="NMA63" i="1"/>
  <c r="NMB63" i="1"/>
  <c r="NMC63" i="1"/>
  <c r="NMD63" i="1"/>
  <c r="NME63" i="1"/>
  <c r="NMF63" i="1"/>
  <c r="NMG63" i="1"/>
  <c r="NMH63" i="1"/>
  <c r="NMI63" i="1"/>
  <c r="NMJ63" i="1"/>
  <c r="NMK63" i="1"/>
  <c r="NML63" i="1"/>
  <c r="NMM63" i="1"/>
  <c r="NMN63" i="1"/>
  <c r="NMO63" i="1"/>
  <c r="NMP63" i="1"/>
  <c r="NMQ63" i="1"/>
  <c r="NMR63" i="1"/>
  <c r="NMS63" i="1"/>
  <c r="NMT63" i="1"/>
  <c r="NMU63" i="1"/>
  <c r="NMV63" i="1"/>
  <c r="NMW63" i="1"/>
  <c r="NMX63" i="1"/>
  <c r="NMY63" i="1"/>
  <c r="NMZ63" i="1"/>
  <c r="NNA63" i="1"/>
  <c r="NNB63" i="1"/>
  <c r="NNC63" i="1"/>
  <c r="NND63" i="1"/>
  <c r="NNE63" i="1"/>
  <c r="NNF63" i="1"/>
  <c r="NNG63" i="1"/>
  <c r="NNH63" i="1"/>
  <c r="NNI63" i="1"/>
  <c r="NNJ63" i="1"/>
  <c r="NNK63" i="1"/>
  <c r="NNL63" i="1"/>
  <c r="NNM63" i="1"/>
  <c r="NNN63" i="1"/>
  <c r="NNO63" i="1"/>
  <c r="NNP63" i="1"/>
  <c r="NNQ63" i="1"/>
  <c r="NNR63" i="1"/>
  <c r="NNS63" i="1"/>
  <c r="NNT63" i="1"/>
  <c r="NNU63" i="1"/>
  <c r="NNV63" i="1"/>
  <c r="NNW63" i="1"/>
  <c r="NNX63" i="1"/>
  <c r="NNY63" i="1"/>
  <c r="NNZ63" i="1"/>
  <c r="NOA63" i="1"/>
  <c r="NOB63" i="1"/>
  <c r="NOC63" i="1"/>
  <c r="NOD63" i="1"/>
  <c r="NOE63" i="1"/>
  <c r="NOF63" i="1"/>
  <c r="NOG63" i="1"/>
  <c r="NOH63" i="1"/>
  <c r="NOI63" i="1"/>
  <c r="NOJ63" i="1"/>
  <c r="NOK63" i="1"/>
  <c r="NOL63" i="1"/>
  <c r="NOM63" i="1"/>
  <c r="NON63" i="1"/>
  <c r="NOO63" i="1"/>
  <c r="NOP63" i="1"/>
  <c r="NOQ63" i="1"/>
  <c r="NOR63" i="1"/>
  <c r="NOS63" i="1"/>
  <c r="NOT63" i="1"/>
  <c r="NOU63" i="1"/>
  <c r="NOV63" i="1"/>
  <c r="NOW63" i="1"/>
  <c r="NOX63" i="1"/>
  <c r="NOY63" i="1"/>
  <c r="NOZ63" i="1"/>
  <c r="NPA63" i="1"/>
  <c r="NPB63" i="1"/>
  <c r="NPC63" i="1"/>
  <c r="NPD63" i="1"/>
  <c r="NPE63" i="1"/>
  <c r="NPF63" i="1"/>
  <c r="NPG63" i="1"/>
  <c r="NPH63" i="1"/>
  <c r="NPI63" i="1"/>
  <c r="NPJ63" i="1"/>
  <c r="NPK63" i="1"/>
  <c r="NPL63" i="1"/>
  <c r="NPM63" i="1"/>
  <c r="NPN63" i="1"/>
  <c r="NPO63" i="1"/>
  <c r="NPP63" i="1"/>
  <c r="NPQ63" i="1"/>
  <c r="NPR63" i="1"/>
  <c r="NPS63" i="1"/>
  <c r="NPT63" i="1"/>
  <c r="NPU63" i="1"/>
  <c r="NPV63" i="1"/>
  <c r="NPW63" i="1"/>
  <c r="NPX63" i="1"/>
  <c r="NPY63" i="1"/>
  <c r="NPZ63" i="1"/>
  <c r="NQA63" i="1"/>
  <c r="NQB63" i="1"/>
  <c r="NQC63" i="1"/>
  <c r="NQD63" i="1"/>
  <c r="NQE63" i="1"/>
  <c r="NQF63" i="1"/>
  <c r="NQG63" i="1"/>
  <c r="NQH63" i="1"/>
  <c r="NQI63" i="1"/>
  <c r="NQJ63" i="1"/>
  <c r="NQK63" i="1"/>
  <c r="NQL63" i="1"/>
  <c r="NQM63" i="1"/>
  <c r="NQN63" i="1"/>
  <c r="NQO63" i="1"/>
  <c r="NQP63" i="1"/>
  <c r="NQQ63" i="1"/>
  <c r="NQR63" i="1"/>
  <c r="NQS63" i="1"/>
  <c r="NQT63" i="1"/>
  <c r="NQU63" i="1"/>
  <c r="NQV63" i="1"/>
  <c r="NQW63" i="1"/>
  <c r="NQX63" i="1"/>
  <c r="NQY63" i="1"/>
  <c r="NQZ63" i="1"/>
  <c r="NRA63" i="1"/>
  <c r="NRB63" i="1"/>
  <c r="NRC63" i="1"/>
  <c r="NRD63" i="1"/>
  <c r="NRE63" i="1"/>
  <c r="NRF63" i="1"/>
  <c r="NRG63" i="1"/>
  <c r="NRH63" i="1"/>
  <c r="NRI63" i="1"/>
  <c r="NRJ63" i="1"/>
  <c r="NRK63" i="1"/>
  <c r="NRL63" i="1"/>
  <c r="NRM63" i="1"/>
  <c r="NRN63" i="1"/>
  <c r="NRO63" i="1"/>
  <c r="NRP63" i="1"/>
  <c r="NRQ63" i="1"/>
  <c r="NRR63" i="1"/>
  <c r="NRS63" i="1"/>
  <c r="NRT63" i="1"/>
  <c r="NRU63" i="1"/>
  <c r="NRV63" i="1"/>
  <c r="NRW63" i="1"/>
  <c r="NRX63" i="1"/>
  <c r="NRY63" i="1"/>
  <c r="NRZ63" i="1"/>
  <c r="NSA63" i="1"/>
  <c r="NSB63" i="1"/>
  <c r="NSC63" i="1"/>
  <c r="NSD63" i="1"/>
  <c r="NSE63" i="1"/>
  <c r="NSF63" i="1"/>
  <c r="NSG63" i="1"/>
  <c r="NSH63" i="1"/>
  <c r="NSI63" i="1"/>
  <c r="NSJ63" i="1"/>
  <c r="NSK63" i="1"/>
  <c r="NSL63" i="1"/>
  <c r="NSM63" i="1"/>
  <c r="NSN63" i="1"/>
  <c r="NSO63" i="1"/>
  <c r="NSP63" i="1"/>
  <c r="NSQ63" i="1"/>
  <c r="NSR63" i="1"/>
  <c r="NSS63" i="1"/>
  <c r="NST63" i="1"/>
  <c r="NSU63" i="1"/>
  <c r="NSV63" i="1"/>
  <c r="NSW63" i="1"/>
  <c r="NSX63" i="1"/>
  <c r="NSY63" i="1"/>
  <c r="NSZ63" i="1"/>
  <c r="NTA63" i="1"/>
  <c r="NTB63" i="1"/>
  <c r="NTC63" i="1"/>
  <c r="NTD63" i="1"/>
  <c r="NTE63" i="1"/>
  <c r="NTF63" i="1"/>
  <c r="NTG63" i="1"/>
  <c r="NTH63" i="1"/>
  <c r="NTI63" i="1"/>
  <c r="NTJ63" i="1"/>
  <c r="NTK63" i="1"/>
  <c r="NTL63" i="1"/>
  <c r="NTM63" i="1"/>
  <c r="NTN63" i="1"/>
  <c r="NTO63" i="1"/>
  <c r="NTP63" i="1"/>
  <c r="NTQ63" i="1"/>
  <c r="NTR63" i="1"/>
  <c r="NTS63" i="1"/>
  <c r="NTT63" i="1"/>
  <c r="NTU63" i="1"/>
  <c r="NTV63" i="1"/>
  <c r="NTW63" i="1"/>
  <c r="NTX63" i="1"/>
  <c r="NTY63" i="1"/>
  <c r="NTZ63" i="1"/>
  <c r="NUA63" i="1"/>
  <c r="NUB63" i="1"/>
  <c r="NUC63" i="1"/>
  <c r="NUD63" i="1"/>
  <c r="NUE63" i="1"/>
  <c r="NUF63" i="1"/>
  <c r="NUG63" i="1"/>
  <c r="NUH63" i="1"/>
  <c r="NUI63" i="1"/>
  <c r="NUJ63" i="1"/>
  <c r="NUK63" i="1"/>
  <c r="NUL63" i="1"/>
  <c r="NUM63" i="1"/>
  <c r="NUN63" i="1"/>
  <c r="NUO63" i="1"/>
  <c r="NUP63" i="1"/>
  <c r="NUQ63" i="1"/>
  <c r="NUR63" i="1"/>
  <c r="NUS63" i="1"/>
  <c r="NUT63" i="1"/>
  <c r="NUU63" i="1"/>
  <c r="NUV63" i="1"/>
  <c r="NUW63" i="1"/>
  <c r="NUX63" i="1"/>
  <c r="NUY63" i="1"/>
  <c r="NUZ63" i="1"/>
  <c r="NVA63" i="1"/>
  <c r="NVB63" i="1"/>
  <c r="NVC63" i="1"/>
  <c r="NVD63" i="1"/>
  <c r="NVE63" i="1"/>
  <c r="NVF63" i="1"/>
  <c r="NVG63" i="1"/>
  <c r="NVH63" i="1"/>
  <c r="NVI63" i="1"/>
  <c r="NVJ63" i="1"/>
  <c r="NVK63" i="1"/>
  <c r="NVL63" i="1"/>
  <c r="NVM63" i="1"/>
  <c r="NVN63" i="1"/>
  <c r="NVO63" i="1"/>
  <c r="NVP63" i="1"/>
  <c r="NVQ63" i="1"/>
  <c r="NVR63" i="1"/>
  <c r="NVS63" i="1"/>
  <c r="NVT63" i="1"/>
  <c r="NVU63" i="1"/>
  <c r="NVV63" i="1"/>
  <c r="NVW63" i="1"/>
  <c r="NVX63" i="1"/>
  <c r="NVY63" i="1"/>
  <c r="NVZ63" i="1"/>
  <c r="NWA63" i="1"/>
  <c r="NWB63" i="1"/>
  <c r="NWC63" i="1"/>
  <c r="NWD63" i="1"/>
  <c r="NWE63" i="1"/>
  <c r="NWF63" i="1"/>
  <c r="NWG63" i="1"/>
  <c r="NWH63" i="1"/>
  <c r="NWI63" i="1"/>
  <c r="NWJ63" i="1"/>
  <c r="NWK63" i="1"/>
  <c r="NWL63" i="1"/>
  <c r="NWM63" i="1"/>
  <c r="NWN63" i="1"/>
  <c r="NWO63" i="1"/>
  <c r="NWP63" i="1"/>
  <c r="NWQ63" i="1"/>
  <c r="NWR63" i="1"/>
  <c r="NWS63" i="1"/>
  <c r="NWT63" i="1"/>
  <c r="NWU63" i="1"/>
  <c r="NWV63" i="1"/>
  <c r="NWW63" i="1"/>
  <c r="NWX63" i="1"/>
  <c r="NWY63" i="1"/>
  <c r="NWZ63" i="1"/>
  <c r="NXA63" i="1"/>
  <c r="NXB63" i="1"/>
  <c r="NXC63" i="1"/>
  <c r="NXD63" i="1"/>
  <c r="NXE63" i="1"/>
  <c r="NXF63" i="1"/>
  <c r="NXG63" i="1"/>
  <c r="NXH63" i="1"/>
  <c r="NXI63" i="1"/>
  <c r="NXJ63" i="1"/>
  <c r="NXK63" i="1"/>
  <c r="NXL63" i="1"/>
  <c r="NXM63" i="1"/>
  <c r="NXN63" i="1"/>
  <c r="NXO63" i="1"/>
  <c r="NXP63" i="1"/>
  <c r="NXQ63" i="1"/>
  <c r="NXR63" i="1"/>
  <c r="NXS63" i="1"/>
  <c r="NXT63" i="1"/>
  <c r="NXU63" i="1"/>
  <c r="NXV63" i="1"/>
  <c r="NXW63" i="1"/>
  <c r="NXX63" i="1"/>
  <c r="NXY63" i="1"/>
  <c r="NXZ63" i="1"/>
  <c r="NYA63" i="1"/>
  <c r="NYB63" i="1"/>
  <c r="NYC63" i="1"/>
  <c r="NYD63" i="1"/>
  <c r="NYE63" i="1"/>
  <c r="NYF63" i="1"/>
  <c r="NYG63" i="1"/>
  <c r="NYH63" i="1"/>
  <c r="NYI63" i="1"/>
  <c r="NYJ63" i="1"/>
  <c r="NYK63" i="1"/>
  <c r="NYL63" i="1"/>
  <c r="NYM63" i="1"/>
  <c r="NYN63" i="1"/>
  <c r="NYO63" i="1"/>
  <c r="NYP63" i="1"/>
  <c r="NYQ63" i="1"/>
  <c r="NYR63" i="1"/>
  <c r="NYS63" i="1"/>
  <c r="NYT63" i="1"/>
  <c r="NYU63" i="1"/>
  <c r="NYV63" i="1"/>
  <c r="NYW63" i="1"/>
  <c r="NYX63" i="1"/>
  <c r="NYY63" i="1"/>
  <c r="NYZ63" i="1"/>
  <c r="NZA63" i="1"/>
  <c r="NZB63" i="1"/>
  <c r="NZC63" i="1"/>
  <c r="NZD63" i="1"/>
  <c r="NZE63" i="1"/>
  <c r="NZF63" i="1"/>
  <c r="NZG63" i="1"/>
  <c r="NZH63" i="1"/>
  <c r="NZI63" i="1"/>
  <c r="NZJ63" i="1"/>
  <c r="NZK63" i="1"/>
  <c r="NZL63" i="1"/>
  <c r="NZM63" i="1"/>
  <c r="NZN63" i="1"/>
  <c r="NZO63" i="1"/>
  <c r="NZP63" i="1"/>
  <c r="NZQ63" i="1"/>
  <c r="NZR63" i="1"/>
  <c r="NZS63" i="1"/>
  <c r="NZT63" i="1"/>
  <c r="NZU63" i="1"/>
  <c r="NZV63" i="1"/>
  <c r="NZW63" i="1"/>
  <c r="NZX63" i="1"/>
  <c r="NZY63" i="1"/>
  <c r="NZZ63" i="1"/>
  <c r="OAA63" i="1"/>
  <c r="OAB63" i="1"/>
  <c r="OAC63" i="1"/>
  <c r="OAD63" i="1"/>
  <c r="OAE63" i="1"/>
  <c r="OAF63" i="1"/>
  <c r="OAG63" i="1"/>
  <c r="OAH63" i="1"/>
  <c r="OAI63" i="1"/>
  <c r="OAJ63" i="1"/>
  <c r="OAK63" i="1"/>
  <c r="OAL63" i="1"/>
  <c r="OAM63" i="1"/>
  <c r="OAN63" i="1"/>
  <c r="OAO63" i="1"/>
  <c r="OAP63" i="1"/>
  <c r="OAQ63" i="1"/>
  <c r="OAR63" i="1"/>
  <c r="OAS63" i="1"/>
  <c r="OAT63" i="1"/>
  <c r="OAU63" i="1"/>
  <c r="OAV63" i="1"/>
  <c r="OAW63" i="1"/>
  <c r="OAX63" i="1"/>
  <c r="OAY63" i="1"/>
  <c r="OAZ63" i="1"/>
  <c r="OBA63" i="1"/>
  <c r="OBB63" i="1"/>
  <c r="OBC63" i="1"/>
  <c r="OBD63" i="1"/>
  <c r="OBE63" i="1"/>
  <c r="OBF63" i="1"/>
  <c r="OBG63" i="1"/>
  <c r="OBH63" i="1"/>
  <c r="OBI63" i="1"/>
  <c r="OBJ63" i="1"/>
  <c r="OBK63" i="1"/>
  <c r="OBL63" i="1"/>
  <c r="OBM63" i="1"/>
  <c r="OBN63" i="1"/>
  <c r="OBO63" i="1"/>
  <c r="OBP63" i="1"/>
  <c r="OBQ63" i="1"/>
  <c r="OBR63" i="1"/>
  <c r="OBS63" i="1"/>
  <c r="OBT63" i="1"/>
  <c r="OBU63" i="1"/>
  <c r="OBV63" i="1"/>
  <c r="OBW63" i="1"/>
  <c r="OBX63" i="1"/>
  <c r="OBY63" i="1"/>
  <c r="OBZ63" i="1"/>
  <c r="OCA63" i="1"/>
  <c r="OCB63" i="1"/>
  <c r="OCC63" i="1"/>
  <c r="OCD63" i="1"/>
  <c r="OCE63" i="1"/>
  <c r="OCF63" i="1"/>
  <c r="OCG63" i="1"/>
  <c r="OCH63" i="1"/>
  <c r="OCI63" i="1"/>
  <c r="OCJ63" i="1"/>
  <c r="OCK63" i="1"/>
  <c r="OCL63" i="1"/>
  <c r="OCM63" i="1"/>
  <c r="OCN63" i="1"/>
  <c r="OCO63" i="1"/>
  <c r="OCP63" i="1"/>
  <c r="OCQ63" i="1"/>
  <c r="OCR63" i="1"/>
  <c r="OCS63" i="1"/>
  <c r="OCT63" i="1"/>
  <c r="OCU63" i="1"/>
  <c r="OCV63" i="1"/>
  <c r="OCW63" i="1"/>
  <c r="OCX63" i="1"/>
  <c r="OCY63" i="1"/>
  <c r="OCZ63" i="1"/>
  <c r="ODA63" i="1"/>
  <c r="ODB63" i="1"/>
  <c r="ODC63" i="1"/>
  <c r="ODD63" i="1"/>
  <c r="ODE63" i="1"/>
  <c r="ODF63" i="1"/>
  <c r="ODG63" i="1"/>
  <c r="ODH63" i="1"/>
  <c r="ODI63" i="1"/>
  <c r="ODJ63" i="1"/>
  <c r="ODK63" i="1"/>
  <c r="ODL63" i="1"/>
  <c r="ODM63" i="1"/>
  <c r="ODN63" i="1"/>
  <c r="ODO63" i="1"/>
  <c r="ODP63" i="1"/>
  <c r="ODQ63" i="1"/>
  <c r="ODR63" i="1"/>
  <c r="ODS63" i="1"/>
  <c r="ODT63" i="1"/>
  <c r="ODU63" i="1"/>
  <c r="ODV63" i="1"/>
  <c r="ODW63" i="1"/>
  <c r="ODX63" i="1"/>
  <c r="ODY63" i="1"/>
  <c r="ODZ63" i="1"/>
  <c r="OEA63" i="1"/>
  <c r="OEB63" i="1"/>
  <c r="OEC63" i="1"/>
  <c r="OED63" i="1"/>
  <c r="OEE63" i="1"/>
  <c r="OEF63" i="1"/>
  <c r="OEG63" i="1"/>
  <c r="OEH63" i="1"/>
  <c r="OEI63" i="1"/>
  <c r="OEJ63" i="1"/>
  <c r="OEK63" i="1"/>
  <c r="OEL63" i="1"/>
  <c r="OEM63" i="1"/>
  <c r="OEN63" i="1"/>
  <c r="OEO63" i="1"/>
  <c r="OEP63" i="1"/>
  <c r="OEQ63" i="1"/>
  <c r="OER63" i="1"/>
  <c r="OES63" i="1"/>
  <c r="OET63" i="1"/>
  <c r="OEU63" i="1"/>
  <c r="OEV63" i="1"/>
  <c r="OEW63" i="1"/>
  <c r="OEX63" i="1"/>
  <c r="OEY63" i="1"/>
  <c r="OEZ63" i="1"/>
  <c r="OFA63" i="1"/>
  <c r="OFB63" i="1"/>
  <c r="OFC63" i="1"/>
  <c r="OFD63" i="1"/>
  <c r="OFE63" i="1"/>
  <c r="OFF63" i="1"/>
  <c r="OFG63" i="1"/>
  <c r="OFH63" i="1"/>
  <c r="OFI63" i="1"/>
  <c r="OFJ63" i="1"/>
  <c r="OFK63" i="1"/>
  <c r="OFL63" i="1"/>
  <c r="OFM63" i="1"/>
  <c r="OFN63" i="1"/>
  <c r="OFO63" i="1"/>
  <c r="OFP63" i="1"/>
  <c r="OFQ63" i="1"/>
  <c r="OFR63" i="1"/>
  <c r="OFS63" i="1"/>
  <c r="OFT63" i="1"/>
  <c r="OFU63" i="1"/>
  <c r="OFV63" i="1"/>
  <c r="OFW63" i="1"/>
  <c r="OFX63" i="1"/>
  <c r="OFY63" i="1"/>
  <c r="OFZ63" i="1"/>
  <c r="OGA63" i="1"/>
  <c r="OGB63" i="1"/>
  <c r="OGC63" i="1"/>
  <c r="OGD63" i="1"/>
  <c r="OGE63" i="1"/>
  <c r="OGF63" i="1"/>
  <c r="OGG63" i="1"/>
  <c r="OGH63" i="1"/>
  <c r="OGI63" i="1"/>
  <c r="OGJ63" i="1"/>
  <c r="OGK63" i="1"/>
  <c r="OGL63" i="1"/>
  <c r="OGM63" i="1"/>
  <c r="OGN63" i="1"/>
  <c r="OGO63" i="1"/>
  <c r="OGP63" i="1"/>
  <c r="OGQ63" i="1"/>
  <c r="OGR63" i="1"/>
  <c r="OGS63" i="1"/>
  <c r="OGT63" i="1"/>
  <c r="OGU63" i="1"/>
  <c r="OGV63" i="1"/>
  <c r="OGW63" i="1"/>
  <c r="OGX63" i="1"/>
  <c r="OGY63" i="1"/>
  <c r="OGZ63" i="1"/>
  <c r="OHA63" i="1"/>
  <c r="OHB63" i="1"/>
  <c r="OHC63" i="1"/>
  <c r="OHD63" i="1"/>
  <c r="OHE63" i="1"/>
  <c r="OHF63" i="1"/>
  <c r="OHG63" i="1"/>
  <c r="OHH63" i="1"/>
  <c r="OHI63" i="1"/>
  <c r="OHJ63" i="1"/>
  <c r="OHK63" i="1"/>
  <c r="OHL63" i="1"/>
  <c r="OHM63" i="1"/>
  <c r="OHN63" i="1"/>
  <c r="OHO63" i="1"/>
  <c r="OHP63" i="1"/>
  <c r="OHQ63" i="1"/>
  <c r="OHR63" i="1"/>
  <c r="OHS63" i="1"/>
  <c r="OHT63" i="1"/>
  <c r="OHU63" i="1"/>
  <c r="OHV63" i="1"/>
  <c r="OHW63" i="1"/>
  <c r="OHX63" i="1"/>
  <c r="OHY63" i="1"/>
  <c r="OHZ63" i="1"/>
  <c r="OIA63" i="1"/>
  <c r="OIB63" i="1"/>
  <c r="OIC63" i="1"/>
  <c r="OID63" i="1"/>
  <c r="OIE63" i="1"/>
  <c r="OIF63" i="1"/>
  <c r="OIG63" i="1"/>
  <c r="OIH63" i="1"/>
  <c r="OII63" i="1"/>
  <c r="OIJ63" i="1"/>
  <c r="OIK63" i="1"/>
  <c r="OIL63" i="1"/>
  <c r="OIM63" i="1"/>
  <c r="OIN63" i="1"/>
  <c r="OIO63" i="1"/>
  <c r="OIP63" i="1"/>
  <c r="OIQ63" i="1"/>
  <c r="OIR63" i="1"/>
  <c r="OIS63" i="1"/>
  <c r="OIT63" i="1"/>
  <c r="OIU63" i="1"/>
  <c r="OIV63" i="1"/>
  <c r="OIW63" i="1"/>
  <c r="OIX63" i="1"/>
  <c r="OIY63" i="1"/>
  <c r="OIZ63" i="1"/>
  <c r="OJA63" i="1"/>
  <c r="OJB63" i="1"/>
  <c r="OJC63" i="1"/>
  <c r="OJD63" i="1"/>
  <c r="OJE63" i="1"/>
  <c r="OJF63" i="1"/>
  <c r="OJG63" i="1"/>
  <c r="OJH63" i="1"/>
  <c r="OJI63" i="1"/>
  <c r="OJJ63" i="1"/>
  <c r="OJK63" i="1"/>
  <c r="OJL63" i="1"/>
  <c r="OJM63" i="1"/>
  <c r="OJN63" i="1"/>
  <c r="OJO63" i="1"/>
  <c r="OJP63" i="1"/>
  <c r="OJQ63" i="1"/>
  <c r="OJR63" i="1"/>
  <c r="OJS63" i="1"/>
  <c r="OJT63" i="1"/>
  <c r="OJU63" i="1"/>
  <c r="OJV63" i="1"/>
  <c r="OJW63" i="1"/>
  <c r="OJX63" i="1"/>
  <c r="OJY63" i="1"/>
  <c r="OJZ63" i="1"/>
  <c r="OKA63" i="1"/>
  <c r="OKB63" i="1"/>
  <c r="OKC63" i="1"/>
  <c r="OKD63" i="1"/>
  <c r="OKE63" i="1"/>
  <c r="OKF63" i="1"/>
  <c r="OKG63" i="1"/>
  <c r="OKH63" i="1"/>
  <c r="OKI63" i="1"/>
  <c r="OKJ63" i="1"/>
  <c r="OKK63" i="1"/>
  <c r="OKL63" i="1"/>
  <c r="OKM63" i="1"/>
  <c r="OKN63" i="1"/>
  <c r="OKO63" i="1"/>
  <c r="OKP63" i="1"/>
  <c r="OKQ63" i="1"/>
  <c r="OKR63" i="1"/>
  <c r="OKS63" i="1"/>
  <c r="OKT63" i="1"/>
  <c r="OKU63" i="1"/>
  <c r="OKV63" i="1"/>
  <c r="OKW63" i="1"/>
  <c r="OKX63" i="1"/>
  <c r="OKY63" i="1"/>
  <c r="OKZ63" i="1"/>
  <c r="OLA63" i="1"/>
  <c r="OLB63" i="1"/>
  <c r="OLC63" i="1"/>
  <c r="OLD63" i="1"/>
  <c r="OLE63" i="1"/>
  <c r="OLF63" i="1"/>
  <c r="OLG63" i="1"/>
  <c r="OLH63" i="1"/>
  <c r="OLI63" i="1"/>
  <c r="OLJ63" i="1"/>
  <c r="OLK63" i="1"/>
  <c r="OLL63" i="1"/>
  <c r="OLM63" i="1"/>
  <c r="OLN63" i="1"/>
  <c r="OLO63" i="1"/>
  <c r="OLP63" i="1"/>
  <c r="OLQ63" i="1"/>
  <c r="OLR63" i="1"/>
  <c r="OLS63" i="1"/>
  <c r="OLT63" i="1"/>
  <c r="OLU63" i="1"/>
  <c r="OLV63" i="1"/>
  <c r="OLW63" i="1"/>
  <c r="OLX63" i="1"/>
  <c r="OLY63" i="1"/>
  <c r="OLZ63" i="1"/>
  <c r="OMA63" i="1"/>
  <c r="OMB63" i="1"/>
  <c r="OMC63" i="1"/>
  <c r="OMD63" i="1"/>
  <c r="OME63" i="1"/>
  <c r="OMF63" i="1"/>
  <c r="OMG63" i="1"/>
  <c r="OMH63" i="1"/>
  <c r="OMI63" i="1"/>
  <c r="OMJ63" i="1"/>
  <c r="OMK63" i="1"/>
  <c r="OML63" i="1"/>
  <c r="OMM63" i="1"/>
  <c r="OMN63" i="1"/>
  <c r="OMO63" i="1"/>
  <c r="OMP63" i="1"/>
  <c r="OMQ63" i="1"/>
  <c r="OMR63" i="1"/>
  <c r="OMS63" i="1"/>
  <c r="OMT63" i="1"/>
  <c r="OMU63" i="1"/>
  <c r="OMV63" i="1"/>
  <c r="OMW63" i="1"/>
  <c r="OMX63" i="1"/>
  <c r="OMY63" i="1"/>
  <c r="OMZ63" i="1"/>
  <c r="ONA63" i="1"/>
  <c r="ONB63" i="1"/>
  <c r="ONC63" i="1"/>
  <c r="OND63" i="1"/>
  <c r="ONE63" i="1"/>
  <c r="ONF63" i="1"/>
  <c r="ONG63" i="1"/>
  <c r="ONH63" i="1"/>
  <c r="ONI63" i="1"/>
  <c r="ONJ63" i="1"/>
  <c r="ONK63" i="1"/>
  <c r="ONL63" i="1"/>
  <c r="ONM63" i="1"/>
  <c r="ONN63" i="1"/>
  <c r="ONO63" i="1"/>
  <c r="ONP63" i="1"/>
  <c r="ONQ63" i="1"/>
  <c r="ONR63" i="1"/>
  <c r="ONS63" i="1"/>
  <c r="ONT63" i="1"/>
  <c r="ONU63" i="1"/>
  <c r="ONV63" i="1"/>
  <c r="ONW63" i="1"/>
  <c r="ONX63" i="1"/>
  <c r="ONY63" i="1"/>
  <c r="ONZ63" i="1"/>
  <c r="OOA63" i="1"/>
  <c r="OOB63" i="1"/>
  <c r="OOC63" i="1"/>
  <c r="OOD63" i="1"/>
  <c r="OOE63" i="1"/>
  <c r="OOF63" i="1"/>
  <c r="OOG63" i="1"/>
  <c r="OOH63" i="1"/>
  <c r="OOI63" i="1"/>
  <c r="OOJ63" i="1"/>
  <c r="OOK63" i="1"/>
  <c r="OOL63" i="1"/>
  <c r="OOM63" i="1"/>
  <c r="OON63" i="1"/>
  <c r="OOO63" i="1"/>
  <c r="OOP63" i="1"/>
  <c r="OOQ63" i="1"/>
  <c r="OOR63" i="1"/>
  <c r="OOS63" i="1"/>
  <c r="OOT63" i="1"/>
  <c r="OOU63" i="1"/>
  <c r="OOV63" i="1"/>
  <c r="OOW63" i="1"/>
  <c r="OOX63" i="1"/>
  <c r="OOY63" i="1"/>
  <c r="OOZ63" i="1"/>
  <c r="OPA63" i="1"/>
  <c r="OPB63" i="1"/>
  <c r="OPC63" i="1"/>
  <c r="OPD63" i="1"/>
  <c r="OPE63" i="1"/>
  <c r="OPF63" i="1"/>
  <c r="OPG63" i="1"/>
  <c r="OPH63" i="1"/>
  <c r="OPI63" i="1"/>
  <c r="OPJ63" i="1"/>
  <c r="OPK63" i="1"/>
  <c r="OPL63" i="1"/>
  <c r="OPM63" i="1"/>
  <c r="OPN63" i="1"/>
  <c r="OPO63" i="1"/>
  <c r="OPP63" i="1"/>
  <c r="OPQ63" i="1"/>
  <c r="OPR63" i="1"/>
  <c r="OPS63" i="1"/>
  <c r="OPT63" i="1"/>
  <c r="OPU63" i="1"/>
  <c r="OPV63" i="1"/>
  <c r="OPW63" i="1"/>
  <c r="OPX63" i="1"/>
  <c r="OPY63" i="1"/>
  <c r="OPZ63" i="1"/>
  <c r="OQA63" i="1"/>
  <c r="OQB63" i="1"/>
  <c r="OQC63" i="1"/>
  <c r="OQD63" i="1"/>
  <c r="OQE63" i="1"/>
  <c r="OQF63" i="1"/>
  <c r="OQG63" i="1"/>
  <c r="OQH63" i="1"/>
  <c r="OQI63" i="1"/>
  <c r="OQJ63" i="1"/>
  <c r="OQK63" i="1"/>
  <c r="OQL63" i="1"/>
  <c r="OQM63" i="1"/>
  <c r="OQN63" i="1"/>
  <c r="OQO63" i="1"/>
  <c r="OQP63" i="1"/>
  <c r="OQQ63" i="1"/>
  <c r="OQR63" i="1"/>
  <c r="OQS63" i="1"/>
  <c r="OQT63" i="1"/>
  <c r="OQU63" i="1"/>
  <c r="OQV63" i="1"/>
  <c r="OQW63" i="1"/>
  <c r="OQX63" i="1"/>
  <c r="OQY63" i="1"/>
  <c r="OQZ63" i="1"/>
  <c r="ORA63" i="1"/>
  <c r="ORB63" i="1"/>
  <c r="ORC63" i="1"/>
  <c r="ORD63" i="1"/>
  <c r="ORE63" i="1"/>
  <c r="ORF63" i="1"/>
  <c r="ORG63" i="1"/>
  <c r="ORH63" i="1"/>
  <c r="ORI63" i="1"/>
  <c r="ORJ63" i="1"/>
  <c r="ORK63" i="1"/>
  <c r="ORL63" i="1"/>
  <c r="ORM63" i="1"/>
  <c r="ORN63" i="1"/>
  <c r="ORO63" i="1"/>
  <c r="ORP63" i="1"/>
  <c r="ORQ63" i="1"/>
  <c r="ORR63" i="1"/>
  <c r="ORS63" i="1"/>
  <c r="ORT63" i="1"/>
  <c r="ORU63" i="1"/>
  <c r="ORV63" i="1"/>
  <c r="ORW63" i="1"/>
  <c r="ORX63" i="1"/>
  <c r="ORY63" i="1"/>
  <c r="ORZ63" i="1"/>
  <c r="OSA63" i="1"/>
  <c r="OSB63" i="1"/>
  <c r="OSC63" i="1"/>
  <c r="OSD63" i="1"/>
  <c r="OSE63" i="1"/>
  <c r="OSF63" i="1"/>
  <c r="OSG63" i="1"/>
  <c r="OSH63" i="1"/>
  <c r="OSI63" i="1"/>
  <c r="OSJ63" i="1"/>
  <c r="OSK63" i="1"/>
  <c r="OSL63" i="1"/>
  <c r="OSM63" i="1"/>
  <c r="OSN63" i="1"/>
  <c r="OSO63" i="1"/>
  <c r="OSP63" i="1"/>
  <c r="OSQ63" i="1"/>
  <c r="OSR63" i="1"/>
  <c r="OSS63" i="1"/>
  <c r="OST63" i="1"/>
  <c r="OSU63" i="1"/>
  <c r="OSV63" i="1"/>
  <c r="OSW63" i="1"/>
  <c r="OSX63" i="1"/>
  <c r="OSY63" i="1"/>
  <c r="OSZ63" i="1"/>
  <c r="OTA63" i="1"/>
  <c r="OTB63" i="1"/>
  <c r="OTC63" i="1"/>
  <c r="OTD63" i="1"/>
  <c r="OTE63" i="1"/>
  <c r="OTF63" i="1"/>
  <c r="OTG63" i="1"/>
  <c r="OTH63" i="1"/>
  <c r="OTI63" i="1"/>
  <c r="OTJ63" i="1"/>
  <c r="OTK63" i="1"/>
  <c r="OTL63" i="1"/>
  <c r="OTM63" i="1"/>
  <c r="OTN63" i="1"/>
  <c r="OTO63" i="1"/>
  <c r="OTP63" i="1"/>
  <c r="OTQ63" i="1"/>
  <c r="OTR63" i="1"/>
  <c r="OTS63" i="1"/>
  <c r="OTT63" i="1"/>
  <c r="OTU63" i="1"/>
  <c r="OTV63" i="1"/>
  <c r="OTW63" i="1"/>
  <c r="OTX63" i="1"/>
  <c r="OTY63" i="1"/>
  <c r="OTZ63" i="1"/>
  <c r="OUA63" i="1"/>
  <c r="OUB63" i="1"/>
  <c r="OUC63" i="1"/>
  <c r="OUD63" i="1"/>
  <c r="OUE63" i="1"/>
  <c r="OUF63" i="1"/>
  <c r="OUG63" i="1"/>
  <c r="OUH63" i="1"/>
  <c r="OUI63" i="1"/>
  <c r="OUJ63" i="1"/>
  <c r="OUK63" i="1"/>
  <c r="OUL63" i="1"/>
  <c r="OUM63" i="1"/>
  <c r="OUN63" i="1"/>
  <c r="OUO63" i="1"/>
  <c r="OUP63" i="1"/>
  <c r="OUQ63" i="1"/>
  <c r="OUR63" i="1"/>
  <c r="OUS63" i="1"/>
  <c r="OUT63" i="1"/>
  <c r="OUU63" i="1"/>
  <c r="OUV63" i="1"/>
  <c r="OUW63" i="1"/>
  <c r="OUX63" i="1"/>
  <c r="OUY63" i="1"/>
  <c r="OUZ63" i="1"/>
  <c r="OVA63" i="1"/>
  <c r="OVB63" i="1"/>
  <c r="OVC63" i="1"/>
  <c r="OVD63" i="1"/>
  <c r="OVE63" i="1"/>
  <c r="OVF63" i="1"/>
  <c r="OVG63" i="1"/>
  <c r="OVH63" i="1"/>
  <c r="OVI63" i="1"/>
  <c r="OVJ63" i="1"/>
  <c r="OVK63" i="1"/>
  <c r="OVL63" i="1"/>
  <c r="OVM63" i="1"/>
  <c r="OVN63" i="1"/>
  <c r="OVO63" i="1"/>
  <c r="OVP63" i="1"/>
  <c r="OVQ63" i="1"/>
  <c r="OVR63" i="1"/>
  <c r="OVS63" i="1"/>
  <c r="OVT63" i="1"/>
  <c r="OVU63" i="1"/>
  <c r="OVV63" i="1"/>
  <c r="OVW63" i="1"/>
  <c r="OVX63" i="1"/>
  <c r="OVY63" i="1"/>
  <c r="OVZ63" i="1"/>
  <c r="OWA63" i="1"/>
  <c r="OWB63" i="1"/>
  <c r="OWC63" i="1"/>
  <c r="OWD63" i="1"/>
  <c r="OWE63" i="1"/>
  <c r="OWF63" i="1"/>
  <c r="OWG63" i="1"/>
  <c r="OWH63" i="1"/>
  <c r="OWI63" i="1"/>
  <c r="OWJ63" i="1"/>
  <c r="OWK63" i="1"/>
  <c r="OWL63" i="1"/>
  <c r="OWM63" i="1"/>
  <c r="OWN63" i="1"/>
  <c r="OWO63" i="1"/>
  <c r="OWP63" i="1"/>
  <c r="OWQ63" i="1"/>
  <c r="OWR63" i="1"/>
  <c r="OWS63" i="1"/>
  <c r="OWT63" i="1"/>
  <c r="OWU63" i="1"/>
  <c r="OWV63" i="1"/>
  <c r="OWW63" i="1"/>
  <c r="OWX63" i="1"/>
  <c r="OWY63" i="1"/>
  <c r="OWZ63" i="1"/>
  <c r="OXA63" i="1"/>
  <c r="OXB63" i="1"/>
  <c r="OXC63" i="1"/>
  <c r="OXD63" i="1"/>
  <c r="OXE63" i="1"/>
  <c r="OXF63" i="1"/>
  <c r="OXG63" i="1"/>
  <c r="OXH63" i="1"/>
  <c r="OXI63" i="1"/>
  <c r="OXJ63" i="1"/>
  <c r="OXK63" i="1"/>
  <c r="OXL63" i="1"/>
  <c r="OXM63" i="1"/>
  <c r="OXN63" i="1"/>
  <c r="OXO63" i="1"/>
  <c r="OXP63" i="1"/>
  <c r="OXQ63" i="1"/>
  <c r="OXR63" i="1"/>
  <c r="OXS63" i="1"/>
  <c r="OXT63" i="1"/>
  <c r="OXU63" i="1"/>
  <c r="OXV63" i="1"/>
  <c r="OXW63" i="1"/>
  <c r="OXX63" i="1"/>
  <c r="OXY63" i="1"/>
  <c r="OXZ63" i="1"/>
  <c r="OYA63" i="1"/>
  <c r="OYB63" i="1"/>
  <c r="OYC63" i="1"/>
  <c r="OYD63" i="1"/>
  <c r="OYE63" i="1"/>
  <c r="OYF63" i="1"/>
  <c r="OYG63" i="1"/>
  <c r="OYH63" i="1"/>
  <c r="OYI63" i="1"/>
  <c r="OYJ63" i="1"/>
  <c r="OYK63" i="1"/>
  <c r="OYL63" i="1"/>
  <c r="OYM63" i="1"/>
  <c r="OYN63" i="1"/>
  <c r="OYO63" i="1"/>
  <c r="OYP63" i="1"/>
  <c r="OYQ63" i="1"/>
  <c r="OYR63" i="1"/>
  <c r="OYS63" i="1"/>
  <c r="OYT63" i="1"/>
  <c r="OYU63" i="1"/>
  <c r="OYV63" i="1"/>
  <c r="OYW63" i="1"/>
  <c r="OYX63" i="1"/>
  <c r="OYY63" i="1"/>
  <c r="OYZ63" i="1"/>
  <c r="OZA63" i="1"/>
  <c r="OZB63" i="1"/>
  <c r="OZC63" i="1"/>
  <c r="OZD63" i="1"/>
  <c r="OZE63" i="1"/>
  <c r="OZF63" i="1"/>
  <c r="OZG63" i="1"/>
  <c r="OZH63" i="1"/>
  <c r="OZI63" i="1"/>
  <c r="OZJ63" i="1"/>
  <c r="OZK63" i="1"/>
  <c r="OZL63" i="1"/>
  <c r="OZM63" i="1"/>
  <c r="OZN63" i="1"/>
  <c r="OZO63" i="1"/>
  <c r="OZP63" i="1"/>
  <c r="OZQ63" i="1"/>
  <c r="OZR63" i="1"/>
  <c r="OZS63" i="1"/>
  <c r="OZT63" i="1"/>
  <c r="OZU63" i="1"/>
  <c r="OZV63" i="1"/>
  <c r="OZW63" i="1"/>
  <c r="OZX63" i="1"/>
  <c r="OZY63" i="1"/>
  <c r="OZZ63" i="1"/>
  <c r="PAA63" i="1"/>
  <c r="PAB63" i="1"/>
  <c r="PAC63" i="1"/>
  <c r="PAD63" i="1"/>
  <c r="PAE63" i="1"/>
  <c r="PAF63" i="1"/>
  <c r="PAG63" i="1"/>
  <c r="PAH63" i="1"/>
  <c r="PAI63" i="1"/>
  <c r="PAJ63" i="1"/>
  <c r="PAK63" i="1"/>
  <c r="PAL63" i="1"/>
  <c r="PAM63" i="1"/>
  <c r="PAN63" i="1"/>
  <c r="PAO63" i="1"/>
  <c r="PAP63" i="1"/>
  <c r="PAQ63" i="1"/>
  <c r="PAR63" i="1"/>
  <c r="PAS63" i="1"/>
  <c r="PAT63" i="1"/>
  <c r="PAU63" i="1"/>
  <c r="PAV63" i="1"/>
  <c r="PAW63" i="1"/>
  <c r="PAX63" i="1"/>
  <c r="PAY63" i="1"/>
  <c r="PAZ63" i="1"/>
  <c r="PBA63" i="1"/>
  <c r="PBB63" i="1"/>
  <c r="PBC63" i="1"/>
  <c r="PBD63" i="1"/>
  <c r="PBE63" i="1"/>
  <c r="PBF63" i="1"/>
  <c r="PBG63" i="1"/>
  <c r="PBH63" i="1"/>
  <c r="PBI63" i="1"/>
  <c r="PBJ63" i="1"/>
  <c r="PBK63" i="1"/>
  <c r="PBL63" i="1"/>
  <c r="PBM63" i="1"/>
  <c r="PBN63" i="1"/>
  <c r="PBO63" i="1"/>
  <c r="PBP63" i="1"/>
  <c r="PBQ63" i="1"/>
  <c r="PBR63" i="1"/>
  <c r="PBS63" i="1"/>
  <c r="PBT63" i="1"/>
  <c r="PBU63" i="1"/>
  <c r="PBV63" i="1"/>
  <c r="PBW63" i="1"/>
  <c r="PBX63" i="1"/>
  <c r="PBY63" i="1"/>
  <c r="PBZ63" i="1"/>
  <c r="PCA63" i="1"/>
  <c r="PCB63" i="1"/>
  <c r="PCC63" i="1"/>
  <c r="PCD63" i="1"/>
  <c r="PCE63" i="1"/>
  <c r="PCF63" i="1"/>
  <c r="PCG63" i="1"/>
  <c r="PCH63" i="1"/>
  <c r="PCI63" i="1"/>
  <c r="PCJ63" i="1"/>
  <c r="PCK63" i="1"/>
  <c r="PCL63" i="1"/>
  <c r="PCM63" i="1"/>
  <c r="PCN63" i="1"/>
  <c r="PCO63" i="1"/>
  <c r="PCP63" i="1"/>
  <c r="PCQ63" i="1"/>
  <c r="PCR63" i="1"/>
  <c r="PCS63" i="1"/>
  <c r="PCT63" i="1"/>
  <c r="PCU63" i="1"/>
  <c r="PCV63" i="1"/>
  <c r="PCW63" i="1"/>
  <c r="PCX63" i="1"/>
  <c r="PCY63" i="1"/>
  <c r="PCZ63" i="1"/>
  <c r="PDA63" i="1"/>
  <c r="PDB63" i="1"/>
  <c r="PDC63" i="1"/>
  <c r="PDD63" i="1"/>
  <c r="PDE63" i="1"/>
  <c r="PDF63" i="1"/>
  <c r="PDG63" i="1"/>
  <c r="PDH63" i="1"/>
  <c r="PDI63" i="1"/>
  <c r="PDJ63" i="1"/>
  <c r="PDK63" i="1"/>
  <c r="PDL63" i="1"/>
  <c r="PDM63" i="1"/>
  <c r="PDN63" i="1"/>
  <c r="PDO63" i="1"/>
  <c r="PDP63" i="1"/>
  <c r="PDQ63" i="1"/>
  <c r="PDR63" i="1"/>
  <c r="PDS63" i="1"/>
  <c r="PDT63" i="1"/>
  <c r="PDU63" i="1"/>
  <c r="PDV63" i="1"/>
  <c r="PDW63" i="1"/>
  <c r="PDX63" i="1"/>
  <c r="PDY63" i="1"/>
  <c r="PDZ63" i="1"/>
  <c r="PEA63" i="1"/>
  <c r="PEB63" i="1"/>
  <c r="PEC63" i="1"/>
  <c r="PED63" i="1"/>
  <c r="PEE63" i="1"/>
  <c r="PEF63" i="1"/>
  <c r="PEG63" i="1"/>
  <c r="PEH63" i="1"/>
  <c r="PEI63" i="1"/>
  <c r="PEJ63" i="1"/>
  <c r="PEK63" i="1"/>
  <c r="PEL63" i="1"/>
  <c r="PEM63" i="1"/>
  <c r="PEN63" i="1"/>
  <c r="PEO63" i="1"/>
  <c r="PEP63" i="1"/>
  <c r="PEQ63" i="1"/>
  <c r="PER63" i="1"/>
  <c r="PES63" i="1"/>
  <c r="PET63" i="1"/>
  <c r="PEU63" i="1"/>
  <c r="PEV63" i="1"/>
  <c r="PEW63" i="1"/>
  <c r="PEX63" i="1"/>
  <c r="PEY63" i="1"/>
  <c r="PEZ63" i="1"/>
  <c r="PFA63" i="1"/>
  <c r="PFB63" i="1"/>
  <c r="PFC63" i="1"/>
  <c r="PFD63" i="1"/>
  <c r="PFE63" i="1"/>
  <c r="PFF63" i="1"/>
  <c r="PFG63" i="1"/>
  <c r="PFH63" i="1"/>
  <c r="PFI63" i="1"/>
  <c r="PFJ63" i="1"/>
  <c r="PFK63" i="1"/>
  <c r="PFL63" i="1"/>
  <c r="PFM63" i="1"/>
  <c r="PFN63" i="1"/>
  <c r="PFO63" i="1"/>
  <c r="PFP63" i="1"/>
  <c r="PFQ63" i="1"/>
  <c r="PFR63" i="1"/>
  <c r="PFS63" i="1"/>
  <c r="PFT63" i="1"/>
  <c r="PFU63" i="1"/>
  <c r="PFV63" i="1"/>
  <c r="PFW63" i="1"/>
  <c r="PFX63" i="1"/>
  <c r="PFY63" i="1"/>
  <c r="PFZ63" i="1"/>
  <c r="PGA63" i="1"/>
  <c r="PGB63" i="1"/>
  <c r="PGC63" i="1"/>
  <c r="PGD63" i="1"/>
  <c r="PGE63" i="1"/>
  <c r="PGF63" i="1"/>
  <c r="PGG63" i="1"/>
  <c r="PGH63" i="1"/>
  <c r="PGI63" i="1"/>
  <c r="PGJ63" i="1"/>
  <c r="PGK63" i="1"/>
  <c r="PGL63" i="1"/>
  <c r="PGM63" i="1"/>
  <c r="PGN63" i="1"/>
  <c r="PGO63" i="1"/>
  <c r="PGP63" i="1"/>
  <c r="PGQ63" i="1"/>
  <c r="PGR63" i="1"/>
  <c r="PGS63" i="1"/>
  <c r="PGT63" i="1"/>
  <c r="PGU63" i="1"/>
  <c r="PGV63" i="1"/>
  <c r="PGW63" i="1"/>
  <c r="PGX63" i="1"/>
  <c r="PGY63" i="1"/>
  <c r="PGZ63" i="1"/>
  <c r="PHA63" i="1"/>
  <c r="PHB63" i="1"/>
  <c r="PHC63" i="1"/>
  <c r="PHD63" i="1"/>
  <c r="PHE63" i="1"/>
  <c r="PHF63" i="1"/>
  <c r="PHG63" i="1"/>
  <c r="PHH63" i="1"/>
  <c r="PHI63" i="1"/>
  <c r="PHJ63" i="1"/>
  <c r="PHK63" i="1"/>
  <c r="PHL63" i="1"/>
  <c r="PHM63" i="1"/>
  <c r="PHN63" i="1"/>
  <c r="PHO63" i="1"/>
  <c r="PHP63" i="1"/>
  <c r="PHQ63" i="1"/>
  <c r="PHR63" i="1"/>
  <c r="PHS63" i="1"/>
  <c r="PHT63" i="1"/>
  <c r="PHU63" i="1"/>
  <c r="PHV63" i="1"/>
  <c r="PHW63" i="1"/>
  <c r="PHX63" i="1"/>
  <c r="PHY63" i="1"/>
  <c r="PHZ63" i="1"/>
  <c r="PIA63" i="1"/>
  <c r="PIB63" i="1"/>
  <c r="PIC63" i="1"/>
  <c r="PID63" i="1"/>
  <c r="PIE63" i="1"/>
  <c r="PIF63" i="1"/>
  <c r="PIG63" i="1"/>
  <c r="PIH63" i="1"/>
  <c r="PII63" i="1"/>
  <c r="PIJ63" i="1"/>
  <c r="PIK63" i="1"/>
  <c r="PIL63" i="1"/>
  <c r="PIM63" i="1"/>
  <c r="PIN63" i="1"/>
  <c r="PIO63" i="1"/>
  <c r="PIP63" i="1"/>
  <c r="PIQ63" i="1"/>
  <c r="PIR63" i="1"/>
  <c r="PIS63" i="1"/>
  <c r="PIT63" i="1"/>
  <c r="PIU63" i="1"/>
  <c r="PIV63" i="1"/>
  <c r="PIW63" i="1"/>
  <c r="PIX63" i="1"/>
  <c r="PIY63" i="1"/>
  <c r="PIZ63" i="1"/>
  <c r="PJA63" i="1"/>
  <c r="PJB63" i="1"/>
  <c r="PJC63" i="1"/>
  <c r="PJD63" i="1"/>
  <c r="PJE63" i="1"/>
  <c r="PJF63" i="1"/>
  <c r="PJG63" i="1"/>
  <c r="PJH63" i="1"/>
  <c r="PJI63" i="1"/>
  <c r="PJJ63" i="1"/>
  <c r="PJK63" i="1"/>
  <c r="PJL63" i="1"/>
  <c r="PJM63" i="1"/>
  <c r="PJN63" i="1"/>
  <c r="PJO63" i="1"/>
  <c r="PJP63" i="1"/>
  <c r="PJQ63" i="1"/>
  <c r="PJR63" i="1"/>
  <c r="PJS63" i="1"/>
  <c r="PJT63" i="1"/>
  <c r="PJU63" i="1"/>
  <c r="PJV63" i="1"/>
  <c r="PJW63" i="1"/>
  <c r="PJX63" i="1"/>
  <c r="PJY63" i="1"/>
  <c r="PJZ63" i="1"/>
  <c r="PKA63" i="1"/>
  <c r="PKB63" i="1"/>
  <c r="PKC63" i="1"/>
  <c r="PKD63" i="1"/>
  <c r="PKE63" i="1"/>
  <c r="PKF63" i="1"/>
  <c r="PKG63" i="1"/>
  <c r="PKH63" i="1"/>
  <c r="PKI63" i="1"/>
  <c r="PKJ63" i="1"/>
  <c r="PKK63" i="1"/>
  <c r="PKL63" i="1"/>
  <c r="PKM63" i="1"/>
  <c r="PKN63" i="1"/>
  <c r="PKO63" i="1"/>
  <c r="PKP63" i="1"/>
  <c r="PKQ63" i="1"/>
  <c r="PKR63" i="1"/>
  <c r="PKS63" i="1"/>
  <c r="PKT63" i="1"/>
  <c r="PKU63" i="1"/>
  <c r="PKV63" i="1"/>
  <c r="PKW63" i="1"/>
  <c r="PKX63" i="1"/>
  <c r="PKY63" i="1"/>
  <c r="PKZ63" i="1"/>
  <c r="PLA63" i="1"/>
  <c r="PLB63" i="1"/>
  <c r="PLC63" i="1"/>
  <c r="PLD63" i="1"/>
  <c r="PLE63" i="1"/>
  <c r="PLF63" i="1"/>
  <c r="PLG63" i="1"/>
  <c r="PLH63" i="1"/>
  <c r="PLI63" i="1"/>
  <c r="PLJ63" i="1"/>
  <c r="PLK63" i="1"/>
  <c r="PLL63" i="1"/>
  <c r="PLM63" i="1"/>
  <c r="PLN63" i="1"/>
  <c r="PLO63" i="1"/>
  <c r="PLP63" i="1"/>
  <c r="PLQ63" i="1"/>
  <c r="PLR63" i="1"/>
  <c r="PLS63" i="1"/>
  <c r="PLT63" i="1"/>
  <c r="PLU63" i="1"/>
  <c r="PLV63" i="1"/>
  <c r="PLW63" i="1"/>
  <c r="PLX63" i="1"/>
  <c r="PLY63" i="1"/>
  <c r="PLZ63" i="1"/>
  <c r="PMA63" i="1"/>
  <c r="PMB63" i="1"/>
  <c r="PMC63" i="1"/>
  <c r="PMD63" i="1"/>
  <c r="PME63" i="1"/>
  <c r="PMF63" i="1"/>
  <c r="PMG63" i="1"/>
  <c r="PMH63" i="1"/>
  <c r="PMI63" i="1"/>
  <c r="PMJ63" i="1"/>
  <c r="PMK63" i="1"/>
  <c r="PML63" i="1"/>
  <c r="PMM63" i="1"/>
  <c r="PMN63" i="1"/>
  <c r="PMO63" i="1"/>
  <c r="PMP63" i="1"/>
  <c r="PMQ63" i="1"/>
  <c r="PMR63" i="1"/>
  <c r="PMS63" i="1"/>
  <c r="PMT63" i="1"/>
  <c r="PMU63" i="1"/>
  <c r="PMV63" i="1"/>
  <c r="PMW63" i="1"/>
  <c r="PMX63" i="1"/>
  <c r="PMY63" i="1"/>
  <c r="PMZ63" i="1"/>
  <c r="PNA63" i="1"/>
  <c r="PNB63" i="1"/>
  <c r="PNC63" i="1"/>
  <c r="PND63" i="1"/>
  <c r="PNE63" i="1"/>
  <c r="PNF63" i="1"/>
  <c r="PNG63" i="1"/>
  <c r="PNH63" i="1"/>
  <c r="PNI63" i="1"/>
  <c r="PNJ63" i="1"/>
  <c r="PNK63" i="1"/>
  <c r="PNL63" i="1"/>
  <c r="PNM63" i="1"/>
  <c r="PNN63" i="1"/>
  <c r="PNO63" i="1"/>
  <c r="PNP63" i="1"/>
  <c r="PNQ63" i="1"/>
  <c r="PNR63" i="1"/>
  <c r="PNS63" i="1"/>
  <c r="PNT63" i="1"/>
  <c r="PNU63" i="1"/>
  <c r="PNV63" i="1"/>
  <c r="PNW63" i="1"/>
  <c r="PNX63" i="1"/>
  <c r="PNY63" i="1"/>
  <c r="PNZ63" i="1"/>
  <c r="POA63" i="1"/>
  <c r="POB63" i="1"/>
  <c r="POC63" i="1"/>
  <c r="POD63" i="1"/>
  <c r="POE63" i="1"/>
  <c r="POF63" i="1"/>
  <c r="POG63" i="1"/>
  <c r="POH63" i="1"/>
  <c r="POI63" i="1"/>
  <c r="POJ63" i="1"/>
  <c r="POK63" i="1"/>
  <c r="POL63" i="1"/>
  <c r="POM63" i="1"/>
  <c r="PON63" i="1"/>
  <c r="POO63" i="1"/>
  <c r="POP63" i="1"/>
  <c r="POQ63" i="1"/>
  <c r="POR63" i="1"/>
  <c r="POS63" i="1"/>
  <c r="POT63" i="1"/>
  <c r="POU63" i="1"/>
  <c r="POV63" i="1"/>
  <c r="POW63" i="1"/>
  <c r="POX63" i="1"/>
  <c r="POY63" i="1"/>
  <c r="POZ63" i="1"/>
  <c r="PPA63" i="1"/>
  <c r="PPB63" i="1"/>
  <c r="PPC63" i="1"/>
  <c r="PPD63" i="1"/>
  <c r="PPE63" i="1"/>
  <c r="PPF63" i="1"/>
  <c r="PPG63" i="1"/>
  <c r="PPH63" i="1"/>
  <c r="PPI63" i="1"/>
  <c r="PPJ63" i="1"/>
  <c r="PPK63" i="1"/>
  <c r="PPL63" i="1"/>
  <c r="PPM63" i="1"/>
  <c r="PPN63" i="1"/>
  <c r="PPO63" i="1"/>
  <c r="PPP63" i="1"/>
  <c r="PPQ63" i="1"/>
  <c r="PPR63" i="1"/>
  <c r="PPS63" i="1"/>
  <c r="PPT63" i="1"/>
  <c r="PPU63" i="1"/>
  <c r="PPV63" i="1"/>
  <c r="PPW63" i="1"/>
  <c r="PPX63" i="1"/>
  <c r="PPY63" i="1"/>
  <c r="PPZ63" i="1"/>
  <c r="PQA63" i="1"/>
  <c r="PQB63" i="1"/>
  <c r="PQC63" i="1"/>
  <c r="PQD63" i="1"/>
  <c r="PQE63" i="1"/>
  <c r="PQF63" i="1"/>
  <c r="PQG63" i="1"/>
  <c r="PQH63" i="1"/>
  <c r="PQI63" i="1"/>
  <c r="PQJ63" i="1"/>
  <c r="PQK63" i="1"/>
  <c r="PQL63" i="1"/>
  <c r="PQM63" i="1"/>
  <c r="PQN63" i="1"/>
  <c r="PQO63" i="1"/>
  <c r="PQP63" i="1"/>
  <c r="PQQ63" i="1"/>
  <c r="PQR63" i="1"/>
  <c r="PQS63" i="1"/>
  <c r="PQT63" i="1"/>
  <c r="PQU63" i="1"/>
  <c r="PQV63" i="1"/>
  <c r="PQW63" i="1"/>
  <c r="PQX63" i="1"/>
  <c r="PQY63" i="1"/>
  <c r="PQZ63" i="1"/>
  <c r="PRA63" i="1"/>
  <c r="PRB63" i="1"/>
  <c r="PRC63" i="1"/>
  <c r="PRD63" i="1"/>
  <c r="PRE63" i="1"/>
  <c r="PRF63" i="1"/>
  <c r="PRG63" i="1"/>
  <c r="PRH63" i="1"/>
  <c r="PRI63" i="1"/>
  <c r="PRJ63" i="1"/>
  <c r="PRK63" i="1"/>
  <c r="PRL63" i="1"/>
  <c r="PRM63" i="1"/>
  <c r="PRN63" i="1"/>
  <c r="PRO63" i="1"/>
  <c r="PRP63" i="1"/>
  <c r="PRQ63" i="1"/>
  <c r="PRR63" i="1"/>
  <c r="PRS63" i="1"/>
  <c r="PRT63" i="1"/>
  <c r="PRU63" i="1"/>
  <c r="PRV63" i="1"/>
  <c r="PRW63" i="1"/>
  <c r="PRX63" i="1"/>
  <c r="PRY63" i="1"/>
  <c r="PRZ63" i="1"/>
  <c r="PSA63" i="1"/>
  <c r="PSB63" i="1"/>
  <c r="PSC63" i="1"/>
  <c r="PSD63" i="1"/>
  <c r="PSE63" i="1"/>
  <c r="PSF63" i="1"/>
  <c r="PSG63" i="1"/>
  <c r="PSH63" i="1"/>
  <c r="PSI63" i="1"/>
  <c r="PSJ63" i="1"/>
  <c r="PSK63" i="1"/>
  <c r="PSL63" i="1"/>
  <c r="PSM63" i="1"/>
  <c r="PSN63" i="1"/>
  <c r="PSO63" i="1"/>
  <c r="PSP63" i="1"/>
  <c r="PSQ63" i="1"/>
  <c r="PSR63" i="1"/>
  <c r="PSS63" i="1"/>
  <c r="PST63" i="1"/>
  <c r="PSU63" i="1"/>
  <c r="PSV63" i="1"/>
  <c r="PSW63" i="1"/>
  <c r="PSX63" i="1"/>
  <c r="PSY63" i="1"/>
  <c r="PSZ63" i="1"/>
  <c r="PTA63" i="1"/>
  <c r="PTB63" i="1"/>
  <c r="PTC63" i="1"/>
  <c r="PTD63" i="1"/>
  <c r="PTE63" i="1"/>
  <c r="PTF63" i="1"/>
  <c r="PTG63" i="1"/>
  <c r="PTH63" i="1"/>
  <c r="PTI63" i="1"/>
  <c r="PTJ63" i="1"/>
  <c r="PTK63" i="1"/>
  <c r="PTL63" i="1"/>
  <c r="PTM63" i="1"/>
  <c r="PTN63" i="1"/>
  <c r="PTO63" i="1"/>
  <c r="PTP63" i="1"/>
  <c r="PTQ63" i="1"/>
  <c r="PTR63" i="1"/>
  <c r="PTS63" i="1"/>
  <c r="PTT63" i="1"/>
  <c r="PTU63" i="1"/>
  <c r="PTV63" i="1"/>
  <c r="PTW63" i="1"/>
  <c r="PTX63" i="1"/>
  <c r="PTY63" i="1"/>
  <c r="PTZ63" i="1"/>
  <c r="PUA63" i="1"/>
  <c r="PUB63" i="1"/>
  <c r="PUC63" i="1"/>
  <c r="PUD63" i="1"/>
  <c r="PUE63" i="1"/>
  <c r="PUF63" i="1"/>
  <c r="PUG63" i="1"/>
  <c r="PUH63" i="1"/>
  <c r="PUI63" i="1"/>
  <c r="PUJ63" i="1"/>
  <c r="PUK63" i="1"/>
  <c r="PUL63" i="1"/>
  <c r="PUM63" i="1"/>
  <c r="PUN63" i="1"/>
  <c r="PUO63" i="1"/>
  <c r="PUP63" i="1"/>
  <c r="PUQ63" i="1"/>
  <c r="PUR63" i="1"/>
  <c r="PUS63" i="1"/>
  <c r="PUT63" i="1"/>
  <c r="PUU63" i="1"/>
  <c r="PUV63" i="1"/>
  <c r="PUW63" i="1"/>
  <c r="PUX63" i="1"/>
  <c r="PUY63" i="1"/>
  <c r="PUZ63" i="1"/>
  <c r="PVA63" i="1"/>
  <c r="PVB63" i="1"/>
  <c r="PVC63" i="1"/>
  <c r="PVD63" i="1"/>
  <c r="PVE63" i="1"/>
  <c r="PVF63" i="1"/>
  <c r="PVG63" i="1"/>
  <c r="PVH63" i="1"/>
  <c r="PVI63" i="1"/>
  <c r="PVJ63" i="1"/>
  <c r="PVK63" i="1"/>
  <c r="PVL63" i="1"/>
  <c r="PVM63" i="1"/>
  <c r="PVN63" i="1"/>
  <c r="PVO63" i="1"/>
  <c r="PVP63" i="1"/>
  <c r="PVQ63" i="1"/>
  <c r="PVR63" i="1"/>
  <c r="PVS63" i="1"/>
  <c r="PVT63" i="1"/>
  <c r="PVU63" i="1"/>
  <c r="PVV63" i="1"/>
  <c r="PVW63" i="1"/>
  <c r="PVX63" i="1"/>
  <c r="PVY63" i="1"/>
  <c r="PVZ63" i="1"/>
  <c r="PWA63" i="1"/>
  <c r="PWB63" i="1"/>
  <c r="PWC63" i="1"/>
  <c r="PWD63" i="1"/>
  <c r="PWE63" i="1"/>
  <c r="PWF63" i="1"/>
  <c r="PWG63" i="1"/>
  <c r="PWH63" i="1"/>
  <c r="PWI63" i="1"/>
  <c r="PWJ63" i="1"/>
  <c r="PWK63" i="1"/>
  <c r="PWL63" i="1"/>
  <c r="PWM63" i="1"/>
  <c r="PWN63" i="1"/>
  <c r="PWO63" i="1"/>
  <c r="PWP63" i="1"/>
  <c r="PWQ63" i="1"/>
  <c r="PWR63" i="1"/>
  <c r="PWS63" i="1"/>
  <c r="PWT63" i="1"/>
  <c r="PWU63" i="1"/>
  <c r="PWV63" i="1"/>
  <c r="PWW63" i="1"/>
  <c r="PWX63" i="1"/>
  <c r="PWY63" i="1"/>
  <c r="PWZ63" i="1"/>
  <c r="PXA63" i="1"/>
  <c r="PXB63" i="1"/>
  <c r="PXC63" i="1"/>
  <c r="PXD63" i="1"/>
  <c r="PXE63" i="1"/>
  <c r="PXF63" i="1"/>
  <c r="PXG63" i="1"/>
  <c r="PXH63" i="1"/>
  <c r="PXI63" i="1"/>
  <c r="PXJ63" i="1"/>
  <c r="PXK63" i="1"/>
  <c r="PXL63" i="1"/>
  <c r="PXM63" i="1"/>
  <c r="PXN63" i="1"/>
  <c r="PXO63" i="1"/>
  <c r="PXP63" i="1"/>
  <c r="PXQ63" i="1"/>
  <c r="PXR63" i="1"/>
  <c r="PXS63" i="1"/>
  <c r="PXT63" i="1"/>
  <c r="PXU63" i="1"/>
  <c r="PXV63" i="1"/>
  <c r="PXW63" i="1"/>
  <c r="PXX63" i="1"/>
  <c r="PXY63" i="1"/>
  <c r="PXZ63" i="1"/>
  <c r="PYA63" i="1"/>
  <c r="PYB63" i="1"/>
  <c r="PYC63" i="1"/>
  <c r="PYD63" i="1"/>
  <c r="PYE63" i="1"/>
  <c r="PYF63" i="1"/>
  <c r="PYG63" i="1"/>
  <c r="PYH63" i="1"/>
  <c r="PYI63" i="1"/>
  <c r="PYJ63" i="1"/>
  <c r="PYK63" i="1"/>
  <c r="PYL63" i="1"/>
  <c r="PYM63" i="1"/>
  <c r="PYN63" i="1"/>
  <c r="PYO63" i="1"/>
  <c r="PYP63" i="1"/>
  <c r="PYQ63" i="1"/>
  <c r="PYR63" i="1"/>
  <c r="PYS63" i="1"/>
  <c r="PYT63" i="1"/>
  <c r="PYU63" i="1"/>
  <c r="PYV63" i="1"/>
  <c r="PYW63" i="1"/>
  <c r="PYX63" i="1"/>
  <c r="PYY63" i="1"/>
  <c r="PYZ63" i="1"/>
  <c r="PZA63" i="1"/>
  <c r="PZB63" i="1"/>
  <c r="PZC63" i="1"/>
  <c r="PZD63" i="1"/>
  <c r="PZE63" i="1"/>
  <c r="PZF63" i="1"/>
  <c r="PZG63" i="1"/>
  <c r="PZH63" i="1"/>
  <c r="PZI63" i="1"/>
  <c r="PZJ63" i="1"/>
  <c r="PZK63" i="1"/>
  <c r="PZL63" i="1"/>
  <c r="PZM63" i="1"/>
  <c r="PZN63" i="1"/>
  <c r="PZO63" i="1"/>
  <c r="PZP63" i="1"/>
  <c r="PZQ63" i="1"/>
  <c r="PZR63" i="1"/>
  <c r="PZS63" i="1"/>
  <c r="PZT63" i="1"/>
  <c r="PZU63" i="1"/>
  <c r="PZV63" i="1"/>
  <c r="PZW63" i="1"/>
  <c r="PZX63" i="1"/>
  <c r="PZY63" i="1"/>
  <c r="PZZ63" i="1"/>
  <c r="QAA63" i="1"/>
  <c r="QAB63" i="1"/>
  <c r="QAC63" i="1"/>
  <c r="QAD63" i="1"/>
  <c r="QAE63" i="1"/>
  <c r="QAF63" i="1"/>
  <c r="QAG63" i="1"/>
  <c r="QAH63" i="1"/>
  <c r="QAI63" i="1"/>
  <c r="QAJ63" i="1"/>
  <c r="QAK63" i="1"/>
  <c r="QAL63" i="1"/>
  <c r="QAM63" i="1"/>
  <c r="QAN63" i="1"/>
  <c r="QAO63" i="1"/>
  <c r="QAP63" i="1"/>
  <c r="QAQ63" i="1"/>
  <c r="QAR63" i="1"/>
  <c r="QAS63" i="1"/>
  <c r="QAT63" i="1"/>
  <c r="QAU63" i="1"/>
  <c r="QAV63" i="1"/>
  <c r="QAW63" i="1"/>
  <c r="QAX63" i="1"/>
  <c r="QAY63" i="1"/>
  <c r="QAZ63" i="1"/>
  <c r="QBA63" i="1"/>
  <c r="QBB63" i="1"/>
  <c r="QBC63" i="1"/>
  <c r="QBD63" i="1"/>
  <c r="QBE63" i="1"/>
  <c r="QBF63" i="1"/>
  <c r="QBG63" i="1"/>
  <c r="QBH63" i="1"/>
  <c r="QBI63" i="1"/>
  <c r="QBJ63" i="1"/>
  <c r="QBK63" i="1"/>
  <c r="QBL63" i="1"/>
  <c r="QBM63" i="1"/>
  <c r="QBN63" i="1"/>
  <c r="QBO63" i="1"/>
  <c r="QBP63" i="1"/>
  <c r="QBQ63" i="1"/>
  <c r="QBR63" i="1"/>
  <c r="QBS63" i="1"/>
  <c r="QBT63" i="1"/>
  <c r="QBU63" i="1"/>
  <c r="QBV63" i="1"/>
  <c r="QBW63" i="1"/>
  <c r="QBX63" i="1"/>
  <c r="QBY63" i="1"/>
  <c r="QBZ63" i="1"/>
  <c r="QCA63" i="1"/>
  <c r="QCB63" i="1"/>
  <c r="QCC63" i="1"/>
  <c r="QCD63" i="1"/>
  <c r="QCE63" i="1"/>
  <c r="QCF63" i="1"/>
  <c r="QCG63" i="1"/>
  <c r="QCH63" i="1"/>
  <c r="QCI63" i="1"/>
  <c r="QCJ63" i="1"/>
  <c r="QCK63" i="1"/>
  <c r="QCL63" i="1"/>
  <c r="QCM63" i="1"/>
  <c r="QCN63" i="1"/>
  <c r="QCO63" i="1"/>
  <c r="QCP63" i="1"/>
  <c r="QCQ63" i="1"/>
  <c r="QCR63" i="1"/>
  <c r="QCS63" i="1"/>
  <c r="QCT63" i="1"/>
  <c r="QCU63" i="1"/>
  <c r="QCV63" i="1"/>
  <c r="QCW63" i="1"/>
  <c r="QCX63" i="1"/>
  <c r="QCY63" i="1"/>
  <c r="QCZ63" i="1"/>
  <c r="QDA63" i="1"/>
  <c r="QDB63" i="1"/>
  <c r="QDC63" i="1"/>
  <c r="QDD63" i="1"/>
  <c r="QDE63" i="1"/>
  <c r="QDF63" i="1"/>
  <c r="QDG63" i="1"/>
  <c r="QDH63" i="1"/>
  <c r="QDI63" i="1"/>
  <c r="QDJ63" i="1"/>
  <c r="QDK63" i="1"/>
  <c r="QDL63" i="1"/>
  <c r="QDM63" i="1"/>
  <c r="QDN63" i="1"/>
  <c r="QDO63" i="1"/>
  <c r="QDP63" i="1"/>
  <c r="QDQ63" i="1"/>
  <c r="QDR63" i="1"/>
  <c r="QDS63" i="1"/>
  <c r="QDT63" i="1"/>
  <c r="QDU63" i="1"/>
  <c r="QDV63" i="1"/>
  <c r="QDW63" i="1"/>
  <c r="QDX63" i="1"/>
  <c r="QDY63" i="1"/>
  <c r="QDZ63" i="1"/>
  <c r="QEA63" i="1"/>
  <c r="QEB63" i="1"/>
  <c r="QEC63" i="1"/>
  <c r="QED63" i="1"/>
  <c r="QEE63" i="1"/>
  <c r="QEF63" i="1"/>
  <c r="QEG63" i="1"/>
  <c r="QEH63" i="1"/>
  <c r="QEI63" i="1"/>
  <c r="QEJ63" i="1"/>
  <c r="QEK63" i="1"/>
  <c r="QEL63" i="1"/>
  <c r="QEM63" i="1"/>
  <c r="QEN63" i="1"/>
  <c r="QEO63" i="1"/>
  <c r="QEP63" i="1"/>
  <c r="QEQ63" i="1"/>
  <c r="QER63" i="1"/>
  <c r="QES63" i="1"/>
  <c r="QET63" i="1"/>
  <c r="QEU63" i="1"/>
  <c r="QEV63" i="1"/>
  <c r="QEW63" i="1"/>
  <c r="QEX63" i="1"/>
  <c r="QEY63" i="1"/>
  <c r="QEZ63" i="1"/>
  <c r="QFA63" i="1"/>
  <c r="QFB63" i="1"/>
  <c r="QFC63" i="1"/>
  <c r="QFD63" i="1"/>
  <c r="QFE63" i="1"/>
  <c r="QFF63" i="1"/>
  <c r="QFG63" i="1"/>
  <c r="QFH63" i="1"/>
  <c r="QFI63" i="1"/>
  <c r="QFJ63" i="1"/>
  <c r="QFK63" i="1"/>
  <c r="QFL63" i="1"/>
  <c r="QFM63" i="1"/>
  <c r="QFN63" i="1"/>
  <c r="QFO63" i="1"/>
  <c r="QFP63" i="1"/>
  <c r="QFQ63" i="1"/>
  <c r="QFR63" i="1"/>
  <c r="QFS63" i="1"/>
  <c r="QFT63" i="1"/>
  <c r="QFU63" i="1"/>
  <c r="QFV63" i="1"/>
  <c r="QFW63" i="1"/>
  <c r="QFX63" i="1"/>
  <c r="QFY63" i="1"/>
  <c r="QFZ63" i="1"/>
  <c r="QGA63" i="1"/>
  <c r="QGB63" i="1"/>
  <c r="QGC63" i="1"/>
  <c r="QGD63" i="1"/>
  <c r="QGE63" i="1"/>
  <c r="QGF63" i="1"/>
  <c r="QGG63" i="1"/>
  <c r="QGH63" i="1"/>
  <c r="QGI63" i="1"/>
  <c r="QGJ63" i="1"/>
  <c r="QGK63" i="1"/>
  <c r="QGL63" i="1"/>
  <c r="QGM63" i="1"/>
  <c r="QGN63" i="1"/>
  <c r="QGO63" i="1"/>
  <c r="QGP63" i="1"/>
  <c r="QGQ63" i="1"/>
  <c r="QGR63" i="1"/>
  <c r="QGS63" i="1"/>
  <c r="QGT63" i="1"/>
  <c r="QGU63" i="1"/>
  <c r="QGV63" i="1"/>
  <c r="QGW63" i="1"/>
  <c r="QGX63" i="1"/>
  <c r="QGY63" i="1"/>
  <c r="QGZ63" i="1"/>
  <c r="QHA63" i="1"/>
  <c r="QHB63" i="1"/>
  <c r="QHC63" i="1"/>
  <c r="QHD63" i="1"/>
  <c r="QHE63" i="1"/>
  <c r="QHF63" i="1"/>
  <c r="QHG63" i="1"/>
  <c r="QHH63" i="1"/>
  <c r="QHI63" i="1"/>
  <c r="QHJ63" i="1"/>
  <c r="QHK63" i="1"/>
  <c r="QHL63" i="1"/>
  <c r="QHM63" i="1"/>
  <c r="QHN63" i="1"/>
  <c r="QHO63" i="1"/>
  <c r="QHP63" i="1"/>
  <c r="QHQ63" i="1"/>
  <c r="QHR63" i="1"/>
  <c r="QHS63" i="1"/>
  <c r="QHT63" i="1"/>
  <c r="QHU63" i="1"/>
  <c r="QHV63" i="1"/>
  <c r="QHW63" i="1"/>
  <c r="QHX63" i="1"/>
  <c r="QHY63" i="1"/>
  <c r="QHZ63" i="1"/>
  <c r="QIA63" i="1"/>
  <c r="QIB63" i="1"/>
  <c r="QIC63" i="1"/>
  <c r="QID63" i="1"/>
  <c r="QIE63" i="1"/>
  <c r="QIF63" i="1"/>
  <c r="QIG63" i="1"/>
  <c r="QIH63" i="1"/>
  <c r="QII63" i="1"/>
  <c r="QIJ63" i="1"/>
  <c r="QIK63" i="1"/>
  <c r="QIL63" i="1"/>
  <c r="QIM63" i="1"/>
  <c r="QIN63" i="1"/>
  <c r="QIO63" i="1"/>
  <c r="QIP63" i="1"/>
  <c r="QIQ63" i="1"/>
  <c r="QIR63" i="1"/>
  <c r="QIS63" i="1"/>
  <c r="QIT63" i="1"/>
  <c r="QIU63" i="1"/>
  <c r="QIV63" i="1"/>
  <c r="QIW63" i="1"/>
  <c r="QIX63" i="1"/>
  <c r="QIY63" i="1"/>
  <c r="QIZ63" i="1"/>
  <c r="QJA63" i="1"/>
  <c r="QJB63" i="1"/>
  <c r="QJC63" i="1"/>
  <c r="QJD63" i="1"/>
  <c r="QJE63" i="1"/>
  <c r="QJF63" i="1"/>
  <c r="QJG63" i="1"/>
  <c r="QJH63" i="1"/>
  <c r="QJI63" i="1"/>
  <c r="QJJ63" i="1"/>
  <c r="QJK63" i="1"/>
  <c r="QJL63" i="1"/>
  <c r="QJM63" i="1"/>
  <c r="QJN63" i="1"/>
  <c r="QJO63" i="1"/>
  <c r="QJP63" i="1"/>
  <c r="QJQ63" i="1"/>
  <c r="QJR63" i="1"/>
  <c r="QJS63" i="1"/>
  <c r="QJT63" i="1"/>
  <c r="QJU63" i="1"/>
  <c r="QJV63" i="1"/>
  <c r="QJW63" i="1"/>
  <c r="QJX63" i="1"/>
  <c r="QJY63" i="1"/>
  <c r="QJZ63" i="1"/>
  <c r="QKA63" i="1"/>
  <c r="QKB63" i="1"/>
  <c r="QKC63" i="1"/>
  <c r="QKD63" i="1"/>
  <c r="QKE63" i="1"/>
  <c r="QKF63" i="1"/>
  <c r="QKG63" i="1"/>
  <c r="QKH63" i="1"/>
  <c r="QKI63" i="1"/>
  <c r="QKJ63" i="1"/>
  <c r="QKK63" i="1"/>
  <c r="QKL63" i="1"/>
  <c r="QKM63" i="1"/>
  <c r="QKN63" i="1"/>
  <c r="QKO63" i="1"/>
  <c r="QKP63" i="1"/>
  <c r="QKQ63" i="1"/>
  <c r="QKR63" i="1"/>
  <c r="QKS63" i="1"/>
  <c r="QKT63" i="1"/>
  <c r="QKU63" i="1"/>
  <c r="QKV63" i="1"/>
  <c r="QKW63" i="1"/>
  <c r="QKX63" i="1"/>
  <c r="QKY63" i="1"/>
  <c r="QKZ63" i="1"/>
  <c r="QLA63" i="1"/>
  <c r="QLB63" i="1"/>
  <c r="QLC63" i="1"/>
  <c r="QLD63" i="1"/>
  <c r="QLE63" i="1"/>
  <c r="QLF63" i="1"/>
  <c r="QLG63" i="1"/>
  <c r="QLH63" i="1"/>
  <c r="QLI63" i="1"/>
  <c r="QLJ63" i="1"/>
  <c r="QLK63" i="1"/>
  <c r="QLL63" i="1"/>
  <c r="QLM63" i="1"/>
  <c r="QLN63" i="1"/>
  <c r="QLO63" i="1"/>
  <c r="QLP63" i="1"/>
  <c r="QLQ63" i="1"/>
  <c r="QLR63" i="1"/>
  <c r="QLS63" i="1"/>
  <c r="QLT63" i="1"/>
  <c r="QLU63" i="1"/>
  <c r="QLV63" i="1"/>
  <c r="QLW63" i="1"/>
  <c r="QLX63" i="1"/>
  <c r="QLY63" i="1"/>
  <c r="QLZ63" i="1"/>
  <c r="QMA63" i="1"/>
  <c r="QMB63" i="1"/>
  <c r="QMC63" i="1"/>
  <c r="QMD63" i="1"/>
  <c r="QME63" i="1"/>
  <c r="QMF63" i="1"/>
  <c r="QMG63" i="1"/>
  <c r="QMH63" i="1"/>
  <c r="QMI63" i="1"/>
  <c r="QMJ63" i="1"/>
  <c r="QMK63" i="1"/>
  <c r="QML63" i="1"/>
  <c r="QMM63" i="1"/>
  <c r="QMN63" i="1"/>
  <c r="QMO63" i="1"/>
  <c r="QMP63" i="1"/>
  <c r="QMQ63" i="1"/>
  <c r="QMR63" i="1"/>
  <c r="QMS63" i="1"/>
  <c r="QMT63" i="1"/>
  <c r="QMU63" i="1"/>
  <c r="QMV63" i="1"/>
  <c r="QMW63" i="1"/>
  <c r="QMX63" i="1"/>
  <c r="QMY63" i="1"/>
  <c r="QMZ63" i="1"/>
  <c r="QNA63" i="1"/>
  <c r="QNB63" i="1"/>
  <c r="QNC63" i="1"/>
  <c r="QND63" i="1"/>
  <c r="QNE63" i="1"/>
  <c r="QNF63" i="1"/>
  <c r="QNG63" i="1"/>
  <c r="QNH63" i="1"/>
  <c r="QNI63" i="1"/>
  <c r="QNJ63" i="1"/>
  <c r="QNK63" i="1"/>
  <c r="QNL63" i="1"/>
  <c r="QNM63" i="1"/>
  <c r="QNN63" i="1"/>
  <c r="QNO63" i="1"/>
  <c r="QNP63" i="1"/>
  <c r="QNQ63" i="1"/>
  <c r="QNR63" i="1"/>
  <c r="QNS63" i="1"/>
  <c r="QNT63" i="1"/>
  <c r="QNU63" i="1"/>
  <c r="QNV63" i="1"/>
  <c r="QNW63" i="1"/>
  <c r="QNX63" i="1"/>
  <c r="QNY63" i="1"/>
  <c r="QNZ63" i="1"/>
  <c r="QOA63" i="1"/>
  <c r="QOB63" i="1"/>
  <c r="QOC63" i="1"/>
  <c r="QOD63" i="1"/>
  <c r="QOE63" i="1"/>
  <c r="QOF63" i="1"/>
  <c r="QOG63" i="1"/>
  <c r="QOH63" i="1"/>
  <c r="QOI63" i="1"/>
  <c r="QOJ63" i="1"/>
  <c r="QOK63" i="1"/>
  <c r="QOL63" i="1"/>
  <c r="QOM63" i="1"/>
  <c r="QON63" i="1"/>
  <c r="QOO63" i="1"/>
  <c r="QOP63" i="1"/>
  <c r="QOQ63" i="1"/>
  <c r="QOR63" i="1"/>
  <c r="QOS63" i="1"/>
  <c r="QOT63" i="1"/>
  <c r="QOU63" i="1"/>
  <c r="QOV63" i="1"/>
  <c r="QOW63" i="1"/>
  <c r="QOX63" i="1"/>
  <c r="QOY63" i="1"/>
  <c r="QOZ63" i="1"/>
  <c r="QPA63" i="1"/>
  <c r="QPB63" i="1"/>
  <c r="QPC63" i="1"/>
  <c r="QPD63" i="1"/>
  <c r="QPE63" i="1"/>
  <c r="QPF63" i="1"/>
  <c r="QPG63" i="1"/>
  <c r="QPH63" i="1"/>
  <c r="QPI63" i="1"/>
  <c r="QPJ63" i="1"/>
  <c r="QPK63" i="1"/>
  <c r="QPL63" i="1"/>
  <c r="QPM63" i="1"/>
  <c r="QPN63" i="1"/>
  <c r="QPO63" i="1"/>
  <c r="QPP63" i="1"/>
  <c r="QPQ63" i="1"/>
  <c r="QPR63" i="1"/>
  <c r="QPS63" i="1"/>
  <c r="QPT63" i="1"/>
  <c r="QPU63" i="1"/>
  <c r="QPV63" i="1"/>
  <c r="QPW63" i="1"/>
  <c r="QPX63" i="1"/>
  <c r="QPY63" i="1"/>
  <c r="QPZ63" i="1"/>
  <c r="QQA63" i="1"/>
  <c r="QQB63" i="1"/>
  <c r="QQC63" i="1"/>
  <c r="QQD63" i="1"/>
  <c r="QQE63" i="1"/>
  <c r="QQF63" i="1"/>
  <c r="QQG63" i="1"/>
  <c r="QQH63" i="1"/>
  <c r="QQI63" i="1"/>
  <c r="QQJ63" i="1"/>
  <c r="QQK63" i="1"/>
  <c r="QQL63" i="1"/>
  <c r="QQM63" i="1"/>
  <c r="QQN63" i="1"/>
  <c r="QQO63" i="1"/>
  <c r="QQP63" i="1"/>
  <c r="QQQ63" i="1"/>
  <c r="QQR63" i="1"/>
  <c r="QQS63" i="1"/>
  <c r="QQT63" i="1"/>
  <c r="QQU63" i="1"/>
  <c r="QQV63" i="1"/>
  <c r="QQW63" i="1"/>
  <c r="QQX63" i="1"/>
  <c r="QQY63" i="1"/>
  <c r="QQZ63" i="1"/>
  <c r="QRA63" i="1"/>
  <c r="QRB63" i="1"/>
  <c r="QRC63" i="1"/>
  <c r="QRD63" i="1"/>
  <c r="QRE63" i="1"/>
  <c r="QRF63" i="1"/>
  <c r="QRG63" i="1"/>
  <c r="QRH63" i="1"/>
  <c r="QRI63" i="1"/>
  <c r="QRJ63" i="1"/>
  <c r="QRK63" i="1"/>
  <c r="QRL63" i="1"/>
  <c r="QRM63" i="1"/>
  <c r="QRN63" i="1"/>
  <c r="QRO63" i="1"/>
  <c r="QRP63" i="1"/>
  <c r="QRQ63" i="1"/>
  <c r="QRR63" i="1"/>
  <c r="QRS63" i="1"/>
  <c r="QRT63" i="1"/>
  <c r="QRU63" i="1"/>
  <c r="QRV63" i="1"/>
  <c r="QRW63" i="1"/>
  <c r="QRX63" i="1"/>
  <c r="QRY63" i="1"/>
  <c r="QRZ63" i="1"/>
  <c r="QSA63" i="1"/>
  <c r="QSB63" i="1"/>
  <c r="QSC63" i="1"/>
  <c r="QSD63" i="1"/>
  <c r="QSE63" i="1"/>
  <c r="QSF63" i="1"/>
  <c r="QSG63" i="1"/>
  <c r="QSH63" i="1"/>
  <c r="QSI63" i="1"/>
  <c r="QSJ63" i="1"/>
  <c r="QSK63" i="1"/>
  <c r="QSL63" i="1"/>
  <c r="QSM63" i="1"/>
  <c r="QSN63" i="1"/>
  <c r="QSO63" i="1"/>
  <c r="QSP63" i="1"/>
  <c r="QSQ63" i="1"/>
  <c r="QSR63" i="1"/>
  <c r="QSS63" i="1"/>
  <c r="QST63" i="1"/>
  <c r="QSU63" i="1"/>
  <c r="QSV63" i="1"/>
  <c r="QSW63" i="1"/>
  <c r="QSX63" i="1"/>
  <c r="QSY63" i="1"/>
  <c r="QSZ63" i="1"/>
  <c r="QTA63" i="1"/>
  <c r="QTB63" i="1"/>
  <c r="QTC63" i="1"/>
  <c r="QTD63" i="1"/>
  <c r="QTE63" i="1"/>
  <c r="QTF63" i="1"/>
  <c r="QTG63" i="1"/>
  <c r="QTH63" i="1"/>
  <c r="QTI63" i="1"/>
  <c r="QTJ63" i="1"/>
  <c r="QTK63" i="1"/>
  <c r="QTL63" i="1"/>
  <c r="QTM63" i="1"/>
  <c r="QTN63" i="1"/>
  <c r="QTO63" i="1"/>
  <c r="QTP63" i="1"/>
  <c r="QTQ63" i="1"/>
  <c r="QTR63" i="1"/>
  <c r="QTS63" i="1"/>
  <c r="QTT63" i="1"/>
  <c r="QTU63" i="1"/>
  <c r="QTV63" i="1"/>
  <c r="QTW63" i="1"/>
  <c r="QTX63" i="1"/>
  <c r="QTY63" i="1"/>
  <c r="QTZ63" i="1"/>
  <c r="QUA63" i="1"/>
  <c r="QUB63" i="1"/>
  <c r="QUC63" i="1"/>
  <c r="QUD63" i="1"/>
  <c r="QUE63" i="1"/>
  <c r="QUF63" i="1"/>
  <c r="QUG63" i="1"/>
  <c r="QUH63" i="1"/>
  <c r="QUI63" i="1"/>
  <c r="QUJ63" i="1"/>
  <c r="QUK63" i="1"/>
  <c r="QUL63" i="1"/>
  <c r="QUM63" i="1"/>
  <c r="QUN63" i="1"/>
  <c r="QUO63" i="1"/>
  <c r="QUP63" i="1"/>
  <c r="QUQ63" i="1"/>
  <c r="QUR63" i="1"/>
  <c r="QUS63" i="1"/>
  <c r="QUT63" i="1"/>
  <c r="QUU63" i="1"/>
  <c r="QUV63" i="1"/>
  <c r="QUW63" i="1"/>
  <c r="QUX63" i="1"/>
  <c r="QUY63" i="1"/>
  <c r="QUZ63" i="1"/>
  <c r="QVA63" i="1"/>
  <c r="QVB63" i="1"/>
  <c r="QVC63" i="1"/>
  <c r="QVD63" i="1"/>
  <c r="QVE63" i="1"/>
  <c r="QVF63" i="1"/>
  <c r="QVG63" i="1"/>
  <c r="QVH63" i="1"/>
  <c r="QVI63" i="1"/>
  <c r="QVJ63" i="1"/>
  <c r="QVK63" i="1"/>
  <c r="QVL63" i="1"/>
  <c r="QVM63" i="1"/>
  <c r="QVN63" i="1"/>
  <c r="QVO63" i="1"/>
  <c r="QVP63" i="1"/>
  <c r="QVQ63" i="1"/>
  <c r="QVR63" i="1"/>
  <c r="QVS63" i="1"/>
  <c r="QVT63" i="1"/>
  <c r="QVU63" i="1"/>
  <c r="QVV63" i="1"/>
  <c r="QVW63" i="1"/>
  <c r="QVX63" i="1"/>
  <c r="QVY63" i="1"/>
  <c r="QVZ63" i="1"/>
  <c r="QWA63" i="1"/>
  <c r="QWB63" i="1"/>
  <c r="QWC63" i="1"/>
  <c r="QWD63" i="1"/>
  <c r="QWE63" i="1"/>
  <c r="QWF63" i="1"/>
  <c r="QWG63" i="1"/>
  <c r="QWH63" i="1"/>
  <c r="QWI63" i="1"/>
  <c r="QWJ63" i="1"/>
  <c r="QWK63" i="1"/>
  <c r="QWL63" i="1"/>
  <c r="QWM63" i="1"/>
  <c r="QWN63" i="1"/>
  <c r="QWO63" i="1"/>
  <c r="QWP63" i="1"/>
  <c r="QWQ63" i="1"/>
  <c r="QWR63" i="1"/>
  <c r="QWS63" i="1"/>
  <c r="QWT63" i="1"/>
  <c r="QWU63" i="1"/>
  <c r="QWV63" i="1"/>
  <c r="QWW63" i="1"/>
  <c r="QWX63" i="1"/>
  <c r="QWY63" i="1"/>
  <c r="QWZ63" i="1"/>
  <c r="QXA63" i="1"/>
  <c r="QXB63" i="1"/>
  <c r="QXC63" i="1"/>
  <c r="QXD63" i="1"/>
  <c r="QXE63" i="1"/>
  <c r="QXF63" i="1"/>
  <c r="QXG63" i="1"/>
  <c r="QXH63" i="1"/>
  <c r="QXI63" i="1"/>
  <c r="QXJ63" i="1"/>
  <c r="QXK63" i="1"/>
  <c r="QXL63" i="1"/>
  <c r="QXM63" i="1"/>
  <c r="QXN63" i="1"/>
  <c r="QXO63" i="1"/>
  <c r="QXP63" i="1"/>
  <c r="QXQ63" i="1"/>
  <c r="QXR63" i="1"/>
  <c r="QXS63" i="1"/>
  <c r="QXT63" i="1"/>
  <c r="QXU63" i="1"/>
  <c r="QXV63" i="1"/>
  <c r="QXW63" i="1"/>
  <c r="QXX63" i="1"/>
  <c r="QXY63" i="1"/>
  <c r="QXZ63" i="1"/>
  <c r="QYA63" i="1"/>
  <c r="QYB63" i="1"/>
  <c r="QYC63" i="1"/>
  <c r="QYD63" i="1"/>
  <c r="QYE63" i="1"/>
  <c r="QYF63" i="1"/>
  <c r="QYG63" i="1"/>
  <c r="QYH63" i="1"/>
  <c r="QYI63" i="1"/>
  <c r="QYJ63" i="1"/>
  <c r="QYK63" i="1"/>
  <c r="QYL63" i="1"/>
  <c r="QYM63" i="1"/>
  <c r="QYN63" i="1"/>
  <c r="QYO63" i="1"/>
  <c r="QYP63" i="1"/>
  <c r="QYQ63" i="1"/>
  <c r="QYR63" i="1"/>
  <c r="QYS63" i="1"/>
  <c r="QYT63" i="1"/>
  <c r="QYU63" i="1"/>
  <c r="QYV63" i="1"/>
  <c r="QYW63" i="1"/>
  <c r="QYX63" i="1"/>
  <c r="QYY63" i="1"/>
  <c r="QYZ63" i="1"/>
  <c r="QZA63" i="1"/>
  <c r="QZB63" i="1"/>
  <c r="QZC63" i="1"/>
  <c r="QZD63" i="1"/>
  <c r="QZE63" i="1"/>
  <c r="QZF63" i="1"/>
  <c r="QZG63" i="1"/>
  <c r="QZH63" i="1"/>
  <c r="QZI63" i="1"/>
  <c r="QZJ63" i="1"/>
  <c r="QZK63" i="1"/>
  <c r="QZL63" i="1"/>
  <c r="QZM63" i="1"/>
  <c r="QZN63" i="1"/>
  <c r="QZO63" i="1"/>
  <c r="QZP63" i="1"/>
  <c r="QZQ63" i="1"/>
  <c r="QZR63" i="1"/>
  <c r="QZS63" i="1"/>
  <c r="QZT63" i="1"/>
  <c r="QZU63" i="1"/>
  <c r="QZV63" i="1"/>
  <c r="QZW63" i="1"/>
  <c r="QZX63" i="1"/>
  <c r="QZY63" i="1"/>
  <c r="QZZ63" i="1"/>
  <c r="RAA63" i="1"/>
  <c r="RAB63" i="1"/>
  <c r="RAC63" i="1"/>
  <c r="RAD63" i="1"/>
  <c r="RAE63" i="1"/>
  <c r="RAF63" i="1"/>
  <c r="RAG63" i="1"/>
  <c r="RAH63" i="1"/>
  <c r="RAI63" i="1"/>
  <c r="RAJ63" i="1"/>
  <c r="RAK63" i="1"/>
  <c r="RAL63" i="1"/>
  <c r="RAM63" i="1"/>
  <c r="RAN63" i="1"/>
  <c r="RAO63" i="1"/>
  <c r="RAP63" i="1"/>
  <c r="RAQ63" i="1"/>
  <c r="RAR63" i="1"/>
  <c r="RAS63" i="1"/>
  <c r="RAT63" i="1"/>
  <c r="RAU63" i="1"/>
  <c r="RAV63" i="1"/>
  <c r="RAW63" i="1"/>
  <c r="RAX63" i="1"/>
  <c r="RAY63" i="1"/>
  <c r="RAZ63" i="1"/>
  <c r="RBA63" i="1"/>
  <c r="RBB63" i="1"/>
  <c r="RBC63" i="1"/>
  <c r="RBD63" i="1"/>
  <c r="RBE63" i="1"/>
  <c r="RBF63" i="1"/>
  <c r="RBG63" i="1"/>
  <c r="RBH63" i="1"/>
  <c r="RBI63" i="1"/>
  <c r="RBJ63" i="1"/>
  <c r="RBK63" i="1"/>
  <c r="RBL63" i="1"/>
  <c r="RBM63" i="1"/>
  <c r="RBN63" i="1"/>
  <c r="RBO63" i="1"/>
  <c r="RBP63" i="1"/>
  <c r="RBQ63" i="1"/>
  <c r="RBR63" i="1"/>
  <c r="RBS63" i="1"/>
  <c r="RBT63" i="1"/>
  <c r="RBU63" i="1"/>
  <c r="RBV63" i="1"/>
  <c r="RBW63" i="1"/>
  <c r="RBX63" i="1"/>
  <c r="RBY63" i="1"/>
  <c r="RBZ63" i="1"/>
  <c r="RCA63" i="1"/>
  <c r="RCB63" i="1"/>
  <c r="RCC63" i="1"/>
  <c r="RCD63" i="1"/>
  <c r="RCE63" i="1"/>
  <c r="RCF63" i="1"/>
  <c r="RCG63" i="1"/>
  <c r="RCH63" i="1"/>
  <c r="RCI63" i="1"/>
  <c r="RCJ63" i="1"/>
  <c r="RCK63" i="1"/>
  <c r="RCL63" i="1"/>
  <c r="RCM63" i="1"/>
  <c r="RCN63" i="1"/>
  <c r="RCO63" i="1"/>
  <c r="RCP63" i="1"/>
  <c r="RCQ63" i="1"/>
  <c r="RCR63" i="1"/>
  <c r="RCS63" i="1"/>
  <c r="RCT63" i="1"/>
  <c r="RCU63" i="1"/>
  <c r="RCV63" i="1"/>
  <c r="RCW63" i="1"/>
  <c r="RCX63" i="1"/>
  <c r="RCY63" i="1"/>
  <c r="RCZ63" i="1"/>
  <c r="RDA63" i="1"/>
  <c r="RDB63" i="1"/>
  <c r="RDC63" i="1"/>
  <c r="RDD63" i="1"/>
  <c r="RDE63" i="1"/>
  <c r="RDF63" i="1"/>
  <c r="RDG63" i="1"/>
  <c r="RDH63" i="1"/>
  <c r="RDI63" i="1"/>
  <c r="RDJ63" i="1"/>
  <c r="RDK63" i="1"/>
  <c r="RDL63" i="1"/>
  <c r="RDM63" i="1"/>
  <c r="RDN63" i="1"/>
  <c r="RDO63" i="1"/>
  <c r="RDP63" i="1"/>
  <c r="RDQ63" i="1"/>
  <c r="RDR63" i="1"/>
  <c r="RDS63" i="1"/>
  <c r="RDT63" i="1"/>
  <c r="RDU63" i="1"/>
  <c r="RDV63" i="1"/>
  <c r="RDW63" i="1"/>
  <c r="RDX63" i="1"/>
  <c r="RDY63" i="1"/>
  <c r="RDZ63" i="1"/>
  <c r="REA63" i="1"/>
  <c r="REB63" i="1"/>
  <c r="REC63" i="1"/>
  <c r="RED63" i="1"/>
  <c r="REE63" i="1"/>
  <c r="REF63" i="1"/>
  <c r="REG63" i="1"/>
  <c r="REH63" i="1"/>
  <c r="REI63" i="1"/>
  <c r="REJ63" i="1"/>
  <c r="REK63" i="1"/>
  <c r="REL63" i="1"/>
  <c r="REM63" i="1"/>
  <c r="REN63" i="1"/>
  <c r="REO63" i="1"/>
  <c r="REP63" i="1"/>
  <c r="REQ63" i="1"/>
  <c r="RER63" i="1"/>
  <c r="RES63" i="1"/>
  <c r="RET63" i="1"/>
  <c r="REU63" i="1"/>
  <c r="REV63" i="1"/>
  <c r="REW63" i="1"/>
  <c r="REX63" i="1"/>
  <c r="REY63" i="1"/>
  <c r="REZ63" i="1"/>
  <c r="RFA63" i="1"/>
  <c r="RFB63" i="1"/>
  <c r="RFC63" i="1"/>
  <c r="RFD63" i="1"/>
  <c r="RFE63" i="1"/>
  <c r="RFF63" i="1"/>
  <c r="RFG63" i="1"/>
  <c r="RFH63" i="1"/>
  <c r="RFI63" i="1"/>
  <c r="RFJ63" i="1"/>
  <c r="RFK63" i="1"/>
  <c r="RFL63" i="1"/>
  <c r="RFM63" i="1"/>
  <c r="RFN63" i="1"/>
  <c r="RFO63" i="1"/>
  <c r="RFP63" i="1"/>
  <c r="RFQ63" i="1"/>
  <c r="RFR63" i="1"/>
  <c r="RFS63" i="1"/>
  <c r="RFT63" i="1"/>
  <c r="RFU63" i="1"/>
  <c r="RFV63" i="1"/>
  <c r="RFW63" i="1"/>
  <c r="RFX63" i="1"/>
  <c r="RFY63" i="1"/>
  <c r="RFZ63" i="1"/>
  <c r="RGA63" i="1"/>
  <c r="RGB63" i="1"/>
  <c r="RGC63" i="1"/>
  <c r="RGD63" i="1"/>
  <c r="RGE63" i="1"/>
  <c r="RGF63" i="1"/>
  <c r="RGG63" i="1"/>
  <c r="RGH63" i="1"/>
  <c r="RGI63" i="1"/>
  <c r="RGJ63" i="1"/>
  <c r="RGK63" i="1"/>
  <c r="RGL63" i="1"/>
  <c r="RGM63" i="1"/>
  <c r="RGN63" i="1"/>
  <c r="RGO63" i="1"/>
  <c r="RGP63" i="1"/>
  <c r="RGQ63" i="1"/>
  <c r="RGR63" i="1"/>
  <c r="RGS63" i="1"/>
  <c r="RGT63" i="1"/>
  <c r="RGU63" i="1"/>
  <c r="RGV63" i="1"/>
  <c r="RGW63" i="1"/>
  <c r="RGX63" i="1"/>
  <c r="RGY63" i="1"/>
  <c r="RGZ63" i="1"/>
  <c r="RHA63" i="1"/>
  <c r="RHB63" i="1"/>
  <c r="RHC63" i="1"/>
  <c r="RHD63" i="1"/>
  <c r="RHE63" i="1"/>
  <c r="RHF63" i="1"/>
  <c r="RHG63" i="1"/>
  <c r="RHH63" i="1"/>
  <c r="RHI63" i="1"/>
  <c r="RHJ63" i="1"/>
  <c r="RHK63" i="1"/>
  <c r="RHL63" i="1"/>
  <c r="RHM63" i="1"/>
  <c r="RHN63" i="1"/>
  <c r="RHO63" i="1"/>
  <c r="RHP63" i="1"/>
  <c r="RHQ63" i="1"/>
  <c r="RHR63" i="1"/>
  <c r="RHS63" i="1"/>
  <c r="RHT63" i="1"/>
  <c r="RHU63" i="1"/>
  <c r="RHV63" i="1"/>
  <c r="RHW63" i="1"/>
  <c r="RHX63" i="1"/>
  <c r="RHY63" i="1"/>
  <c r="RHZ63" i="1"/>
  <c r="RIA63" i="1"/>
  <c r="RIB63" i="1"/>
  <c r="RIC63" i="1"/>
  <c r="RID63" i="1"/>
  <c r="RIE63" i="1"/>
  <c r="RIF63" i="1"/>
  <c r="RIG63" i="1"/>
  <c r="RIH63" i="1"/>
  <c r="RII63" i="1"/>
  <c r="RIJ63" i="1"/>
  <c r="RIK63" i="1"/>
  <c r="RIL63" i="1"/>
  <c r="RIM63" i="1"/>
  <c r="RIN63" i="1"/>
  <c r="RIO63" i="1"/>
  <c r="RIP63" i="1"/>
  <c r="RIQ63" i="1"/>
  <c r="RIR63" i="1"/>
  <c r="RIS63" i="1"/>
  <c r="RIT63" i="1"/>
  <c r="RIU63" i="1"/>
  <c r="RIV63" i="1"/>
  <c r="RIW63" i="1"/>
  <c r="RIX63" i="1"/>
  <c r="RIY63" i="1"/>
  <c r="RIZ63" i="1"/>
  <c r="RJA63" i="1"/>
  <c r="RJB63" i="1"/>
  <c r="RJC63" i="1"/>
  <c r="RJD63" i="1"/>
  <c r="RJE63" i="1"/>
  <c r="RJF63" i="1"/>
  <c r="RJG63" i="1"/>
  <c r="RJH63" i="1"/>
  <c r="RJI63" i="1"/>
  <c r="RJJ63" i="1"/>
  <c r="RJK63" i="1"/>
  <c r="RJL63" i="1"/>
  <c r="RJM63" i="1"/>
  <c r="RJN63" i="1"/>
  <c r="RJO63" i="1"/>
  <c r="RJP63" i="1"/>
  <c r="RJQ63" i="1"/>
  <c r="RJR63" i="1"/>
  <c r="RJS63" i="1"/>
  <c r="RJT63" i="1"/>
  <c r="RJU63" i="1"/>
  <c r="RJV63" i="1"/>
  <c r="RJW63" i="1"/>
  <c r="RJX63" i="1"/>
  <c r="RJY63" i="1"/>
  <c r="RJZ63" i="1"/>
  <c r="RKA63" i="1"/>
  <c r="RKB63" i="1"/>
  <c r="RKC63" i="1"/>
  <c r="RKD63" i="1"/>
  <c r="RKE63" i="1"/>
  <c r="RKF63" i="1"/>
  <c r="RKG63" i="1"/>
  <c r="RKH63" i="1"/>
  <c r="RKI63" i="1"/>
  <c r="RKJ63" i="1"/>
  <c r="RKK63" i="1"/>
  <c r="RKL63" i="1"/>
  <c r="RKM63" i="1"/>
  <c r="RKN63" i="1"/>
  <c r="RKO63" i="1"/>
  <c r="RKP63" i="1"/>
  <c r="RKQ63" i="1"/>
  <c r="RKR63" i="1"/>
  <c r="RKS63" i="1"/>
  <c r="RKT63" i="1"/>
  <c r="RKU63" i="1"/>
  <c r="RKV63" i="1"/>
  <c r="RKW63" i="1"/>
  <c r="RKX63" i="1"/>
  <c r="RKY63" i="1"/>
  <c r="RKZ63" i="1"/>
  <c r="RLA63" i="1"/>
  <c r="RLB63" i="1"/>
  <c r="RLC63" i="1"/>
  <c r="RLD63" i="1"/>
  <c r="RLE63" i="1"/>
  <c r="RLF63" i="1"/>
  <c r="RLG63" i="1"/>
  <c r="RLH63" i="1"/>
  <c r="RLI63" i="1"/>
  <c r="RLJ63" i="1"/>
  <c r="RLK63" i="1"/>
  <c r="RLL63" i="1"/>
  <c r="RLM63" i="1"/>
  <c r="RLN63" i="1"/>
  <c r="RLO63" i="1"/>
  <c r="RLP63" i="1"/>
  <c r="RLQ63" i="1"/>
  <c r="RLR63" i="1"/>
  <c r="RLS63" i="1"/>
  <c r="RLT63" i="1"/>
  <c r="RLU63" i="1"/>
  <c r="RLV63" i="1"/>
  <c r="RLW63" i="1"/>
  <c r="RLX63" i="1"/>
  <c r="RLY63" i="1"/>
  <c r="RLZ63" i="1"/>
  <c r="RMA63" i="1"/>
  <c r="RMB63" i="1"/>
  <c r="RMC63" i="1"/>
  <c r="RMD63" i="1"/>
  <c r="RME63" i="1"/>
  <c r="RMF63" i="1"/>
  <c r="RMG63" i="1"/>
  <c r="RMH63" i="1"/>
  <c r="RMI63" i="1"/>
  <c r="RMJ63" i="1"/>
  <c r="RMK63" i="1"/>
  <c r="RML63" i="1"/>
  <c r="RMM63" i="1"/>
  <c r="RMN63" i="1"/>
  <c r="RMO63" i="1"/>
  <c r="RMP63" i="1"/>
  <c r="RMQ63" i="1"/>
  <c r="RMR63" i="1"/>
  <c r="RMS63" i="1"/>
  <c r="RMT63" i="1"/>
  <c r="RMU63" i="1"/>
  <c r="RMV63" i="1"/>
  <c r="RMW63" i="1"/>
  <c r="RMX63" i="1"/>
  <c r="RMY63" i="1"/>
  <c r="RMZ63" i="1"/>
  <c r="RNA63" i="1"/>
  <c r="RNB63" i="1"/>
  <c r="RNC63" i="1"/>
  <c r="RND63" i="1"/>
  <c r="RNE63" i="1"/>
  <c r="RNF63" i="1"/>
  <c r="RNG63" i="1"/>
  <c r="RNH63" i="1"/>
  <c r="RNI63" i="1"/>
  <c r="RNJ63" i="1"/>
  <c r="RNK63" i="1"/>
  <c r="RNL63" i="1"/>
  <c r="RNM63" i="1"/>
  <c r="RNN63" i="1"/>
  <c r="RNO63" i="1"/>
  <c r="RNP63" i="1"/>
  <c r="RNQ63" i="1"/>
  <c r="RNR63" i="1"/>
  <c r="RNS63" i="1"/>
  <c r="RNT63" i="1"/>
  <c r="RNU63" i="1"/>
  <c r="RNV63" i="1"/>
  <c r="RNW63" i="1"/>
  <c r="RNX63" i="1"/>
  <c r="RNY63" i="1"/>
  <c r="RNZ63" i="1"/>
  <c r="ROA63" i="1"/>
  <c r="ROB63" i="1"/>
  <c r="ROC63" i="1"/>
  <c r="ROD63" i="1"/>
  <c r="ROE63" i="1"/>
  <c r="ROF63" i="1"/>
  <c r="ROG63" i="1"/>
  <c r="ROH63" i="1"/>
  <c r="ROI63" i="1"/>
  <c r="ROJ63" i="1"/>
  <c r="ROK63" i="1"/>
  <c r="ROL63" i="1"/>
  <c r="ROM63" i="1"/>
  <c r="RON63" i="1"/>
  <c r="ROO63" i="1"/>
  <c r="ROP63" i="1"/>
  <c r="ROQ63" i="1"/>
  <c r="ROR63" i="1"/>
  <c r="ROS63" i="1"/>
  <c r="ROT63" i="1"/>
  <c r="ROU63" i="1"/>
  <c r="ROV63" i="1"/>
  <c r="ROW63" i="1"/>
  <c r="ROX63" i="1"/>
  <c r="ROY63" i="1"/>
  <c r="ROZ63" i="1"/>
  <c r="RPA63" i="1"/>
  <c r="RPB63" i="1"/>
  <c r="RPC63" i="1"/>
  <c r="RPD63" i="1"/>
  <c r="RPE63" i="1"/>
  <c r="RPF63" i="1"/>
  <c r="RPG63" i="1"/>
  <c r="RPH63" i="1"/>
  <c r="RPI63" i="1"/>
  <c r="RPJ63" i="1"/>
  <c r="RPK63" i="1"/>
  <c r="RPL63" i="1"/>
  <c r="RPM63" i="1"/>
  <c r="RPN63" i="1"/>
  <c r="RPO63" i="1"/>
  <c r="RPP63" i="1"/>
  <c r="RPQ63" i="1"/>
  <c r="RPR63" i="1"/>
  <c r="RPS63" i="1"/>
  <c r="RPT63" i="1"/>
  <c r="RPU63" i="1"/>
  <c r="RPV63" i="1"/>
  <c r="RPW63" i="1"/>
  <c r="RPX63" i="1"/>
  <c r="RPY63" i="1"/>
  <c r="RPZ63" i="1"/>
  <c r="RQA63" i="1"/>
  <c r="RQB63" i="1"/>
  <c r="RQC63" i="1"/>
  <c r="RQD63" i="1"/>
  <c r="RQE63" i="1"/>
  <c r="RQF63" i="1"/>
  <c r="RQG63" i="1"/>
  <c r="RQH63" i="1"/>
  <c r="RQI63" i="1"/>
  <c r="RQJ63" i="1"/>
  <c r="RQK63" i="1"/>
  <c r="RQL63" i="1"/>
  <c r="RQM63" i="1"/>
  <c r="RQN63" i="1"/>
  <c r="RQO63" i="1"/>
  <c r="RQP63" i="1"/>
  <c r="RQQ63" i="1"/>
  <c r="RQR63" i="1"/>
  <c r="RQS63" i="1"/>
  <c r="RQT63" i="1"/>
  <c r="RQU63" i="1"/>
  <c r="RQV63" i="1"/>
  <c r="RQW63" i="1"/>
  <c r="RQX63" i="1"/>
  <c r="RQY63" i="1"/>
  <c r="RQZ63" i="1"/>
  <c r="RRA63" i="1"/>
  <c r="RRB63" i="1"/>
  <c r="RRC63" i="1"/>
  <c r="RRD63" i="1"/>
  <c r="RRE63" i="1"/>
  <c r="RRF63" i="1"/>
  <c r="RRG63" i="1"/>
  <c r="RRH63" i="1"/>
  <c r="RRI63" i="1"/>
  <c r="RRJ63" i="1"/>
  <c r="RRK63" i="1"/>
  <c r="RRL63" i="1"/>
  <c r="RRM63" i="1"/>
  <c r="RRN63" i="1"/>
  <c r="RRO63" i="1"/>
  <c r="RRP63" i="1"/>
  <c r="RRQ63" i="1"/>
  <c r="RRR63" i="1"/>
  <c r="RRS63" i="1"/>
  <c r="RRT63" i="1"/>
  <c r="RRU63" i="1"/>
  <c r="RRV63" i="1"/>
  <c r="RRW63" i="1"/>
  <c r="RRX63" i="1"/>
  <c r="RRY63" i="1"/>
  <c r="RRZ63" i="1"/>
  <c r="RSA63" i="1"/>
  <c r="RSB63" i="1"/>
  <c r="RSC63" i="1"/>
  <c r="RSD63" i="1"/>
  <c r="RSE63" i="1"/>
  <c r="RSF63" i="1"/>
  <c r="RSG63" i="1"/>
  <c r="RSH63" i="1"/>
  <c r="RSI63" i="1"/>
  <c r="RSJ63" i="1"/>
  <c r="RSK63" i="1"/>
  <c r="RSL63" i="1"/>
  <c r="RSM63" i="1"/>
  <c r="RSN63" i="1"/>
  <c r="RSO63" i="1"/>
  <c r="RSP63" i="1"/>
  <c r="RSQ63" i="1"/>
  <c r="RSR63" i="1"/>
  <c r="RSS63" i="1"/>
  <c r="RST63" i="1"/>
  <c r="RSU63" i="1"/>
  <c r="RSV63" i="1"/>
  <c r="RSW63" i="1"/>
  <c r="RSX63" i="1"/>
  <c r="RSY63" i="1"/>
  <c r="RSZ63" i="1"/>
  <c r="RTA63" i="1"/>
  <c r="RTB63" i="1"/>
  <c r="RTC63" i="1"/>
  <c r="RTD63" i="1"/>
  <c r="RTE63" i="1"/>
  <c r="RTF63" i="1"/>
  <c r="RTG63" i="1"/>
  <c r="RTH63" i="1"/>
  <c r="RTI63" i="1"/>
  <c r="RTJ63" i="1"/>
  <c r="RTK63" i="1"/>
  <c r="RTL63" i="1"/>
  <c r="RTM63" i="1"/>
  <c r="RTN63" i="1"/>
  <c r="RTO63" i="1"/>
  <c r="RTP63" i="1"/>
  <c r="RTQ63" i="1"/>
  <c r="RTR63" i="1"/>
  <c r="RTS63" i="1"/>
  <c r="RTT63" i="1"/>
  <c r="RTU63" i="1"/>
  <c r="RTV63" i="1"/>
  <c r="RTW63" i="1"/>
  <c r="RTX63" i="1"/>
  <c r="RTY63" i="1"/>
  <c r="RTZ63" i="1"/>
  <c r="RUA63" i="1"/>
  <c r="RUB63" i="1"/>
  <c r="RUC63" i="1"/>
  <c r="RUD63" i="1"/>
  <c r="RUE63" i="1"/>
  <c r="RUF63" i="1"/>
  <c r="RUG63" i="1"/>
  <c r="RUH63" i="1"/>
  <c r="RUI63" i="1"/>
  <c r="RUJ63" i="1"/>
  <c r="RUK63" i="1"/>
  <c r="RUL63" i="1"/>
  <c r="RUM63" i="1"/>
  <c r="RUN63" i="1"/>
  <c r="RUO63" i="1"/>
  <c r="RUP63" i="1"/>
  <c r="RUQ63" i="1"/>
  <c r="RUR63" i="1"/>
  <c r="RUS63" i="1"/>
  <c r="RUT63" i="1"/>
  <c r="RUU63" i="1"/>
  <c r="RUV63" i="1"/>
  <c r="RUW63" i="1"/>
  <c r="RUX63" i="1"/>
  <c r="RUY63" i="1"/>
  <c r="RUZ63" i="1"/>
  <c r="RVA63" i="1"/>
  <c r="RVB63" i="1"/>
  <c r="RVC63" i="1"/>
  <c r="RVD63" i="1"/>
  <c r="RVE63" i="1"/>
  <c r="RVF63" i="1"/>
  <c r="RVG63" i="1"/>
  <c r="RVH63" i="1"/>
  <c r="RVI63" i="1"/>
  <c r="RVJ63" i="1"/>
  <c r="RVK63" i="1"/>
  <c r="RVL63" i="1"/>
  <c r="RVM63" i="1"/>
  <c r="RVN63" i="1"/>
  <c r="RVO63" i="1"/>
  <c r="RVP63" i="1"/>
  <c r="RVQ63" i="1"/>
  <c r="RVR63" i="1"/>
  <c r="RVS63" i="1"/>
  <c r="RVT63" i="1"/>
  <c r="RVU63" i="1"/>
  <c r="RVV63" i="1"/>
  <c r="RVW63" i="1"/>
  <c r="RVX63" i="1"/>
  <c r="RVY63" i="1"/>
  <c r="RVZ63" i="1"/>
  <c r="RWA63" i="1"/>
  <c r="RWB63" i="1"/>
  <c r="RWC63" i="1"/>
  <c r="RWD63" i="1"/>
  <c r="RWE63" i="1"/>
  <c r="RWF63" i="1"/>
  <c r="RWG63" i="1"/>
  <c r="RWH63" i="1"/>
  <c r="RWI63" i="1"/>
  <c r="RWJ63" i="1"/>
  <c r="RWK63" i="1"/>
  <c r="RWL63" i="1"/>
  <c r="RWM63" i="1"/>
  <c r="RWN63" i="1"/>
  <c r="RWO63" i="1"/>
  <c r="RWP63" i="1"/>
  <c r="RWQ63" i="1"/>
  <c r="RWR63" i="1"/>
  <c r="RWS63" i="1"/>
  <c r="RWT63" i="1"/>
  <c r="RWU63" i="1"/>
  <c r="RWV63" i="1"/>
  <c r="RWW63" i="1"/>
  <c r="RWX63" i="1"/>
  <c r="RWY63" i="1"/>
  <c r="RWZ63" i="1"/>
  <c r="RXA63" i="1"/>
  <c r="RXB63" i="1"/>
  <c r="RXC63" i="1"/>
  <c r="RXD63" i="1"/>
  <c r="RXE63" i="1"/>
  <c r="RXF63" i="1"/>
  <c r="RXG63" i="1"/>
  <c r="RXH63" i="1"/>
  <c r="RXI63" i="1"/>
  <c r="RXJ63" i="1"/>
  <c r="RXK63" i="1"/>
  <c r="RXL63" i="1"/>
  <c r="RXM63" i="1"/>
  <c r="RXN63" i="1"/>
  <c r="RXO63" i="1"/>
  <c r="RXP63" i="1"/>
  <c r="RXQ63" i="1"/>
  <c r="RXR63" i="1"/>
  <c r="RXS63" i="1"/>
  <c r="RXT63" i="1"/>
  <c r="RXU63" i="1"/>
  <c r="RXV63" i="1"/>
  <c r="RXW63" i="1"/>
  <c r="RXX63" i="1"/>
  <c r="RXY63" i="1"/>
  <c r="RXZ63" i="1"/>
  <c r="RYA63" i="1"/>
  <c r="RYB63" i="1"/>
  <c r="RYC63" i="1"/>
  <c r="RYD63" i="1"/>
  <c r="RYE63" i="1"/>
  <c r="RYF63" i="1"/>
  <c r="RYG63" i="1"/>
  <c r="RYH63" i="1"/>
  <c r="RYI63" i="1"/>
  <c r="RYJ63" i="1"/>
  <c r="RYK63" i="1"/>
  <c r="RYL63" i="1"/>
  <c r="RYM63" i="1"/>
  <c r="RYN63" i="1"/>
  <c r="RYO63" i="1"/>
  <c r="RYP63" i="1"/>
  <c r="RYQ63" i="1"/>
  <c r="RYR63" i="1"/>
  <c r="RYS63" i="1"/>
  <c r="RYT63" i="1"/>
  <c r="RYU63" i="1"/>
  <c r="RYV63" i="1"/>
  <c r="RYW63" i="1"/>
  <c r="RYX63" i="1"/>
  <c r="RYY63" i="1"/>
  <c r="RYZ63" i="1"/>
  <c r="RZA63" i="1"/>
  <c r="RZB63" i="1"/>
  <c r="RZC63" i="1"/>
  <c r="RZD63" i="1"/>
  <c r="RZE63" i="1"/>
  <c r="RZF63" i="1"/>
  <c r="RZG63" i="1"/>
  <c r="RZH63" i="1"/>
  <c r="RZI63" i="1"/>
  <c r="RZJ63" i="1"/>
  <c r="RZK63" i="1"/>
  <c r="RZL63" i="1"/>
  <c r="RZM63" i="1"/>
  <c r="RZN63" i="1"/>
  <c r="RZO63" i="1"/>
  <c r="RZP63" i="1"/>
  <c r="RZQ63" i="1"/>
  <c r="RZR63" i="1"/>
  <c r="RZS63" i="1"/>
  <c r="RZT63" i="1"/>
  <c r="RZU63" i="1"/>
  <c r="RZV63" i="1"/>
  <c r="RZW63" i="1"/>
  <c r="RZX63" i="1"/>
  <c r="RZY63" i="1"/>
  <c r="RZZ63" i="1"/>
  <c r="SAA63" i="1"/>
  <c r="SAB63" i="1"/>
  <c r="SAC63" i="1"/>
  <c r="SAD63" i="1"/>
  <c r="SAE63" i="1"/>
  <c r="SAF63" i="1"/>
  <c r="SAG63" i="1"/>
  <c r="SAH63" i="1"/>
  <c r="SAI63" i="1"/>
  <c r="SAJ63" i="1"/>
  <c r="SAK63" i="1"/>
  <c r="SAL63" i="1"/>
  <c r="SAM63" i="1"/>
  <c r="SAN63" i="1"/>
  <c r="SAO63" i="1"/>
  <c r="SAP63" i="1"/>
  <c r="SAQ63" i="1"/>
  <c r="SAR63" i="1"/>
  <c r="SAS63" i="1"/>
  <c r="SAT63" i="1"/>
  <c r="SAU63" i="1"/>
  <c r="SAV63" i="1"/>
  <c r="SAW63" i="1"/>
  <c r="SAX63" i="1"/>
  <c r="SAY63" i="1"/>
  <c r="SAZ63" i="1"/>
  <c r="SBA63" i="1"/>
  <c r="SBB63" i="1"/>
  <c r="SBC63" i="1"/>
  <c r="SBD63" i="1"/>
  <c r="SBE63" i="1"/>
  <c r="SBF63" i="1"/>
  <c r="SBG63" i="1"/>
  <c r="SBH63" i="1"/>
  <c r="SBI63" i="1"/>
  <c r="SBJ63" i="1"/>
  <c r="SBK63" i="1"/>
  <c r="SBL63" i="1"/>
  <c r="SBM63" i="1"/>
  <c r="SBN63" i="1"/>
  <c r="SBO63" i="1"/>
  <c r="SBP63" i="1"/>
  <c r="SBQ63" i="1"/>
  <c r="SBR63" i="1"/>
  <c r="SBS63" i="1"/>
  <c r="SBT63" i="1"/>
  <c r="SBU63" i="1"/>
  <c r="SBV63" i="1"/>
  <c r="SBW63" i="1"/>
  <c r="SBX63" i="1"/>
  <c r="SBY63" i="1"/>
  <c r="SBZ63" i="1"/>
  <c r="SCA63" i="1"/>
  <c r="SCB63" i="1"/>
  <c r="SCC63" i="1"/>
  <c r="SCD63" i="1"/>
  <c r="SCE63" i="1"/>
  <c r="SCF63" i="1"/>
  <c r="SCG63" i="1"/>
  <c r="SCH63" i="1"/>
  <c r="SCI63" i="1"/>
  <c r="SCJ63" i="1"/>
  <c r="SCK63" i="1"/>
  <c r="SCL63" i="1"/>
  <c r="SCM63" i="1"/>
  <c r="SCN63" i="1"/>
  <c r="SCO63" i="1"/>
  <c r="SCP63" i="1"/>
  <c r="SCQ63" i="1"/>
  <c r="SCR63" i="1"/>
  <c r="SCS63" i="1"/>
  <c r="SCT63" i="1"/>
  <c r="SCU63" i="1"/>
  <c r="SCV63" i="1"/>
  <c r="SCW63" i="1"/>
  <c r="SCX63" i="1"/>
  <c r="SCY63" i="1"/>
  <c r="SCZ63" i="1"/>
  <c r="SDA63" i="1"/>
  <c r="SDB63" i="1"/>
  <c r="SDC63" i="1"/>
  <c r="SDD63" i="1"/>
  <c r="SDE63" i="1"/>
  <c r="SDF63" i="1"/>
  <c r="SDG63" i="1"/>
  <c r="SDH63" i="1"/>
  <c r="SDI63" i="1"/>
  <c r="SDJ63" i="1"/>
  <c r="SDK63" i="1"/>
  <c r="SDL63" i="1"/>
  <c r="SDM63" i="1"/>
  <c r="SDN63" i="1"/>
  <c r="SDO63" i="1"/>
  <c r="SDP63" i="1"/>
  <c r="SDQ63" i="1"/>
  <c r="SDR63" i="1"/>
  <c r="SDS63" i="1"/>
  <c r="SDT63" i="1"/>
  <c r="SDU63" i="1"/>
  <c r="SDV63" i="1"/>
  <c r="SDW63" i="1"/>
  <c r="SDX63" i="1"/>
  <c r="SDY63" i="1"/>
  <c r="SDZ63" i="1"/>
  <c r="SEA63" i="1"/>
  <c r="SEB63" i="1"/>
  <c r="SEC63" i="1"/>
  <c r="SED63" i="1"/>
  <c r="SEE63" i="1"/>
  <c r="SEF63" i="1"/>
  <c r="SEG63" i="1"/>
  <c r="SEH63" i="1"/>
  <c r="SEI63" i="1"/>
  <c r="SEJ63" i="1"/>
  <c r="SEK63" i="1"/>
  <c r="SEL63" i="1"/>
  <c r="SEM63" i="1"/>
  <c r="SEN63" i="1"/>
  <c r="SEO63" i="1"/>
  <c r="SEP63" i="1"/>
  <c r="SEQ63" i="1"/>
  <c r="SER63" i="1"/>
  <c r="SES63" i="1"/>
  <c r="SET63" i="1"/>
  <c r="SEU63" i="1"/>
  <c r="SEV63" i="1"/>
  <c r="SEW63" i="1"/>
  <c r="SEX63" i="1"/>
  <c r="SEY63" i="1"/>
  <c r="SEZ63" i="1"/>
  <c r="SFA63" i="1"/>
  <c r="SFB63" i="1"/>
  <c r="SFC63" i="1"/>
  <c r="SFD63" i="1"/>
  <c r="SFE63" i="1"/>
  <c r="SFF63" i="1"/>
  <c r="SFG63" i="1"/>
  <c r="SFH63" i="1"/>
  <c r="SFI63" i="1"/>
  <c r="SFJ63" i="1"/>
  <c r="SFK63" i="1"/>
  <c r="SFL63" i="1"/>
  <c r="SFM63" i="1"/>
  <c r="SFN63" i="1"/>
  <c r="SFO63" i="1"/>
  <c r="SFP63" i="1"/>
  <c r="SFQ63" i="1"/>
  <c r="SFR63" i="1"/>
  <c r="SFS63" i="1"/>
  <c r="SFT63" i="1"/>
  <c r="SFU63" i="1"/>
  <c r="SFV63" i="1"/>
  <c r="SFW63" i="1"/>
  <c r="SFX63" i="1"/>
  <c r="SFY63" i="1"/>
  <c r="SFZ63" i="1"/>
  <c r="SGA63" i="1"/>
  <c r="SGB63" i="1"/>
  <c r="SGC63" i="1"/>
  <c r="SGD63" i="1"/>
  <c r="SGE63" i="1"/>
  <c r="SGF63" i="1"/>
  <c r="SGG63" i="1"/>
  <c r="SGH63" i="1"/>
  <c r="SGI63" i="1"/>
  <c r="SGJ63" i="1"/>
  <c r="SGK63" i="1"/>
  <c r="SGL63" i="1"/>
  <c r="SGM63" i="1"/>
  <c r="SGN63" i="1"/>
  <c r="SGO63" i="1"/>
  <c r="SGP63" i="1"/>
  <c r="SGQ63" i="1"/>
  <c r="SGR63" i="1"/>
  <c r="SGS63" i="1"/>
  <c r="SGT63" i="1"/>
  <c r="SGU63" i="1"/>
  <c r="SGV63" i="1"/>
  <c r="SGW63" i="1"/>
  <c r="SGX63" i="1"/>
  <c r="SGY63" i="1"/>
  <c r="SGZ63" i="1"/>
  <c r="SHA63" i="1"/>
  <c r="SHB63" i="1"/>
  <c r="SHC63" i="1"/>
  <c r="SHD63" i="1"/>
  <c r="SHE63" i="1"/>
  <c r="SHF63" i="1"/>
  <c r="SHG63" i="1"/>
  <c r="SHH63" i="1"/>
  <c r="SHI63" i="1"/>
  <c r="SHJ63" i="1"/>
  <c r="SHK63" i="1"/>
  <c r="SHL63" i="1"/>
  <c r="SHM63" i="1"/>
  <c r="SHN63" i="1"/>
  <c r="SHO63" i="1"/>
  <c r="SHP63" i="1"/>
  <c r="SHQ63" i="1"/>
  <c r="SHR63" i="1"/>
  <c r="SHS63" i="1"/>
  <c r="SHT63" i="1"/>
  <c r="SHU63" i="1"/>
  <c r="SHV63" i="1"/>
  <c r="SHW63" i="1"/>
  <c r="SHX63" i="1"/>
  <c r="SHY63" i="1"/>
  <c r="SHZ63" i="1"/>
  <c r="SIA63" i="1"/>
  <c r="SIB63" i="1"/>
  <c r="SIC63" i="1"/>
  <c r="SID63" i="1"/>
  <c r="SIE63" i="1"/>
  <c r="SIF63" i="1"/>
  <c r="SIG63" i="1"/>
  <c r="SIH63" i="1"/>
  <c r="SII63" i="1"/>
  <c r="SIJ63" i="1"/>
  <c r="SIK63" i="1"/>
  <c r="SIL63" i="1"/>
  <c r="SIM63" i="1"/>
  <c r="SIN63" i="1"/>
  <c r="SIO63" i="1"/>
  <c r="SIP63" i="1"/>
  <c r="SIQ63" i="1"/>
  <c r="SIR63" i="1"/>
  <c r="SIS63" i="1"/>
  <c r="SIT63" i="1"/>
  <c r="SIU63" i="1"/>
  <c r="SIV63" i="1"/>
  <c r="SIW63" i="1"/>
  <c r="SIX63" i="1"/>
  <c r="SIY63" i="1"/>
  <c r="SIZ63" i="1"/>
  <c r="SJA63" i="1"/>
  <c r="SJB63" i="1"/>
  <c r="SJC63" i="1"/>
  <c r="SJD63" i="1"/>
  <c r="SJE63" i="1"/>
  <c r="SJF63" i="1"/>
  <c r="SJG63" i="1"/>
  <c r="SJH63" i="1"/>
  <c r="SJI63" i="1"/>
  <c r="SJJ63" i="1"/>
  <c r="SJK63" i="1"/>
  <c r="SJL63" i="1"/>
  <c r="SJM63" i="1"/>
  <c r="SJN63" i="1"/>
  <c r="SJO63" i="1"/>
  <c r="SJP63" i="1"/>
  <c r="SJQ63" i="1"/>
  <c r="SJR63" i="1"/>
  <c r="SJS63" i="1"/>
  <c r="SJT63" i="1"/>
  <c r="SJU63" i="1"/>
  <c r="SJV63" i="1"/>
  <c r="SJW63" i="1"/>
  <c r="SJX63" i="1"/>
  <c r="SJY63" i="1"/>
  <c r="SJZ63" i="1"/>
  <c r="SKA63" i="1"/>
  <c r="SKB63" i="1"/>
  <c r="SKC63" i="1"/>
  <c r="SKD63" i="1"/>
  <c r="SKE63" i="1"/>
  <c r="SKF63" i="1"/>
  <c r="SKG63" i="1"/>
  <c r="SKH63" i="1"/>
  <c r="SKI63" i="1"/>
  <c r="SKJ63" i="1"/>
  <c r="SKK63" i="1"/>
  <c r="SKL63" i="1"/>
  <c r="SKM63" i="1"/>
  <c r="SKN63" i="1"/>
  <c r="SKO63" i="1"/>
  <c r="SKP63" i="1"/>
  <c r="SKQ63" i="1"/>
  <c r="SKR63" i="1"/>
  <c r="SKS63" i="1"/>
  <c r="SKT63" i="1"/>
  <c r="SKU63" i="1"/>
  <c r="SKV63" i="1"/>
  <c r="SKW63" i="1"/>
  <c r="SKX63" i="1"/>
  <c r="SKY63" i="1"/>
  <c r="SKZ63" i="1"/>
  <c r="SLA63" i="1"/>
  <c r="SLB63" i="1"/>
  <c r="SLC63" i="1"/>
  <c r="SLD63" i="1"/>
  <c r="SLE63" i="1"/>
  <c r="SLF63" i="1"/>
  <c r="SLG63" i="1"/>
  <c r="SLH63" i="1"/>
  <c r="SLI63" i="1"/>
  <c r="SLJ63" i="1"/>
  <c r="SLK63" i="1"/>
  <c r="SLL63" i="1"/>
  <c r="SLM63" i="1"/>
  <c r="SLN63" i="1"/>
  <c r="SLO63" i="1"/>
  <c r="SLP63" i="1"/>
  <c r="SLQ63" i="1"/>
  <c r="SLR63" i="1"/>
  <c r="SLS63" i="1"/>
  <c r="SLT63" i="1"/>
  <c r="SLU63" i="1"/>
  <c r="SLV63" i="1"/>
  <c r="SLW63" i="1"/>
  <c r="SLX63" i="1"/>
  <c r="SLY63" i="1"/>
  <c r="SLZ63" i="1"/>
  <c r="SMA63" i="1"/>
  <c r="SMB63" i="1"/>
  <c r="SMC63" i="1"/>
  <c r="SMD63" i="1"/>
  <c r="SME63" i="1"/>
  <c r="SMF63" i="1"/>
  <c r="SMG63" i="1"/>
  <c r="SMH63" i="1"/>
  <c r="SMI63" i="1"/>
  <c r="SMJ63" i="1"/>
  <c r="SMK63" i="1"/>
  <c r="SML63" i="1"/>
  <c r="SMM63" i="1"/>
  <c r="SMN63" i="1"/>
  <c r="SMO63" i="1"/>
  <c r="SMP63" i="1"/>
  <c r="SMQ63" i="1"/>
  <c r="SMR63" i="1"/>
  <c r="SMS63" i="1"/>
  <c r="SMT63" i="1"/>
  <c r="SMU63" i="1"/>
  <c r="SMV63" i="1"/>
  <c r="SMW63" i="1"/>
  <c r="SMX63" i="1"/>
  <c r="SMY63" i="1"/>
  <c r="SMZ63" i="1"/>
  <c r="SNA63" i="1"/>
  <c r="SNB63" i="1"/>
  <c r="SNC63" i="1"/>
  <c r="SND63" i="1"/>
  <c r="SNE63" i="1"/>
  <c r="SNF63" i="1"/>
  <c r="SNG63" i="1"/>
  <c r="SNH63" i="1"/>
  <c r="SNI63" i="1"/>
  <c r="SNJ63" i="1"/>
  <c r="SNK63" i="1"/>
  <c r="SNL63" i="1"/>
  <c r="SNM63" i="1"/>
  <c r="SNN63" i="1"/>
  <c r="SNO63" i="1"/>
  <c r="SNP63" i="1"/>
  <c r="SNQ63" i="1"/>
  <c r="SNR63" i="1"/>
  <c r="SNS63" i="1"/>
  <c r="SNT63" i="1"/>
  <c r="SNU63" i="1"/>
  <c r="SNV63" i="1"/>
  <c r="SNW63" i="1"/>
  <c r="SNX63" i="1"/>
  <c r="SNY63" i="1"/>
  <c r="SNZ63" i="1"/>
  <c r="SOA63" i="1"/>
  <c r="SOB63" i="1"/>
  <c r="SOC63" i="1"/>
  <c r="SOD63" i="1"/>
  <c r="SOE63" i="1"/>
  <c r="SOF63" i="1"/>
  <c r="SOG63" i="1"/>
  <c r="SOH63" i="1"/>
  <c r="SOI63" i="1"/>
  <c r="SOJ63" i="1"/>
  <c r="SOK63" i="1"/>
  <c r="SOL63" i="1"/>
  <c r="SOM63" i="1"/>
  <c r="SON63" i="1"/>
  <c r="SOO63" i="1"/>
  <c r="SOP63" i="1"/>
  <c r="SOQ63" i="1"/>
  <c r="SOR63" i="1"/>
  <c r="SOS63" i="1"/>
  <c r="SOT63" i="1"/>
  <c r="SOU63" i="1"/>
  <c r="SOV63" i="1"/>
  <c r="SOW63" i="1"/>
  <c r="SOX63" i="1"/>
  <c r="SOY63" i="1"/>
  <c r="SOZ63" i="1"/>
  <c r="SPA63" i="1"/>
  <c r="SPB63" i="1"/>
  <c r="SPC63" i="1"/>
  <c r="SPD63" i="1"/>
  <c r="SPE63" i="1"/>
  <c r="SPF63" i="1"/>
  <c r="SPG63" i="1"/>
  <c r="SPH63" i="1"/>
  <c r="SPI63" i="1"/>
  <c r="SPJ63" i="1"/>
  <c r="SPK63" i="1"/>
  <c r="SPL63" i="1"/>
  <c r="SPM63" i="1"/>
  <c r="SPN63" i="1"/>
  <c r="SPO63" i="1"/>
  <c r="SPP63" i="1"/>
  <c r="SPQ63" i="1"/>
  <c r="SPR63" i="1"/>
  <c r="SPS63" i="1"/>
  <c r="SPT63" i="1"/>
  <c r="SPU63" i="1"/>
  <c r="SPV63" i="1"/>
  <c r="SPW63" i="1"/>
  <c r="SPX63" i="1"/>
  <c r="SPY63" i="1"/>
  <c r="SPZ63" i="1"/>
  <c r="SQA63" i="1"/>
  <c r="SQB63" i="1"/>
  <c r="SQC63" i="1"/>
  <c r="SQD63" i="1"/>
  <c r="SQE63" i="1"/>
  <c r="SQF63" i="1"/>
  <c r="SQG63" i="1"/>
  <c r="SQH63" i="1"/>
  <c r="SQI63" i="1"/>
  <c r="SQJ63" i="1"/>
  <c r="SQK63" i="1"/>
  <c r="SQL63" i="1"/>
  <c r="SQM63" i="1"/>
  <c r="SQN63" i="1"/>
  <c r="SQO63" i="1"/>
  <c r="SQP63" i="1"/>
  <c r="SQQ63" i="1"/>
  <c r="SQR63" i="1"/>
  <c r="SQS63" i="1"/>
  <c r="SQT63" i="1"/>
  <c r="SQU63" i="1"/>
  <c r="SQV63" i="1"/>
  <c r="SQW63" i="1"/>
  <c r="SQX63" i="1"/>
  <c r="SQY63" i="1"/>
  <c r="SQZ63" i="1"/>
  <c r="SRA63" i="1"/>
  <c r="SRB63" i="1"/>
  <c r="SRC63" i="1"/>
  <c r="SRD63" i="1"/>
  <c r="SRE63" i="1"/>
  <c r="SRF63" i="1"/>
  <c r="SRG63" i="1"/>
  <c r="SRH63" i="1"/>
  <c r="SRI63" i="1"/>
  <c r="SRJ63" i="1"/>
  <c r="SRK63" i="1"/>
  <c r="SRL63" i="1"/>
  <c r="SRM63" i="1"/>
  <c r="SRN63" i="1"/>
  <c r="SRO63" i="1"/>
  <c r="SRP63" i="1"/>
  <c r="SRQ63" i="1"/>
  <c r="SRR63" i="1"/>
  <c r="SRS63" i="1"/>
  <c r="SRT63" i="1"/>
  <c r="SRU63" i="1"/>
  <c r="SRV63" i="1"/>
  <c r="SRW63" i="1"/>
  <c r="SRX63" i="1"/>
  <c r="SRY63" i="1"/>
  <c r="SRZ63" i="1"/>
  <c r="SSA63" i="1"/>
  <c r="SSB63" i="1"/>
  <c r="SSC63" i="1"/>
  <c r="SSD63" i="1"/>
  <c r="SSE63" i="1"/>
  <c r="SSF63" i="1"/>
  <c r="SSG63" i="1"/>
  <c r="SSH63" i="1"/>
  <c r="SSI63" i="1"/>
  <c r="SSJ63" i="1"/>
  <c r="SSK63" i="1"/>
  <c r="SSL63" i="1"/>
  <c r="SSM63" i="1"/>
  <c r="SSN63" i="1"/>
  <c r="SSO63" i="1"/>
  <c r="SSP63" i="1"/>
  <c r="SSQ63" i="1"/>
  <c r="SSR63" i="1"/>
  <c r="SSS63" i="1"/>
  <c r="SST63" i="1"/>
  <c r="SSU63" i="1"/>
  <c r="SSV63" i="1"/>
  <c r="SSW63" i="1"/>
  <c r="SSX63" i="1"/>
  <c r="SSY63" i="1"/>
  <c r="SSZ63" i="1"/>
  <c r="STA63" i="1"/>
  <c r="STB63" i="1"/>
  <c r="STC63" i="1"/>
  <c r="STD63" i="1"/>
  <c r="STE63" i="1"/>
  <c r="STF63" i="1"/>
  <c r="STG63" i="1"/>
  <c r="STH63" i="1"/>
  <c r="STI63" i="1"/>
  <c r="STJ63" i="1"/>
  <c r="STK63" i="1"/>
  <c r="STL63" i="1"/>
  <c r="STM63" i="1"/>
  <c r="STN63" i="1"/>
  <c r="STO63" i="1"/>
  <c r="STP63" i="1"/>
  <c r="STQ63" i="1"/>
  <c r="STR63" i="1"/>
  <c r="STS63" i="1"/>
  <c r="STT63" i="1"/>
  <c r="STU63" i="1"/>
  <c r="STV63" i="1"/>
  <c r="STW63" i="1"/>
  <c r="STX63" i="1"/>
  <c r="STY63" i="1"/>
  <c r="STZ63" i="1"/>
  <c r="SUA63" i="1"/>
  <c r="SUB63" i="1"/>
  <c r="SUC63" i="1"/>
  <c r="SUD63" i="1"/>
  <c r="SUE63" i="1"/>
  <c r="SUF63" i="1"/>
  <c r="SUG63" i="1"/>
  <c r="SUH63" i="1"/>
  <c r="SUI63" i="1"/>
  <c r="SUJ63" i="1"/>
  <c r="SUK63" i="1"/>
  <c r="SUL63" i="1"/>
  <c r="SUM63" i="1"/>
  <c r="SUN63" i="1"/>
  <c r="SUO63" i="1"/>
  <c r="SUP63" i="1"/>
  <c r="SUQ63" i="1"/>
  <c r="SUR63" i="1"/>
  <c r="SUS63" i="1"/>
  <c r="SUT63" i="1"/>
  <c r="SUU63" i="1"/>
  <c r="SUV63" i="1"/>
  <c r="SUW63" i="1"/>
  <c r="SUX63" i="1"/>
  <c r="SUY63" i="1"/>
  <c r="SUZ63" i="1"/>
  <c r="SVA63" i="1"/>
  <c r="SVB63" i="1"/>
  <c r="SVC63" i="1"/>
  <c r="SVD63" i="1"/>
  <c r="SVE63" i="1"/>
  <c r="SVF63" i="1"/>
  <c r="SVG63" i="1"/>
  <c r="SVH63" i="1"/>
  <c r="SVI63" i="1"/>
  <c r="SVJ63" i="1"/>
  <c r="SVK63" i="1"/>
  <c r="SVL63" i="1"/>
  <c r="SVM63" i="1"/>
  <c r="SVN63" i="1"/>
  <c r="SVO63" i="1"/>
  <c r="SVP63" i="1"/>
  <c r="SVQ63" i="1"/>
  <c r="SVR63" i="1"/>
  <c r="SVS63" i="1"/>
  <c r="SVT63" i="1"/>
  <c r="SVU63" i="1"/>
  <c r="SVV63" i="1"/>
  <c r="SVW63" i="1"/>
  <c r="SVX63" i="1"/>
  <c r="SVY63" i="1"/>
  <c r="SVZ63" i="1"/>
  <c r="SWA63" i="1"/>
  <c r="SWB63" i="1"/>
  <c r="SWC63" i="1"/>
  <c r="SWD63" i="1"/>
  <c r="SWE63" i="1"/>
  <c r="SWF63" i="1"/>
  <c r="SWG63" i="1"/>
  <c r="SWH63" i="1"/>
  <c r="SWI63" i="1"/>
  <c r="SWJ63" i="1"/>
  <c r="SWK63" i="1"/>
  <c r="SWL63" i="1"/>
  <c r="SWM63" i="1"/>
  <c r="SWN63" i="1"/>
  <c r="SWO63" i="1"/>
  <c r="SWP63" i="1"/>
  <c r="SWQ63" i="1"/>
  <c r="SWR63" i="1"/>
  <c r="SWS63" i="1"/>
  <c r="SWT63" i="1"/>
  <c r="SWU63" i="1"/>
  <c r="SWV63" i="1"/>
  <c r="SWW63" i="1"/>
  <c r="SWX63" i="1"/>
  <c r="SWY63" i="1"/>
  <c r="SWZ63" i="1"/>
  <c r="SXA63" i="1"/>
  <c r="SXB63" i="1"/>
  <c r="SXC63" i="1"/>
  <c r="SXD63" i="1"/>
  <c r="SXE63" i="1"/>
  <c r="SXF63" i="1"/>
  <c r="SXG63" i="1"/>
  <c r="SXH63" i="1"/>
  <c r="SXI63" i="1"/>
  <c r="SXJ63" i="1"/>
  <c r="SXK63" i="1"/>
  <c r="SXL63" i="1"/>
  <c r="SXM63" i="1"/>
  <c r="SXN63" i="1"/>
  <c r="SXO63" i="1"/>
  <c r="SXP63" i="1"/>
  <c r="SXQ63" i="1"/>
  <c r="SXR63" i="1"/>
  <c r="SXS63" i="1"/>
  <c r="SXT63" i="1"/>
  <c r="SXU63" i="1"/>
  <c r="SXV63" i="1"/>
  <c r="SXW63" i="1"/>
  <c r="SXX63" i="1"/>
  <c r="SXY63" i="1"/>
  <c r="SXZ63" i="1"/>
  <c r="SYA63" i="1"/>
  <c r="SYB63" i="1"/>
  <c r="SYC63" i="1"/>
  <c r="SYD63" i="1"/>
  <c r="SYE63" i="1"/>
  <c r="SYF63" i="1"/>
  <c r="SYG63" i="1"/>
  <c r="SYH63" i="1"/>
  <c r="SYI63" i="1"/>
  <c r="SYJ63" i="1"/>
  <c r="SYK63" i="1"/>
  <c r="SYL63" i="1"/>
  <c r="SYM63" i="1"/>
  <c r="SYN63" i="1"/>
  <c r="SYO63" i="1"/>
  <c r="SYP63" i="1"/>
  <c r="SYQ63" i="1"/>
  <c r="SYR63" i="1"/>
  <c r="SYS63" i="1"/>
  <c r="SYT63" i="1"/>
  <c r="SYU63" i="1"/>
  <c r="SYV63" i="1"/>
  <c r="SYW63" i="1"/>
  <c r="SYX63" i="1"/>
  <c r="SYY63" i="1"/>
  <c r="SYZ63" i="1"/>
  <c r="SZA63" i="1"/>
  <c r="SZB63" i="1"/>
  <c r="SZC63" i="1"/>
  <c r="SZD63" i="1"/>
  <c r="SZE63" i="1"/>
  <c r="SZF63" i="1"/>
  <c r="SZG63" i="1"/>
  <c r="SZH63" i="1"/>
  <c r="SZI63" i="1"/>
  <c r="SZJ63" i="1"/>
  <c r="SZK63" i="1"/>
  <c r="SZL63" i="1"/>
  <c r="SZM63" i="1"/>
  <c r="SZN63" i="1"/>
  <c r="SZO63" i="1"/>
  <c r="SZP63" i="1"/>
  <c r="SZQ63" i="1"/>
  <c r="SZR63" i="1"/>
  <c r="SZS63" i="1"/>
  <c r="SZT63" i="1"/>
  <c r="SZU63" i="1"/>
  <c r="SZV63" i="1"/>
  <c r="SZW63" i="1"/>
  <c r="SZX63" i="1"/>
  <c r="SZY63" i="1"/>
  <c r="SZZ63" i="1"/>
  <c r="TAA63" i="1"/>
  <c r="TAB63" i="1"/>
  <c r="TAC63" i="1"/>
  <c r="TAD63" i="1"/>
  <c r="TAE63" i="1"/>
  <c r="TAF63" i="1"/>
  <c r="TAG63" i="1"/>
  <c r="TAH63" i="1"/>
  <c r="TAI63" i="1"/>
  <c r="TAJ63" i="1"/>
  <c r="TAK63" i="1"/>
  <c r="TAL63" i="1"/>
  <c r="TAM63" i="1"/>
  <c r="TAN63" i="1"/>
  <c r="TAO63" i="1"/>
  <c r="TAP63" i="1"/>
  <c r="TAQ63" i="1"/>
  <c r="TAR63" i="1"/>
  <c r="TAS63" i="1"/>
  <c r="TAT63" i="1"/>
  <c r="TAU63" i="1"/>
  <c r="TAV63" i="1"/>
  <c r="TAW63" i="1"/>
  <c r="TAX63" i="1"/>
  <c r="TAY63" i="1"/>
  <c r="TAZ63" i="1"/>
  <c r="TBA63" i="1"/>
  <c r="TBB63" i="1"/>
  <c r="TBC63" i="1"/>
  <c r="TBD63" i="1"/>
  <c r="TBE63" i="1"/>
  <c r="TBF63" i="1"/>
  <c r="TBG63" i="1"/>
  <c r="TBH63" i="1"/>
  <c r="TBI63" i="1"/>
  <c r="TBJ63" i="1"/>
  <c r="TBK63" i="1"/>
  <c r="TBL63" i="1"/>
  <c r="TBM63" i="1"/>
  <c r="TBN63" i="1"/>
  <c r="TBO63" i="1"/>
  <c r="TBP63" i="1"/>
  <c r="TBQ63" i="1"/>
  <c r="TBR63" i="1"/>
  <c r="TBS63" i="1"/>
  <c r="TBT63" i="1"/>
  <c r="TBU63" i="1"/>
  <c r="TBV63" i="1"/>
  <c r="TBW63" i="1"/>
  <c r="TBX63" i="1"/>
  <c r="TBY63" i="1"/>
  <c r="TBZ63" i="1"/>
  <c r="TCA63" i="1"/>
  <c r="TCB63" i="1"/>
  <c r="TCC63" i="1"/>
  <c r="TCD63" i="1"/>
  <c r="TCE63" i="1"/>
  <c r="TCF63" i="1"/>
  <c r="TCG63" i="1"/>
  <c r="TCH63" i="1"/>
  <c r="TCI63" i="1"/>
  <c r="TCJ63" i="1"/>
  <c r="TCK63" i="1"/>
  <c r="TCL63" i="1"/>
  <c r="TCM63" i="1"/>
  <c r="TCN63" i="1"/>
  <c r="TCO63" i="1"/>
  <c r="TCP63" i="1"/>
  <c r="TCQ63" i="1"/>
  <c r="TCR63" i="1"/>
  <c r="TCS63" i="1"/>
  <c r="TCT63" i="1"/>
  <c r="TCU63" i="1"/>
  <c r="TCV63" i="1"/>
  <c r="TCW63" i="1"/>
  <c r="TCX63" i="1"/>
  <c r="TCY63" i="1"/>
  <c r="TCZ63" i="1"/>
  <c r="TDA63" i="1"/>
  <c r="TDB63" i="1"/>
  <c r="TDC63" i="1"/>
  <c r="TDD63" i="1"/>
  <c r="TDE63" i="1"/>
  <c r="TDF63" i="1"/>
  <c r="TDG63" i="1"/>
  <c r="TDH63" i="1"/>
  <c r="TDI63" i="1"/>
  <c r="TDJ63" i="1"/>
  <c r="TDK63" i="1"/>
  <c r="TDL63" i="1"/>
  <c r="TDM63" i="1"/>
  <c r="TDN63" i="1"/>
  <c r="TDO63" i="1"/>
  <c r="TDP63" i="1"/>
  <c r="TDQ63" i="1"/>
  <c r="TDR63" i="1"/>
  <c r="TDS63" i="1"/>
  <c r="TDT63" i="1"/>
  <c r="TDU63" i="1"/>
  <c r="TDV63" i="1"/>
  <c r="TDW63" i="1"/>
  <c r="TDX63" i="1"/>
  <c r="TDY63" i="1"/>
  <c r="TDZ63" i="1"/>
  <c r="TEA63" i="1"/>
  <c r="TEB63" i="1"/>
  <c r="TEC63" i="1"/>
  <c r="TED63" i="1"/>
  <c r="TEE63" i="1"/>
  <c r="TEF63" i="1"/>
  <c r="TEG63" i="1"/>
  <c r="TEH63" i="1"/>
  <c r="TEI63" i="1"/>
  <c r="TEJ63" i="1"/>
  <c r="TEK63" i="1"/>
  <c r="TEL63" i="1"/>
  <c r="TEM63" i="1"/>
  <c r="TEN63" i="1"/>
  <c r="TEO63" i="1"/>
  <c r="TEP63" i="1"/>
  <c r="TEQ63" i="1"/>
  <c r="TER63" i="1"/>
  <c r="TES63" i="1"/>
  <c r="TET63" i="1"/>
  <c r="TEU63" i="1"/>
  <c r="TEV63" i="1"/>
  <c r="TEW63" i="1"/>
  <c r="TEX63" i="1"/>
  <c r="TEY63" i="1"/>
  <c r="TEZ63" i="1"/>
  <c r="TFA63" i="1"/>
  <c r="TFB63" i="1"/>
  <c r="TFC63" i="1"/>
  <c r="TFD63" i="1"/>
  <c r="TFE63" i="1"/>
  <c r="TFF63" i="1"/>
  <c r="TFG63" i="1"/>
  <c r="TFH63" i="1"/>
  <c r="TFI63" i="1"/>
  <c r="TFJ63" i="1"/>
  <c r="TFK63" i="1"/>
  <c r="TFL63" i="1"/>
  <c r="TFM63" i="1"/>
  <c r="TFN63" i="1"/>
  <c r="TFO63" i="1"/>
  <c r="TFP63" i="1"/>
  <c r="TFQ63" i="1"/>
  <c r="TFR63" i="1"/>
  <c r="TFS63" i="1"/>
  <c r="TFT63" i="1"/>
  <c r="TFU63" i="1"/>
  <c r="TFV63" i="1"/>
  <c r="TFW63" i="1"/>
  <c r="TFX63" i="1"/>
  <c r="TFY63" i="1"/>
  <c r="TFZ63" i="1"/>
  <c r="TGA63" i="1"/>
  <c r="TGB63" i="1"/>
  <c r="TGC63" i="1"/>
  <c r="TGD63" i="1"/>
  <c r="TGE63" i="1"/>
  <c r="TGF63" i="1"/>
  <c r="TGG63" i="1"/>
  <c r="TGH63" i="1"/>
  <c r="TGI63" i="1"/>
  <c r="TGJ63" i="1"/>
  <c r="TGK63" i="1"/>
  <c r="TGL63" i="1"/>
  <c r="TGM63" i="1"/>
  <c r="TGN63" i="1"/>
  <c r="TGO63" i="1"/>
  <c r="TGP63" i="1"/>
  <c r="TGQ63" i="1"/>
  <c r="TGR63" i="1"/>
  <c r="TGS63" i="1"/>
  <c r="TGT63" i="1"/>
  <c r="TGU63" i="1"/>
  <c r="TGV63" i="1"/>
  <c r="TGW63" i="1"/>
  <c r="TGX63" i="1"/>
  <c r="TGY63" i="1"/>
  <c r="TGZ63" i="1"/>
  <c r="THA63" i="1"/>
  <c r="THB63" i="1"/>
  <c r="THC63" i="1"/>
  <c r="THD63" i="1"/>
  <c r="THE63" i="1"/>
  <c r="THF63" i="1"/>
  <c r="THG63" i="1"/>
  <c r="THH63" i="1"/>
  <c r="THI63" i="1"/>
  <c r="THJ63" i="1"/>
  <c r="THK63" i="1"/>
  <c r="THL63" i="1"/>
  <c r="THM63" i="1"/>
  <c r="THN63" i="1"/>
  <c r="THO63" i="1"/>
  <c r="THP63" i="1"/>
  <c r="THQ63" i="1"/>
  <c r="THR63" i="1"/>
  <c r="THS63" i="1"/>
  <c r="THT63" i="1"/>
  <c r="THU63" i="1"/>
  <c r="THV63" i="1"/>
  <c r="THW63" i="1"/>
  <c r="THX63" i="1"/>
  <c r="THY63" i="1"/>
  <c r="THZ63" i="1"/>
  <c r="TIA63" i="1"/>
  <c r="TIB63" i="1"/>
  <c r="TIC63" i="1"/>
  <c r="TID63" i="1"/>
  <c r="TIE63" i="1"/>
  <c r="TIF63" i="1"/>
  <c r="TIG63" i="1"/>
  <c r="TIH63" i="1"/>
  <c r="TII63" i="1"/>
  <c r="TIJ63" i="1"/>
  <c r="TIK63" i="1"/>
  <c r="TIL63" i="1"/>
  <c r="TIM63" i="1"/>
  <c r="TIN63" i="1"/>
  <c r="TIO63" i="1"/>
  <c r="TIP63" i="1"/>
  <c r="TIQ63" i="1"/>
  <c r="TIR63" i="1"/>
  <c r="TIS63" i="1"/>
  <c r="TIT63" i="1"/>
  <c r="TIU63" i="1"/>
  <c r="TIV63" i="1"/>
  <c r="TIW63" i="1"/>
  <c r="TIX63" i="1"/>
  <c r="TIY63" i="1"/>
  <c r="TIZ63" i="1"/>
  <c r="TJA63" i="1"/>
  <c r="TJB63" i="1"/>
  <c r="TJC63" i="1"/>
  <c r="TJD63" i="1"/>
  <c r="TJE63" i="1"/>
  <c r="TJF63" i="1"/>
  <c r="TJG63" i="1"/>
  <c r="TJH63" i="1"/>
  <c r="TJI63" i="1"/>
  <c r="TJJ63" i="1"/>
  <c r="TJK63" i="1"/>
  <c r="TJL63" i="1"/>
  <c r="TJM63" i="1"/>
  <c r="TJN63" i="1"/>
  <c r="TJO63" i="1"/>
  <c r="TJP63" i="1"/>
  <c r="TJQ63" i="1"/>
  <c r="TJR63" i="1"/>
  <c r="TJS63" i="1"/>
  <c r="TJT63" i="1"/>
  <c r="TJU63" i="1"/>
  <c r="TJV63" i="1"/>
  <c r="TJW63" i="1"/>
  <c r="TJX63" i="1"/>
  <c r="TJY63" i="1"/>
  <c r="TJZ63" i="1"/>
  <c r="TKA63" i="1"/>
  <c r="TKB63" i="1"/>
  <c r="TKC63" i="1"/>
  <c r="TKD63" i="1"/>
  <c r="TKE63" i="1"/>
  <c r="TKF63" i="1"/>
  <c r="TKG63" i="1"/>
  <c r="TKH63" i="1"/>
  <c r="TKI63" i="1"/>
  <c r="TKJ63" i="1"/>
  <c r="TKK63" i="1"/>
  <c r="TKL63" i="1"/>
  <c r="TKM63" i="1"/>
  <c r="TKN63" i="1"/>
  <c r="TKO63" i="1"/>
  <c r="TKP63" i="1"/>
  <c r="TKQ63" i="1"/>
  <c r="TKR63" i="1"/>
  <c r="TKS63" i="1"/>
  <c r="TKT63" i="1"/>
  <c r="TKU63" i="1"/>
  <c r="TKV63" i="1"/>
  <c r="TKW63" i="1"/>
  <c r="TKX63" i="1"/>
  <c r="TKY63" i="1"/>
  <c r="TKZ63" i="1"/>
  <c r="TLA63" i="1"/>
  <c r="TLB63" i="1"/>
  <c r="TLC63" i="1"/>
  <c r="TLD63" i="1"/>
  <c r="TLE63" i="1"/>
  <c r="TLF63" i="1"/>
  <c r="TLG63" i="1"/>
  <c r="TLH63" i="1"/>
  <c r="TLI63" i="1"/>
  <c r="TLJ63" i="1"/>
  <c r="TLK63" i="1"/>
  <c r="TLL63" i="1"/>
  <c r="TLM63" i="1"/>
  <c r="TLN63" i="1"/>
  <c r="TLO63" i="1"/>
  <c r="TLP63" i="1"/>
  <c r="TLQ63" i="1"/>
  <c r="TLR63" i="1"/>
  <c r="TLS63" i="1"/>
  <c r="TLT63" i="1"/>
  <c r="TLU63" i="1"/>
  <c r="TLV63" i="1"/>
  <c r="TLW63" i="1"/>
  <c r="TLX63" i="1"/>
  <c r="TLY63" i="1"/>
  <c r="TLZ63" i="1"/>
  <c r="TMA63" i="1"/>
  <c r="TMB63" i="1"/>
  <c r="TMC63" i="1"/>
  <c r="TMD63" i="1"/>
  <c r="TME63" i="1"/>
  <c r="TMF63" i="1"/>
  <c r="TMG63" i="1"/>
  <c r="TMH63" i="1"/>
  <c r="TMI63" i="1"/>
  <c r="TMJ63" i="1"/>
  <c r="TMK63" i="1"/>
  <c r="TML63" i="1"/>
  <c r="TMM63" i="1"/>
  <c r="TMN63" i="1"/>
  <c r="TMO63" i="1"/>
  <c r="TMP63" i="1"/>
  <c r="TMQ63" i="1"/>
  <c r="TMR63" i="1"/>
  <c r="TMS63" i="1"/>
  <c r="TMT63" i="1"/>
  <c r="TMU63" i="1"/>
  <c r="TMV63" i="1"/>
  <c r="TMW63" i="1"/>
  <c r="TMX63" i="1"/>
  <c r="TMY63" i="1"/>
  <c r="TMZ63" i="1"/>
  <c r="TNA63" i="1"/>
  <c r="TNB63" i="1"/>
  <c r="TNC63" i="1"/>
  <c r="TND63" i="1"/>
  <c r="TNE63" i="1"/>
  <c r="TNF63" i="1"/>
  <c r="TNG63" i="1"/>
  <c r="TNH63" i="1"/>
  <c r="TNI63" i="1"/>
  <c r="TNJ63" i="1"/>
  <c r="TNK63" i="1"/>
  <c r="TNL63" i="1"/>
  <c r="TNM63" i="1"/>
  <c r="TNN63" i="1"/>
  <c r="TNO63" i="1"/>
  <c r="TNP63" i="1"/>
  <c r="TNQ63" i="1"/>
  <c r="TNR63" i="1"/>
  <c r="TNS63" i="1"/>
  <c r="TNT63" i="1"/>
  <c r="TNU63" i="1"/>
  <c r="TNV63" i="1"/>
  <c r="TNW63" i="1"/>
  <c r="TNX63" i="1"/>
  <c r="TNY63" i="1"/>
  <c r="TNZ63" i="1"/>
  <c r="TOA63" i="1"/>
  <c r="TOB63" i="1"/>
  <c r="TOC63" i="1"/>
  <c r="TOD63" i="1"/>
  <c r="TOE63" i="1"/>
  <c r="TOF63" i="1"/>
  <c r="TOG63" i="1"/>
  <c r="TOH63" i="1"/>
  <c r="TOI63" i="1"/>
  <c r="TOJ63" i="1"/>
  <c r="TOK63" i="1"/>
  <c r="TOL63" i="1"/>
  <c r="TOM63" i="1"/>
  <c r="TON63" i="1"/>
  <c r="TOO63" i="1"/>
  <c r="TOP63" i="1"/>
  <c r="TOQ63" i="1"/>
  <c r="TOR63" i="1"/>
  <c r="TOS63" i="1"/>
  <c r="TOT63" i="1"/>
  <c r="TOU63" i="1"/>
  <c r="TOV63" i="1"/>
  <c r="TOW63" i="1"/>
  <c r="TOX63" i="1"/>
  <c r="TOY63" i="1"/>
  <c r="TOZ63" i="1"/>
  <c r="TPA63" i="1"/>
  <c r="TPB63" i="1"/>
  <c r="TPC63" i="1"/>
  <c r="TPD63" i="1"/>
  <c r="TPE63" i="1"/>
  <c r="TPF63" i="1"/>
  <c r="TPG63" i="1"/>
  <c r="TPH63" i="1"/>
  <c r="TPI63" i="1"/>
  <c r="TPJ63" i="1"/>
  <c r="TPK63" i="1"/>
  <c r="TPL63" i="1"/>
  <c r="TPM63" i="1"/>
  <c r="TPN63" i="1"/>
  <c r="TPO63" i="1"/>
  <c r="TPP63" i="1"/>
  <c r="TPQ63" i="1"/>
  <c r="TPR63" i="1"/>
  <c r="TPS63" i="1"/>
  <c r="TPT63" i="1"/>
  <c r="TPU63" i="1"/>
  <c r="TPV63" i="1"/>
  <c r="TPW63" i="1"/>
  <c r="TPX63" i="1"/>
  <c r="TPY63" i="1"/>
  <c r="TPZ63" i="1"/>
  <c r="TQA63" i="1"/>
  <c r="TQB63" i="1"/>
  <c r="TQC63" i="1"/>
  <c r="TQD63" i="1"/>
  <c r="TQE63" i="1"/>
  <c r="TQF63" i="1"/>
  <c r="TQG63" i="1"/>
  <c r="TQH63" i="1"/>
  <c r="TQI63" i="1"/>
  <c r="TQJ63" i="1"/>
  <c r="TQK63" i="1"/>
  <c r="TQL63" i="1"/>
  <c r="TQM63" i="1"/>
  <c r="TQN63" i="1"/>
  <c r="TQO63" i="1"/>
  <c r="TQP63" i="1"/>
  <c r="TQQ63" i="1"/>
  <c r="TQR63" i="1"/>
  <c r="TQS63" i="1"/>
  <c r="TQT63" i="1"/>
  <c r="TQU63" i="1"/>
  <c r="TQV63" i="1"/>
  <c r="TQW63" i="1"/>
  <c r="TQX63" i="1"/>
  <c r="TQY63" i="1"/>
  <c r="TQZ63" i="1"/>
  <c r="TRA63" i="1"/>
  <c r="TRB63" i="1"/>
  <c r="TRC63" i="1"/>
  <c r="TRD63" i="1"/>
  <c r="TRE63" i="1"/>
  <c r="TRF63" i="1"/>
  <c r="TRG63" i="1"/>
  <c r="TRH63" i="1"/>
  <c r="TRI63" i="1"/>
  <c r="TRJ63" i="1"/>
  <c r="TRK63" i="1"/>
  <c r="TRL63" i="1"/>
  <c r="TRM63" i="1"/>
  <c r="TRN63" i="1"/>
  <c r="TRO63" i="1"/>
  <c r="TRP63" i="1"/>
  <c r="TRQ63" i="1"/>
  <c r="TRR63" i="1"/>
  <c r="TRS63" i="1"/>
  <c r="TRT63" i="1"/>
  <c r="TRU63" i="1"/>
  <c r="TRV63" i="1"/>
  <c r="TRW63" i="1"/>
  <c r="TRX63" i="1"/>
  <c r="TRY63" i="1"/>
  <c r="TRZ63" i="1"/>
  <c r="TSA63" i="1"/>
  <c r="TSB63" i="1"/>
  <c r="TSC63" i="1"/>
  <c r="TSD63" i="1"/>
  <c r="TSE63" i="1"/>
  <c r="TSF63" i="1"/>
  <c r="TSG63" i="1"/>
  <c r="TSH63" i="1"/>
  <c r="TSI63" i="1"/>
  <c r="TSJ63" i="1"/>
  <c r="TSK63" i="1"/>
  <c r="TSL63" i="1"/>
  <c r="TSM63" i="1"/>
  <c r="TSN63" i="1"/>
  <c r="TSO63" i="1"/>
  <c r="TSP63" i="1"/>
  <c r="TSQ63" i="1"/>
  <c r="TSR63" i="1"/>
  <c r="TSS63" i="1"/>
  <c r="TST63" i="1"/>
  <c r="TSU63" i="1"/>
  <c r="TSV63" i="1"/>
  <c r="TSW63" i="1"/>
  <c r="TSX63" i="1"/>
  <c r="TSY63" i="1"/>
  <c r="TSZ63" i="1"/>
  <c r="TTA63" i="1"/>
  <c r="TTB63" i="1"/>
  <c r="TTC63" i="1"/>
  <c r="TTD63" i="1"/>
  <c r="TTE63" i="1"/>
  <c r="TTF63" i="1"/>
  <c r="TTG63" i="1"/>
  <c r="TTH63" i="1"/>
  <c r="TTI63" i="1"/>
  <c r="TTJ63" i="1"/>
  <c r="TTK63" i="1"/>
  <c r="TTL63" i="1"/>
  <c r="TTM63" i="1"/>
  <c r="TTN63" i="1"/>
  <c r="TTO63" i="1"/>
  <c r="TTP63" i="1"/>
  <c r="TTQ63" i="1"/>
  <c r="TTR63" i="1"/>
  <c r="TTS63" i="1"/>
  <c r="TTT63" i="1"/>
  <c r="TTU63" i="1"/>
  <c r="TTV63" i="1"/>
  <c r="TTW63" i="1"/>
  <c r="TTX63" i="1"/>
  <c r="TTY63" i="1"/>
  <c r="TTZ63" i="1"/>
  <c r="TUA63" i="1"/>
  <c r="TUB63" i="1"/>
  <c r="TUC63" i="1"/>
  <c r="TUD63" i="1"/>
  <c r="TUE63" i="1"/>
  <c r="TUF63" i="1"/>
  <c r="TUG63" i="1"/>
  <c r="TUH63" i="1"/>
  <c r="TUI63" i="1"/>
  <c r="TUJ63" i="1"/>
  <c r="TUK63" i="1"/>
  <c r="TUL63" i="1"/>
  <c r="TUM63" i="1"/>
  <c r="TUN63" i="1"/>
  <c r="TUO63" i="1"/>
  <c r="TUP63" i="1"/>
  <c r="TUQ63" i="1"/>
  <c r="TUR63" i="1"/>
  <c r="TUS63" i="1"/>
  <c r="TUT63" i="1"/>
  <c r="TUU63" i="1"/>
  <c r="TUV63" i="1"/>
  <c r="TUW63" i="1"/>
  <c r="TUX63" i="1"/>
  <c r="TUY63" i="1"/>
  <c r="TUZ63" i="1"/>
  <c r="TVA63" i="1"/>
  <c r="TVB63" i="1"/>
  <c r="TVC63" i="1"/>
  <c r="TVD63" i="1"/>
  <c r="TVE63" i="1"/>
  <c r="TVF63" i="1"/>
  <c r="TVG63" i="1"/>
  <c r="TVH63" i="1"/>
  <c r="TVI63" i="1"/>
  <c r="TVJ63" i="1"/>
  <c r="TVK63" i="1"/>
  <c r="TVL63" i="1"/>
  <c r="TVM63" i="1"/>
  <c r="TVN63" i="1"/>
  <c r="TVO63" i="1"/>
  <c r="TVP63" i="1"/>
  <c r="TVQ63" i="1"/>
  <c r="TVR63" i="1"/>
  <c r="TVS63" i="1"/>
  <c r="TVT63" i="1"/>
  <c r="TVU63" i="1"/>
  <c r="TVV63" i="1"/>
  <c r="TVW63" i="1"/>
  <c r="TVX63" i="1"/>
  <c r="TVY63" i="1"/>
  <c r="TVZ63" i="1"/>
  <c r="TWA63" i="1"/>
  <c r="TWB63" i="1"/>
  <c r="TWC63" i="1"/>
  <c r="TWD63" i="1"/>
  <c r="TWE63" i="1"/>
  <c r="TWF63" i="1"/>
  <c r="TWG63" i="1"/>
  <c r="TWH63" i="1"/>
  <c r="TWI63" i="1"/>
  <c r="TWJ63" i="1"/>
  <c r="TWK63" i="1"/>
  <c r="TWL63" i="1"/>
  <c r="TWM63" i="1"/>
  <c r="TWN63" i="1"/>
  <c r="TWO63" i="1"/>
  <c r="TWP63" i="1"/>
  <c r="TWQ63" i="1"/>
  <c r="TWR63" i="1"/>
  <c r="TWS63" i="1"/>
  <c r="TWT63" i="1"/>
  <c r="TWU63" i="1"/>
  <c r="TWV63" i="1"/>
  <c r="TWW63" i="1"/>
  <c r="TWX63" i="1"/>
  <c r="TWY63" i="1"/>
  <c r="TWZ63" i="1"/>
  <c r="TXA63" i="1"/>
  <c r="TXB63" i="1"/>
  <c r="TXC63" i="1"/>
  <c r="TXD63" i="1"/>
  <c r="TXE63" i="1"/>
  <c r="TXF63" i="1"/>
  <c r="TXG63" i="1"/>
  <c r="TXH63" i="1"/>
  <c r="TXI63" i="1"/>
  <c r="TXJ63" i="1"/>
  <c r="TXK63" i="1"/>
  <c r="TXL63" i="1"/>
  <c r="TXM63" i="1"/>
  <c r="TXN63" i="1"/>
  <c r="TXO63" i="1"/>
  <c r="TXP63" i="1"/>
  <c r="TXQ63" i="1"/>
  <c r="TXR63" i="1"/>
  <c r="TXS63" i="1"/>
  <c r="TXT63" i="1"/>
  <c r="TXU63" i="1"/>
  <c r="TXV63" i="1"/>
  <c r="TXW63" i="1"/>
  <c r="TXX63" i="1"/>
  <c r="TXY63" i="1"/>
  <c r="TXZ63" i="1"/>
  <c r="TYA63" i="1"/>
  <c r="TYB63" i="1"/>
  <c r="TYC63" i="1"/>
  <c r="TYD63" i="1"/>
  <c r="TYE63" i="1"/>
  <c r="TYF63" i="1"/>
  <c r="TYG63" i="1"/>
  <c r="TYH63" i="1"/>
  <c r="TYI63" i="1"/>
  <c r="TYJ63" i="1"/>
  <c r="TYK63" i="1"/>
  <c r="TYL63" i="1"/>
  <c r="TYM63" i="1"/>
  <c r="TYN63" i="1"/>
  <c r="TYO63" i="1"/>
  <c r="TYP63" i="1"/>
  <c r="TYQ63" i="1"/>
  <c r="TYR63" i="1"/>
  <c r="TYS63" i="1"/>
  <c r="TYT63" i="1"/>
  <c r="TYU63" i="1"/>
  <c r="TYV63" i="1"/>
  <c r="TYW63" i="1"/>
  <c r="TYX63" i="1"/>
  <c r="TYY63" i="1"/>
  <c r="TYZ63" i="1"/>
  <c r="TZA63" i="1"/>
  <c r="TZB63" i="1"/>
  <c r="TZC63" i="1"/>
  <c r="TZD63" i="1"/>
  <c r="TZE63" i="1"/>
  <c r="TZF63" i="1"/>
  <c r="TZG63" i="1"/>
  <c r="TZH63" i="1"/>
  <c r="TZI63" i="1"/>
  <c r="TZJ63" i="1"/>
  <c r="TZK63" i="1"/>
  <c r="TZL63" i="1"/>
  <c r="TZM63" i="1"/>
  <c r="TZN63" i="1"/>
  <c r="TZO63" i="1"/>
  <c r="TZP63" i="1"/>
  <c r="TZQ63" i="1"/>
  <c r="TZR63" i="1"/>
  <c r="TZS63" i="1"/>
  <c r="TZT63" i="1"/>
  <c r="TZU63" i="1"/>
  <c r="TZV63" i="1"/>
  <c r="TZW63" i="1"/>
  <c r="TZX63" i="1"/>
  <c r="TZY63" i="1"/>
  <c r="TZZ63" i="1"/>
  <c r="UAA63" i="1"/>
  <c r="UAB63" i="1"/>
  <c r="UAC63" i="1"/>
  <c r="UAD63" i="1"/>
  <c r="UAE63" i="1"/>
  <c r="UAF63" i="1"/>
  <c r="UAG63" i="1"/>
  <c r="UAH63" i="1"/>
  <c r="UAI63" i="1"/>
  <c r="UAJ63" i="1"/>
  <c r="UAK63" i="1"/>
  <c r="UAL63" i="1"/>
  <c r="UAM63" i="1"/>
  <c r="UAN63" i="1"/>
  <c r="UAO63" i="1"/>
  <c r="UAP63" i="1"/>
  <c r="UAQ63" i="1"/>
  <c r="UAR63" i="1"/>
  <c r="UAS63" i="1"/>
  <c r="UAT63" i="1"/>
  <c r="UAU63" i="1"/>
  <c r="UAV63" i="1"/>
  <c r="UAW63" i="1"/>
  <c r="UAX63" i="1"/>
  <c r="UAY63" i="1"/>
  <c r="UAZ63" i="1"/>
  <c r="UBA63" i="1"/>
  <c r="UBB63" i="1"/>
  <c r="UBC63" i="1"/>
  <c r="UBD63" i="1"/>
  <c r="UBE63" i="1"/>
  <c r="UBF63" i="1"/>
  <c r="UBG63" i="1"/>
  <c r="UBH63" i="1"/>
  <c r="UBI63" i="1"/>
  <c r="UBJ63" i="1"/>
  <c r="UBK63" i="1"/>
  <c r="UBL63" i="1"/>
  <c r="UBM63" i="1"/>
  <c r="UBN63" i="1"/>
  <c r="UBO63" i="1"/>
  <c r="UBP63" i="1"/>
  <c r="UBQ63" i="1"/>
  <c r="UBR63" i="1"/>
  <c r="UBS63" i="1"/>
  <c r="UBT63" i="1"/>
  <c r="UBU63" i="1"/>
  <c r="UBV63" i="1"/>
  <c r="UBW63" i="1"/>
  <c r="UBX63" i="1"/>
  <c r="UBY63" i="1"/>
  <c r="UBZ63" i="1"/>
  <c r="UCA63" i="1"/>
  <c r="UCB63" i="1"/>
  <c r="UCC63" i="1"/>
  <c r="UCD63" i="1"/>
  <c r="UCE63" i="1"/>
  <c r="UCF63" i="1"/>
  <c r="UCG63" i="1"/>
  <c r="UCH63" i="1"/>
  <c r="UCI63" i="1"/>
  <c r="UCJ63" i="1"/>
  <c r="UCK63" i="1"/>
  <c r="UCL63" i="1"/>
  <c r="UCM63" i="1"/>
  <c r="UCN63" i="1"/>
  <c r="UCO63" i="1"/>
  <c r="UCP63" i="1"/>
  <c r="UCQ63" i="1"/>
  <c r="UCR63" i="1"/>
  <c r="UCS63" i="1"/>
  <c r="UCT63" i="1"/>
  <c r="UCU63" i="1"/>
  <c r="UCV63" i="1"/>
  <c r="UCW63" i="1"/>
  <c r="UCX63" i="1"/>
  <c r="UCY63" i="1"/>
  <c r="UCZ63" i="1"/>
  <c r="UDA63" i="1"/>
  <c r="UDB63" i="1"/>
  <c r="UDC63" i="1"/>
  <c r="UDD63" i="1"/>
  <c r="UDE63" i="1"/>
  <c r="UDF63" i="1"/>
  <c r="UDG63" i="1"/>
  <c r="UDH63" i="1"/>
  <c r="UDI63" i="1"/>
  <c r="UDJ63" i="1"/>
  <c r="UDK63" i="1"/>
  <c r="UDL63" i="1"/>
  <c r="UDM63" i="1"/>
  <c r="UDN63" i="1"/>
  <c r="UDO63" i="1"/>
  <c r="UDP63" i="1"/>
  <c r="UDQ63" i="1"/>
  <c r="UDR63" i="1"/>
  <c r="UDS63" i="1"/>
  <c r="UDT63" i="1"/>
  <c r="UDU63" i="1"/>
  <c r="UDV63" i="1"/>
  <c r="UDW63" i="1"/>
  <c r="UDX63" i="1"/>
  <c r="UDY63" i="1"/>
  <c r="UDZ63" i="1"/>
  <c r="UEA63" i="1"/>
  <c r="UEB63" i="1"/>
  <c r="UEC63" i="1"/>
  <c r="UED63" i="1"/>
  <c r="UEE63" i="1"/>
  <c r="UEF63" i="1"/>
  <c r="UEG63" i="1"/>
  <c r="UEH63" i="1"/>
  <c r="UEI63" i="1"/>
  <c r="UEJ63" i="1"/>
  <c r="UEK63" i="1"/>
  <c r="UEL63" i="1"/>
  <c r="UEM63" i="1"/>
  <c r="UEN63" i="1"/>
  <c r="UEO63" i="1"/>
  <c r="UEP63" i="1"/>
  <c r="UEQ63" i="1"/>
  <c r="UER63" i="1"/>
  <c r="UES63" i="1"/>
  <c r="UET63" i="1"/>
  <c r="UEU63" i="1"/>
  <c r="UEV63" i="1"/>
  <c r="UEW63" i="1"/>
  <c r="UEX63" i="1"/>
  <c r="UEY63" i="1"/>
  <c r="UEZ63" i="1"/>
  <c r="UFA63" i="1"/>
  <c r="UFB63" i="1"/>
  <c r="UFC63" i="1"/>
  <c r="UFD63" i="1"/>
  <c r="UFE63" i="1"/>
  <c r="UFF63" i="1"/>
  <c r="UFG63" i="1"/>
  <c r="UFH63" i="1"/>
  <c r="UFI63" i="1"/>
  <c r="UFJ63" i="1"/>
  <c r="UFK63" i="1"/>
  <c r="UFL63" i="1"/>
  <c r="UFM63" i="1"/>
  <c r="UFN63" i="1"/>
  <c r="UFO63" i="1"/>
  <c r="UFP63" i="1"/>
  <c r="UFQ63" i="1"/>
  <c r="UFR63" i="1"/>
  <c r="UFS63" i="1"/>
  <c r="UFT63" i="1"/>
  <c r="UFU63" i="1"/>
  <c r="UFV63" i="1"/>
  <c r="UFW63" i="1"/>
  <c r="UFX63" i="1"/>
  <c r="UFY63" i="1"/>
  <c r="UFZ63" i="1"/>
  <c r="UGA63" i="1"/>
  <c r="UGB63" i="1"/>
  <c r="UGC63" i="1"/>
  <c r="UGD63" i="1"/>
  <c r="UGE63" i="1"/>
  <c r="UGF63" i="1"/>
  <c r="UGG63" i="1"/>
  <c r="UGH63" i="1"/>
  <c r="UGI63" i="1"/>
  <c r="UGJ63" i="1"/>
  <c r="UGK63" i="1"/>
  <c r="UGL63" i="1"/>
  <c r="UGM63" i="1"/>
  <c r="UGN63" i="1"/>
  <c r="UGO63" i="1"/>
  <c r="UGP63" i="1"/>
  <c r="UGQ63" i="1"/>
  <c r="UGR63" i="1"/>
  <c r="UGS63" i="1"/>
  <c r="UGT63" i="1"/>
  <c r="UGU63" i="1"/>
  <c r="UGV63" i="1"/>
  <c r="UGW63" i="1"/>
  <c r="UGX63" i="1"/>
  <c r="UGY63" i="1"/>
  <c r="UGZ63" i="1"/>
  <c r="UHA63" i="1"/>
  <c r="UHB63" i="1"/>
  <c r="UHC63" i="1"/>
  <c r="UHD63" i="1"/>
  <c r="UHE63" i="1"/>
  <c r="UHF63" i="1"/>
  <c r="UHG63" i="1"/>
  <c r="UHH63" i="1"/>
  <c r="UHI63" i="1"/>
  <c r="UHJ63" i="1"/>
  <c r="UHK63" i="1"/>
  <c r="UHL63" i="1"/>
  <c r="UHM63" i="1"/>
  <c r="UHN63" i="1"/>
  <c r="UHO63" i="1"/>
  <c r="UHP63" i="1"/>
  <c r="UHQ63" i="1"/>
  <c r="UHR63" i="1"/>
  <c r="UHS63" i="1"/>
  <c r="UHT63" i="1"/>
  <c r="UHU63" i="1"/>
  <c r="UHV63" i="1"/>
  <c r="UHW63" i="1"/>
  <c r="UHX63" i="1"/>
  <c r="UHY63" i="1"/>
  <c r="UHZ63" i="1"/>
  <c r="UIA63" i="1"/>
  <c r="UIB63" i="1"/>
  <c r="UIC63" i="1"/>
  <c r="UID63" i="1"/>
  <c r="UIE63" i="1"/>
  <c r="UIF63" i="1"/>
  <c r="UIG63" i="1"/>
  <c r="UIH63" i="1"/>
  <c r="UII63" i="1"/>
  <c r="UIJ63" i="1"/>
  <c r="UIK63" i="1"/>
  <c r="UIL63" i="1"/>
  <c r="UIM63" i="1"/>
  <c r="UIN63" i="1"/>
  <c r="UIO63" i="1"/>
  <c r="UIP63" i="1"/>
  <c r="UIQ63" i="1"/>
  <c r="UIR63" i="1"/>
  <c r="UIS63" i="1"/>
  <c r="UIT63" i="1"/>
  <c r="UIU63" i="1"/>
  <c r="UIV63" i="1"/>
  <c r="UIW63" i="1"/>
  <c r="UIX63" i="1"/>
  <c r="UIY63" i="1"/>
  <c r="UIZ63" i="1"/>
  <c r="UJA63" i="1"/>
  <c r="UJB63" i="1"/>
  <c r="UJC63" i="1"/>
  <c r="UJD63" i="1"/>
  <c r="UJE63" i="1"/>
  <c r="UJF63" i="1"/>
  <c r="UJG63" i="1"/>
  <c r="UJH63" i="1"/>
  <c r="UJI63" i="1"/>
  <c r="UJJ63" i="1"/>
  <c r="UJK63" i="1"/>
  <c r="UJL63" i="1"/>
  <c r="UJM63" i="1"/>
  <c r="UJN63" i="1"/>
  <c r="UJO63" i="1"/>
  <c r="UJP63" i="1"/>
  <c r="UJQ63" i="1"/>
  <c r="UJR63" i="1"/>
  <c r="UJS63" i="1"/>
  <c r="UJT63" i="1"/>
  <c r="UJU63" i="1"/>
  <c r="UJV63" i="1"/>
  <c r="UJW63" i="1"/>
  <c r="UJX63" i="1"/>
  <c r="UJY63" i="1"/>
  <c r="UJZ63" i="1"/>
  <c r="UKA63" i="1"/>
  <c r="UKB63" i="1"/>
  <c r="UKC63" i="1"/>
  <c r="UKD63" i="1"/>
  <c r="UKE63" i="1"/>
  <c r="UKF63" i="1"/>
  <c r="UKG63" i="1"/>
  <c r="UKH63" i="1"/>
  <c r="UKI63" i="1"/>
  <c r="UKJ63" i="1"/>
  <c r="UKK63" i="1"/>
  <c r="UKL63" i="1"/>
  <c r="UKM63" i="1"/>
  <c r="UKN63" i="1"/>
  <c r="UKO63" i="1"/>
  <c r="UKP63" i="1"/>
  <c r="UKQ63" i="1"/>
  <c r="UKR63" i="1"/>
  <c r="UKS63" i="1"/>
  <c r="UKT63" i="1"/>
  <c r="UKU63" i="1"/>
  <c r="UKV63" i="1"/>
  <c r="UKW63" i="1"/>
  <c r="UKX63" i="1"/>
  <c r="UKY63" i="1"/>
  <c r="UKZ63" i="1"/>
  <c r="ULA63" i="1"/>
  <c r="ULB63" i="1"/>
  <c r="ULC63" i="1"/>
  <c r="ULD63" i="1"/>
  <c r="ULE63" i="1"/>
  <c r="ULF63" i="1"/>
  <c r="ULG63" i="1"/>
  <c r="ULH63" i="1"/>
  <c r="ULI63" i="1"/>
  <c r="ULJ63" i="1"/>
  <c r="ULK63" i="1"/>
  <c r="ULL63" i="1"/>
  <c r="ULM63" i="1"/>
  <c r="ULN63" i="1"/>
  <c r="ULO63" i="1"/>
  <c r="ULP63" i="1"/>
  <c r="ULQ63" i="1"/>
  <c r="ULR63" i="1"/>
  <c r="ULS63" i="1"/>
  <c r="ULT63" i="1"/>
  <c r="ULU63" i="1"/>
  <c r="ULV63" i="1"/>
  <c r="ULW63" i="1"/>
  <c r="ULX63" i="1"/>
  <c r="ULY63" i="1"/>
  <c r="ULZ63" i="1"/>
  <c r="UMA63" i="1"/>
  <c r="UMB63" i="1"/>
  <c r="UMC63" i="1"/>
  <c r="UMD63" i="1"/>
  <c r="UME63" i="1"/>
  <c r="UMF63" i="1"/>
  <c r="UMG63" i="1"/>
  <c r="UMH63" i="1"/>
  <c r="UMI63" i="1"/>
  <c r="UMJ63" i="1"/>
  <c r="UMK63" i="1"/>
  <c r="UML63" i="1"/>
  <c r="UMM63" i="1"/>
  <c r="UMN63" i="1"/>
  <c r="UMO63" i="1"/>
  <c r="UMP63" i="1"/>
  <c r="UMQ63" i="1"/>
  <c r="UMR63" i="1"/>
  <c r="UMS63" i="1"/>
  <c r="UMT63" i="1"/>
  <c r="UMU63" i="1"/>
  <c r="UMV63" i="1"/>
  <c r="UMW63" i="1"/>
  <c r="UMX63" i="1"/>
  <c r="UMY63" i="1"/>
  <c r="UMZ63" i="1"/>
  <c r="UNA63" i="1"/>
  <c r="UNB63" i="1"/>
  <c r="UNC63" i="1"/>
  <c r="UND63" i="1"/>
  <c r="UNE63" i="1"/>
  <c r="UNF63" i="1"/>
  <c r="UNG63" i="1"/>
  <c r="UNH63" i="1"/>
  <c r="UNI63" i="1"/>
  <c r="UNJ63" i="1"/>
  <c r="UNK63" i="1"/>
  <c r="UNL63" i="1"/>
  <c r="UNM63" i="1"/>
  <c r="UNN63" i="1"/>
  <c r="UNO63" i="1"/>
  <c r="UNP63" i="1"/>
  <c r="UNQ63" i="1"/>
  <c r="UNR63" i="1"/>
  <c r="UNS63" i="1"/>
  <c r="UNT63" i="1"/>
  <c r="UNU63" i="1"/>
  <c r="UNV63" i="1"/>
  <c r="UNW63" i="1"/>
  <c r="UNX63" i="1"/>
  <c r="UNY63" i="1"/>
  <c r="UNZ63" i="1"/>
  <c r="UOA63" i="1"/>
  <c r="UOB63" i="1"/>
  <c r="UOC63" i="1"/>
  <c r="UOD63" i="1"/>
  <c r="UOE63" i="1"/>
  <c r="UOF63" i="1"/>
  <c r="UOG63" i="1"/>
  <c r="UOH63" i="1"/>
  <c r="UOI63" i="1"/>
  <c r="UOJ63" i="1"/>
  <c r="UOK63" i="1"/>
  <c r="UOL63" i="1"/>
  <c r="UOM63" i="1"/>
  <c r="UON63" i="1"/>
  <c r="UOO63" i="1"/>
  <c r="UOP63" i="1"/>
  <c r="UOQ63" i="1"/>
  <c r="UOR63" i="1"/>
  <c r="UOS63" i="1"/>
  <c r="UOT63" i="1"/>
  <c r="UOU63" i="1"/>
  <c r="UOV63" i="1"/>
  <c r="UOW63" i="1"/>
  <c r="UOX63" i="1"/>
  <c r="UOY63" i="1"/>
  <c r="UOZ63" i="1"/>
  <c r="UPA63" i="1"/>
  <c r="UPB63" i="1"/>
  <c r="UPC63" i="1"/>
  <c r="UPD63" i="1"/>
  <c r="UPE63" i="1"/>
  <c r="UPF63" i="1"/>
  <c r="UPG63" i="1"/>
  <c r="UPH63" i="1"/>
  <c r="UPI63" i="1"/>
  <c r="UPJ63" i="1"/>
  <c r="UPK63" i="1"/>
  <c r="UPL63" i="1"/>
  <c r="UPM63" i="1"/>
  <c r="UPN63" i="1"/>
  <c r="UPO63" i="1"/>
  <c r="UPP63" i="1"/>
  <c r="UPQ63" i="1"/>
  <c r="UPR63" i="1"/>
  <c r="UPS63" i="1"/>
  <c r="UPT63" i="1"/>
  <c r="UPU63" i="1"/>
  <c r="UPV63" i="1"/>
  <c r="UPW63" i="1"/>
  <c r="UPX63" i="1"/>
  <c r="UPY63" i="1"/>
  <c r="UPZ63" i="1"/>
  <c r="UQA63" i="1"/>
  <c r="UQB63" i="1"/>
  <c r="UQC63" i="1"/>
  <c r="UQD63" i="1"/>
  <c r="UQE63" i="1"/>
  <c r="UQF63" i="1"/>
  <c r="UQG63" i="1"/>
  <c r="UQH63" i="1"/>
  <c r="UQI63" i="1"/>
  <c r="UQJ63" i="1"/>
  <c r="UQK63" i="1"/>
  <c r="UQL63" i="1"/>
  <c r="UQM63" i="1"/>
  <c r="UQN63" i="1"/>
  <c r="UQO63" i="1"/>
  <c r="UQP63" i="1"/>
  <c r="UQQ63" i="1"/>
  <c r="UQR63" i="1"/>
  <c r="UQS63" i="1"/>
  <c r="UQT63" i="1"/>
  <c r="UQU63" i="1"/>
  <c r="UQV63" i="1"/>
  <c r="UQW63" i="1"/>
  <c r="UQX63" i="1"/>
  <c r="UQY63" i="1"/>
  <c r="UQZ63" i="1"/>
  <c r="URA63" i="1"/>
  <c r="URB63" i="1"/>
  <c r="URC63" i="1"/>
  <c r="URD63" i="1"/>
  <c r="URE63" i="1"/>
  <c r="URF63" i="1"/>
  <c r="URG63" i="1"/>
  <c r="URH63" i="1"/>
  <c r="URI63" i="1"/>
  <c r="URJ63" i="1"/>
  <c r="URK63" i="1"/>
  <c r="URL63" i="1"/>
  <c r="URM63" i="1"/>
  <c r="URN63" i="1"/>
  <c r="URO63" i="1"/>
  <c r="URP63" i="1"/>
  <c r="URQ63" i="1"/>
  <c r="URR63" i="1"/>
  <c r="URS63" i="1"/>
  <c r="URT63" i="1"/>
  <c r="URU63" i="1"/>
  <c r="URV63" i="1"/>
  <c r="URW63" i="1"/>
  <c r="URX63" i="1"/>
  <c r="URY63" i="1"/>
  <c r="URZ63" i="1"/>
  <c r="USA63" i="1"/>
  <c r="USB63" i="1"/>
  <c r="USC63" i="1"/>
  <c r="USD63" i="1"/>
  <c r="USE63" i="1"/>
  <c r="USF63" i="1"/>
  <c r="USG63" i="1"/>
  <c r="USH63" i="1"/>
  <c r="USI63" i="1"/>
  <c r="USJ63" i="1"/>
  <c r="USK63" i="1"/>
  <c r="USL63" i="1"/>
  <c r="USM63" i="1"/>
  <c r="USN63" i="1"/>
  <c r="USO63" i="1"/>
  <c r="USP63" i="1"/>
  <c r="USQ63" i="1"/>
  <c r="USR63" i="1"/>
  <c r="USS63" i="1"/>
  <c r="UST63" i="1"/>
  <c r="USU63" i="1"/>
  <c r="USV63" i="1"/>
  <c r="USW63" i="1"/>
  <c r="USX63" i="1"/>
  <c r="USY63" i="1"/>
  <c r="USZ63" i="1"/>
  <c r="UTA63" i="1"/>
  <c r="UTB63" i="1"/>
  <c r="UTC63" i="1"/>
  <c r="UTD63" i="1"/>
  <c r="UTE63" i="1"/>
  <c r="UTF63" i="1"/>
  <c r="UTG63" i="1"/>
  <c r="UTH63" i="1"/>
  <c r="UTI63" i="1"/>
  <c r="UTJ63" i="1"/>
  <c r="UTK63" i="1"/>
  <c r="UTL63" i="1"/>
  <c r="UTM63" i="1"/>
  <c r="UTN63" i="1"/>
  <c r="UTO63" i="1"/>
  <c r="UTP63" i="1"/>
  <c r="UTQ63" i="1"/>
  <c r="UTR63" i="1"/>
  <c r="UTS63" i="1"/>
  <c r="UTT63" i="1"/>
  <c r="UTU63" i="1"/>
  <c r="UTV63" i="1"/>
  <c r="UTW63" i="1"/>
  <c r="UTX63" i="1"/>
  <c r="UTY63" i="1"/>
  <c r="UTZ63" i="1"/>
  <c r="UUA63" i="1"/>
  <c r="UUB63" i="1"/>
  <c r="UUC63" i="1"/>
  <c r="UUD63" i="1"/>
  <c r="UUE63" i="1"/>
  <c r="UUF63" i="1"/>
  <c r="UUG63" i="1"/>
  <c r="UUH63" i="1"/>
  <c r="UUI63" i="1"/>
  <c r="UUJ63" i="1"/>
  <c r="UUK63" i="1"/>
  <c r="UUL63" i="1"/>
  <c r="UUM63" i="1"/>
  <c r="UUN63" i="1"/>
  <c r="UUO63" i="1"/>
  <c r="UUP63" i="1"/>
  <c r="UUQ63" i="1"/>
  <c r="UUR63" i="1"/>
  <c r="UUS63" i="1"/>
  <c r="UUT63" i="1"/>
  <c r="UUU63" i="1"/>
  <c r="UUV63" i="1"/>
  <c r="UUW63" i="1"/>
  <c r="UUX63" i="1"/>
  <c r="UUY63" i="1"/>
  <c r="UUZ63" i="1"/>
  <c r="UVA63" i="1"/>
  <c r="UVB63" i="1"/>
  <c r="UVC63" i="1"/>
  <c r="UVD63" i="1"/>
  <c r="UVE63" i="1"/>
  <c r="UVF63" i="1"/>
  <c r="UVG63" i="1"/>
  <c r="UVH63" i="1"/>
  <c r="UVI63" i="1"/>
  <c r="UVJ63" i="1"/>
  <c r="UVK63" i="1"/>
  <c r="UVL63" i="1"/>
  <c r="UVM63" i="1"/>
  <c r="UVN63" i="1"/>
  <c r="UVO63" i="1"/>
  <c r="UVP63" i="1"/>
  <c r="UVQ63" i="1"/>
  <c r="UVR63" i="1"/>
  <c r="UVS63" i="1"/>
  <c r="UVT63" i="1"/>
  <c r="UVU63" i="1"/>
  <c r="UVV63" i="1"/>
  <c r="UVW63" i="1"/>
  <c r="UVX63" i="1"/>
  <c r="UVY63" i="1"/>
  <c r="UVZ63" i="1"/>
  <c r="UWA63" i="1"/>
  <c r="UWB63" i="1"/>
  <c r="UWC63" i="1"/>
  <c r="UWD63" i="1"/>
  <c r="UWE63" i="1"/>
  <c r="UWF63" i="1"/>
  <c r="UWG63" i="1"/>
  <c r="UWH63" i="1"/>
  <c r="UWI63" i="1"/>
  <c r="UWJ63" i="1"/>
  <c r="UWK63" i="1"/>
  <c r="UWL63" i="1"/>
  <c r="UWM63" i="1"/>
  <c r="UWN63" i="1"/>
  <c r="UWO63" i="1"/>
  <c r="UWP63" i="1"/>
  <c r="UWQ63" i="1"/>
  <c r="UWR63" i="1"/>
  <c r="UWS63" i="1"/>
  <c r="UWT63" i="1"/>
  <c r="UWU63" i="1"/>
  <c r="UWV63" i="1"/>
  <c r="UWW63" i="1"/>
  <c r="UWX63" i="1"/>
  <c r="UWY63" i="1"/>
  <c r="UWZ63" i="1"/>
  <c r="UXA63" i="1"/>
  <c r="UXB63" i="1"/>
  <c r="UXC63" i="1"/>
  <c r="UXD63" i="1"/>
  <c r="UXE63" i="1"/>
  <c r="UXF63" i="1"/>
  <c r="UXG63" i="1"/>
  <c r="UXH63" i="1"/>
  <c r="UXI63" i="1"/>
  <c r="UXJ63" i="1"/>
  <c r="UXK63" i="1"/>
  <c r="UXL63" i="1"/>
  <c r="UXM63" i="1"/>
  <c r="UXN63" i="1"/>
  <c r="UXO63" i="1"/>
  <c r="UXP63" i="1"/>
  <c r="UXQ63" i="1"/>
  <c r="UXR63" i="1"/>
  <c r="UXS63" i="1"/>
  <c r="UXT63" i="1"/>
  <c r="UXU63" i="1"/>
  <c r="UXV63" i="1"/>
  <c r="UXW63" i="1"/>
  <c r="UXX63" i="1"/>
  <c r="UXY63" i="1"/>
  <c r="UXZ63" i="1"/>
  <c r="UYA63" i="1"/>
  <c r="UYB63" i="1"/>
  <c r="UYC63" i="1"/>
  <c r="UYD63" i="1"/>
  <c r="UYE63" i="1"/>
  <c r="UYF63" i="1"/>
  <c r="UYG63" i="1"/>
  <c r="UYH63" i="1"/>
  <c r="UYI63" i="1"/>
  <c r="UYJ63" i="1"/>
  <c r="UYK63" i="1"/>
  <c r="UYL63" i="1"/>
  <c r="UYM63" i="1"/>
  <c r="UYN63" i="1"/>
  <c r="UYO63" i="1"/>
  <c r="UYP63" i="1"/>
  <c r="UYQ63" i="1"/>
  <c r="UYR63" i="1"/>
  <c r="UYS63" i="1"/>
  <c r="UYT63" i="1"/>
  <c r="UYU63" i="1"/>
  <c r="UYV63" i="1"/>
  <c r="UYW63" i="1"/>
  <c r="UYX63" i="1"/>
  <c r="UYY63" i="1"/>
  <c r="UYZ63" i="1"/>
  <c r="UZA63" i="1"/>
  <c r="UZB63" i="1"/>
  <c r="UZC63" i="1"/>
  <c r="UZD63" i="1"/>
  <c r="UZE63" i="1"/>
  <c r="UZF63" i="1"/>
  <c r="UZG63" i="1"/>
  <c r="UZH63" i="1"/>
  <c r="UZI63" i="1"/>
  <c r="UZJ63" i="1"/>
  <c r="UZK63" i="1"/>
  <c r="UZL63" i="1"/>
  <c r="UZM63" i="1"/>
  <c r="UZN63" i="1"/>
  <c r="UZO63" i="1"/>
  <c r="UZP63" i="1"/>
  <c r="UZQ63" i="1"/>
  <c r="UZR63" i="1"/>
  <c r="UZS63" i="1"/>
  <c r="UZT63" i="1"/>
  <c r="UZU63" i="1"/>
  <c r="UZV63" i="1"/>
  <c r="UZW63" i="1"/>
  <c r="UZX63" i="1"/>
  <c r="UZY63" i="1"/>
  <c r="UZZ63" i="1"/>
  <c r="VAA63" i="1"/>
  <c r="VAB63" i="1"/>
  <c r="VAC63" i="1"/>
  <c r="VAD63" i="1"/>
  <c r="VAE63" i="1"/>
  <c r="VAF63" i="1"/>
  <c r="VAG63" i="1"/>
  <c r="VAH63" i="1"/>
  <c r="VAI63" i="1"/>
  <c r="VAJ63" i="1"/>
  <c r="VAK63" i="1"/>
  <c r="VAL63" i="1"/>
  <c r="VAM63" i="1"/>
  <c r="VAN63" i="1"/>
  <c r="VAO63" i="1"/>
  <c r="VAP63" i="1"/>
  <c r="VAQ63" i="1"/>
  <c r="VAR63" i="1"/>
  <c r="VAS63" i="1"/>
  <c r="VAT63" i="1"/>
  <c r="VAU63" i="1"/>
  <c r="VAV63" i="1"/>
  <c r="VAW63" i="1"/>
  <c r="VAX63" i="1"/>
  <c r="VAY63" i="1"/>
  <c r="VAZ63" i="1"/>
  <c r="VBA63" i="1"/>
  <c r="VBB63" i="1"/>
  <c r="VBC63" i="1"/>
  <c r="VBD63" i="1"/>
  <c r="VBE63" i="1"/>
  <c r="VBF63" i="1"/>
  <c r="VBG63" i="1"/>
  <c r="VBH63" i="1"/>
  <c r="VBI63" i="1"/>
  <c r="VBJ63" i="1"/>
  <c r="VBK63" i="1"/>
  <c r="VBL63" i="1"/>
  <c r="VBM63" i="1"/>
  <c r="VBN63" i="1"/>
  <c r="VBO63" i="1"/>
  <c r="VBP63" i="1"/>
  <c r="VBQ63" i="1"/>
  <c r="VBR63" i="1"/>
  <c r="VBS63" i="1"/>
  <c r="VBT63" i="1"/>
  <c r="VBU63" i="1"/>
  <c r="VBV63" i="1"/>
  <c r="VBW63" i="1"/>
  <c r="VBX63" i="1"/>
  <c r="VBY63" i="1"/>
  <c r="VBZ63" i="1"/>
  <c r="VCA63" i="1"/>
  <c r="VCB63" i="1"/>
  <c r="VCC63" i="1"/>
  <c r="VCD63" i="1"/>
  <c r="VCE63" i="1"/>
  <c r="VCF63" i="1"/>
  <c r="VCG63" i="1"/>
  <c r="VCH63" i="1"/>
  <c r="VCI63" i="1"/>
  <c r="VCJ63" i="1"/>
  <c r="VCK63" i="1"/>
  <c r="VCL63" i="1"/>
  <c r="VCM63" i="1"/>
  <c r="VCN63" i="1"/>
  <c r="VCO63" i="1"/>
  <c r="VCP63" i="1"/>
  <c r="VCQ63" i="1"/>
  <c r="VCR63" i="1"/>
  <c r="VCS63" i="1"/>
  <c r="VCT63" i="1"/>
  <c r="VCU63" i="1"/>
  <c r="VCV63" i="1"/>
  <c r="VCW63" i="1"/>
  <c r="VCX63" i="1"/>
  <c r="VCY63" i="1"/>
  <c r="VCZ63" i="1"/>
  <c r="VDA63" i="1"/>
  <c r="VDB63" i="1"/>
  <c r="VDC63" i="1"/>
  <c r="VDD63" i="1"/>
  <c r="VDE63" i="1"/>
  <c r="VDF63" i="1"/>
  <c r="VDG63" i="1"/>
  <c r="VDH63" i="1"/>
  <c r="VDI63" i="1"/>
  <c r="VDJ63" i="1"/>
  <c r="VDK63" i="1"/>
  <c r="VDL63" i="1"/>
  <c r="VDM63" i="1"/>
  <c r="VDN63" i="1"/>
  <c r="VDO63" i="1"/>
  <c r="VDP63" i="1"/>
  <c r="VDQ63" i="1"/>
  <c r="VDR63" i="1"/>
  <c r="VDS63" i="1"/>
  <c r="VDT63" i="1"/>
  <c r="VDU63" i="1"/>
  <c r="VDV63" i="1"/>
  <c r="VDW63" i="1"/>
  <c r="VDX63" i="1"/>
  <c r="VDY63" i="1"/>
  <c r="VDZ63" i="1"/>
  <c r="VEA63" i="1"/>
  <c r="VEB63" i="1"/>
  <c r="VEC63" i="1"/>
  <c r="VED63" i="1"/>
  <c r="VEE63" i="1"/>
  <c r="VEF63" i="1"/>
  <c r="VEG63" i="1"/>
  <c r="VEH63" i="1"/>
  <c r="VEI63" i="1"/>
  <c r="VEJ63" i="1"/>
  <c r="VEK63" i="1"/>
  <c r="VEL63" i="1"/>
  <c r="VEM63" i="1"/>
  <c r="VEN63" i="1"/>
  <c r="VEO63" i="1"/>
  <c r="VEP63" i="1"/>
  <c r="VEQ63" i="1"/>
  <c r="VER63" i="1"/>
  <c r="VES63" i="1"/>
  <c r="VET63" i="1"/>
  <c r="VEU63" i="1"/>
  <c r="VEV63" i="1"/>
  <c r="VEW63" i="1"/>
  <c r="VEX63" i="1"/>
  <c r="VEY63" i="1"/>
  <c r="VEZ63" i="1"/>
  <c r="VFA63" i="1"/>
  <c r="VFB63" i="1"/>
  <c r="VFC63" i="1"/>
  <c r="VFD63" i="1"/>
  <c r="VFE63" i="1"/>
  <c r="VFF63" i="1"/>
  <c r="VFG63" i="1"/>
  <c r="VFH63" i="1"/>
  <c r="VFI63" i="1"/>
  <c r="VFJ63" i="1"/>
  <c r="VFK63" i="1"/>
  <c r="VFL63" i="1"/>
  <c r="VFM63" i="1"/>
  <c r="VFN63" i="1"/>
  <c r="VFO63" i="1"/>
  <c r="VFP63" i="1"/>
  <c r="VFQ63" i="1"/>
  <c r="VFR63" i="1"/>
  <c r="VFS63" i="1"/>
  <c r="VFT63" i="1"/>
  <c r="VFU63" i="1"/>
  <c r="VFV63" i="1"/>
  <c r="VFW63" i="1"/>
  <c r="VFX63" i="1"/>
  <c r="VFY63" i="1"/>
  <c r="VFZ63" i="1"/>
  <c r="VGA63" i="1"/>
  <c r="VGB63" i="1"/>
  <c r="VGC63" i="1"/>
  <c r="VGD63" i="1"/>
  <c r="VGE63" i="1"/>
  <c r="VGF63" i="1"/>
  <c r="VGG63" i="1"/>
  <c r="VGH63" i="1"/>
  <c r="VGI63" i="1"/>
  <c r="VGJ63" i="1"/>
  <c r="VGK63" i="1"/>
  <c r="VGL63" i="1"/>
  <c r="VGM63" i="1"/>
  <c r="VGN63" i="1"/>
  <c r="VGO63" i="1"/>
  <c r="VGP63" i="1"/>
  <c r="VGQ63" i="1"/>
  <c r="VGR63" i="1"/>
  <c r="VGS63" i="1"/>
  <c r="VGT63" i="1"/>
  <c r="VGU63" i="1"/>
  <c r="VGV63" i="1"/>
  <c r="VGW63" i="1"/>
  <c r="VGX63" i="1"/>
  <c r="VGY63" i="1"/>
  <c r="VGZ63" i="1"/>
  <c r="VHA63" i="1"/>
  <c r="VHB63" i="1"/>
  <c r="VHC63" i="1"/>
  <c r="VHD63" i="1"/>
  <c r="VHE63" i="1"/>
  <c r="VHF63" i="1"/>
  <c r="VHG63" i="1"/>
  <c r="VHH63" i="1"/>
  <c r="VHI63" i="1"/>
  <c r="VHJ63" i="1"/>
  <c r="VHK63" i="1"/>
  <c r="VHL63" i="1"/>
  <c r="VHM63" i="1"/>
  <c r="VHN63" i="1"/>
  <c r="VHO63" i="1"/>
  <c r="VHP63" i="1"/>
  <c r="VHQ63" i="1"/>
  <c r="VHR63" i="1"/>
  <c r="VHS63" i="1"/>
  <c r="VHT63" i="1"/>
  <c r="VHU63" i="1"/>
  <c r="VHV63" i="1"/>
  <c r="VHW63" i="1"/>
  <c r="VHX63" i="1"/>
  <c r="VHY63" i="1"/>
  <c r="VHZ63" i="1"/>
  <c r="VIA63" i="1"/>
  <c r="VIB63" i="1"/>
  <c r="VIC63" i="1"/>
  <c r="VID63" i="1"/>
  <c r="VIE63" i="1"/>
  <c r="VIF63" i="1"/>
  <c r="VIG63" i="1"/>
  <c r="VIH63" i="1"/>
  <c r="VII63" i="1"/>
  <c r="VIJ63" i="1"/>
  <c r="VIK63" i="1"/>
  <c r="VIL63" i="1"/>
  <c r="VIM63" i="1"/>
  <c r="VIN63" i="1"/>
  <c r="VIO63" i="1"/>
  <c r="VIP63" i="1"/>
  <c r="VIQ63" i="1"/>
  <c r="VIR63" i="1"/>
  <c r="VIS63" i="1"/>
  <c r="VIT63" i="1"/>
  <c r="VIU63" i="1"/>
  <c r="VIV63" i="1"/>
  <c r="VIW63" i="1"/>
  <c r="VIX63" i="1"/>
  <c r="VIY63" i="1"/>
  <c r="VIZ63" i="1"/>
  <c r="VJA63" i="1"/>
  <c r="VJB63" i="1"/>
  <c r="VJC63" i="1"/>
  <c r="VJD63" i="1"/>
  <c r="VJE63" i="1"/>
  <c r="VJF63" i="1"/>
  <c r="VJG63" i="1"/>
  <c r="VJH63" i="1"/>
  <c r="VJI63" i="1"/>
  <c r="VJJ63" i="1"/>
  <c r="VJK63" i="1"/>
  <c r="VJL63" i="1"/>
  <c r="VJM63" i="1"/>
  <c r="VJN63" i="1"/>
  <c r="VJO63" i="1"/>
  <c r="VJP63" i="1"/>
  <c r="VJQ63" i="1"/>
  <c r="VJR63" i="1"/>
  <c r="VJS63" i="1"/>
  <c r="VJT63" i="1"/>
  <c r="VJU63" i="1"/>
  <c r="VJV63" i="1"/>
  <c r="VJW63" i="1"/>
  <c r="VJX63" i="1"/>
  <c r="VJY63" i="1"/>
  <c r="VJZ63" i="1"/>
  <c r="VKA63" i="1"/>
  <c r="VKB63" i="1"/>
  <c r="VKC63" i="1"/>
  <c r="VKD63" i="1"/>
  <c r="VKE63" i="1"/>
  <c r="VKF63" i="1"/>
  <c r="VKG63" i="1"/>
  <c r="VKH63" i="1"/>
  <c r="VKI63" i="1"/>
  <c r="VKJ63" i="1"/>
  <c r="VKK63" i="1"/>
  <c r="VKL63" i="1"/>
  <c r="VKM63" i="1"/>
  <c r="VKN63" i="1"/>
  <c r="VKO63" i="1"/>
  <c r="VKP63" i="1"/>
  <c r="VKQ63" i="1"/>
  <c r="VKR63" i="1"/>
  <c r="VKS63" i="1"/>
  <c r="VKT63" i="1"/>
  <c r="VKU63" i="1"/>
  <c r="VKV63" i="1"/>
  <c r="VKW63" i="1"/>
  <c r="VKX63" i="1"/>
  <c r="VKY63" i="1"/>
  <c r="VKZ63" i="1"/>
  <c r="VLA63" i="1"/>
  <c r="VLB63" i="1"/>
  <c r="VLC63" i="1"/>
  <c r="VLD63" i="1"/>
  <c r="VLE63" i="1"/>
  <c r="VLF63" i="1"/>
  <c r="VLG63" i="1"/>
  <c r="VLH63" i="1"/>
  <c r="VLI63" i="1"/>
  <c r="VLJ63" i="1"/>
  <c r="VLK63" i="1"/>
  <c r="VLL63" i="1"/>
  <c r="VLM63" i="1"/>
  <c r="VLN63" i="1"/>
  <c r="VLO63" i="1"/>
  <c r="VLP63" i="1"/>
  <c r="VLQ63" i="1"/>
  <c r="VLR63" i="1"/>
  <c r="VLS63" i="1"/>
  <c r="VLT63" i="1"/>
  <c r="VLU63" i="1"/>
  <c r="VLV63" i="1"/>
  <c r="VLW63" i="1"/>
  <c r="VLX63" i="1"/>
  <c r="VLY63" i="1"/>
  <c r="VLZ63" i="1"/>
  <c r="VMA63" i="1"/>
  <c r="VMB63" i="1"/>
  <c r="VMC63" i="1"/>
  <c r="VMD63" i="1"/>
  <c r="VME63" i="1"/>
  <c r="VMF63" i="1"/>
  <c r="VMG63" i="1"/>
  <c r="VMH63" i="1"/>
  <c r="VMI63" i="1"/>
  <c r="VMJ63" i="1"/>
  <c r="VMK63" i="1"/>
  <c r="VML63" i="1"/>
  <c r="VMM63" i="1"/>
  <c r="VMN63" i="1"/>
  <c r="VMO63" i="1"/>
  <c r="VMP63" i="1"/>
  <c r="VMQ63" i="1"/>
  <c r="VMR63" i="1"/>
  <c r="VMS63" i="1"/>
  <c r="VMT63" i="1"/>
  <c r="VMU63" i="1"/>
  <c r="VMV63" i="1"/>
  <c r="VMW63" i="1"/>
  <c r="VMX63" i="1"/>
  <c r="VMY63" i="1"/>
  <c r="VMZ63" i="1"/>
  <c r="VNA63" i="1"/>
  <c r="VNB63" i="1"/>
  <c r="VNC63" i="1"/>
  <c r="VND63" i="1"/>
  <c r="VNE63" i="1"/>
  <c r="VNF63" i="1"/>
  <c r="VNG63" i="1"/>
  <c r="VNH63" i="1"/>
  <c r="VNI63" i="1"/>
  <c r="VNJ63" i="1"/>
  <c r="VNK63" i="1"/>
  <c r="VNL63" i="1"/>
  <c r="VNM63" i="1"/>
  <c r="VNN63" i="1"/>
  <c r="VNO63" i="1"/>
  <c r="VNP63" i="1"/>
  <c r="VNQ63" i="1"/>
  <c r="VNR63" i="1"/>
  <c r="VNS63" i="1"/>
  <c r="VNT63" i="1"/>
  <c r="VNU63" i="1"/>
  <c r="VNV63" i="1"/>
  <c r="VNW63" i="1"/>
  <c r="VNX63" i="1"/>
  <c r="VNY63" i="1"/>
  <c r="VNZ63" i="1"/>
  <c r="VOA63" i="1"/>
  <c r="VOB63" i="1"/>
  <c r="VOC63" i="1"/>
  <c r="VOD63" i="1"/>
  <c r="VOE63" i="1"/>
  <c r="VOF63" i="1"/>
  <c r="VOG63" i="1"/>
  <c r="VOH63" i="1"/>
  <c r="VOI63" i="1"/>
  <c r="VOJ63" i="1"/>
  <c r="VOK63" i="1"/>
  <c r="VOL63" i="1"/>
  <c r="VOM63" i="1"/>
  <c r="VON63" i="1"/>
  <c r="VOO63" i="1"/>
  <c r="VOP63" i="1"/>
  <c r="VOQ63" i="1"/>
  <c r="VOR63" i="1"/>
  <c r="VOS63" i="1"/>
  <c r="VOT63" i="1"/>
  <c r="VOU63" i="1"/>
  <c r="VOV63" i="1"/>
  <c r="VOW63" i="1"/>
  <c r="VOX63" i="1"/>
  <c r="VOY63" i="1"/>
  <c r="VOZ63" i="1"/>
  <c r="VPA63" i="1"/>
  <c r="VPB63" i="1"/>
  <c r="VPC63" i="1"/>
  <c r="VPD63" i="1"/>
  <c r="VPE63" i="1"/>
  <c r="VPF63" i="1"/>
  <c r="VPG63" i="1"/>
  <c r="VPH63" i="1"/>
  <c r="VPI63" i="1"/>
  <c r="VPJ63" i="1"/>
  <c r="VPK63" i="1"/>
  <c r="VPL63" i="1"/>
  <c r="VPM63" i="1"/>
  <c r="VPN63" i="1"/>
  <c r="VPO63" i="1"/>
  <c r="VPP63" i="1"/>
  <c r="VPQ63" i="1"/>
  <c r="VPR63" i="1"/>
  <c r="VPS63" i="1"/>
  <c r="VPT63" i="1"/>
  <c r="VPU63" i="1"/>
  <c r="VPV63" i="1"/>
  <c r="VPW63" i="1"/>
  <c r="VPX63" i="1"/>
  <c r="VPY63" i="1"/>
  <c r="VPZ63" i="1"/>
  <c r="VQA63" i="1"/>
  <c r="VQB63" i="1"/>
  <c r="VQC63" i="1"/>
  <c r="VQD63" i="1"/>
  <c r="VQE63" i="1"/>
  <c r="VQF63" i="1"/>
  <c r="VQG63" i="1"/>
  <c r="VQH63" i="1"/>
  <c r="VQI63" i="1"/>
  <c r="VQJ63" i="1"/>
  <c r="VQK63" i="1"/>
  <c r="VQL63" i="1"/>
  <c r="VQM63" i="1"/>
  <c r="VQN63" i="1"/>
  <c r="VQO63" i="1"/>
  <c r="VQP63" i="1"/>
  <c r="VQQ63" i="1"/>
  <c r="VQR63" i="1"/>
  <c r="VQS63" i="1"/>
  <c r="VQT63" i="1"/>
  <c r="VQU63" i="1"/>
  <c r="VQV63" i="1"/>
  <c r="VQW63" i="1"/>
  <c r="VQX63" i="1"/>
  <c r="VQY63" i="1"/>
  <c r="VQZ63" i="1"/>
  <c r="VRA63" i="1"/>
  <c r="VRB63" i="1"/>
  <c r="VRC63" i="1"/>
  <c r="VRD63" i="1"/>
  <c r="VRE63" i="1"/>
  <c r="VRF63" i="1"/>
  <c r="VRG63" i="1"/>
  <c r="VRH63" i="1"/>
  <c r="VRI63" i="1"/>
  <c r="VRJ63" i="1"/>
  <c r="VRK63" i="1"/>
  <c r="VRL63" i="1"/>
  <c r="VRM63" i="1"/>
  <c r="VRN63" i="1"/>
  <c r="VRO63" i="1"/>
  <c r="VRP63" i="1"/>
  <c r="VRQ63" i="1"/>
  <c r="VRR63" i="1"/>
  <c r="VRS63" i="1"/>
  <c r="VRT63" i="1"/>
  <c r="VRU63" i="1"/>
  <c r="VRV63" i="1"/>
  <c r="VRW63" i="1"/>
  <c r="VRX63" i="1"/>
  <c r="VRY63" i="1"/>
  <c r="VRZ63" i="1"/>
  <c r="VSA63" i="1"/>
  <c r="VSB63" i="1"/>
  <c r="VSC63" i="1"/>
  <c r="VSD63" i="1"/>
  <c r="VSE63" i="1"/>
  <c r="VSF63" i="1"/>
  <c r="VSG63" i="1"/>
  <c r="VSH63" i="1"/>
  <c r="VSI63" i="1"/>
  <c r="VSJ63" i="1"/>
  <c r="VSK63" i="1"/>
  <c r="VSL63" i="1"/>
  <c r="VSM63" i="1"/>
  <c r="VSN63" i="1"/>
  <c r="VSO63" i="1"/>
  <c r="VSP63" i="1"/>
  <c r="VSQ63" i="1"/>
  <c r="VSR63" i="1"/>
  <c r="VSS63" i="1"/>
  <c r="VST63" i="1"/>
  <c r="VSU63" i="1"/>
  <c r="VSV63" i="1"/>
  <c r="VSW63" i="1"/>
  <c r="VSX63" i="1"/>
  <c r="VSY63" i="1"/>
  <c r="VSZ63" i="1"/>
  <c r="VTA63" i="1"/>
  <c r="VTB63" i="1"/>
  <c r="VTC63" i="1"/>
  <c r="VTD63" i="1"/>
  <c r="VTE63" i="1"/>
  <c r="VTF63" i="1"/>
  <c r="VTG63" i="1"/>
  <c r="VTH63" i="1"/>
  <c r="VTI63" i="1"/>
  <c r="VTJ63" i="1"/>
  <c r="VTK63" i="1"/>
  <c r="VTL63" i="1"/>
  <c r="VTM63" i="1"/>
  <c r="VTN63" i="1"/>
  <c r="VTO63" i="1"/>
  <c r="VTP63" i="1"/>
  <c r="VTQ63" i="1"/>
  <c r="VTR63" i="1"/>
  <c r="VTS63" i="1"/>
  <c r="VTT63" i="1"/>
  <c r="VTU63" i="1"/>
  <c r="VTV63" i="1"/>
  <c r="VTW63" i="1"/>
  <c r="VTX63" i="1"/>
  <c r="VTY63" i="1"/>
  <c r="VTZ63" i="1"/>
  <c r="VUA63" i="1"/>
  <c r="VUB63" i="1"/>
  <c r="VUC63" i="1"/>
  <c r="VUD63" i="1"/>
  <c r="VUE63" i="1"/>
  <c r="VUF63" i="1"/>
  <c r="VUG63" i="1"/>
  <c r="VUH63" i="1"/>
  <c r="VUI63" i="1"/>
  <c r="VUJ63" i="1"/>
  <c r="VUK63" i="1"/>
  <c r="VUL63" i="1"/>
  <c r="VUM63" i="1"/>
  <c r="VUN63" i="1"/>
  <c r="VUO63" i="1"/>
  <c r="VUP63" i="1"/>
  <c r="VUQ63" i="1"/>
  <c r="VUR63" i="1"/>
  <c r="VUS63" i="1"/>
  <c r="VUT63" i="1"/>
  <c r="VUU63" i="1"/>
  <c r="VUV63" i="1"/>
  <c r="VUW63" i="1"/>
  <c r="VUX63" i="1"/>
  <c r="VUY63" i="1"/>
  <c r="VUZ63" i="1"/>
  <c r="VVA63" i="1"/>
  <c r="VVB63" i="1"/>
  <c r="VVC63" i="1"/>
  <c r="VVD63" i="1"/>
  <c r="VVE63" i="1"/>
  <c r="VVF63" i="1"/>
  <c r="VVG63" i="1"/>
  <c r="VVH63" i="1"/>
  <c r="VVI63" i="1"/>
  <c r="VVJ63" i="1"/>
  <c r="VVK63" i="1"/>
  <c r="VVL63" i="1"/>
  <c r="VVM63" i="1"/>
  <c r="VVN63" i="1"/>
  <c r="VVO63" i="1"/>
  <c r="VVP63" i="1"/>
  <c r="VVQ63" i="1"/>
  <c r="VVR63" i="1"/>
  <c r="VVS63" i="1"/>
  <c r="VVT63" i="1"/>
  <c r="VVU63" i="1"/>
  <c r="VVV63" i="1"/>
  <c r="VVW63" i="1"/>
  <c r="VVX63" i="1"/>
  <c r="VVY63" i="1"/>
  <c r="VVZ63" i="1"/>
  <c r="VWA63" i="1"/>
  <c r="VWB63" i="1"/>
  <c r="VWC63" i="1"/>
  <c r="VWD63" i="1"/>
  <c r="VWE63" i="1"/>
  <c r="VWF63" i="1"/>
  <c r="VWG63" i="1"/>
  <c r="VWH63" i="1"/>
  <c r="VWI63" i="1"/>
  <c r="VWJ63" i="1"/>
  <c r="VWK63" i="1"/>
  <c r="VWL63" i="1"/>
  <c r="VWM63" i="1"/>
  <c r="VWN63" i="1"/>
  <c r="VWO63" i="1"/>
  <c r="VWP63" i="1"/>
  <c r="VWQ63" i="1"/>
  <c r="VWR63" i="1"/>
  <c r="VWS63" i="1"/>
  <c r="VWT63" i="1"/>
  <c r="VWU63" i="1"/>
  <c r="VWV63" i="1"/>
  <c r="VWW63" i="1"/>
  <c r="VWX63" i="1"/>
  <c r="VWY63" i="1"/>
  <c r="VWZ63" i="1"/>
  <c r="VXA63" i="1"/>
  <c r="VXB63" i="1"/>
  <c r="VXC63" i="1"/>
  <c r="VXD63" i="1"/>
  <c r="VXE63" i="1"/>
  <c r="VXF63" i="1"/>
  <c r="VXG63" i="1"/>
  <c r="VXH63" i="1"/>
  <c r="VXI63" i="1"/>
  <c r="VXJ63" i="1"/>
  <c r="VXK63" i="1"/>
  <c r="VXL63" i="1"/>
  <c r="VXM63" i="1"/>
  <c r="VXN63" i="1"/>
  <c r="VXO63" i="1"/>
  <c r="VXP63" i="1"/>
  <c r="VXQ63" i="1"/>
  <c r="VXR63" i="1"/>
  <c r="VXS63" i="1"/>
  <c r="VXT63" i="1"/>
  <c r="VXU63" i="1"/>
  <c r="VXV63" i="1"/>
  <c r="VXW63" i="1"/>
  <c r="VXX63" i="1"/>
  <c r="VXY63" i="1"/>
  <c r="VXZ63" i="1"/>
  <c r="VYA63" i="1"/>
  <c r="VYB63" i="1"/>
  <c r="VYC63" i="1"/>
  <c r="VYD63" i="1"/>
  <c r="VYE63" i="1"/>
  <c r="VYF63" i="1"/>
  <c r="VYG63" i="1"/>
  <c r="VYH63" i="1"/>
  <c r="VYI63" i="1"/>
  <c r="VYJ63" i="1"/>
  <c r="VYK63" i="1"/>
  <c r="VYL63" i="1"/>
  <c r="VYM63" i="1"/>
  <c r="VYN63" i="1"/>
  <c r="VYO63" i="1"/>
  <c r="VYP63" i="1"/>
  <c r="VYQ63" i="1"/>
  <c r="VYR63" i="1"/>
  <c r="VYS63" i="1"/>
  <c r="VYT63" i="1"/>
  <c r="VYU63" i="1"/>
  <c r="VYV63" i="1"/>
  <c r="VYW63" i="1"/>
  <c r="VYX63" i="1"/>
  <c r="VYY63" i="1"/>
  <c r="VYZ63" i="1"/>
  <c r="VZA63" i="1"/>
  <c r="VZB63" i="1"/>
  <c r="VZC63" i="1"/>
  <c r="VZD63" i="1"/>
  <c r="VZE63" i="1"/>
  <c r="VZF63" i="1"/>
  <c r="VZG63" i="1"/>
  <c r="VZH63" i="1"/>
  <c r="VZI63" i="1"/>
  <c r="VZJ63" i="1"/>
  <c r="VZK63" i="1"/>
  <c r="VZL63" i="1"/>
  <c r="VZM63" i="1"/>
  <c r="VZN63" i="1"/>
  <c r="VZO63" i="1"/>
  <c r="VZP63" i="1"/>
  <c r="VZQ63" i="1"/>
  <c r="VZR63" i="1"/>
  <c r="VZS63" i="1"/>
  <c r="VZT63" i="1"/>
  <c r="VZU63" i="1"/>
  <c r="VZV63" i="1"/>
  <c r="VZW63" i="1"/>
  <c r="VZX63" i="1"/>
  <c r="VZY63" i="1"/>
  <c r="VZZ63" i="1"/>
  <c r="WAA63" i="1"/>
  <c r="WAB63" i="1"/>
  <c r="WAC63" i="1"/>
  <c r="WAD63" i="1"/>
  <c r="WAE63" i="1"/>
  <c r="WAF63" i="1"/>
  <c r="WAG63" i="1"/>
  <c r="WAH63" i="1"/>
  <c r="WAI63" i="1"/>
  <c r="WAJ63" i="1"/>
  <c r="WAK63" i="1"/>
  <c r="WAL63" i="1"/>
  <c r="WAM63" i="1"/>
  <c r="WAN63" i="1"/>
  <c r="WAO63" i="1"/>
  <c r="WAP63" i="1"/>
  <c r="WAQ63" i="1"/>
  <c r="WAR63" i="1"/>
  <c r="WAS63" i="1"/>
  <c r="WAT63" i="1"/>
  <c r="WAU63" i="1"/>
  <c r="WAV63" i="1"/>
  <c r="WAW63" i="1"/>
  <c r="WAX63" i="1"/>
  <c r="WAY63" i="1"/>
  <c r="WAZ63" i="1"/>
  <c r="WBA63" i="1"/>
  <c r="WBB63" i="1"/>
  <c r="WBC63" i="1"/>
  <c r="WBD63" i="1"/>
  <c r="WBE63" i="1"/>
  <c r="WBF63" i="1"/>
  <c r="WBG63" i="1"/>
  <c r="WBH63" i="1"/>
  <c r="WBI63" i="1"/>
  <c r="WBJ63" i="1"/>
  <c r="WBK63" i="1"/>
  <c r="WBL63" i="1"/>
  <c r="WBM63" i="1"/>
  <c r="WBN63" i="1"/>
  <c r="WBO63" i="1"/>
  <c r="WBP63" i="1"/>
  <c r="WBQ63" i="1"/>
  <c r="WBR63" i="1"/>
  <c r="WBS63" i="1"/>
  <c r="WBT63" i="1"/>
  <c r="WBU63" i="1"/>
  <c r="WBV63" i="1"/>
  <c r="WBW63" i="1"/>
  <c r="WBX63" i="1"/>
  <c r="WBY63" i="1"/>
  <c r="WBZ63" i="1"/>
  <c r="WCA63" i="1"/>
  <c r="WCB63" i="1"/>
  <c r="WCC63" i="1"/>
  <c r="WCD63" i="1"/>
  <c r="WCE63" i="1"/>
  <c r="WCF63" i="1"/>
  <c r="WCG63" i="1"/>
  <c r="WCH63" i="1"/>
  <c r="WCI63" i="1"/>
  <c r="WCJ63" i="1"/>
  <c r="WCK63" i="1"/>
  <c r="WCL63" i="1"/>
  <c r="WCM63" i="1"/>
  <c r="WCN63" i="1"/>
  <c r="WCO63" i="1"/>
  <c r="WCP63" i="1"/>
  <c r="WCQ63" i="1"/>
  <c r="WCR63" i="1"/>
  <c r="WCS63" i="1"/>
  <c r="WCT63" i="1"/>
  <c r="WCU63" i="1"/>
  <c r="WCV63" i="1"/>
  <c r="WCW63" i="1"/>
  <c r="WCX63" i="1"/>
  <c r="WCY63" i="1"/>
  <c r="WCZ63" i="1"/>
  <c r="WDA63" i="1"/>
  <c r="WDB63" i="1"/>
  <c r="WDC63" i="1"/>
  <c r="WDD63" i="1"/>
  <c r="WDE63" i="1"/>
  <c r="WDF63" i="1"/>
  <c r="WDG63" i="1"/>
  <c r="WDH63" i="1"/>
  <c r="WDI63" i="1"/>
  <c r="WDJ63" i="1"/>
  <c r="WDK63" i="1"/>
  <c r="WDL63" i="1"/>
  <c r="WDM63" i="1"/>
  <c r="WDN63" i="1"/>
  <c r="WDO63" i="1"/>
  <c r="WDP63" i="1"/>
  <c r="WDQ63" i="1"/>
  <c r="WDR63" i="1"/>
  <c r="WDS63" i="1"/>
  <c r="WDT63" i="1"/>
  <c r="WDU63" i="1"/>
  <c r="WDV63" i="1"/>
  <c r="WDW63" i="1"/>
  <c r="WDX63" i="1"/>
  <c r="WDY63" i="1"/>
  <c r="WDZ63" i="1"/>
  <c r="WEA63" i="1"/>
  <c r="WEB63" i="1"/>
  <c r="WEC63" i="1"/>
  <c r="WED63" i="1"/>
  <c r="WEE63" i="1"/>
  <c r="WEF63" i="1"/>
  <c r="WEG63" i="1"/>
  <c r="WEH63" i="1"/>
  <c r="WEI63" i="1"/>
  <c r="WEJ63" i="1"/>
  <c r="WEK63" i="1"/>
  <c r="WEL63" i="1"/>
  <c r="WEM63" i="1"/>
  <c r="WEN63" i="1"/>
  <c r="WEO63" i="1"/>
  <c r="WEP63" i="1"/>
  <c r="WEQ63" i="1"/>
  <c r="WER63" i="1"/>
  <c r="WES63" i="1"/>
  <c r="WET63" i="1"/>
  <c r="WEU63" i="1"/>
  <c r="WEV63" i="1"/>
  <c r="WEW63" i="1"/>
  <c r="WEX63" i="1"/>
  <c r="WEY63" i="1"/>
  <c r="WEZ63" i="1"/>
  <c r="WFA63" i="1"/>
  <c r="WFB63" i="1"/>
  <c r="WFC63" i="1"/>
  <c r="WFD63" i="1"/>
  <c r="WFE63" i="1"/>
  <c r="WFF63" i="1"/>
  <c r="WFG63" i="1"/>
  <c r="WFH63" i="1"/>
  <c r="WFI63" i="1"/>
  <c r="WFJ63" i="1"/>
  <c r="WFK63" i="1"/>
  <c r="WFL63" i="1"/>
  <c r="WFM63" i="1"/>
  <c r="WFN63" i="1"/>
  <c r="WFO63" i="1"/>
  <c r="WFP63" i="1"/>
  <c r="WFQ63" i="1"/>
  <c r="WFR63" i="1"/>
  <c r="WFS63" i="1"/>
  <c r="WFT63" i="1"/>
  <c r="WFU63" i="1"/>
  <c r="WFV63" i="1"/>
  <c r="WFW63" i="1"/>
  <c r="WFX63" i="1"/>
  <c r="WFY63" i="1"/>
  <c r="WFZ63" i="1"/>
  <c r="WGA63" i="1"/>
  <c r="WGB63" i="1"/>
  <c r="WGC63" i="1"/>
  <c r="WGD63" i="1"/>
  <c r="WGE63" i="1"/>
  <c r="WGF63" i="1"/>
  <c r="WGG63" i="1"/>
  <c r="WGH63" i="1"/>
  <c r="WGI63" i="1"/>
  <c r="WGJ63" i="1"/>
  <c r="WGK63" i="1"/>
  <c r="WGL63" i="1"/>
  <c r="WGM63" i="1"/>
  <c r="WGN63" i="1"/>
  <c r="WGO63" i="1"/>
  <c r="WGP63" i="1"/>
  <c r="WGQ63" i="1"/>
  <c r="WGR63" i="1"/>
  <c r="WGS63" i="1"/>
  <c r="WGT63" i="1"/>
  <c r="WGU63" i="1"/>
  <c r="WGV63" i="1"/>
  <c r="WGW63" i="1"/>
  <c r="WGX63" i="1"/>
  <c r="WGY63" i="1"/>
  <c r="WGZ63" i="1"/>
  <c r="WHA63" i="1"/>
  <c r="WHB63" i="1"/>
  <c r="WHC63" i="1"/>
  <c r="WHD63" i="1"/>
  <c r="WHE63" i="1"/>
  <c r="WHF63" i="1"/>
  <c r="WHG63" i="1"/>
  <c r="WHH63" i="1"/>
  <c r="WHI63" i="1"/>
  <c r="WHJ63" i="1"/>
  <c r="WHK63" i="1"/>
  <c r="WHL63" i="1"/>
  <c r="WHM63" i="1"/>
  <c r="WHN63" i="1"/>
  <c r="WHO63" i="1"/>
  <c r="WHP63" i="1"/>
  <c r="WHQ63" i="1"/>
  <c r="WHR63" i="1"/>
  <c r="WHS63" i="1"/>
  <c r="WHT63" i="1"/>
  <c r="WHU63" i="1"/>
  <c r="WHV63" i="1"/>
  <c r="WHW63" i="1"/>
  <c r="WHX63" i="1"/>
  <c r="WHY63" i="1"/>
  <c r="WHZ63" i="1"/>
  <c r="WIA63" i="1"/>
  <c r="WIB63" i="1"/>
  <c r="WIC63" i="1"/>
  <c r="WID63" i="1"/>
  <c r="WIE63" i="1"/>
  <c r="WIF63" i="1"/>
  <c r="WIG63" i="1"/>
  <c r="WIH63" i="1"/>
  <c r="WII63" i="1"/>
  <c r="WIJ63" i="1"/>
  <c r="WIK63" i="1"/>
  <c r="WIL63" i="1"/>
  <c r="WIM63" i="1"/>
  <c r="WIN63" i="1"/>
  <c r="WIO63" i="1"/>
  <c r="WIP63" i="1"/>
  <c r="WIQ63" i="1"/>
  <c r="WIR63" i="1"/>
  <c r="WIS63" i="1"/>
  <c r="WIT63" i="1"/>
  <c r="WIU63" i="1"/>
  <c r="WIV63" i="1"/>
  <c r="WIW63" i="1"/>
  <c r="WIX63" i="1"/>
  <c r="WIY63" i="1"/>
  <c r="WIZ63" i="1"/>
  <c r="WJA63" i="1"/>
  <c r="WJB63" i="1"/>
  <c r="WJC63" i="1"/>
  <c r="WJD63" i="1"/>
  <c r="WJE63" i="1"/>
  <c r="WJF63" i="1"/>
  <c r="WJG63" i="1"/>
  <c r="WJH63" i="1"/>
  <c r="WJI63" i="1"/>
  <c r="WJJ63" i="1"/>
  <c r="WJK63" i="1"/>
  <c r="WJL63" i="1"/>
  <c r="WJM63" i="1"/>
  <c r="WJN63" i="1"/>
  <c r="WJO63" i="1"/>
  <c r="WJP63" i="1"/>
  <c r="WJQ63" i="1"/>
  <c r="WJR63" i="1"/>
  <c r="WJS63" i="1"/>
  <c r="WJT63" i="1"/>
  <c r="WJU63" i="1"/>
  <c r="WJV63" i="1"/>
  <c r="WJW63" i="1"/>
  <c r="WJX63" i="1"/>
  <c r="WJY63" i="1"/>
  <c r="WJZ63" i="1"/>
  <c r="WKA63" i="1"/>
  <c r="WKB63" i="1"/>
  <c r="WKC63" i="1"/>
  <c r="WKD63" i="1"/>
  <c r="WKE63" i="1"/>
  <c r="WKF63" i="1"/>
  <c r="WKG63" i="1"/>
  <c r="WKH63" i="1"/>
  <c r="WKI63" i="1"/>
  <c r="WKJ63" i="1"/>
  <c r="WKK63" i="1"/>
  <c r="WKL63" i="1"/>
  <c r="WKM63" i="1"/>
  <c r="WKN63" i="1"/>
  <c r="WKO63" i="1"/>
  <c r="WKP63" i="1"/>
  <c r="WKQ63" i="1"/>
  <c r="WKR63" i="1"/>
  <c r="WKS63" i="1"/>
  <c r="WKT63" i="1"/>
  <c r="WKU63" i="1"/>
  <c r="WKV63" i="1"/>
  <c r="WKW63" i="1"/>
  <c r="WKX63" i="1"/>
  <c r="WKY63" i="1"/>
  <c r="WKZ63" i="1"/>
  <c r="WLA63" i="1"/>
  <c r="WLB63" i="1"/>
  <c r="WLC63" i="1"/>
  <c r="WLD63" i="1"/>
  <c r="WLE63" i="1"/>
  <c r="WLF63" i="1"/>
  <c r="WLG63" i="1"/>
  <c r="WLH63" i="1"/>
  <c r="WLI63" i="1"/>
  <c r="WLJ63" i="1"/>
  <c r="WLK63" i="1"/>
  <c r="WLL63" i="1"/>
  <c r="WLM63" i="1"/>
  <c r="WLN63" i="1"/>
  <c r="WLO63" i="1"/>
  <c r="WLP63" i="1"/>
  <c r="WLQ63" i="1"/>
  <c r="WLR63" i="1"/>
  <c r="WLS63" i="1"/>
  <c r="WLT63" i="1"/>
  <c r="WLU63" i="1"/>
  <c r="WLV63" i="1"/>
  <c r="WLW63" i="1"/>
  <c r="WLX63" i="1"/>
  <c r="WLY63" i="1"/>
  <c r="WLZ63" i="1"/>
  <c r="WMA63" i="1"/>
  <c r="WMB63" i="1"/>
  <c r="WMC63" i="1"/>
  <c r="WMD63" i="1"/>
  <c r="WME63" i="1"/>
  <c r="WMF63" i="1"/>
  <c r="WMG63" i="1"/>
  <c r="WMH63" i="1"/>
  <c r="WMI63" i="1"/>
  <c r="WMJ63" i="1"/>
  <c r="WMK63" i="1"/>
  <c r="WML63" i="1"/>
  <c r="WMM63" i="1"/>
  <c r="WMN63" i="1"/>
  <c r="WMO63" i="1"/>
  <c r="WMP63" i="1"/>
  <c r="WMQ63" i="1"/>
  <c r="WMR63" i="1"/>
  <c r="WMS63" i="1"/>
  <c r="WMT63" i="1"/>
  <c r="WMU63" i="1"/>
  <c r="WMV63" i="1"/>
  <c r="WMW63" i="1"/>
  <c r="WMX63" i="1"/>
  <c r="WMY63" i="1"/>
  <c r="WMZ63" i="1"/>
  <c r="WNA63" i="1"/>
  <c r="WNB63" i="1"/>
  <c r="WNC63" i="1"/>
  <c r="WND63" i="1"/>
  <c r="WNE63" i="1"/>
  <c r="WNF63" i="1"/>
  <c r="WNG63" i="1"/>
  <c r="WNH63" i="1"/>
  <c r="WNI63" i="1"/>
  <c r="WNJ63" i="1"/>
  <c r="WNK63" i="1"/>
  <c r="WNL63" i="1"/>
  <c r="WNM63" i="1"/>
  <c r="WNN63" i="1"/>
  <c r="WNO63" i="1"/>
  <c r="WNP63" i="1"/>
  <c r="WNQ63" i="1"/>
  <c r="WNR63" i="1"/>
  <c r="WNS63" i="1"/>
  <c r="WNT63" i="1"/>
  <c r="WNU63" i="1"/>
  <c r="WNV63" i="1"/>
  <c r="WNW63" i="1"/>
  <c r="WNX63" i="1"/>
  <c r="WNY63" i="1"/>
  <c r="WNZ63" i="1"/>
  <c r="WOA63" i="1"/>
  <c r="WOB63" i="1"/>
  <c r="WOC63" i="1"/>
  <c r="WOD63" i="1"/>
  <c r="WOE63" i="1"/>
  <c r="WOF63" i="1"/>
  <c r="WOG63" i="1"/>
  <c r="WOH63" i="1"/>
  <c r="WOI63" i="1"/>
  <c r="WOJ63" i="1"/>
  <c r="WOK63" i="1"/>
  <c r="WOL63" i="1"/>
  <c r="WOM63" i="1"/>
  <c r="WON63" i="1"/>
  <c r="WOO63" i="1"/>
  <c r="WOP63" i="1"/>
  <c r="WOQ63" i="1"/>
  <c r="WOR63" i="1"/>
  <c r="WOS63" i="1"/>
  <c r="WOT63" i="1"/>
  <c r="WOU63" i="1"/>
  <c r="WOV63" i="1"/>
  <c r="WOW63" i="1"/>
  <c r="WOX63" i="1"/>
  <c r="WOY63" i="1"/>
  <c r="WOZ63" i="1"/>
  <c r="WPA63" i="1"/>
  <c r="WPB63" i="1"/>
  <c r="WPC63" i="1"/>
  <c r="WPD63" i="1"/>
  <c r="WPE63" i="1"/>
  <c r="WPF63" i="1"/>
  <c r="WPG63" i="1"/>
  <c r="WPH63" i="1"/>
  <c r="WPI63" i="1"/>
  <c r="WPJ63" i="1"/>
  <c r="WPK63" i="1"/>
  <c r="WPL63" i="1"/>
  <c r="WPM63" i="1"/>
  <c r="WPN63" i="1"/>
  <c r="WPO63" i="1"/>
  <c r="WPP63" i="1"/>
  <c r="WPQ63" i="1"/>
  <c r="WPR63" i="1"/>
  <c r="WPS63" i="1"/>
  <c r="WPT63" i="1"/>
  <c r="WPU63" i="1"/>
  <c r="WPV63" i="1"/>
  <c r="WPW63" i="1"/>
  <c r="WPX63" i="1"/>
  <c r="WPY63" i="1"/>
  <c r="WPZ63" i="1"/>
  <c r="WQA63" i="1"/>
  <c r="WQB63" i="1"/>
  <c r="WQC63" i="1"/>
  <c r="WQD63" i="1"/>
  <c r="WQE63" i="1"/>
  <c r="WQF63" i="1"/>
  <c r="WQG63" i="1"/>
  <c r="WQH63" i="1"/>
  <c r="WQI63" i="1"/>
  <c r="WQJ63" i="1"/>
  <c r="WQK63" i="1"/>
  <c r="WQL63" i="1"/>
  <c r="WQM63" i="1"/>
  <c r="WQN63" i="1"/>
  <c r="WQO63" i="1"/>
  <c r="WQP63" i="1"/>
  <c r="WQQ63" i="1"/>
  <c r="WQR63" i="1"/>
  <c r="WQS63" i="1"/>
  <c r="WQT63" i="1"/>
  <c r="WQU63" i="1"/>
  <c r="WQV63" i="1"/>
  <c r="WQW63" i="1"/>
  <c r="WQX63" i="1"/>
  <c r="WQY63" i="1"/>
  <c r="WQZ63" i="1"/>
  <c r="WRA63" i="1"/>
  <c r="WRB63" i="1"/>
  <c r="WRC63" i="1"/>
  <c r="WRD63" i="1"/>
  <c r="WRE63" i="1"/>
  <c r="WRF63" i="1"/>
  <c r="WRG63" i="1"/>
  <c r="WRH63" i="1"/>
  <c r="WRI63" i="1"/>
  <c r="WRJ63" i="1"/>
  <c r="WRK63" i="1"/>
  <c r="WRL63" i="1"/>
  <c r="WRM63" i="1"/>
  <c r="WRN63" i="1"/>
  <c r="WRO63" i="1"/>
  <c r="WRP63" i="1"/>
  <c r="WRQ63" i="1"/>
  <c r="WRR63" i="1"/>
  <c r="WRS63" i="1"/>
  <c r="WRT63" i="1"/>
  <c r="WRU63" i="1"/>
  <c r="WRV63" i="1"/>
  <c r="WRW63" i="1"/>
  <c r="WRX63" i="1"/>
  <c r="WRY63" i="1"/>
  <c r="WRZ63" i="1"/>
  <c r="WSA63" i="1"/>
  <c r="WSB63" i="1"/>
  <c r="WSC63" i="1"/>
  <c r="WSD63" i="1"/>
  <c r="WSE63" i="1"/>
  <c r="WSF63" i="1"/>
  <c r="WSG63" i="1"/>
  <c r="WSH63" i="1"/>
  <c r="WSI63" i="1"/>
  <c r="WSJ63" i="1"/>
  <c r="WSK63" i="1"/>
  <c r="WSL63" i="1"/>
  <c r="WSM63" i="1"/>
  <c r="WSN63" i="1"/>
  <c r="WSO63" i="1"/>
  <c r="WSP63" i="1"/>
  <c r="WSQ63" i="1"/>
  <c r="WSR63" i="1"/>
  <c r="WSS63" i="1"/>
  <c r="WST63" i="1"/>
  <c r="WSU63" i="1"/>
  <c r="WSV63" i="1"/>
  <c r="WSW63" i="1"/>
  <c r="WSX63" i="1"/>
  <c r="WSY63" i="1"/>
  <c r="WSZ63" i="1"/>
  <c r="WTA63" i="1"/>
  <c r="WTB63" i="1"/>
  <c r="WTC63" i="1"/>
  <c r="WTD63" i="1"/>
  <c r="WTE63" i="1"/>
  <c r="WTF63" i="1"/>
  <c r="WTG63" i="1"/>
  <c r="WTH63" i="1"/>
  <c r="WTI63" i="1"/>
  <c r="WTJ63" i="1"/>
  <c r="WTK63" i="1"/>
  <c r="WTL63" i="1"/>
  <c r="WTM63" i="1"/>
  <c r="WTN63" i="1"/>
  <c r="WTO63" i="1"/>
  <c r="WTP63" i="1"/>
  <c r="WTQ63" i="1"/>
  <c r="WTR63" i="1"/>
  <c r="WTS63" i="1"/>
  <c r="WTT63" i="1"/>
  <c r="WTU63" i="1"/>
  <c r="WTV63" i="1"/>
  <c r="WTW63" i="1"/>
  <c r="WTX63" i="1"/>
  <c r="WTY63" i="1"/>
  <c r="WTZ63" i="1"/>
  <c r="WUA63" i="1"/>
  <c r="WUB63" i="1"/>
  <c r="WUC63" i="1"/>
  <c r="WUD63" i="1"/>
  <c r="WUE63" i="1"/>
  <c r="WUF63" i="1"/>
  <c r="WUG63" i="1"/>
  <c r="WUH63" i="1"/>
  <c r="WUI63" i="1"/>
  <c r="WUJ63" i="1"/>
  <c r="WUK63" i="1"/>
  <c r="WUL63" i="1"/>
  <c r="WUM63" i="1"/>
  <c r="WUN63" i="1"/>
  <c r="WUO63" i="1"/>
  <c r="WUP63" i="1"/>
  <c r="WUQ63" i="1"/>
  <c r="WUR63" i="1"/>
  <c r="WUS63" i="1"/>
  <c r="WUT63" i="1"/>
  <c r="WUU63" i="1"/>
  <c r="WUV63" i="1"/>
  <c r="WUW63" i="1"/>
  <c r="WUX63" i="1"/>
  <c r="WUY63" i="1"/>
  <c r="WUZ63" i="1"/>
  <c r="WVA63" i="1"/>
  <c r="WVB63" i="1"/>
  <c r="WVC63" i="1"/>
  <c r="WVD63" i="1"/>
  <c r="WVE63" i="1"/>
  <c r="WVF63" i="1"/>
  <c r="WVG63" i="1"/>
  <c r="WVH63" i="1"/>
  <c r="WVI63" i="1"/>
  <c r="WVJ63" i="1"/>
  <c r="WVK63" i="1"/>
  <c r="WVL63" i="1"/>
  <c r="WVM63" i="1"/>
  <c r="WVN63" i="1"/>
  <c r="WVO63" i="1"/>
  <c r="WVP63" i="1"/>
  <c r="WVQ63" i="1"/>
  <c r="WVR63" i="1"/>
  <c r="WVS63" i="1"/>
  <c r="WVT63" i="1"/>
  <c r="WVU63" i="1"/>
  <c r="WVV63" i="1"/>
  <c r="WVW63" i="1"/>
  <c r="WVX63" i="1"/>
  <c r="WVY63" i="1"/>
  <c r="WVZ63" i="1"/>
  <c r="WWA63" i="1"/>
  <c r="WWB63" i="1"/>
  <c r="WWC63" i="1"/>
  <c r="WWD63" i="1"/>
  <c r="WWE63" i="1"/>
  <c r="WWF63" i="1"/>
  <c r="WWG63" i="1"/>
  <c r="WWH63" i="1"/>
  <c r="WWI63" i="1"/>
  <c r="WWJ63" i="1"/>
  <c r="WWK63" i="1"/>
  <c r="WWL63" i="1"/>
  <c r="WWM63" i="1"/>
  <c r="WWN63" i="1"/>
  <c r="WWO63" i="1"/>
  <c r="WWP63" i="1"/>
  <c r="WWQ63" i="1"/>
  <c r="WWR63" i="1"/>
  <c r="WWS63" i="1"/>
  <c r="WWT63" i="1"/>
  <c r="WWU63" i="1"/>
  <c r="WWV63" i="1"/>
  <c r="WWW63" i="1"/>
  <c r="WWX63" i="1"/>
  <c r="WWY63" i="1"/>
  <c r="WWZ63" i="1"/>
  <c r="WXA63" i="1"/>
  <c r="WXB63" i="1"/>
  <c r="WXC63" i="1"/>
  <c r="WXD63" i="1"/>
  <c r="WXE63" i="1"/>
  <c r="WXF63" i="1"/>
  <c r="WXG63" i="1"/>
  <c r="WXH63" i="1"/>
  <c r="WXI63" i="1"/>
  <c r="WXJ63" i="1"/>
  <c r="WXK63" i="1"/>
  <c r="WXL63" i="1"/>
  <c r="WXM63" i="1"/>
  <c r="WXN63" i="1"/>
  <c r="WXO63" i="1"/>
  <c r="WXP63" i="1"/>
  <c r="WXQ63" i="1"/>
  <c r="WXR63" i="1"/>
  <c r="WXS63" i="1"/>
  <c r="WXT63" i="1"/>
  <c r="WXU63" i="1"/>
  <c r="WXV63" i="1"/>
  <c r="WXW63" i="1"/>
  <c r="WXX63" i="1"/>
  <c r="WXY63" i="1"/>
  <c r="WXZ63" i="1"/>
  <c r="WYA63" i="1"/>
  <c r="WYB63" i="1"/>
  <c r="WYC63" i="1"/>
  <c r="WYD63" i="1"/>
  <c r="WYE63" i="1"/>
  <c r="WYF63" i="1"/>
  <c r="WYG63" i="1"/>
  <c r="WYH63" i="1"/>
  <c r="WYI63" i="1"/>
  <c r="WYJ63" i="1"/>
  <c r="WYK63" i="1"/>
  <c r="WYL63" i="1"/>
  <c r="WYM63" i="1"/>
  <c r="WYN63" i="1"/>
  <c r="WYO63" i="1"/>
  <c r="WYP63" i="1"/>
  <c r="WYQ63" i="1"/>
  <c r="WYR63" i="1"/>
  <c r="WYS63" i="1"/>
  <c r="WYT63" i="1"/>
  <c r="WYU63" i="1"/>
  <c r="WYV63" i="1"/>
  <c r="WYW63" i="1"/>
  <c r="WYX63" i="1"/>
  <c r="WYY63" i="1"/>
  <c r="WYZ63" i="1"/>
  <c r="WZA63" i="1"/>
  <c r="WZB63" i="1"/>
  <c r="WZC63" i="1"/>
  <c r="WZD63" i="1"/>
  <c r="WZE63" i="1"/>
  <c r="WZF63" i="1"/>
  <c r="WZG63" i="1"/>
  <c r="WZH63" i="1"/>
  <c r="WZI63" i="1"/>
  <c r="WZJ63" i="1"/>
  <c r="WZK63" i="1"/>
  <c r="WZL63" i="1"/>
  <c r="WZM63" i="1"/>
  <c r="WZN63" i="1"/>
  <c r="WZO63" i="1"/>
  <c r="WZP63" i="1"/>
  <c r="WZQ63" i="1"/>
  <c r="WZR63" i="1"/>
  <c r="WZS63" i="1"/>
  <c r="WZT63" i="1"/>
  <c r="WZU63" i="1"/>
  <c r="WZV63" i="1"/>
  <c r="WZW63" i="1"/>
  <c r="WZX63" i="1"/>
  <c r="WZY63" i="1"/>
  <c r="WZZ63" i="1"/>
  <c r="XAA63" i="1"/>
  <c r="XAB63" i="1"/>
  <c r="XAC63" i="1"/>
  <c r="XAD63" i="1"/>
  <c r="XAE63" i="1"/>
  <c r="XAF63" i="1"/>
  <c r="XAG63" i="1"/>
  <c r="XAH63" i="1"/>
  <c r="XAI63" i="1"/>
  <c r="XAJ63" i="1"/>
  <c r="XAK63" i="1"/>
  <c r="XAL63" i="1"/>
  <c r="XAM63" i="1"/>
  <c r="XAN63" i="1"/>
  <c r="XAO63" i="1"/>
  <c r="XAP63" i="1"/>
  <c r="XAQ63" i="1"/>
  <c r="XAR63" i="1"/>
  <c r="XAS63" i="1"/>
  <c r="XAT63" i="1"/>
  <c r="XAU63" i="1"/>
  <c r="XAV63" i="1"/>
  <c r="XAW63" i="1"/>
  <c r="XAX63" i="1"/>
  <c r="XAY63" i="1"/>
  <c r="XAZ63" i="1"/>
  <c r="XBA63" i="1"/>
  <c r="XBB63" i="1"/>
  <c r="XBC63" i="1"/>
  <c r="XBD63" i="1"/>
  <c r="XBE63" i="1"/>
  <c r="XBF63" i="1"/>
  <c r="XBG63" i="1"/>
  <c r="XBH63" i="1"/>
  <c r="XBI63" i="1"/>
  <c r="XBJ63" i="1"/>
  <c r="XBK63" i="1"/>
  <c r="XBL63" i="1"/>
  <c r="XBM63" i="1"/>
  <c r="XBN63" i="1"/>
  <c r="XBO63" i="1"/>
  <c r="XBP63" i="1"/>
  <c r="XBQ63" i="1"/>
  <c r="XBR63" i="1"/>
  <c r="XBS63" i="1"/>
  <c r="XBT63" i="1"/>
  <c r="XBU63" i="1"/>
  <c r="XBV63" i="1"/>
  <c r="XBW63" i="1"/>
  <c r="XBX63" i="1"/>
  <c r="XBY63" i="1"/>
  <c r="XBZ63" i="1"/>
  <c r="XCA63" i="1"/>
  <c r="XCB63" i="1"/>
  <c r="XCC63" i="1"/>
  <c r="XCD63" i="1"/>
  <c r="XCE63" i="1"/>
  <c r="XCF63" i="1"/>
  <c r="XCG63" i="1"/>
  <c r="XCH63" i="1"/>
  <c r="XCI63" i="1"/>
  <c r="XCJ63" i="1"/>
  <c r="XCK63" i="1"/>
  <c r="XCL63" i="1"/>
  <c r="XCM63" i="1"/>
  <c r="XCN63" i="1"/>
  <c r="XCO63" i="1"/>
  <c r="XCP63" i="1"/>
  <c r="XCQ63" i="1"/>
  <c r="XCR63" i="1"/>
  <c r="XCS63" i="1"/>
  <c r="XCT63" i="1"/>
  <c r="XCU63" i="1"/>
  <c r="XCV63" i="1"/>
  <c r="XCW63" i="1"/>
  <c r="XCX63" i="1"/>
  <c r="XCY63" i="1"/>
  <c r="XCZ63" i="1"/>
  <c r="XDA63" i="1"/>
  <c r="XDB63" i="1"/>
  <c r="XDC63" i="1"/>
  <c r="XDD63" i="1"/>
  <c r="XDE63" i="1"/>
  <c r="XDF63" i="1"/>
  <c r="XDG63" i="1"/>
  <c r="XDH63" i="1"/>
  <c r="XDI63" i="1"/>
  <c r="XDJ63" i="1"/>
  <c r="XDK63" i="1"/>
  <c r="XDL63" i="1"/>
  <c r="XDM63" i="1"/>
  <c r="XDN63" i="1"/>
  <c r="XDO63" i="1"/>
  <c r="XDP63" i="1"/>
  <c r="XDQ63" i="1"/>
  <c r="XDR63" i="1"/>
  <c r="XDS63" i="1"/>
  <c r="XDT63" i="1"/>
  <c r="XDU63" i="1"/>
  <c r="XDV63" i="1"/>
  <c r="XDW63" i="1"/>
  <c r="XDX63" i="1"/>
  <c r="XDY63" i="1"/>
  <c r="XDZ63" i="1"/>
  <c r="XEA63" i="1"/>
  <c r="XEB63" i="1"/>
  <c r="XEC63" i="1"/>
  <c r="XED63" i="1"/>
  <c r="XEE63" i="1"/>
  <c r="XEF63" i="1"/>
  <c r="XEG63" i="1"/>
  <c r="XEH63" i="1"/>
  <c r="XEI63" i="1"/>
  <c r="XEJ63" i="1"/>
  <c r="XEK63" i="1"/>
  <c r="XEL63" i="1"/>
  <c r="XEM63" i="1"/>
  <c r="XEN63" i="1"/>
  <c r="XEO63" i="1"/>
  <c r="XEP63" i="1"/>
  <c r="XEQ63" i="1"/>
  <c r="XER63" i="1"/>
  <c r="XES63" i="1"/>
  <c r="XET63" i="1"/>
  <c r="XEU63" i="1"/>
  <c r="XEV63" i="1"/>
  <c r="XEW63" i="1"/>
  <c r="XEX63" i="1"/>
  <c r="XEY63" i="1"/>
  <c r="XEZ63" i="1"/>
  <c r="XFA63" i="1"/>
  <c r="XFB63" i="1"/>
  <c r="XFC63" i="1"/>
  <c r="XFD63" i="1"/>
  <c r="F63" i="1"/>
  <c r="U57" i="1"/>
  <c r="J57" i="1"/>
  <c r="I57" i="1"/>
  <c r="U56" i="1"/>
  <c r="J56" i="1"/>
  <c r="I56" i="1"/>
  <c r="U55" i="1"/>
  <c r="J55" i="1"/>
  <c r="I55" i="1"/>
  <c r="G57" i="1"/>
  <c r="G56" i="1"/>
  <c r="G55" i="1"/>
  <c r="M55" i="1" s="1"/>
  <c r="R57" i="1"/>
  <c r="R56" i="1"/>
  <c r="R55" i="1"/>
  <c r="J50" i="1"/>
  <c r="I51" i="1"/>
  <c r="I52" i="1" s="1"/>
  <c r="G50" i="1"/>
  <c r="F51" i="1"/>
  <c r="F52" i="1" s="1"/>
  <c r="C10" i="2" s="1"/>
  <c r="G51" i="1"/>
  <c r="G52" i="1" s="1"/>
  <c r="J51" i="1"/>
  <c r="J52" i="1" s="1"/>
  <c r="K10" i="2" s="1"/>
  <c r="R51" i="1"/>
  <c r="U51" i="1"/>
  <c r="I63" i="1" l="1"/>
  <c r="U63" i="1"/>
  <c r="M62" i="1"/>
  <c r="N62" i="1" s="1"/>
  <c r="U23" i="9"/>
  <c r="G63" i="1"/>
  <c r="J63" i="1"/>
  <c r="K60" i="1"/>
  <c r="M60" i="1"/>
  <c r="M59" i="1"/>
  <c r="N59" i="1" s="1"/>
  <c r="K59" i="1"/>
  <c r="M61" i="1"/>
  <c r="M51" i="1"/>
  <c r="N51" i="1" s="1"/>
  <c r="K58" i="1"/>
  <c r="H59" i="1"/>
  <c r="M58" i="1"/>
  <c r="K56" i="1"/>
  <c r="M56" i="1"/>
  <c r="K57" i="1"/>
  <c r="K55" i="1"/>
  <c r="M57" i="1"/>
  <c r="S57" i="1" s="1"/>
  <c r="T57" i="1" s="1"/>
  <c r="H57" i="1"/>
  <c r="N55" i="1"/>
  <c r="S55" i="1"/>
  <c r="T55" i="1" s="1"/>
  <c r="H55" i="1"/>
  <c r="H56" i="1"/>
  <c r="H51" i="1"/>
  <c r="K51" i="1"/>
  <c r="S62" i="1" l="1"/>
  <c r="T62" i="1" s="1"/>
  <c r="M52" i="1"/>
  <c r="R10" i="2" s="1"/>
  <c r="S10" i="2" s="1"/>
  <c r="S59" i="1"/>
  <c r="T59" i="1" s="1"/>
  <c r="K63" i="1"/>
  <c r="N56" i="1"/>
  <c r="M63" i="1"/>
  <c r="N60" i="1"/>
  <c r="S60" i="1"/>
  <c r="T60" i="1" s="1"/>
  <c r="S61" i="1"/>
  <c r="T61" i="1" s="1"/>
  <c r="N61" i="1"/>
  <c r="S56" i="1"/>
  <c r="S51" i="1"/>
  <c r="S58" i="1"/>
  <c r="T58" i="1" s="1"/>
  <c r="N58" i="1"/>
  <c r="N57" i="1"/>
  <c r="T56" i="1" l="1"/>
  <c r="T63" i="1" s="1"/>
  <c r="S63" i="1"/>
  <c r="N63" i="1"/>
  <c r="S52" i="1"/>
  <c r="T51" i="1"/>
  <c r="J9" i="1" l="1"/>
  <c r="J4" i="1"/>
  <c r="J5" i="1"/>
  <c r="J6" i="1"/>
  <c r="J7" i="1"/>
  <c r="J8" i="1"/>
  <c r="I30" i="1" l="1"/>
  <c r="F30" i="1"/>
  <c r="U10" i="9"/>
  <c r="U9" i="9"/>
  <c r="U8" i="9"/>
  <c r="U7" i="9"/>
  <c r="U6" i="9"/>
  <c r="U5" i="9"/>
  <c r="U4" i="9"/>
  <c r="S10" i="9"/>
  <c r="S9" i="9"/>
  <c r="S8" i="9"/>
  <c r="S7" i="9"/>
  <c r="S6" i="9"/>
  <c r="S5" i="9"/>
  <c r="S4" i="9"/>
  <c r="U11" i="9" l="1"/>
  <c r="S3" i="9"/>
  <c r="L11" i="9"/>
  <c r="U32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7" i="8"/>
  <c r="T6" i="8"/>
  <c r="T5" i="8"/>
  <c r="T4" i="8"/>
  <c r="T3" i="8"/>
  <c r="T7" i="7"/>
  <c r="T6" i="7"/>
  <c r="T5" i="7"/>
  <c r="T4" i="7"/>
  <c r="T3" i="7"/>
  <c r="T7" i="6"/>
  <c r="T6" i="6"/>
  <c r="T5" i="6"/>
  <c r="T4" i="6"/>
  <c r="T3" i="6"/>
  <c r="T7" i="5"/>
  <c r="T6" i="5"/>
  <c r="T5" i="5"/>
  <c r="T4" i="5"/>
  <c r="T3" i="5"/>
  <c r="T3" i="4"/>
  <c r="T7" i="4"/>
  <c r="T6" i="4"/>
  <c r="T5" i="4"/>
  <c r="T4" i="4"/>
  <c r="I8" i="4"/>
  <c r="I7" i="4"/>
  <c r="I6" i="4"/>
  <c r="I5" i="4"/>
  <c r="I3" i="4"/>
  <c r="I4" i="4"/>
  <c r="U50" i="1"/>
  <c r="U46" i="1"/>
  <c r="U45" i="1"/>
  <c r="U44" i="1"/>
  <c r="U43" i="1"/>
  <c r="U39" i="1"/>
  <c r="U38" i="1"/>
  <c r="U37" i="1"/>
  <c r="U36" i="1"/>
  <c r="U35" i="1"/>
  <c r="U34" i="1"/>
  <c r="U33" i="1"/>
  <c r="U31" i="1"/>
  <c r="U30" i="1"/>
  <c r="U29" i="1"/>
  <c r="U25" i="1"/>
  <c r="U24" i="1"/>
  <c r="U23" i="1"/>
  <c r="U22" i="1"/>
  <c r="U18" i="1"/>
  <c r="U17" i="1"/>
  <c r="U16" i="1"/>
  <c r="U15" i="1"/>
  <c r="U14" i="1"/>
  <c r="U13" i="1"/>
  <c r="U9" i="1"/>
  <c r="U8" i="1"/>
  <c r="U7" i="1"/>
  <c r="U6" i="1"/>
  <c r="U4" i="1"/>
  <c r="U5" i="1"/>
  <c r="O39" i="1"/>
  <c r="Q39" i="1" s="1"/>
  <c r="G39" i="1"/>
  <c r="F39" i="1"/>
  <c r="J39" i="1"/>
  <c r="I39" i="1"/>
  <c r="J30" i="1"/>
  <c r="T9" i="8" l="1"/>
  <c r="U26" i="1"/>
  <c r="I9" i="6"/>
  <c r="U40" i="1"/>
  <c r="I9" i="4"/>
  <c r="I9" i="5"/>
  <c r="K39" i="1"/>
  <c r="R39" i="1"/>
  <c r="M39" i="1"/>
  <c r="N39" i="1" s="1"/>
  <c r="H39" i="1"/>
  <c r="S39" i="1" l="1"/>
  <c r="T39" i="1" s="1"/>
  <c r="G30" i="1" l="1"/>
  <c r="M30" i="1" s="1"/>
  <c r="O10" i="2"/>
  <c r="O12" i="2" s="1"/>
  <c r="J46" i="1"/>
  <c r="J45" i="1"/>
  <c r="J44" i="1"/>
  <c r="J43" i="1"/>
  <c r="J38" i="1"/>
  <c r="J37" i="1"/>
  <c r="J36" i="1"/>
  <c r="J35" i="1"/>
  <c r="J34" i="1"/>
  <c r="J33" i="1"/>
  <c r="J32" i="1"/>
  <c r="J31" i="1"/>
  <c r="J29" i="1"/>
  <c r="G31" i="1"/>
  <c r="J25" i="1"/>
  <c r="J24" i="1"/>
  <c r="J23" i="1"/>
  <c r="J22" i="1"/>
  <c r="J18" i="1"/>
  <c r="J17" i="1"/>
  <c r="J16" i="1"/>
  <c r="J15" i="1"/>
  <c r="J14" i="1"/>
  <c r="J13" i="1"/>
  <c r="F8" i="8"/>
  <c r="L8" i="8" s="1"/>
  <c r="R8" i="8" s="1"/>
  <c r="S8" i="8" s="1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Q9" i="5"/>
  <c r="Q9" i="6"/>
  <c r="Q9" i="7"/>
  <c r="L8" i="7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L8" i="6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G8" i="5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G8" i="4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2" i="1"/>
  <c r="AG10" i="2"/>
  <c r="L12" i="2"/>
  <c r="Y12" i="2"/>
  <c r="Z12" i="2"/>
  <c r="AB12" i="2"/>
  <c r="AC12" i="2"/>
  <c r="AD12" i="2"/>
  <c r="J10" i="1" l="1"/>
  <c r="J26" i="1"/>
  <c r="J40" i="1"/>
  <c r="M31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L9" i="5" l="1"/>
  <c r="M9" i="5" s="1"/>
  <c r="M4" i="5"/>
  <c r="R4" i="4"/>
  <c r="S4" i="4" s="1"/>
  <c r="R8" i="4"/>
  <c r="S8" i="4" s="1"/>
  <c r="M7" i="5"/>
  <c r="R6" i="5"/>
  <c r="S6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2" i="1" l="1"/>
  <c r="W10" i="2" s="1"/>
  <c r="AK10" i="2" s="1"/>
  <c r="O50" i="1"/>
  <c r="O52" i="1" s="1"/>
  <c r="AA10" i="2" s="1"/>
  <c r="AA12" i="2" s="1"/>
  <c r="L50" i="1"/>
  <c r="R50" i="1" l="1"/>
  <c r="R52" i="1" s="1"/>
  <c r="AH10" i="2" s="1"/>
  <c r="AH12" i="2" s="1"/>
  <c r="T10" i="2"/>
  <c r="T12" i="2" s="1"/>
  <c r="P47" i="1"/>
  <c r="J47" i="1"/>
  <c r="K9" i="2" s="1"/>
  <c r="O45" i="1"/>
  <c r="Q45" i="1" s="1"/>
  <c r="L45" i="1"/>
  <c r="D10" i="2" l="1"/>
  <c r="E10" i="2" s="1"/>
  <c r="M50" i="1"/>
  <c r="U10" i="2" s="1"/>
  <c r="U47" i="1"/>
  <c r="W9" i="2" s="1"/>
  <c r="AK9" i="2" s="1"/>
  <c r="R45" i="1"/>
  <c r="O44" i="1"/>
  <c r="Q44" i="1" s="1"/>
  <c r="L44" i="1"/>
  <c r="S50" i="1" l="1"/>
  <c r="T50" i="1" s="1"/>
  <c r="N50" i="1"/>
  <c r="U12" i="2"/>
  <c r="V10" i="2"/>
  <c r="V12" i="2" s="1"/>
  <c r="H12" i="2"/>
  <c r="R44" i="1"/>
  <c r="O46" i="1"/>
  <c r="L46" i="1"/>
  <c r="AI10" i="2" l="1"/>
  <c r="AI12" i="2" s="1"/>
  <c r="R46" i="1"/>
  <c r="Q46" i="1"/>
  <c r="L43" i="1"/>
  <c r="O43" i="1"/>
  <c r="Q43" i="1" l="1"/>
  <c r="O47" i="1"/>
  <c r="X9" i="2" s="1"/>
  <c r="R43" i="1"/>
  <c r="L47" i="1"/>
  <c r="Q9" i="2" s="1"/>
  <c r="G46" i="1"/>
  <c r="M46" i="1" s="1"/>
  <c r="G45" i="1"/>
  <c r="M45" i="1" s="1"/>
  <c r="G44" i="1"/>
  <c r="M44" i="1" s="1"/>
  <c r="G43" i="1"/>
  <c r="P40" i="1"/>
  <c r="K8" i="2"/>
  <c r="S31" i="1"/>
  <c r="S30" i="1"/>
  <c r="O32" i="1"/>
  <c r="Q32" i="1" s="1"/>
  <c r="L32" i="1"/>
  <c r="O35" i="1"/>
  <c r="Q35" i="1" s="1"/>
  <c r="L35" i="1"/>
  <c r="M43" i="1" l="1"/>
  <c r="N43" i="1" s="1"/>
  <c r="G47" i="1"/>
  <c r="D9" i="2" s="1"/>
  <c r="W8" i="2"/>
  <c r="AK8" i="2" s="1"/>
  <c r="S46" i="1"/>
  <c r="T46" i="1" s="1"/>
  <c r="N46" i="1"/>
  <c r="R32" i="1"/>
  <c r="S45" i="1"/>
  <c r="T45" i="1" s="1"/>
  <c r="N45" i="1"/>
  <c r="S44" i="1"/>
  <c r="T44" i="1" s="1"/>
  <c r="N44" i="1"/>
  <c r="R35" i="1"/>
  <c r="R47" i="1"/>
  <c r="AE9" i="2" s="1"/>
  <c r="Q47" i="1"/>
  <c r="Q52" i="1"/>
  <c r="N52" i="1"/>
  <c r="O38" i="1"/>
  <c r="Q38" i="1" s="1"/>
  <c r="L38" i="1"/>
  <c r="S43" i="1" l="1"/>
  <c r="T43" i="1" s="1"/>
  <c r="M47" i="1"/>
  <c r="R9" i="2" s="1"/>
  <c r="S9" i="2" s="1"/>
  <c r="R38" i="1"/>
  <c r="T52" i="1"/>
  <c r="AJ10" i="2" s="1"/>
  <c r="AJ12" i="2" s="1"/>
  <c r="I38" i="1"/>
  <c r="K38" i="1" s="1"/>
  <c r="F38" i="1"/>
  <c r="G38" i="1"/>
  <c r="M38" i="1" s="1"/>
  <c r="S38" i="1" s="1"/>
  <c r="S47" i="1" l="1"/>
  <c r="AF9" i="2" s="1"/>
  <c r="AG9" i="2" s="1"/>
  <c r="N47" i="1"/>
  <c r="N38" i="1"/>
  <c r="T38" i="1"/>
  <c r="H38" i="1"/>
  <c r="O37" i="1"/>
  <c r="Q37" i="1" s="1"/>
  <c r="L37" i="1"/>
  <c r="T47" i="1" l="1"/>
  <c r="R37" i="1"/>
  <c r="O30" i="1"/>
  <c r="Q30" i="1" s="1"/>
  <c r="L30" i="1"/>
  <c r="R30" i="1" l="1"/>
  <c r="T30" i="1" s="1"/>
  <c r="N30" i="1"/>
  <c r="O34" i="1"/>
  <c r="Q34" i="1" s="1"/>
  <c r="L34" i="1"/>
  <c r="R34" i="1" l="1"/>
  <c r="O36" i="1"/>
  <c r="Q36" i="1" s="1"/>
  <c r="L36" i="1"/>
  <c r="R36" i="1" l="1"/>
  <c r="O31" i="1"/>
  <c r="Q31" i="1" s="1"/>
  <c r="L31" i="1"/>
  <c r="O33" i="1"/>
  <c r="L33" i="1"/>
  <c r="N31" i="1" l="1"/>
  <c r="R31" i="1"/>
  <c r="T31" i="1" s="1"/>
  <c r="R33" i="1"/>
  <c r="L40" i="1"/>
  <c r="Q33" i="1"/>
  <c r="O40" i="1"/>
  <c r="O29" i="1"/>
  <c r="Q29" i="1" s="1"/>
  <c r="L29" i="1"/>
  <c r="Q8" i="2" l="1"/>
  <c r="Q40" i="1"/>
  <c r="X8" i="2"/>
  <c r="R40" i="1"/>
  <c r="R29" i="1"/>
  <c r="K35" i="1"/>
  <c r="K30" i="1"/>
  <c r="G37" i="1"/>
  <c r="M37" i="1" s="1"/>
  <c r="G36" i="1"/>
  <c r="M36" i="1" s="1"/>
  <c r="G35" i="1"/>
  <c r="G34" i="1"/>
  <c r="M34" i="1" s="1"/>
  <c r="G33" i="1"/>
  <c r="M33" i="1" s="1"/>
  <c r="G32" i="1"/>
  <c r="M32" i="1" s="1"/>
  <c r="H30" i="1"/>
  <c r="G29" i="1"/>
  <c r="I50" i="1"/>
  <c r="F50" i="1"/>
  <c r="G10" i="2" s="1"/>
  <c r="I46" i="1"/>
  <c r="K46" i="1" s="1"/>
  <c r="I45" i="1"/>
  <c r="K45" i="1" s="1"/>
  <c r="I44" i="1"/>
  <c r="K44" i="1" s="1"/>
  <c r="I43" i="1"/>
  <c r="F45" i="1"/>
  <c r="H45" i="1" s="1"/>
  <c r="F46" i="1"/>
  <c r="H46" i="1" s="1"/>
  <c r="F44" i="1"/>
  <c r="H44" i="1" s="1"/>
  <c r="F43" i="1"/>
  <c r="I37" i="1"/>
  <c r="K37" i="1" s="1"/>
  <c r="I29" i="1"/>
  <c r="K29" i="1" s="1"/>
  <c r="I36" i="1"/>
  <c r="K36" i="1" s="1"/>
  <c r="I32" i="1"/>
  <c r="K32" i="1" s="1"/>
  <c r="I31" i="1"/>
  <c r="K31" i="1" s="1"/>
  <c r="I34" i="1"/>
  <c r="K34" i="1" s="1"/>
  <c r="I33" i="1"/>
  <c r="F31" i="1"/>
  <c r="H31" i="1" s="1"/>
  <c r="F37" i="1"/>
  <c r="F29" i="1"/>
  <c r="F36" i="1"/>
  <c r="F32" i="1"/>
  <c r="F34" i="1"/>
  <c r="F33" i="1"/>
  <c r="P26" i="1"/>
  <c r="K7" i="2"/>
  <c r="O25" i="1"/>
  <c r="Q25" i="1" s="1"/>
  <c r="L25" i="1"/>
  <c r="G40" i="1" l="1"/>
  <c r="M29" i="1"/>
  <c r="N29" i="1" s="1"/>
  <c r="S33" i="1"/>
  <c r="N33" i="1"/>
  <c r="S37" i="1"/>
  <c r="T37" i="1" s="1"/>
  <c r="N37" i="1"/>
  <c r="S32" i="1"/>
  <c r="T32" i="1" s="1"/>
  <c r="N32" i="1"/>
  <c r="S34" i="1"/>
  <c r="T34" i="1" s="1"/>
  <c r="N34" i="1"/>
  <c r="S36" i="1"/>
  <c r="T36" i="1" s="1"/>
  <c r="N36" i="1"/>
  <c r="H35" i="1"/>
  <c r="M35" i="1"/>
  <c r="W7" i="2"/>
  <c r="AK7" i="2" s="1"/>
  <c r="R25" i="1"/>
  <c r="K50" i="1"/>
  <c r="H50" i="1"/>
  <c r="AE8" i="2"/>
  <c r="H36" i="1"/>
  <c r="F40" i="1"/>
  <c r="C8" i="2" s="1"/>
  <c r="H29" i="1"/>
  <c r="H33" i="1"/>
  <c r="H37" i="1"/>
  <c r="F47" i="1"/>
  <c r="C9" i="2" s="1"/>
  <c r="E9" i="2" s="1"/>
  <c r="H43" i="1"/>
  <c r="I47" i="1"/>
  <c r="J9" i="2" s="1"/>
  <c r="K43" i="1"/>
  <c r="K33" i="1"/>
  <c r="I40" i="1"/>
  <c r="H32" i="1"/>
  <c r="H34" i="1"/>
  <c r="O24" i="1"/>
  <c r="Q24" i="1" s="1"/>
  <c r="L24" i="1"/>
  <c r="R24" i="1" l="1"/>
  <c r="S29" i="1"/>
  <c r="M40" i="1"/>
  <c r="S35" i="1"/>
  <c r="T35" i="1" s="1"/>
  <c r="N35" i="1"/>
  <c r="T33" i="1"/>
  <c r="H40" i="1"/>
  <c r="D8" i="2"/>
  <c r="E8" i="2" s="1"/>
  <c r="K40" i="1"/>
  <c r="J8" i="2"/>
  <c r="H52" i="1"/>
  <c r="H47" i="1"/>
  <c r="K47" i="1"/>
  <c r="O23" i="1"/>
  <c r="Q23" i="1" s="1"/>
  <c r="L23" i="1"/>
  <c r="S40" i="1" l="1"/>
  <c r="T40" i="1" s="1"/>
  <c r="T29" i="1"/>
  <c r="R8" i="2"/>
  <c r="S8" i="2" s="1"/>
  <c r="N40" i="1"/>
  <c r="G12" i="2"/>
  <c r="I12" i="2" s="1"/>
  <c r="I10" i="2"/>
  <c r="R23" i="1"/>
  <c r="O22" i="1"/>
  <c r="L22" i="1"/>
  <c r="AF8" i="2" l="1"/>
  <c r="AG8" i="2" s="1"/>
  <c r="R22" i="1"/>
  <c r="L26" i="1"/>
  <c r="O26" i="1"/>
  <c r="Q22" i="1"/>
  <c r="K25" i="1"/>
  <c r="I24" i="1"/>
  <c r="K24" i="1" s="1"/>
  <c r="I23" i="1"/>
  <c r="K23" i="1" s="1"/>
  <c r="I22" i="1"/>
  <c r="G25" i="1"/>
  <c r="G24" i="1"/>
  <c r="M24" i="1" s="1"/>
  <c r="G23" i="1"/>
  <c r="M23" i="1" s="1"/>
  <c r="G22" i="1"/>
  <c r="F24" i="1"/>
  <c r="F23" i="1"/>
  <c r="F22" i="1"/>
  <c r="P19" i="1"/>
  <c r="J19" i="1"/>
  <c r="J65" i="1" s="1"/>
  <c r="J66" i="1" s="1"/>
  <c r="O15" i="1"/>
  <c r="Q15" i="1" s="1"/>
  <c r="L15" i="1"/>
  <c r="G26" i="1" l="1"/>
  <c r="K6" i="2"/>
  <c r="M22" i="1"/>
  <c r="S22" i="1" s="1"/>
  <c r="T22" i="1" s="1"/>
  <c r="S24" i="1"/>
  <c r="T24" i="1" s="1"/>
  <c r="N24" i="1"/>
  <c r="H25" i="1"/>
  <c r="M25" i="1"/>
  <c r="S23" i="1"/>
  <c r="T23" i="1" s="1"/>
  <c r="N23" i="1"/>
  <c r="H22" i="1"/>
  <c r="Q26" i="1"/>
  <c r="X7" i="2"/>
  <c r="Q7" i="2"/>
  <c r="U19" i="1"/>
  <c r="W6" i="2" s="1"/>
  <c r="AK6" i="2" s="1"/>
  <c r="H23" i="1"/>
  <c r="I26" i="1"/>
  <c r="H24" i="1"/>
  <c r="R15" i="1"/>
  <c r="D7" i="2"/>
  <c r="F26" i="1"/>
  <c r="C7" i="2" s="1"/>
  <c r="K22" i="1"/>
  <c r="R26" i="1"/>
  <c r="O14" i="1"/>
  <c r="Q14" i="1" s="1"/>
  <c r="S26" i="1" l="1"/>
  <c r="N22" i="1"/>
  <c r="M26" i="1"/>
  <c r="R7" i="2" s="1"/>
  <c r="S7" i="2" s="1"/>
  <c r="S25" i="1"/>
  <c r="T25" i="1" s="1"/>
  <c r="N25" i="1"/>
  <c r="K26" i="1"/>
  <c r="J7" i="2"/>
  <c r="AE7" i="2"/>
  <c r="E7" i="2"/>
  <c r="H26" i="1"/>
  <c r="O13" i="1"/>
  <c r="N26" i="1" l="1"/>
  <c r="AF7" i="2"/>
  <c r="AG7" i="2" s="1"/>
  <c r="T26" i="1"/>
  <c r="Q13" i="1"/>
  <c r="L14" i="1"/>
  <c r="R14" i="1" l="1"/>
  <c r="L13" i="1"/>
  <c r="R13" i="1" l="1"/>
  <c r="G18" i="1"/>
  <c r="M18" i="1" s="1"/>
  <c r="S18" i="1" s="1"/>
  <c r="G17" i="1"/>
  <c r="M17" i="1" s="1"/>
  <c r="S17" i="1" s="1"/>
  <c r="G16" i="1"/>
  <c r="M16" i="1" s="1"/>
  <c r="S16" i="1" s="1"/>
  <c r="G15" i="1"/>
  <c r="M15" i="1" s="1"/>
  <c r="G14" i="1"/>
  <c r="M14" i="1" s="1"/>
  <c r="G13" i="1"/>
  <c r="I18" i="1"/>
  <c r="K18" i="1" s="1"/>
  <c r="L18" i="1" s="1"/>
  <c r="I17" i="1"/>
  <c r="K17" i="1" s="1"/>
  <c r="L17" i="1" s="1"/>
  <c r="I16" i="1"/>
  <c r="K16" i="1" s="1"/>
  <c r="L16" i="1" s="1"/>
  <c r="I15" i="1"/>
  <c r="K15" i="1" s="1"/>
  <c r="I14" i="1"/>
  <c r="K14" i="1" s="1"/>
  <c r="I13" i="1"/>
  <c r="K13" i="1" s="1"/>
  <c r="F18" i="1"/>
  <c r="F17" i="1"/>
  <c r="F16" i="1"/>
  <c r="F15" i="1"/>
  <c r="F14" i="1"/>
  <c r="F13" i="1"/>
  <c r="M13" i="1" l="1"/>
  <c r="N13" i="1" s="1"/>
  <c r="G19" i="1"/>
  <c r="D6" i="2" s="1"/>
  <c r="S14" i="1"/>
  <c r="T14" i="1" s="1"/>
  <c r="N14" i="1"/>
  <c r="S15" i="1"/>
  <c r="T15" i="1" s="1"/>
  <c r="N15" i="1"/>
  <c r="H16" i="1"/>
  <c r="H15" i="1"/>
  <c r="F19" i="1"/>
  <c r="C6" i="2" s="1"/>
  <c r="H17" i="1"/>
  <c r="H14" i="1"/>
  <c r="H18" i="1"/>
  <c r="N16" i="1"/>
  <c r="O16" i="1" s="1"/>
  <c r="L19" i="1"/>
  <c r="I19" i="1"/>
  <c r="H13" i="1"/>
  <c r="N18" i="1"/>
  <c r="O18" i="1" s="1"/>
  <c r="Q18" i="1" s="1"/>
  <c r="N17" i="1"/>
  <c r="O17" i="1" s="1"/>
  <c r="Q17" i="1" s="1"/>
  <c r="P10" i="1"/>
  <c r="P65" i="1" s="1"/>
  <c r="O9" i="1"/>
  <c r="Q9" i="1" s="1"/>
  <c r="L9" i="1"/>
  <c r="M19" i="1" l="1"/>
  <c r="R6" i="2" s="1"/>
  <c r="S13" i="1"/>
  <c r="T13" i="1" s="1"/>
  <c r="K5" i="2"/>
  <c r="K12" i="2" s="1"/>
  <c r="E6" i="2"/>
  <c r="K19" i="1"/>
  <c r="J6" i="2"/>
  <c r="H19" i="1"/>
  <c r="Q6" i="2"/>
  <c r="U10" i="1"/>
  <c r="U65" i="1" s="1"/>
  <c r="R9" i="1"/>
  <c r="R17" i="1"/>
  <c r="T17" i="1" s="1"/>
  <c r="R18" i="1"/>
  <c r="T18" i="1" s="1"/>
  <c r="Q16" i="1"/>
  <c r="O19" i="1"/>
  <c r="R16" i="1"/>
  <c r="O8" i="1"/>
  <c r="Q8" i="1" s="1"/>
  <c r="L8" i="1"/>
  <c r="N19" i="1" l="1"/>
  <c r="S19" i="1"/>
  <c r="AF6" i="2" s="1"/>
  <c r="W5" i="2"/>
  <c r="Q19" i="1"/>
  <c r="X6" i="2"/>
  <c r="S6" i="2"/>
  <c r="T16" i="1"/>
  <c r="R19" i="1"/>
  <c r="R8" i="1"/>
  <c r="O7" i="1"/>
  <c r="Q7" i="1" s="1"/>
  <c r="L7" i="1"/>
  <c r="AK5" i="2" l="1"/>
  <c r="AK12" i="2" s="1"/>
  <c r="W12" i="2"/>
  <c r="T19" i="1"/>
  <c r="AE6" i="2"/>
  <c r="R7" i="1"/>
  <c r="O6" i="1"/>
  <c r="Q6" i="1" s="1"/>
  <c r="L6" i="1"/>
  <c r="AG6" i="2" l="1"/>
  <c r="R6" i="1"/>
  <c r="O5" i="1"/>
  <c r="Q5" i="1" s="1"/>
  <c r="L5" i="1"/>
  <c r="R5" i="1" l="1"/>
  <c r="O4" i="1"/>
  <c r="L4" i="1"/>
  <c r="L10" i="1" l="1"/>
  <c r="L65" i="1" s="1"/>
  <c r="R4" i="1"/>
  <c r="Q4" i="1"/>
  <c r="O10" i="1"/>
  <c r="O65" i="1" s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l="1"/>
  <c r="S5" i="1" s="1"/>
  <c r="T5" i="1" s="1"/>
  <c r="G10" i="1"/>
  <c r="G65" i="1" s="1"/>
  <c r="G66" i="1" s="1"/>
  <c r="H4" i="1"/>
  <c r="M4" i="1"/>
  <c r="H6" i="1"/>
  <c r="M6" i="1"/>
  <c r="S8" i="1"/>
  <c r="T8" i="1" s="1"/>
  <c r="N8" i="1"/>
  <c r="S9" i="1"/>
  <c r="T9" i="1" s="1"/>
  <c r="N9" i="1"/>
  <c r="G7" i="1"/>
  <c r="M7" i="1" s="1"/>
  <c r="Q10" i="1"/>
  <c r="Q65" i="1" s="1"/>
  <c r="X5" i="2"/>
  <c r="X12" i="2" s="1"/>
  <c r="Q5" i="2"/>
  <c r="H5" i="1"/>
  <c r="H9" i="1"/>
  <c r="H8" i="1"/>
  <c r="F7" i="1"/>
  <c r="F10" i="1" s="1"/>
  <c r="F65" i="1" s="1"/>
  <c r="I7" i="1"/>
  <c r="K8" i="1"/>
  <c r="R10" i="1"/>
  <c r="N5" i="1" l="1"/>
  <c r="M10" i="1"/>
  <c r="M65" i="1" s="1"/>
  <c r="M66" i="1" s="1"/>
  <c r="S7" i="1"/>
  <c r="T7" i="1" s="1"/>
  <c r="N7" i="1"/>
  <c r="S4" i="1"/>
  <c r="N4" i="1"/>
  <c r="S6" i="1"/>
  <c r="T6" i="1" s="1"/>
  <c r="N6" i="1"/>
  <c r="H7" i="1"/>
  <c r="C5" i="2"/>
  <c r="C12" i="2" s="1"/>
  <c r="AE5" i="2"/>
  <c r="D5" i="2"/>
  <c r="Q12" i="2"/>
  <c r="H10" i="1"/>
  <c r="I10" i="1"/>
  <c r="I65" i="1" s="1"/>
  <c r="K7" i="1"/>
  <c r="S10" i="1" l="1"/>
  <c r="S65" i="1" s="1"/>
  <c r="S66" i="1" s="1"/>
  <c r="T4" i="1"/>
  <c r="R5" i="2"/>
  <c r="R12" i="2" s="1"/>
  <c r="N10" i="1"/>
  <c r="K10" i="1"/>
  <c r="J5" i="2"/>
  <c r="D12" i="2"/>
  <c r="E12" i="2" s="1"/>
  <c r="E5" i="2"/>
  <c r="AE12" i="2"/>
  <c r="S12" i="2" l="1"/>
  <c r="S5" i="2"/>
  <c r="AF5" i="2"/>
  <c r="T10" i="1"/>
  <c r="AF12" i="2" l="1"/>
  <c r="AG5" i="2"/>
  <c r="AG12" i="2" s="1"/>
  <c r="J10" i="2"/>
  <c r="J12" i="2" s="1"/>
  <c r="N10" i="2"/>
  <c r="P10" i="2" s="1"/>
  <c r="P12" i="2" s="1"/>
  <c r="K52" i="1"/>
  <c r="N12" i="2" l="1"/>
</calcChain>
</file>

<file path=xl/sharedStrings.xml><?xml version="1.0" encoding="utf-8"?>
<sst xmlns="http://schemas.openxmlformats.org/spreadsheetml/2006/main" count="1029" uniqueCount="147">
  <si>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</si>
  <si>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</si>
  <si>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</si>
  <si>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</si>
  <si>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</si>
  <si>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</si>
  <si>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</si>
  <si>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</si>
  <si>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</si>
  <si>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</si>
  <si>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</si>
  <si>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</si>
  <si>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</si>
  <si>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</si>
  <si>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</si>
  <si>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</si>
  <si>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</si>
  <si>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</si>
  <si>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</si>
  <si>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</si>
  <si>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</si>
  <si>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</si>
  <si>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</si>
  <si>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</si>
  <si>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</si>
  <si>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</si>
  <si>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</si>
  <si>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</si>
  <si>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</si>
  <si>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</si>
  <si>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</si>
  <si>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</si>
  <si>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</si>
  <si>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</si>
  <si>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</si>
  <si>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</si>
  <si>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</si>
  <si>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</si>
  <si>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</si>
  <si>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</si>
  <si>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</si>
  <si>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</si>
  <si>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</si>
  <si>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</si>
  <si>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</si>
  <si>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</si>
  <si>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</si>
  <si>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</si>
  <si>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</si>
  <si>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</si>
  <si>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</si>
  <si>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</si>
  <si>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</si>
  <si>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</si>
  <si>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</si>
  <si>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</si>
  <si>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</si>
  <si>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</si>
  <si>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</si>
  <si>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</si>
  <si>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</si>
  <si>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</si>
  <si>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</si>
  <si>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</si>
  <si>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</si>
  <si>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</si>
  <si>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</si>
  <si>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</si>
  <si>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</si>
  <si>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</si>
  <si>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</si>
  <si>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</si>
  <si>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</si>
  <si>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</si>
  <si>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</si>
  <si>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</si>
  <si>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</si>
  <si>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</si>
  <si>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</si>
  <si>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</si>
  <si>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</si>
  <si>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</si>
  <si>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IC Subtotal — Geo X</t>
  </si>
  <si>
    <t>Level / Name</t>
  </si>
  <si>
    <t>Q1 — Revenue (₹ Cr)</t>
  </si>
  <si>
    <t>Q1 — Bottomline (₹ Cr)</t>
  </si>
  <si>
    <t>Q2 — Revenue (₹ Cr)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</si>
  <si>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</si>
  <si>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</si>
  <si>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</si>
  <si>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</si>
  <si>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</si>
  <si>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</si>
  <si>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</si>
  <si>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</si>
  <si>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</si>
  <si>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</si>
  <si>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</si>
  <si>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</si>
  <si>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</si>
  <si>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</si>
  <si>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</si>
  <si>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</si>
  <si>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</si>
  <si>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</si>
  <si>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</si>
  <si>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</si>
  <si>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</si>
  <si>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</si>
  <si>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</si>
  <si>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</si>
  <si>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</si>
  <si>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</si>
  <si>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</si>
  <si>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</si>
  <si>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</si>
  <si>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</si>
  <si>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-</t>
  </si>
  <si>
    <t>GRAND TOTAL — All IC (Revenue, excl. GeoX BL)</t>
  </si>
  <si>
    <t xml:space="preserve"> RTM Division Level</t>
  </si>
  <si>
    <t>Varunkumar Mishra</t>
  </si>
  <si>
    <t>VIEW 9 — RTM CONTRIBUTION | CLOUD |   Booking (Revenue)   |   H1 &amp; Annual</t>
  </si>
  <si>
    <t>Ajay Patodia</t>
  </si>
  <si>
    <t>Dipti  Karpe</t>
  </si>
  <si>
    <t>Ishwari Santosh Kadam</t>
  </si>
  <si>
    <t>Vineet Gadia</t>
  </si>
  <si>
    <t>Sanjeev Kohli</t>
  </si>
  <si>
    <t>Yogesh Bhatia</t>
  </si>
  <si>
    <t>Jitesh Rajput</t>
  </si>
  <si>
    <t>Rocky Braganza</t>
  </si>
  <si>
    <t xml:space="preserve">CSN </t>
  </si>
  <si>
    <t>DCG</t>
  </si>
  <si>
    <t>Cloud</t>
  </si>
  <si>
    <t>Head</t>
  </si>
  <si>
    <t>AVP</t>
  </si>
  <si>
    <t>VIEW 3 — SUMMARY OUTLOOK   |   BU Roll-up   |   Revenue + Bottomline (BL)   |   H1 &amp; Annual</t>
  </si>
  <si>
    <t>Others</t>
  </si>
  <si>
    <t>Yusufali Petiwala</t>
  </si>
  <si>
    <t>Self</t>
  </si>
  <si>
    <t>Topline</t>
  </si>
  <si>
    <t>IC Subtotal — Others</t>
  </si>
  <si>
    <t>Ishwari Kadam</t>
  </si>
  <si>
    <t>Darshana Patil</t>
  </si>
  <si>
    <t xml:space="preserve">VIEW 2 —LEADERSHIP   |   Booking (Revenue)   |   H1 &amp; Annual | Bottomline </t>
  </si>
  <si>
    <t>VIEW 2 —LEADERSHIP   |   Booking (Revenue)   |   H1 &amp; Annual | Topline</t>
  </si>
  <si>
    <t>Q2 # Deals</t>
  </si>
  <si>
    <t>Q1 # Deals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</si>
</sst>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5" x14ac:knownFonts="1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7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NumberFormat="1" applyFont="1"/>
    <xf numFmtId="0" fontId="11" fillId="11" borderId="0" xfId="1" applyNumberFormat="1" applyFont="1" applyFill="1"/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9" fontId="2" fillId="2" borderId="1" xfId="1" applyFont="1" applyFill="1" applyBorder="1" applyAlignment="1">
      <alignment horizontal="center" vertical="center" wrapText="1"/>
    </xf>
    <xf numFmtId="9" fontId="11" fillId="11" borderId="0" xfId="1" applyFont="1" applyFill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2" Type="http://schemas.microsoft.com/office/2019/04/relationships/externalLinkLongPath" Target="Growth%20Business/Shubhangi%20Srinivasan%20-%20Growth-%20Target%20Letter%20-%20FY%2026-27%20(H1%20%20H2)%20ver%202%20final.xlsx?7F1AE0D9" TargetMode="External"/><Relationship Id="rId1" Type="http://schemas.openxmlformats.org/officeDocument/2006/relationships/externalLinkPath" Target="file:///\\7F1AE0D9\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Sheet1"/>
      <sheetName val="Opportunity Pipeline"/>
    </sheetNames>
    <sheetDataSet>
      <sheetData sheetId="0"/>
      <sheetData sheetId="1"/>
      <sheetData sheetId="2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P2">
            <v>2550</v>
          </cell>
          <cell r="Q2">
            <v>2550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P3">
            <v>550</v>
          </cell>
          <cell r="Q3">
            <v>550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P4">
            <v>13090.89</v>
          </cell>
          <cell r="Q4">
            <v>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P5">
            <v>100000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P6">
            <v>125000</v>
          </cell>
          <cell r="Q6">
            <v>95020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P7">
            <v>45000</v>
          </cell>
          <cell r="Q7">
            <v>30000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P8">
            <v>300000</v>
          </cell>
          <cell r="Q8">
            <v>232913.74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P9">
            <v>500000</v>
          </cell>
          <cell r="Q9">
            <v>2741531.43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P10">
            <v>5000</v>
          </cell>
          <cell r="Q10">
            <v>5000</v>
          </cell>
          <cell r="Z10" t="str">
            <v>Others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P11">
            <v>100000</v>
          </cell>
          <cell r="Q11">
            <v>83407</v>
          </cell>
          <cell r="Z11" t="str">
            <v>Others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P12">
            <v>30000</v>
          </cell>
          <cell r="Q12">
            <v>26200</v>
          </cell>
          <cell r="Z12" t="str">
            <v>Others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P13">
            <v>20000</v>
          </cell>
          <cell r="Q13">
            <v>21193.55</v>
          </cell>
          <cell r="Z13" t="str">
            <v>Others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P14">
            <v>67859</v>
          </cell>
          <cell r="Q14">
            <v>41679.42</v>
          </cell>
          <cell r="Z14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P15">
            <v>11327</v>
          </cell>
          <cell r="Q15">
            <v>6957.54</v>
          </cell>
          <cell r="Z15" t="str">
            <v>Others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P16">
            <v>25989</v>
          </cell>
          <cell r="Q16">
            <v>15962.7</v>
          </cell>
          <cell r="Z16" t="str">
            <v>Others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P17">
            <v>92022</v>
          </cell>
          <cell r="Q17">
            <v>56519.92</v>
          </cell>
          <cell r="Z17" t="str">
            <v>Others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P18">
            <v>102666</v>
          </cell>
          <cell r="Q18">
            <v>63057.919999999998</v>
          </cell>
          <cell r="Z18" t="str">
            <v>Others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P19">
            <v>16159</v>
          </cell>
          <cell r="Q19">
            <v>9925.19</v>
          </cell>
          <cell r="Z19" t="str">
            <v>Others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P20">
            <v>151423</v>
          </cell>
          <cell r="Q20">
            <v>93004.44</v>
          </cell>
          <cell r="Z20" t="str">
            <v>Others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P21">
            <v>25989</v>
          </cell>
          <cell r="Q21">
            <v>15962.7</v>
          </cell>
          <cell r="Z21" t="str">
            <v>Others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P22">
            <v>25989</v>
          </cell>
          <cell r="Q22">
            <v>15962.7</v>
          </cell>
          <cell r="Z22" t="str">
            <v>Others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P23">
            <v>32129</v>
          </cell>
          <cell r="Q23">
            <v>19733.98</v>
          </cell>
          <cell r="Z23" t="str">
            <v>Others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P24">
            <v>16542</v>
          </cell>
          <cell r="Q24">
            <v>10160.35</v>
          </cell>
          <cell r="Z24" t="str">
            <v>Others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P25">
            <v>16542</v>
          </cell>
          <cell r="Q25">
            <v>10160.35</v>
          </cell>
          <cell r="Z25" t="str">
            <v>Others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P26">
            <v>171532</v>
          </cell>
          <cell r="Q26">
            <v>105355.33</v>
          </cell>
          <cell r="Z26" t="str">
            <v>Others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P27">
            <v>97721</v>
          </cell>
          <cell r="Q27">
            <v>60020.36</v>
          </cell>
          <cell r="Z27" t="str">
            <v>Others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P28">
            <v>528082</v>
          </cell>
          <cell r="Q28">
            <v>324347.74</v>
          </cell>
          <cell r="Z28" t="str">
            <v>Others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P29">
            <v>162906</v>
          </cell>
          <cell r="Q29">
            <v>100057.28</v>
          </cell>
          <cell r="Z29" t="str">
            <v>Others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P30">
            <v>127118</v>
          </cell>
          <cell r="Q30">
            <v>1271186.44</v>
          </cell>
          <cell r="Z30" t="str">
            <v>Others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P31">
            <v>25000</v>
          </cell>
          <cell r="Q31">
            <v>20000</v>
          </cell>
          <cell r="Z31" t="str">
            <v>Others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P32">
            <v>92875</v>
          </cell>
          <cell r="Q32">
            <v>53749.96</v>
          </cell>
          <cell r="Z32" t="str">
            <v>Others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P33">
            <v>16000</v>
          </cell>
          <cell r="Q33">
            <v>16000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P34">
            <v>688915.46</v>
          </cell>
          <cell r="Q34">
            <v>1038915.38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P35">
            <v>833336.25</v>
          </cell>
          <cell r="Q35">
            <v>333334.5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P36">
            <v>300000</v>
          </cell>
          <cell r="Q36">
            <v>1620000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P37">
            <v>47130</v>
          </cell>
          <cell r="Q37">
            <v>47130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P38">
            <v>6056616.7999999998</v>
          </cell>
          <cell r="Q38">
            <v>0</v>
          </cell>
          <cell r="Z38" t="str">
            <v>Others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P39">
            <v>30208.6</v>
          </cell>
          <cell r="Q39">
            <v>30208.6</v>
          </cell>
          <cell r="Z39" t="str">
            <v>Others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P40">
            <v>30346.63</v>
          </cell>
          <cell r="Q40">
            <v>30346.62</v>
          </cell>
          <cell r="Z40" t="str">
            <v>Others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P41">
            <v>4193000</v>
          </cell>
          <cell r="Q41">
            <v>0</v>
          </cell>
          <cell r="Z41" t="str">
            <v>Others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P42">
            <v>70000</v>
          </cell>
          <cell r="Q42">
            <v>49469</v>
          </cell>
          <cell r="Z42" t="str">
            <v>Others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P43">
            <v>10000</v>
          </cell>
          <cell r="Q43">
            <v>10500</v>
          </cell>
          <cell r="Z43" t="str">
            <v>Others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P44">
            <v>440400</v>
          </cell>
          <cell r="Q44">
            <v>110100</v>
          </cell>
          <cell r="Z44" t="str">
            <v>Others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P45">
            <v>50000</v>
          </cell>
          <cell r="Q45">
            <v>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P46">
            <v>500000</v>
          </cell>
          <cell r="Q46">
            <v>5036349.4400000004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P47">
            <v>50000</v>
          </cell>
          <cell r="Q47">
            <v>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P48">
            <v>49823</v>
          </cell>
          <cell r="Q48">
            <v>49825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P49">
            <v>9114</v>
          </cell>
          <cell r="Q49">
            <v>19536.02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P50">
            <v>22310</v>
          </cell>
          <cell r="Q50">
            <v>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P51">
            <v>10000</v>
          </cell>
          <cell r="Q51">
            <v>44400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P52">
            <v>20000</v>
          </cell>
          <cell r="Q52">
            <v>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P53">
            <v>588796</v>
          </cell>
          <cell r="Q53">
            <v>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P54">
            <v>183000</v>
          </cell>
          <cell r="Q54">
            <v>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P55">
            <v>1000000</v>
          </cell>
          <cell r="Q55">
            <v>1000000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P56">
            <v>44500</v>
          </cell>
          <cell r="Q56">
            <v>44500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P57">
            <v>1376945</v>
          </cell>
          <cell r="Q57">
            <v>0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P58">
            <v>45000</v>
          </cell>
          <cell r="Q58">
            <v>34000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P59">
            <v>1000000</v>
          </cell>
          <cell r="Q59">
            <v>0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P60">
            <v>30000000</v>
          </cell>
          <cell r="Q60">
            <v>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P61">
            <v>40000</v>
          </cell>
          <cell r="Q61">
            <v>40000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P62">
            <v>4000000</v>
          </cell>
          <cell r="Q62">
            <v>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P63">
            <v>167725.16</v>
          </cell>
          <cell r="Q63">
            <v>0</v>
          </cell>
          <cell r="Z63" t="str">
            <v>S2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P64">
            <v>100000</v>
          </cell>
          <cell r="Q64">
            <v>111688.62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P65">
            <v>76987</v>
          </cell>
          <cell r="Q65">
            <v>8797.61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P66">
            <v>30000</v>
          </cell>
          <cell r="Q66">
            <v>18000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P67">
            <v>6000</v>
          </cell>
          <cell r="Q67">
            <v>6000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P68">
            <v>9568</v>
          </cell>
          <cell r="Q68">
            <v>9568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P69">
            <v>0</v>
          </cell>
          <cell r="Q69">
            <v>0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P70">
            <v>1687.29</v>
          </cell>
          <cell r="Q70">
            <v>1687.29</v>
          </cell>
          <cell r="Z70" t="str">
            <v>Others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P71">
            <v>1000</v>
          </cell>
          <cell r="Q71">
            <v>2440.9499999999998</v>
          </cell>
          <cell r="Z71" t="str">
            <v>Others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P72">
            <v>16200</v>
          </cell>
          <cell r="Q72">
            <v>16200</v>
          </cell>
          <cell r="Z72" t="str">
            <v>Others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P73">
            <v>500</v>
          </cell>
          <cell r="Q73">
            <v>500</v>
          </cell>
          <cell r="Z73" t="str">
            <v>Others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P74">
            <v>18169.48</v>
          </cell>
          <cell r="Q74">
            <v>18169.48</v>
          </cell>
          <cell r="Z74" t="str">
            <v>Others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P75">
            <v>500</v>
          </cell>
          <cell r="Q75">
            <v>1000</v>
          </cell>
          <cell r="Z75" t="str">
            <v>Others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P76">
            <v>2600</v>
          </cell>
          <cell r="Q76">
            <v>3000</v>
          </cell>
          <cell r="Z76" t="str">
            <v>Others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P77">
            <v>2600</v>
          </cell>
          <cell r="Q77">
            <v>3000</v>
          </cell>
          <cell r="Z77" t="str">
            <v>Others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P78">
            <v>2600</v>
          </cell>
          <cell r="Q78">
            <v>3000</v>
          </cell>
          <cell r="Z78" t="str">
            <v>Others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P79">
            <v>51867</v>
          </cell>
          <cell r="Q79">
            <v>0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P80">
            <v>140336</v>
          </cell>
          <cell r="Q80">
            <v>140336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P81">
            <v>140336</v>
          </cell>
          <cell r="Q81">
            <v>140336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P82">
            <v>20000</v>
          </cell>
          <cell r="Q82">
            <v>30546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P83">
            <v>290000</v>
          </cell>
          <cell r="Q83">
            <v>308529.88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P84">
            <v>456657</v>
          </cell>
          <cell r="Q84">
            <v>0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P85">
            <v>20550</v>
          </cell>
          <cell r="Q85">
            <v>20550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P86">
            <v>52500</v>
          </cell>
          <cell r="Q86">
            <v>52500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P87">
            <v>630</v>
          </cell>
          <cell r="Q87">
            <v>630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P88">
            <v>297216</v>
          </cell>
          <cell r="Q88">
            <v>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P89">
            <v>6975</v>
          </cell>
          <cell r="Q89">
            <v>0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P90">
            <v>60000</v>
          </cell>
          <cell r="Q90">
            <v>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P91">
            <v>0</v>
          </cell>
          <cell r="Q91">
            <v>0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P92">
            <v>635000</v>
          </cell>
          <cell r="Q92">
            <v>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P93">
            <v>13732121</v>
          </cell>
          <cell r="Q93">
            <v>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P94">
            <v>177918</v>
          </cell>
          <cell r="Q94">
            <v>177917.64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P95">
            <v>900000</v>
          </cell>
          <cell r="Q95">
            <v>839080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P96">
            <v>369954</v>
          </cell>
          <cell r="Q96">
            <v>0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P97">
            <v>369954</v>
          </cell>
          <cell r="Q97">
            <v>0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P98">
            <v>369953.33</v>
          </cell>
          <cell r="Q98">
            <v>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P99">
            <v>519841</v>
          </cell>
          <cell r="Q99">
            <v>519841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P100">
            <v>20000</v>
          </cell>
          <cell r="Q100">
            <v>307000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P101">
            <v>1260000</v>
          </cell>
          <cell r="Q101">
            <v>209000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P102">
            <v>10000</v>
          </cell>
          <cell r="Q102">
            <v>20000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P103">
            <v>10000</v>
          </cell>
          <cell r="Q103">
            <v>0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P104">
            <v>10000</v>
          </cell>
          <cell r="Q104">
            <v>0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P105">
            <v>10000</v>
          </cell>
          <cell r="Q105">
            <v>0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P106">
            <v>5000</v>
          </cell>
          <cell r="Q106">
            <v>0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P107">
            <v>5000</v>
          </cell>
          <cell r="Q107">
            <v>0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P108">
            <v>10000</v>
          </cell>
          <cell r="Q108">
            <v>0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P109">
            <v>10000</v>
          </cell>
          <cell r="Q109">
            <v>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P110">
            <v>10000</v>
          </cell>
          <cell r="Q110">
            <v>0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P111">
            <v>1000</v>
          </cell>
          <cell r="Q111">
            <v>0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P112">
            <v>10000</v>
          </cell>
          <cell r="Q112">
            <v>0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P113">
            <v>10000</v>
          </cell>
          <cell r="Q113">
            <v>0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P114">
            <v>10000</v>
          </cell>
          <cell r="Q114">
            <v>0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P115">
            <v>10000</v>
          </cell>
          <cell r="Q115">
            <v>0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P116">
            <v>10000</v>
          </cell>
          <cell r="Q116">
            <v>0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P117">
            <v>10000</v>
          </cell>
          <cell r="Q117">
            <v>0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P118">
            <v>10000</v>
          </cell>
          <cell r="Q118">
            <v>0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P119">
            <v>10000</v>
          </cell>
          <cell r="Q119">
            <v>0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P120">
            <v>10000</v>
          </cell>
          <cell r="Q120">
            <v>0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P121">
            <v>1000</v>
          </cell>
          <cell r="Q121">
            <v>0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P122">
            <v>1000</v>
          </cell>
          <cell r="Q122">
            <v>0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P123">
            <v>1500000</v>
          </cell>
          <cell r="Q123">
            <v>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P124">
            <v>100000</v>
          </cell>
          <cell r="Q124">
            <v>0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P125">
            <v>150000</v>
          </cell>
          <cell r="Q125">
            <v>0</v>
          </cell>
          <cell r="Z125" t="str">
            <v>S2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P126">
            <v>50000</v>
          </cell>
          <cell r="Q126">
            <v>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P127">
            <v>10000</v>
          </cell>
          <cell r="Q127">
            <v>35397.480000000003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P128">
            <v>1200</v>
          </cell>
          <cell r="Q128">
            <v>1200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P129">
            <v>500</v>
          </cell>
          <cell r="Q129">
            <v>5000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P130">
            <v>2000</v>
          </cell>
          <cell r="Q130">
            <v>6350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P131">
            <v>904576</v>
          </cell>
          <cell r="Q131">
            <v>917600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P132">
            <v>50000</v>
          </cell>
          <cell r="Q132">
            <v>59507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P133">
            <v>750000</v>
          </cell>
          <cell r="Q133">
            <v>750000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P134">
            <v>21142</v>
          </cell>
          <cell r="Q134">
            <v>21142.44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P135">
            <v>17500</v>
          </cell>
          <cell r="Q135">
            <v>17500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P136">
            <v>20000</v>
          </cell>
          <cell r="Q136">
            <v>20000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P137">
            <v>20000</v>
          </cell>
          <cell r="Q137">
            <v>20000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P138">
            <v>20000</v>
          </cell>
          <cell r="Q138">
            <v>20000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P139">
            <v>20000</v>
          </cell>
          <cell r="Q139">
            <v>20000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P140">
            <v>20000</v>
          </cell>
          <cell r="Q140">
            <v>20000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P141">
            <v>12500</v>
          </cell>
          <cell r="Q141">
            <v>12500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P142">
            <v>22000</v>
          </cell>
          <cell r="Q142">
            <v>22000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P143">
            <v>20000</v>
          </cell>
          <cell r="Q143">
            <v>20000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P144">
            <v>20000</v>
          </cell>
          <cell r="Q144">
            <v>20000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P145">
            <v>20000</v>
          </cell>
          <cell r="Q145">
            <v>20000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P146">
            <v>20000</v>
          </cell>
          <cell r="Q146">
            <v>20000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P147">
            <v>20000</v>
          </cell>
          <cell r="Q147">
            <v>20000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P148">
            <v>15000</v>
          </cell>
          <cell r="Q148">
            <v>15000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P149">
            <v>15000</v>
          </cell>
          <cell r="Q149">
            <v>15000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P150">
            <v>10000</v>
          </cell>
          <cell r="Q150">
            <v>10000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P151">
            <v>10000</v>
          </cell>
          <cell r="Q151">
            <v>10000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P152">
            <v>10000</v>
          </cell>
          <cell r="Q152">
            <v>10000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P153">
            <v>20000</v>
          </cell>
          <cell r="Q153">
            <v>20000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P154">
            <v>20000</v>
          </cell>
          <cell r="Q154">
            <v>20000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P155">
            <v>20000</v>
          </cell>
          <cell r="Q155">
            <v>20000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P156">
            <v>10000</v>
          </cell>
          <cell r="Q156">
            <v>10000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P157">
            <v>12500</v>
          </cell>
          <cell r="Q157">
            <v>12500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P158">
            <v>20000</v>
          </cell>
          <cell r="Q158">
            <v>20000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P159">
            <v>20000</v>
          </cell>
          <cell r="Q159">
            <v>20000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P160">
            <v>20000</v>
          </cell>
          <cell r="Q160">
            <v>20000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P161">
            <v>20000</v>
          </cell>
          <cell r="Q161">
            <v>20000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P162">
            <v>20000</v>
          </cell>
          <cell r="Q162">
            <v>20000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P163">
            <v>3970</v>
          </cell>
          <cell r="Q163">
            <v>2626.05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P164">
            <v>1323.55</v>
          </cell>
          <cell r="Q164">
            <v>875.35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P165">
            <v>20000</v>
          </cell>
          <cell r="Q165">
            <v>20000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P166">
            <v>7932</v>
          </cell>
          <cell r="Q166">
            <v>7932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P167">
            <v>20000</v>
          </cell>
          <cell r="Q167">
            <v>20000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P168">
            <v>15000</v>
          </cell>
          <cell r="Q168">
            <v>15000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P169">
            <v>5200</v>
          </cell>
          <cell r="Q169">
            <v>5200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P170">
            <v>1000</v>
          </cell>
          <cell r="Q170">
            <v>2898.04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P171">
            <v>51000</v>
          </cell>
          <cell r="Q171">
            <v>51000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P172">
            <v>78000</v>
          </cell>
          <cell r="Q172">
            <v>78000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P173">
            <v>8500</v>
          </cell>
          <cell r="Q173">
            <v>8500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P174">
            <v>13700</v>
          </cell>
          <cell r="Q174">
            <v>13700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P175">
            <v>241800</v>
          </cell>
          <cell r="Q175">
            <v>241800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P176">
            <v>5200</v>
          </cell>
          <cell r="Q176">
            <v>5200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P177">
            <v>52000</v>
          </cell>
          <cell r="Q177">
            <v>52000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P178">
            <v>2250</v>
          </cell>
          <cell r="Q178">
            <v>2250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P179">
            <v>145800</v>
          </cell>
          <cell r="Q179">
            <v>145800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P180">
            <v>30000</v>
          </cell>
          <cell r="Q180">
            <v>30000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P181">
            <v>509100</v>
          </cell>
          <cell r="Q181">
            <v>509100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P182">
            <v>29300</v>
          </cell>
          <cell r="Q182">
            <v>29300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P183">
            <v>2600</v>
          </cell>
          <cell r="Q183">
            <v>2600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P184">
            <v>5200</v>
          </cell>
          <cell r="Q184">
            <v>5200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P185">
            <v>2600</v>
          </cell>
          <cell r="Q185">
            <v>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P186">
            <v>2600</v>
          </cell>
          <cell r="Q186">
            <v>2600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P187">
            <v>999400</v>
          </cell>
          <cell r="Q187">
            <v>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P188">
            <v>2850</v>
          </cell>
          <cell r="Q188">
            <v>2850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P189">
            <v>2650</v>
          </cell>
          <cell r="Q189">
            <v>2650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P190">
            <v>58000</v>
          </cell>
          <cell r="Q190">
            <v>58000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P191">
            <v>36916.720000000001</v>
          </cell>
          <cell r="Q191">
            <v>36177.03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P192">
            <v>29000</v>
          </cell>
          <cell r="Q192">
            <v>19919.3</v>
          </cell>
          <cell r="Z192" t="str">
            <v>Others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P193">
            <v>8951.7999999999993</v>
          </cell>
          <cell r="Q193">
            <v>8951.7999999999993</v>
          </cell>
          <cell r="Z193" t="str">
            <v>Others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P194">
            <v>31920</v>
          </cell>
          <cell r="Q194">
            <v>31920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P195">
            <v>0</v>
          </cell>
          <cell r="Q195">
            <v>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P196">
            <v>110193</v>
          </cell>
          <cell r="Q196">
            <v>124360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P197">
            <v>51183.25</v>
          </cell>
          <cell r="Q197">
            <v>51183.25</v>
          </cell>
          <cell r="Z197" t="str">
            <v>S2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P198">
            <v>190400</v>
          </cell>
          <cell r="Q198">
            <v>190400</v>
          </cell>
          <cell r="Z198" t="str">
            <v>S2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P199">
            <v>2616</v>
          </cell>
          <cell r="Q199">
            <v>2616</v>
          </cell>
          <cell r="Z199" t="str">
            <v>S2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P200">
            <v>53780</v>
          </cell>
          <cell r="Q200">
            <v>53780.33</v>
          </cell>
          <cell r="Z200" t="str">
            <v>S2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P201">
            <v>20000</v>
          </cell>
          <cell r="Q201">
            <v>81866.759999999995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P202">
            <v>1041838</v>
          </cell>
          <cell r="Q202">
            <v>1383202.91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P203">
            <v>10000</v>
          </cell>
          <cell r="Q203">
            <v>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P204">
            <v>50000</v>
          </cell>
          <cell r="Q204">
            <v>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P205">
            <v>80000</v>
          </cell>
          <cell r="Q205">
            <v>740608.86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P206">
            <v>20000</v>
          </cell>
          <cell r="Q206">
            <v>0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P207">
            <v>50000</v>
          </cell>
          <cell r="Q207">
            <v>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P208">
            <v>63080</v>
          </cell>
          <cell r="Q208">
            <v>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P209">
            <v>50000</v>
          </cell>
          <cell r="Q209">
            <v>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P210">
            <v>36493.879999999997</v>
          </cell>
          <cell r="Q210">
            <v>0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P211">
            <v>2000</v>
          </cell>
          <cell r="Q211">
            <v>2067.8000000000002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P212">
            <v>1939883</v>
          </cell>
          <cell r="Q212">
            <v>1984058.13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P213">
            <v>182732.72</v>
          </cell>
          <cell r="Q213">
            <v>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P214">
            <v>30000</v>
          </cell>
          <cell r="Q214">
            <v>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P215">
            <v>10000</v>
          </cell>
          <cell r="Q215">
            <v>53541.31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P216">
            <v>5000</v>
          </cell>
          <cell r="Q216">
            <v>0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P217">
            <v>170200</v>
          </cell>
          <cell r="Q217">
            <v>210200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P218">
            <v>24234</v>
          </cell>
          <cell r="Q218">
            <v>24235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P219">
            <v>230953</v>
          </cell>
          <cell r="Q219">
            <v>230962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P220">
            <v>119821.3</v>
          </cell>
          <cell r="Q220">
            <v>119820.8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P221">
            <v>373000</v>
          </cell>
          <cell r="Q221">
            <v>277000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P222">
            <v>162184</v>
          </cell>
          <cell r="Q222">
            <v>0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P223">
            <v>15361</v>
          </cell>
          <cell r="Q223">
            <v>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P224">
            <v>25623</v>
          </cell>
          <cell r="Q224">
            <v>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P225">
            <v>673470</v>
          </cell>
          <cell r="Q225">
            <v>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P226">
            <v>9300</v>
          </cell>
          <cell r="Q226">
            <v>0</v>
          </cell>
          <cell r="Z226" t="str">
            <v>Others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P227">
            <v>100000</v>
          </cell>
          <cell r="Q227">
            <v>1043986.48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P228">
            <v>50000</v>
          </cell>
          <cell r="Q228">
            <v>232151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P229">
            <v>100000</v>
          </cell>
          <cell r="Q229">
            <v>153986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P230">
            <v>200000</v>
          </cell>
          <cell r="Q230">
            <v>0</v>
          </cell>
          <cell r="Z230" t="str">
            <v>Others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P231">
            <v>16247</v>
          </cell>
          <cell r="Q231">
            <v>10010.120000000001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P232">
            <v>559999</v>
          </cell>
          <cell r="Q232">
            <v>559514.17000000004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P233">
            <v>400000</v>
          </cell>
          <cell r="Q233">
            <v>399999.99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P234">
            <v>20000</v>
          </cell>
          <cell r="Q234">
            <v>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P235">
            <v>0</v>
          </cell>
          <cell r="Q235">
            <v>394800.05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P236">
            <v>21277</v>
          </cell>
          <cell r="Q236">
            <v>21979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P237">
            <v>5415</v>
          </cell>
          <cell r="Q237">
            <v>5415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P238">
            <v>6405</v>
          </cell>
          <cell r="Q238">
            <v>6405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P239">
            <v>67750</v>
          </cell>
          <cell r="Q239">
            <v>67750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P240">
            <v>810</v>
          </cell>
          <cell r="Q240">
            <v>810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P241">
            <v>7000</v>
          </cell>
          <cell r="Q241">
            <v>7000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P242">
            <v>4000</v>
          </cell>
          <cell r="Q242">
            <v>4000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P243">
            <v>35536</v>
          </cell>
          <cell r="Q243">
            <v>35536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P244">
            <v>28000</v>
          </cell>
          <cell r="Q244">
            <v>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P245">
            <v>10000</v>
          </cell>
          <cell r="Q245">
            <v>64000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P246">
            <v>50000</v>
          </cell>
          <cell r="Q246">
            <v>1048500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P247">
            <v>5000</v>
          </cell>
          <cell r="Q247">
            <v>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P248">
            <v>52785</v>
          </cell>
          <cell r="Q248">
            <v>52785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P249">
            <v>42000</v>
          </cell>
          <cell r="Q249">
            <v>42000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P250">
            <v>52785</v>
          </cell>
          <cell r="Q250">
            <v>52784.5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P251">
            <v>25050</v>
          </cell>
          <cell r="Q251">
            <v>25050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P252">
            <v>39642.75</v>
          </cell>
          <cell r="Q252">
            <v>25006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P253">
            <v>10000</v>
          </cell>
          <cell r="Q253">
            <v>2405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P254">
            <v>269597.26</v>
          </cell>
          <cell r="Q254">
            <v>269147.26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P255">
            <v>411432</v>
          </cell>
          <cell r="Q255">
            <v>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P256">
            <v>1000870</v>
          </cell>
          <cell r="Q256">
            <v>0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P257">
            <v>110580</v>
          </cell>
          <cell r="Q257">
            <v>130605.2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P258">
            <v>1000870</v>
          </cell>
          <cell r="Q258">
            <v>0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P259">
            <v>10000000</v>
          </cell>
          <cell r="Q259">
            <v>9088502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P260">
            <v>20000</v>
          </cell>
          <cell r="Q260">
            <v>24600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P261">
            <v>10000</v>
          </cell>
          <cell r="Q261">
            <v>72744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P262">
            <v>2500</v>
          </cell>
          <cell r="Q262">
            <v>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P263">
            <v>5145</v>
          </cell>
          <cell r="Q263">
            <v>5145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P264">
            <v>250000</v>
          </cell>
          <cell r="Q264">
            <v>250000</v>
          </cell>
          <cell r="Z264" t="str">
            <v>Others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P265">
            <v>46000</v>
          </cell>
          <cell r="Q265">
            <v>57200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P266">
            <v>0</v>
          </cell>
          <cell r="Q266">
            <v>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P267">
            <v>10100</v>
          </cell>
          <cell r="Q267">
            <v>10100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P268">
            <v>10000</v>
          </cell>
          <cell r="Q268">
            <v>10000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P269">
            <v>10100</v>
          </cell>
          <cell r="Q269">
            <v>10100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P270">
            <v>700</v>
          </cell>
          <cell r="Q270">
            <v>700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P271">
            <v>44375</v>
          </cell>
          <cell r="Q271">
            <v>44375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P272">
            <v>44375</v>
          </cell>
          <cell r="Q272">
            <v>44375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P273">
            <v>8269.52</v>
          </cell>
          <cell r="Q273">
            <v>8400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P274">
            <v>15400</v>
          </cell>
          <cell r="Q274">
            <v>18600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P275">
            <v>28000</v>
          </cell>
          <cell r="Q275">
            <v>27200.04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P276">
            <v>3200</v>
          </cell>
          <cell r="Q276">
            <v>4300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P277">
            <v>13600</v>
          </cell>
          <cell r="Q277">
            <v>13600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P278">
            <v>3400</v>
          </cell>
          <cell r="Q278">
            <v>3400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P279">
            <v>16127.15</v>
          </cell>
          <cell r="Q279">
            <v>16127.1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P280">
            <v>7000</v>
          </cell>
          <cell r="Q280">
            <v>7000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P281">
            <v>3810</v>
          </cell>
          <cell r="Q281">
            <v>4290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P282">
            <v>12000</v>
          </cell>
          <cell r="Q282">
            <v>12000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P283">
            <v>112000</v>
          </cell>
          <cell r="Q283">
            <v>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P284">
            <v>9850</v>
          </cell>
          <cell r="Q284">
            <v>10300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P285">
            <v>1000</v>
          </cell>
          <cell r="Q285">
            <v>1000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P286">
            <v>9000</v>
          </cell>
          <cell r="Q286">
            <v>9800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P287">
            <v>63000</v>
          </cell>
          <cell r="Q287">
            <v>63000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P288">
            <v>25000</v>
          </cell>
          <cell r="Q288">
            <v>37500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P289">
            <v>3750</v>
          </cell>
          <cell r="Q289">
            <v>3750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P290">
            <v>4000</v>
          </cell>
          <cell r="Q290">
            <v>4000</v>
          </cell>
          <cell r="Z290" t="str">
            <v>Others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P291">
            <v>4500</v>
          </cell>
          <cell r="Q291">
            <v>0</v>
          </cell>
          <cell r="Z291" t="str">
            <v>Others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P292">
            <v>4830</v>
          </cell>
          <cell r="Q292">
            <v>3905</v>
          </cell>
          <cell r="Z292" t="str">
            <v>Others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P293">
            <v>7000</v>
          </cell>
          <cell r="Q293">
            <v>7000</v>
          </cell>
          <cell r="Z293" t="str">
            <v>Others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P294">
            <v>60144</v>
          </cell>
          <cell r="Q294">
            <v>60144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P295">
            <v>60144</v>
          </cell>
          <cell r="Q295">
            <v>60144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P296">
            <v>45108</v>
          </cell>
          <cell r="Q296">
            <v>45108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P297">
            <v>20048</v>
          </cell>
          <cell r="Q297">
            <v>20048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P298">
            <v>15036</v>
          </cell>
          <cell r="Q298">
            <v>15036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P299">
            <v>5012</v>
          </cell>
          <cell r="Q299">
            <v>5012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P300">
            <v>20048</v>
          </cell>
          <cell r="Q300">
            <v>20048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P301">
            <v>10024</v>
          </cell>
          <cell r="Q301">
            <v>10024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P302">
            <v>5012</v>
          </cell>
          <cell r="Q302">
            <v>5012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P303">
            <v>5012</v>
          </cell>
          <cell r="Q303">
            <v>5012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P304">
            <v>10024</v>
          </cell>
          <cell r="Q304">
            <v>10024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P305">
            <v>10024</v>
          </cell>
          <cell r="Q305">
            <v>5012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P306">
            <v>10024</v>
          </cell>
          <cell r="Q306">
            <v>10024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P307">
            <v>10024</v>
          </cell>
          <cell r="Q307">
            <v>10024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P308">
            <v>15036</v>
          </cell>
          <cell r="Q308">
            <v>15036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P309">
            <v>35084</v>
          </cell>
          <cell r="Q309">
            <v>35084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P310">
            <v>10024</v>
          </cell>
          <cell r="Q310">
            <v>10024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P311">
            <v>5012</v>
          </cell>
          <cell r="Q311">
            <v>5012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P312">
            <v>25060</v>
          </cell>
          <cell r="Q312">
            <v>25060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P313">
            <v>5012</v>
          </cell>
          <cell r="Q313">
            <v>5012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P314">
            <v>5012</v>
          </cell>
          <cell r="Q314">
            <v>5012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P315">
            <v>50120</v>
          </cell>
          <cell r="Q315">
            <v>50120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P316">
            <v>10024</v>
          </cell>
          <cell r="Q316">
            <v>10024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P317">
            <v>5012</v>
          </cell>
          <cell r="Q317">
            <v>5012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P318">
            <v>21000</v>
          </cell>
          <cell r="Q318">
            <v>21000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P319">
            <v>7000</v>
          </cell>
          <cell r="Q319">
            <v>7000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P320">
            <v>14000</v>
          </cell>
          <cell r="Q320">
            <v>14000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P321">
            <v>7000</v>
          </cell>
          <cell r="Q321">
            <v>7000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P322">
            <v>63000</v>
          </cell>
          <cell r="Q322">
            <v>63000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P323">
            <v>56000</v>
          </cell>
          <cell r="Q323">
            <v>56000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P324">
            <v>7000</v>
          </cell>
          <cell r="Q324">
            <v>7000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P325">
            <v>14000</v>
          </cell>
          <cell r="Q325">
            <v>14000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P326">
            <v>70000</v>
          </cell>
          <cell r="Q326">
            <v>70000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P327">
            <v>7000</v>
          </cell>
          <cell r="Q327">
            <v>7000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P328">
            <v>7000</v>
          </cell>
          <cell r="Q328">
            <v>7000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P329">
            <v>21000</v>
          </cell>
          <cell r="Q329">
            <v>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P330">
            <v>7000</v>
          </cell>
          <cell r="Q330">
            <v>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P331">
            <v>10000</v>
          </cell>
          <cell r="Q331">
            <v>7000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P332">
            <v>100</v>
          </cell>
          <cell r="Q332">
            <v>1000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P333">
            <v>100000</v>
          </cell>
          <cell r="Q333">
            <v>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P334">
            <v>10000</v>
          </cell>
          <cell r="Q334">
            <v>63732.06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P335">
            <v>1000</v>
          </cell>
          <cell r="Q335">
            <v>1244.07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P336">
            <v>13350</v>
          </cell>
          <cell r="Q336">
            <v>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P337">
            <v>22550</v>
          </cell>
          <cell r="Q337">
            <v>22550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P338">
            <v>360000</v>
          </cell>
          <cell r="Q338">
            <v>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P339">
            <v>1567</v>
          </cell>
          <cell r="Q339">
            <v>1567.42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P340">
            <v>5250</v>
          </cell>
          <cell r="Q340">
            <v>5250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P341">
            <v>1380</v>
          </cell>
          <cell r="Q341">
            <v>1080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P342">
            <v>7699.4</v>
          </cell>
          <cell r="Q342">
            <v>9093.4699999999993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P343">
            <v>47592</v>
          </cell>
          <cell r="Q343">
            <v>23600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P344">
            <v>47592</v>
          </cell>
          <cell r="Q344">
            <v>47592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P345">
            <v>47592</v>
          </cell>
          <cell r="Q345">
            <v>23600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P346">
            <v>47592</v>
          </cell>
          <cell r="Q346">
            <v>47592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P347">
            <v>850000</v>
          </cell>
          <cell r="Q347">
            <v>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P348">
            <v>15000</v>
          </cell>
          <cell r="Q348">
            <v>15000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P349">
            <v>39401.69</v>
          </cell>
          <cell r="Q349">
            <v>39401.82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P350">
            <v>1750</v>
          </cell>
          <cell r="Q350">
            <v>1750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P351">
            <v>700</v>
          </cell>
          <cell r="Q351">
            <v>700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P352">
            <v>1778000</v>
          </cell>
          <cell r="Q352">
            <v>1884774.65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P353">
            <v>189000</v>
          </cell>
          <cell r="Q353">
            <v>274244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P354">
            <v>1700</v>
          </cell>
          <cell r="Q354">
            <v>2206.9699999999998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P355">
            <v>5848</v>
          </cell>
          <cell r="Q355">
            <v>5846.61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P356">
            <v>8700</v>
          </cell>
          <cell r="Q356">
            <v>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P357">
            <v>465100</v>
          </cell>
          <cell r="Q357">
            <v>562599.35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P358">
            <v>1000000</v>
          </cell>
          <cell r="Q358">
            <v>974576.49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P359">
            <v>7077</v>
          </cell>
          <cell r="Q359">
            <v>7077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P360">
            <v>1730</v>
          </cell>
          <cell r="Q360">
            <v>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P361">
            <v>768136</v>
          </cell>
          <cell r="Q361">
            <v>808136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P362">
            <v>200000</v>
          </cell>
          <cell r="Q362">
            <v>79268.039999999994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P363">
            <v>1400</v>
          </cell>
          <cell r="Q363">
            <v>1631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P364">
            <v>8600</v>
          </cell>
          <cell r="Q364">
            <v>11461.86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P365">
            <v>1000</v>
          </cell>
          <cell r="Q365">
            <v>138000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P366">
            <v>10400</v>
          </cell>
          <cell r="Q366">
            <v>11511.86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P367">
            <v>3820</v>
          </cell>
          <cell r="Q367">
            <v>4220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P368">
            <v>100000</v>
          </cell>
          <cell r="Q368">
            <v>38925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P369">
            <v>23185.59</v>
          </cell>
          <cell r="Q369">
            <v>23185.59</v>
          </cell>
          <cell r="Z369" t="str">
            <v>Others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P370">
            <v>0</v>
          </cell>
          <cell r="Q370">
            <v>0</v>
          </cell>
          <cell r="Z370" t="str">
            <v>Others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P371">
            <v>19000</v>
          </cell>
          <cell r="Q371">
            <v>19000</v>
          </cell>
          <cell r="Z371" t="str">
            <v>Others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P372">
            <v>4000</v>
          </cell>
          <cell r="Q372">
            <v>4000</v>
          </cell>
          <cell r="Z372" t="str">
            <v>Others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P373">
            <v>17000</v>
          </cell>
          <cell r="Q373">
            <v>17000</v>
          </cell>
          <cell r="Z373" t="str">
            <v>Others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P374">
            <v>3100</v>
          </cell>
          <cell r="Q374">
            <v>3100</v>
          </cell>
          <cell r="Z374" t="str">
            <v>Others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P375">
            <v>6768</v>
          </cell>
          <cell r="Q375">
            <v>6768</v>
          </cell>
          <cell r="Z375" t="str">
            <v>Others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P376">
            <v>4700</v>
          </cell>
          <cell r="Q376">
            <v>4700</v>
          </cell>
          <cell r="Z376" t="str">
            <v>Others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P377">
            <v>32148</v>
          </cell>
          <cell r="Q377">
            <v>32148</v>
          </cell>
          <cell r="Z377" t="str">
            <v>Others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P378">
            <v>4512</v>
          </cell>
          <cell r="Q378">
            <v>4512</v>
          </cell>
          <cell r="Z378" t="str">
            <v>Others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P379">
            <v>1400</v>
          </cell>
          <cell r="Q379">
            <v>1400</v>
          </cell>
          <cell r="Z379" t="str">
            <v>Others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P380">
            <v>33431.89</v>
          </cell>
          <cell r="Q380">
            <v>33431.89</v>
          </cell>
          <cell r="Z380" t="str">
            <v>Others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Opportunity Pipeline 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P2">
            <v>39500</v>
          </cell>
          <cell r="Q2">
            <v>39500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P3">
            <v>89000</v>
          </cell>
          <cell r="Q3">
            <v>89000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2280000</v>
          </cell>
          <cell r="P4">
            <v>78000</v>
          </cell>
          <cell r="Q4">
            <v>78000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682200</v>
          </cell>
          <cell r="P5">
            <v>40000</v>
          </cell>
          <cell r="Q5">
            <v>0</v>
          </cell>
          <cell r="Z5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1375387</v>
          </cell>
          <cell r="P10">
            <v>200000</v>
          </cell>
          <cell r="Q10">
            <v>0</v>
          </cell>
          <cell r="Z10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824613</v>
          </cell>
          <cell r="P15">
            <v>200000</v>
          </cell>
          <cell r="Q15">
            <v>0</v>
          </cell>
          <cell r="Z15" t="str">
            <v>Others</v>
          </cell>
        </row>
        <row r="20">
          <cell r="F20" t="str">
            <v>Chetna Sharma</v>
          </cell>
          <cell r="K20" t="str">
            <v>Data Centre</v>
          </cell>
          <cell r="O20">
            <v>189247.31</v>
          </cell>
          <cell r="P20">
            <v>17204</v>
          </cell>
          <cell r="Q20">
            <v>0</v>
          </cell>
          <cell r="Z20" t="str">
            <v>S2</v>
          </cell>
        </row>
        <row r="21">
          <cell r="F21" t="str">
            <v>Chirag Palande</v>
          </cell>
          <cell r="K21" t="str">
            <v>Data Centre</v>
          </cell>
          <cell r="O21">
            <v>33000000</v>
          </cell>
          <cell r="P21">
            <v>1796666</v>
          </cell>
          <cell r="Q21">
            <v>0</v>
          </cell>
          <cell r="Z21" t="str">
            <v>S1</v>
          </cell>
        </row>
        <row r="22">
          <cell r="F22" t="str">
            <v>Chirag Palande</v>
          </cell>
          <cell r="K22" t="str">
            <v>Data Centre</v>
          </cell>
          <cell r="O22">
            <v>33000000</v>
          </cell>
          <cell r="P22">
            <v>1796666</v>
          </cell>
          <cell r="Q22">
            <v>0</v>
          </cell>
          <cell r="Z22" t="str">
            <v>S1</v>
          </cell>
        </row>
        <row r="23">
          <cell r="F23" t="str">
            <v>Chirag Palande</v>
          </cell>
          <cell r="K23" t="str">
            <v>Data Centre</v>
          </cell>
          <cell r="O23">
            <v>33000000</v>
          </cell>
          <cell r="P23">
            <v>1796666</v>
          </cell>
          <cell r="Q23">
            <v>0</v>
          </cell>
          <cell r="Z23" t="str">
            <v>S1</v>
          </cell>
        </row>
        <row r="24">
          <cell r="F24" t="str">
            <v>Hrushikesh Bagade</v>
          </cell>
          <cell r="K24" t="str">
            <v>Data Centre</v>
          </cell>
          <cell r="O24">
            <v>163750</v>
          </cell>
          <cell r="P24">
            <v>20000</v>
          </cell>
          <cell r="Q24">
            <v>0</v>
          </cell>
          <cell r="Z24" t="str">
            <v>GeoX</v>
          </cell>
        </row>
        <row r="25">
          <cell r="F25" t="str">
            <v>Prachi Mayekar</v>
          </cell>
          <cell r="K25" t="str">
            <v>Data Centre</v>
          </cell>
          <cell r="O25">
            <v>14500000</v>
          </cell>
          <cell r="P25">
            <v>1200000</v>
          </cell>
          <cell r="Q25">
            <v>0</v>
          </cell>
          <cell r="Z25" t="str">
            <v>CB</v>
          </cell>
        </row>
        <row r="26">
          <cell r="F26" t="str">
            <v>Prachi Mayekar</v>
          </cell>
          <cell r="K26" t="str">
            <v>Data Centre</v>
          </cell>
          <cell r="O26">
            <v>2205000</v>
          </cell>
          <cell r="P26">
            <v>100000</v>
          </cell>
          <cell r="Q26">
            <v>0</v>
          </cell>
          <cell r="Z26" t="str">
            <v>CB</v>
          </cell>
        </row>
        <row r="27">
          <cell r="F27" t="str">
            <v>Prachi Mayekar</v>
          </cell>
          <cell r="K27" t="str">
            <v>Data Centre</v>
          </cell>
          <cell r="O27">
            <v>1000000</v>
          </cell>
          <cell r="P27">
            <v>10000</v>
          </cell>
          <cell r="Q27">
            <v>0</v>
          </cell>
          <cell r="Z27" t="str">
            <v>CB</v>
          </cell>
        </row>
        <row r="28">
          <cell r="F28" t="str">
            <v>Rohit Deshmukh</v>
          </cell>
          <cell r="K28" t="str">
            <v>Data Centre</v>
          </cell>
          <cell r="O28">
            <v>300000000</v>
          </cell>
          <cell r="P28">
            <v>24005444</v>
          </cell>
          <cell r="Q28">
            <v>6445062.0199999996</v>
          </cell>
          <cell r="Z28" t="str">
            <v>S2</v>
          </cell>
        </row>
        <row r="29">
          <cell r="F29" t="str">
            <v>Rohit Deshmukh</v>
          </cell>
          <cell r="K29" t="str">
            <v>Data Centre</v>
          </cell>
          <cell r="O29">
            <v>900000</v>
          </cell>
          <cell r="P29">
            <v>268000</v>
          </cell>
          <cell r="Q29">
            <v>268000</v>
          </cell>
          <cell r="Z29" t="str">
            <v>S2</v>
          </cell>
        </row>
        <row r="30">
          <cell r="F30" t="str">
            <v>Sagar TR</v>
          </cell>
          <cell r="K30" t="str">
            <v>CSG (EndPoint)</v>
          </cell>
          <cell r="O30">
            <v>362400</v>
          </cell>
          <cell r="P30">
            <v>60900</v>
          </cell>
          <cell r="Q30">
            <v>33400</v>
          </cell>
          <cell r="Z30" t="str">
            <v>South</v>
          </cell>
        </row>
        <row r="31">
          <cell r="F31" t="str">
            <v>Sagar TR</v>
          </cell>
          <cell r="K31" t="str">
            <v>Data Centre</v>
          </cell>
          <cell r="O31">
            <v>17247099.800000001</v>
          </cell>
          <cell r="P31">
            <v>2683699.7999999998</v>
          </cell>
          <cell r="Q31">
            <v>28599.68</v>
          </cell>
          <cell r="Z31" t="str">
            <v>South</v>
          </cell>
        </row>
        <row r="32">
          <cell r="F32" t="str">
            <v>Sagar TR</v>
          </cell>
          <cell r="K32" t="str">
            <v>Data Centre</v>
          </cell>
          <cell r="O32">
            <v>145000</v>
          </cell>
          <cell r="P32">
            <v>20000</v>
          </cell>
          <cell r="Q32">
            <v>8000</v>
          </cell>
          <cell r="Z32" t="str">
            <v>South</v>
          </cell>
        </row>
        <row r="33">
          <cell r="F33" t="str">
            <v>Sagar TR</v>
          </cell>
          <cell r="K33" t="str">
            <v>Data Centre</v>
          </cell>
          <cell r="O33">
            <v>631600</v>
          </cell>
          <cell r="P33">
            <v>7600</v>
          </cell>
          <cell r="Q33">
            <v>0</v>
          </cell>
          <cell r="Z33" t="str">
            <v>South</v>
          </cell>
        </row>
        <row r="35">
          <cell r="F35" t="str">
            <v>Sagar TR</v>
          </cell>
          <cell r="K35" t="str">
            <v>Data Centre</v>
          </cell>
          <cell r="O35">
            <v>1794000</v>
          </cell>
          <cell r="P35">
            <v>150000</v>
          </cell>
          <cell r="Q35">
            <v>24000</v>
          </cell>
          <cell r="Z35" t="str">
            <v>South</v>
          </cell>
        </row>
        <row r="36">
          <cell r="F36" t="str">
            <v>Sagar TR</v>
          </cell>
          <cell r="K36" t="str">
            <v>Data Centre</v>
          </cell>
          <cell r="O36">
            <v>2025000</v>
          </cell>
          <cell r="P36">
            <v>428000</v>
          </cell>
          <cell r="Q36">
            <v>428000</v>
          </cell>
          <cell r="Z36" t="str">
            <v>South</v>
          </cell>
        </row>
        <row r="37">
          <cell r="F37" t="str">
            <v>Sagar TR</v>
          </cell>
          <cell r="K37" t="str">
            <v>Data Centre</v>
          </cell>
          <cell r="O37">
            <v>81650</v>
          </cell>
          <cell r="P37">
            <v>5000</v>
          </cell>
          <cell r="Q37">
            <v>2175</v>
          </cell>
          <cell r="Z37" t="str">
            <v>South</v>
          </cell>
        </row>
        <row r="38">
          <cell r="F38" t="str">
            <v>Sagar TR</v>
          </cell>
          <cell r="K38" t="str">
            <v>Data Centre</v>
          </cell>
          <cell r="O38">
            <v>1070000</v>
          </cell>
          <cell r="P38">
            <v>100000</v>
          </cell>
          <cell r="Q38">
            <v>0</v>
          </cell>
          <cell r="Z38" t="str">
            <v>South</v>
          </cell>
        </row>
        <row r="39">
          <cell r="F39" t="str">
            <v>Sankeerth Bhargav</v>
          </cell>
          <cell r="K39" t="str">
            <v>Data Centre</v>
          </cell>
          <cell r="O39">
            <v>38348039</v>
          </cell>
          <cell r="P39">
            <v>2268547</v>
          </cell>
          <cell r="Q39">
            <v>0</v>
          </cell>
          <cell r="Z39" t="str">
            <v>S2</v>
          </cell>
        </row>
        <row r="40">
          <cell r="F40" t="str">
            <v>Shaik Khadhar</v>
          </cell>
          <cell r="K40" t="str">
            <v>Data Centre</v>
          </cell>
          <cell r="O40">
            <v>0</v>
          </cell>
          <cell r="P40">
            <v>0</v>
          </cell>
          <cell r="Q40">
            <v>0</v>
          </cell>
          <cell r="Z40" t="str">
            <v>South</v>
          </cell>
        </row>
        <row r="41">
          <cell r="F41" t="str">
            <v>Tasneem K</v>
          </cell>
          <cell r="K41" t="str">
            <v>Data Centre</v>
          </cell>
          <cell r="O41">
            <v>1091540.1299999999</v>
          </cell>
          <cell r="P41">
            <v>257844.13</v>
          </cell>
          <cell r="Q41">
            <v>0</v>
          </cell>
          <cell r="Z41" t="str">
            <v>S1</v>
          </cell>
        </row>
        <row r="42">
          <cell r="F42" t="str">
            <v>Jay Rushi</v>
          </cell>
          <cell r="K42" t="str">
            <v>Data Centre</v>
          </cell>
          <cell r="O42">
            <v>168810</v>
          </cell>
          <cell r="P42">
            <v>28810</v>
          </cell>
          <cell r="Q42">
            <v>28810</v>
          </cell>
          <cell r="Z42" t="str">
            <v>GB</v>
          </cell>
        </row>
        <row r="43">
          <cell r="F43" t="str">
            <v>Tasneem K</v>
          </cell>
          <cell r="K43" t="str">
            <v>CSG (EndPoint)</v>
          </cell>
          <cell r="O43">
            <v>275000</v>
          </cell>
          <cell r="P43">
            <v>40000</v>
          </cell>
          <cell r="Q43">
            <v>40100</v>
          </cell>
          <cell r="Z43" t="str">
            <v>S1</v>
          </cell>
        </row>
        <row r="44">
          <cell r="F44" t="str">
            <v>Tasneem K</v>
          </cell>
          <cell r="K44" t="str">
            <v>CSG (EndPoint)</v>
          </cell>
          <cell r="O44">
            <v>275000</v>
          </cell>
          <cell r="P44">
            <v>40000</v>
          </cell>
          <cell r="Q44">
            <v>40000</v>
          </cell>
          <cell r="Z44" t="str">
            <v>S1</v>
          </cell>
        </row>
        <row r="45">
          <cell r="F45" t="str">
            <v>Chetna Sharma</v>
          </cell>
          <cell r="K45" t="str">
            <v>CSG (EndPoint)</v>
          </cell>
          <cell r="O45">
            <v>6310392</v>
          </cell>
          <cell r="P45">
            <v>357192</v>
          </cell>
          <cell r="Q45">
            <v>0</v>
          </cell>
          <cell r="Z45" t="str">
            <v>S2</v>
          </cell>
        </row>
        <row r="46">
          <cell r="F46" t="str">
            <v>Chirag Palande</v>
          </cell>
          <cell r="K46" t="str">
            <v>CSG (EndPoint)</v>
          </cell>
          <cell r="O46">
            <v>9601500</v>
          </cell>
          <cell r="P46">
            <v>476975</v>
          </cell>
          <cell r="Q46">
            <v>0</v>
          </cell>
          <cell r="Z46" t="str">
            <v>S1</v>
          </cell>
        </row>
        <row r="47">
          <cell r="F47" t="str">
            <v>Chirag Palande</v>
          </cell>
          <cell r="K47" t="str">
            <v>CSG (EndPoint)</v>
          </cell>
          <cell r="O47">
            <v>199500</v>
          </cell>
          <cell r="P47">
            <v>7000</v>
          </cell>
          <cell r="Q47">
            <v>0</v>
          </cell>
          <cell r="Z47" t="str">
            <v>S1</v>
          </cell>
        </row>
        <row r="48">
          <cell r="F48" t="str">
            <v>Jimesh Shah</v>
          </cell>
          <cell r="K48" t="str">
            <v>CSG (EndPoint)</v>
          </cell>
          <cell r="O48">
            <v>22400</v>
          </cell>
          <cell r="P48">
            <v>3200</v>
          </cell>
          <cell r="Q48">
            <v>1600</v>
          </cell>
          <cell r="Z48" t="str">
            <v>Others</v>
          </cell>
        </row>
        <row r="49">
          <cell r="F49" t="str">
            <v>Jimesh Shah</v>
          </cell>
          <cell r="K49" t="str">
            <v>CSG (EndPoint)</v>
          </cell>
          <cell r="O49">
            <v>32000</v>
          </cell>
          <cell r="P49">
            <v>1750</v>
          </cell>
          <cell r="Q49">
            <v>3000</v>
          </cell>
          <cell r="Z49" t="str">
            <v>Others</v>
          </cell>
        </row>
        <row r="50">
          <cell r="F50" t="str">
            <v>Jimesh Shah</v>
          </cell>
          <cell r="K50" t="str">
            <v>CSG (EndPoint)</v>
          </cell>
          <cell r="O50">
            <v>32000</v>
          </cell>
          <cell r="P50">
            <v>1750</v>
          </cell>
          <cell r="Q50">
            <v>3000</v>
          </cell>
          <cell r="Z50" t="str">
            <v>Others</v>
          </cell>
        </row>
        <row r="51">
          <cell r="F51" t="str">
            <v>Ajay Patodia</v>
          </cell>
          <cell r="K51" t="str">
            <v>Professional Services</v>
          </cell>
          <cell r="O51">
            <v>4998498</v>
          </cell>
          <cell r="P51">
            <v>500000</v>
          </cell>
          <cell r="Q51">
            <v>0</v>
          </cell>
          <cell r="Z51" t="str">
            <v>Others</v>
          </cell>
        </row>
        <row r="54">
          <cell r="F54" t="str">
            <v>Ashish Singh</v>
          </cell>
          <cell r="K54" t="str">
            <v>Professional Services</v>
          </cell>
          <cell r="O54">
            <v>638000</v>
          </cell>
          <cell r="P54">
            <v>125000</v>
          </cell>
          <cell r="Q54">
            <v>0</v>
          </cell>
          <cell r="Z54" t="str">
            <v>GB</v>
          </cell>
        </row>
        <row r="55">
          <cell r="F55" t="str">
            <v>Ashish Singh</v>
          </cell>
          <cell r="K55" t="str">
            <v>Professional Services</v>
          </cell>
          <cell r="O55">
            <v>13365</v>
          </cell>
          <cell r="P55">
            <v>9615</v>
          </cell>
          <cell r="Q55">
            <v>0</v>
          </cell>
          <cell r="Z55" t="str">
            <v>GB</v>
          </cell>
        </row>
        <row r="56">
          <cell r="F56" t="str">
            <v>Chetna Sharma</v>
          </cell>
          <cell r="K56" t="str">
            <v>Professional Services</v>
          </cell>
          <cell r="O56">
            <v>4900000</v>
          </cell>
          <cell r="P56">
            <v>536360</v>
          </cell>
          <cell r="Q56">
            <v>536360</v>
          </cell>
          <cell r="Z56" t="str">
            <v>S2</v>
          </cell>
        </row>
        <row r="57">
          <cell r="F57" t="str">
            <v>Hrushikesh Bagade</v>
          </cell>
          <cell r="K57" t="str">
            <v>Professional Services</v>
          </cell>
          <cell r="O57">
            <v>169490</v>
          </cell>
          <cell r="P57">
            <v>141555</v>
          </cell>
          <cell r="Q57">
            <v>139490</v>
          </cell>
          <cell r="Z57" t="str">
            <v>GeoX</v>
          </cell>
        </row>
        <row r="58">
          <cell r="F58" t="str">
            <v>Hrushikesh Bagade</v>
          </cell>
          <cell r="K58" t="str">
            <v>Professional Services</v>
          </cell>
          <cell r="O58">
            <v>217800</v>
          </cell>
          <cell r="P58">
            <v>67800</v>
          </cell>
          <cell r="Q58">
            <v>67800</v>
          </cell>
          <cell r="Z58" t="str">
            <v>GeoX</v>
          </cell>
        </row>
        <row r="59">
          <cell r="F59" t="str">
            <v>Richa Tiwari</v>
          </cell>
          <cell r="K59" t="str">
            <v>Professional Services</v>
          </cell>
          <cell r="O59">
            <v>1040000</v>
          </cell>
          <cell r="P59">
            <v>50000</v>
          </cell>
          <cell r="Q59">
            <v>0</v>
          </cell>
          <cell r="Z59" t="str">
            <v>S1</v>
          </cell>
        </row>
        <row r="60">
          <cell r="F60" t="str">
            <v>Rima Ingle</v>
          </cell>
          <cell r="K60" t="str">
            <v>Professional Services</v>
          </cell>
          <cell r="O60">
            <v>45000</v>
          </cell>
          <cell r="P60">
            <v>3450</v>
          </cell>
          <cell r="Q60">
            <v>0</v>
          </cell>
          <cell r="Z60" t="str">
            <v>GB</v>
          </cell>
        </row>
        <row r="61">
          <cell r="F61" t="str">
            <v>Shilpa Kavde</v>
          </cell>
          <cell r="K61" t="str">
            <v>Cloud</v>
          </cell>
          <cell r="O61">
            <v>1105210</v>
          </cell>
          <cell r="P61">
            <v>10000</v>
          </cell>
          <cell r="Q61">
            <v>0</v>
          </cell>
          <cell r="Z61" t="str">
            <v>CB</v>
          </cell>
        </row>
        <row r="62">
          <cell r="F62" t="str">
            <v>Raj Matondkar</v>
          </cell>
          <cell r="K62" t="str">
            <v>Data Centre</v>
          </cell>
          <cell r="O62">
            <v>3192800</v>
          </cell>
          <cell r="P62">
            <v>205088</v>
          </cell>
          <cell r="Q62">
            <v>237536</v>
          </cell>
          <cell r="Z62" t="str">
            <v>S1</v>
          </cell>
        </row>
        <row r="63">
          <cell r="F63" t="str">
            <v>Pratik Kadam</v>
          </cell>
          <cell r="K63" t="str">
            <v>CSG (EndPoint)</v>
          </cell>
          <cell r="O63">
            <v>96000</v>
          </cell>
          <cell r="P63">
            <v>10000</v>
          </cell>
          <cell r="Q63">
            <v>10000</v>
          </cell>
          <cell r="Z63" t="str">
            <v>S1</v>
          </cell>
        </row>
        <row r="64">
          <cell r="F64" t="str">
            <v>Pratik Kadam</v>
          </cell>
          <cell r="K64" t="str">
            <v>CSG (EndPoint)</v>
          </cell>
          <cell r="O64">
            <v>72000</v>
          </cell>
          <cell r="P64">
            <v>7500</v>
          </cell>
          <cell r="Q64">
            <v>7500</v>
          </cell>
          <cell r="Z64" t="str">
            <v>S1</v>
          </cell>
        </row>
        <row r="65">
          <cell r="F65" t="str">
            <v>Pratik Kadam</v>
          </cell>
          <cell r="K65" t="str">
            <v>CSG (EndPoint)</v>
          </cell>
          <cell r="O65">
            <v>148149.15</v>
          </cell>
          <cell r="P65">
            <v>8649.15</v>
          </cell>
          <cell r="Q65">
            <v>0</v>
          </cell>
          <cell r="Z65" t="str">
            <v>S1</v>
          </cell>
        </row>
        <row r="66">
          <cell r="F66" t="str">
            <v>Richa Tiwari</v>
          </cell>
          <cell r="K66" t="str">
            <v>CSG (EndPoint)</v>
          </cell>
          <cell r="O66">
            <v>952000</v>
          </cell>
          <cell r="P66">
            <v>17600</v>
          </cell>
          <cell r="Q66">
            <v>17600</v>
          </cell>
          <cell r="Z66" t="str">
            <v>S1</v>
          </cell>
        </row>
        <row r="67">
          <cell r="F67" t="str">
            <v>Richa Tiwari</v>
          </cell>
          <cell r="K67" t="str">
            <v>CSG (EndPoint)</v>
          </cell>
          <cell r="O67">
            <v>901500</v>
          </cell>
          <cell r="P67">
            <v>38910</v>
          </cell>
          <cell r="Q67">
            <v>6600</v>
          </cell>
          <cell r="Z67" t="str">
            <v>S1</v>
          </cell>
        </row>
        <row r="68">
          <cell r="F68" t="str">
            <v>Richa Tiwari</v>
          </cell>
          <cell r="K68" t="str">
            <v>CSG (EndPoint)</v>
          </cell>
          <cell r="O68">
            <v>181500</v>
          </cell>
          <cell r="P68">
            <v>10770</v>
          </cell>
          <cell r="Q68">
            <v>0</v>
          </cell>
          <cell r="Z68" t="str">
            <v>S1</v>
          </cell>
        </row>
        <row r="69">
          <cell r="F69" t="str">
            <v>Richa Tiwari</v>
          </cell>
          <cell r="K69" t="str">
            <v>CSG (EndPoint)</v>
          </cell>
          <cell r="O69">
            <v>8378000</v>
          </cell>
          <cell r="P69">
            <v>176940</v>
          </cell>
          <cell r="Q69">
            <v>157800</v>
          </cell>
          <cell r="Z69" t="str">
            <v>S1</v>
          </cell>
        </row>
        <row r="70">
          <cell r="F70" t="str">
            <v>Richa Tiwari</v>
          </cell>
          <cell r="K70" t="str">
            <v>CSG (EndPoint)</v>
          </cell>
          <cell r="O70">
            <v>1190000</v>
          </cell>
          <cell r="P70">
            <v>22000</v>
          </cell>
          <cell r="Q70">
            <v>0</v>
          </cell>
          <cell r="Z70" t="str">
            <v>S1</v>
          </cell>
        </row>
        <row r="71">
          <cell r="F71" t="str">
            <v>Richa Tiwari</v>
          </cell>
          <cell r="K71" t="str">
            <v>CSG (EndPoint)</v>
          </cell>
          <cell r="O71">
            <v>1797000</v>
          </cell>
          <cell r="P71">
            <v>62880</v>
          </cell>
          <cell r="Q71">
            <v>19800</v>
          </cell>
          <cell r="Z71" t="str">
            <v>S1</v>
          </cell>
        </row>
        <row r="72">
          <cell r="F72" t="str">
            <v>Richa Tiwari</v>
          </cell>
          <cell r="K72" t="str">
            <v>CSG (EndPoint)</v>
          </cell>
          <cell r="O72">
            <v>357000</v>
          </cell>
          <cell r="P72">
            <v>6600</v>
          </cell>
          <cell r="Q72">
            <v>6600</v>
          </cell>
          <cell r="Z72" t="str">
            <v>S1</v>
          </cell>
        </row>
        <row r="73">
          <cell r="F73" t="str">
            <v>Richa Tiwari</v>
          </cell>
          <cell r="K73" t="str">
            <v>CSG (EndPoint)</v>
          </cell>
          <cell r="O73">
            <v>119000</v>
          </cell>
          <cell r="P73">
            <v>2200</v>
          </cell>
          <cell r="Q73">
            <v>2200</v>
          </cell>
          <cell r="Z73" t="str">
            <v>S1</v>
          </cell>
        </row>
        <row r="74">
          <cell r="F74" t="str">
            <v>Richa Tiwari</v>
          </cell>
          <cell r="K74" t="str">
            <v>CSG (EndPoint)</v>
          </cell>
          <cell r="O74">
            <v>5950000</v>
          </cell>
          <cell r="P74">
            <v>110000</v>
          </cell>
          <cell r="Q74">
            <v>110000</v>
          </cell>
          <cell r="Z74" t="str">
            <v>S1</v>
          </cell>
        </row>
        <row r="75">
          <cell r="F75" t="str">
            <v>Richa Tiwari</v>
          </cell>
          <cell r="K75" t="str">
            <v>CSG (EndPoint)</v>
          </cell>
          <cell r="O75">
            <v>5516000</v>
          </cell>
          <cell r="P75">
            <v>109200</v>
          </cell>
          <cell r="Q75">
            <v>111600</v>
          </cell>
          <cell r="Z75" t="str">
            <v>S1</v>
          </cell>
        </row>
        <row r="76">
          <cell r="F76" t="str">
            <v>Richa Tiwari</v>
          </cell>
          <cell r="K76" t="str">
            <v>CSG (EndPoint)</v>
          </cell>
          <cell r="O76">
            <v>1449000</v>
          </cell>
          <cell r="P76">
            <v>30400</v>
          </cell>
          <cell r="Q76">
            <v>31600</v>
          </cell>
          <cell r="Z76" t="str">
            <v>S1</v>
          </cell>
        </row>
        <row r="77">
          <cell r="F77" t="str">
            <v>Richa Tiwari</v>
          </cell>
          <cell r="K77" t="str">
            <v>CSG (EndPoint)</v>
          </cell>
          <cell r="O77">
            <v>952000</v>
          </cell>
          <cell r="P77">
            <v>17600</v>
          </cell>
          <cell r="Q77">
            <v>17600</v>
          </cell>
          <cell r="Z77" t="str">
            <v>S1</v>
          </cell>
        </row>
        <row r="78">
          <cell r="F78" t="str">
            <v>Richa Tiwari</v>
          </cell>
          <cell r="K78" t="str">
            <v>CSG (EndPoint)</v>
          </cell>
          <cell r="O78">
            <v>1449000</v>
          </cell>
          <cell r="P78">
            <v>30400</v>
          </cell>
          <cell r="Q78">
            <v>0</v>
          </cell>
          <cell r="Z78" t="str">
            <v>S1</v>
          </cell>
        </row>
        <row r="79">
          <cell r="F79" t="str">
            <v>Richa Tiwari</v>
          </cell>
          <cell r="K79" t="str">
            <v>CSG (EndPoint)</v>
          </cell>
          <cell r="O79">
            <v>6444000</v>
          </cell>
          <cell r="P79">
            <v>163620</v>
          </cell>
          <cell r="Q79">
            <v>99000</v>
          </cell>
          <cell r="Z79" t="str">
            <v>S1</v>
          </cell>
        </row>
        <row r="80">
          <cell r="F80" t="str">
            <v>Richa Tiwari</v>
          </cell>
          <cell r="K80" t="str">
            <v>CSG (EndPoint)</v>
          </cell>
          <cell r="O80">
            <v>119000</v>
          </cell>
          <cell r="P80">
            <v>2200</v>
          </cell>
          <cell r="Q80">
            <v>2200</v>
          </cell>
          <cell r="Z80" t="str">
            <v>S1</v>
          </cell>
        </row>
        <row r="81">
          <cell r="F81" t="str">
            <v>Richa Tiwari</v>
          </cell>
          <cell r="K81" t="str">
            <v>CSG (EndPoint)</v>
          </cell>
          <cell r="O81">
            <v>476000</v>
          </cell>
          <cell r="P81">
            <v>8800</v>
          </cell>
          <cell r="Q81">
            <v>8800</v>
          </cell>
          <cell r="Z81" t="str">
            <v>S1</v>
          </cell>
        </row>
        <row r="82">
          <cell r="F82" t="str">
            <v>Richa Tiwari</v>
          </cell>
          <cell r="K82" t="str">
            <v>Cyber Security &amp; Networking</v>
          </cell>
          <cell r="O82">
            <v>8950000</v>
          </cell>
          <cell r="P82">
            <v>50000</v>
          </cell>
          <cell r="Q82">
            <v>0</v>
          </cell>
          <cell r="Z82" t="str">
            <v>S1</v>
          </cell>
        </row>
        <row r="83">
          <cell r="F83" t="str">
            <v>Rohit Deshmukh</v>
          </cell>
          <cell r="K83" t="str">
            <v>Cyber Security &amp; Networking</v>
          </cell>
          <cell r="O83">
            <v>80000</v>
          </cell>
          <cell r="P83">
            <v>0</v>
          </cell>
          <cell r="Q83">
            <v>0</v>
          </cell>
          <cell r="Z83" t="str">
            <v>S2</v>
          </cell>
        </row>
        <row r="84">
          <cell r="F84" t="str">
            <v>Rohit Deshmukh</v>
          </cell>
          <cell r="K84" t="str">
            <v>Cyber Security &amp; Networking</v>
          </cell>
          <cell r="O84">
            <v>748050</v>
          </cell>
          <cell r="P84">
            <v>114350</v>
          </cell>
          <cell r="Q84">
            <v>0</v>
          </cell>
          <cell r="Z84" t="str">
            <v>S2</v>
          </cell>
        </row>
        <row r="85">
          <cell r="F85" t="str">
            <v>Rohit Deshmukh</v>
          </cell>
          <cell r="K85" t="str">
            <v>Cyber Security &amp; Networking</v>
          </cell>
          <cell r="O85">
            <v>2159406.77</v>
          </cell>
          <cell r="P85">
            <v>126467.32</v>
          </cell>
          <cell r="Q85">
            <v>0</v>
          </cell>
          <cell r="Z85" t="str">
            <v>S2</v>
          </cell>
        </row>
        <row r="86">
          <cell r="F86" t="str">
            <v>Rohit Deshmukh</v>
          </cell>
          <cell r="K86" t="str">
            <v>Cyber Security &amp; Networking</v>
          </cell>
          <cell r="O86">
            <v>455169</v>
          </cell>
          <cell r="P86">
            <v>30064</v>
          </cell>
          <cell r="Q86">
            <v>36644</v>
          </cell>
          <cell r="Z86" t="str">
            <v>S2</v>
          </cell>
        </row>
        <row r="87">
          <cell r="F87" t="str">
            <v>Rohit Deshmukh</v>
          </cell>
          <cell r="K87" t="str">
            <v>Cyber Security &amp; Networking</v>
          </cell>
          <cell r="O87">
            <v>448626.86</v>
          </cell>
          <cell r="P87">
            <v>67106.13</v>
          </cell>
          <cell r="Q87">
            <v>0</v>
          </cell>
          <cell r="Z87" t="str">
            <v>S2</v>
          </cell>
        </row>
        <row r="88">
          <cell r="F88" t="str">
            <v>Jimesh Shah</v>
          </cell>
          <cell r="K88" t="str">
            <v>Cyber Security &amp; Networking</v>
          </cell>
          <cell r="O88">
            <v>92000</v>
          </cell>
          <cell r="P88">
            <v>7000</v>
          </cell>
          <cell r="Q88">
            <v>7000</v>
          </cell>
          <cell r="Z88" t="str">
            <v>S2</v>
          </cell>
        </row>
        <row r="89">
          <cell r="F89" t="str">
            <v>Sagar TR</v>
          </cell>
          <cell r="K89" t="str">
            <v>Cyber Security &amp; Networking</v>
          </cell>
          <cell r="O89">
            <v>31000</v>
          </cell>
          <cell r="P89">
            <v>4000</v>
          </cell>
          <cell r="Q89">
            <v>4000</v>
          </cell>
          <cell r="Z89" t="str">
            <v>South</v>
          </cell>
        </row>
        <row r="90">
          <cell r="F90" t="str">
            <v>Sagar TR</v>
          </cell>
          <cell r="K90" t="str">
            <v>Cyber Security &amp; Networking</v>
          </cell>
          <cell r="O90">
            <v>6349</v>
          </cell>
          <cell r="P90">
            <v>1835</v>
          </cell>
          <cell r="Q90">
            <v>1835</v>
          </cell>
          <cell r="Z90" t="str">
            <v>South</v>
          </cell>
        </row>
        <row r="91">
          <cell r="F91" t="str">
            <v>Sagar TR</v>
          </cell>
          <cell r="K91" t="str">
            <v>Cyber Security &amp; Networking</v>
          </cell>
          <cell r="O91">
            <v>11800</v>
          </cell>
          <cell r="P91">
            <v>1920</v>
          </cell>
          <cell r="Q91">
            <v>0</v>
          </cell>
          <cell r="Z91" t="str">
            <v>South</v>
          </cell>
        </row>
        <row r="92">
          <cell r="F92" t="str">
            <v>Sagar TR</v>
          </cell>
          <cell r="K92" t="str">
            <v>Cyber Security &amp; Networking</v>
          </cell>
          <cell r="O92">
            <v>23112</v>
          </cell>
          <cell r="P92">
            <v>6480</v>
          </cell>
          <cell r="Q92">
            <v>0</v>
          </cell>
          <cell r="Z92" t="str">
            <v>South</v>
          </cell>
        </row>
        <row r="93">
          <cell r="F93" t="str">
            <v>Shaik Khadhar</v>
          </cell>
          <cell r="K93" t="str">
            <v>Cyber Security &amp; Networking</v>
          </cell>
          <cell r="O93">
            <v>1440000</v>
          </cell>
          <cell r="P93">
            <v>553707</v>
          </cell>
          <cell r="Q93">
            <v>551728.04</v>
          </cell>
          <cell r="Z93" t="str">
            <v>South</v>
          </cell>
        </row>
        <row r="94">
          <cell r="F94" t="str">
            <v>Shubhangi Srinivasan</v>
          </cell>
          <cell r="K94" t="str">
            <v>Cyber Security &amp; Networking</v>
          </cell>
          <cell r="O94">
            <v>399625</v>
          </cell>
          <cell r="P94">
            <v>19980</v>
          </cell>
          <cell r="Q94">
            <v>19980.099999999999</v>
          </cell>
          <cell r="Z94" t="str">
            <v>GB</v>
          </cell>
        </row>
        <row r="95">
          <cell r="F95" t="str">
            <v>Shubhangi Srinivasan</v>
          </cell>
          <cell r="K95" t="str">
            <v>Cyber Security &amp; Networking</v>
          </cell>
          <cell r="O95">
            <v>8600000</v>
          </cell>
          <cell r="P95">
            <v>3152788.32</v>
          </cell>
          <cell r="Q95">
            <v>0</v>
          </cell>
          <cell r="Z95" t="str">
            <v>GB</v>
          </cell>
        </row>
        <row r="96">
          <cell r="F96" t="str">
            <v>Shubhangi Srinivasan</v>
          </cell>
          <cell r="K96" t="str">
            <v>Cyber Security &amp; Networking</v>
          </cell>
          <cell r="O96">
            <v>112500</v>
          </cell>
          <cell r="P96">
            <v>4580</v>
          </cell>
          <cell r="Q96">
            <v>40022.559999999998</v>
          </cell>
          <cell r="Z96" t="str">
            <v>GB</v>
          </cell>
        </row>
        <row r="97">
          <cell r="F97" t="str">
            <v>Tasneem K</v>
          </cell>
          <cell r="K97" t="str">
            <v>Cyber Security &amp; Networking</v>
          </cell>
          <cell r="O97">
            <v>16900000</v>
          </cell>
          <cell r="P97">
            <v>400000</v>
          </cell>
          <cell r="Q97">
            <v>0</v>
          </cell>
          <cell r="Z97" t="str">
            <v>S1</v>
          </cell>
        </row>
        <row r="98">
          <cell r="F98" t="str">
            <v>Rohit Deshmukh</v>
          </cell>
          <cell r="K98" t="str">
            <v>CSG (EndPoint)</v>
          </cell>
          <cell r="O98">
            <v>1690000</v>
          </cell>
          <cell r="P98">
            <v>62500</v>
          </cell>
          <cell r="Q98">
            <v>97500</v>
          </cell>
          <cell r="Z98" t="str">
            <v>S2</v>
          </cell>
        </row>
        <row r="99">
          <cell r="F99" t="str">
            <v>Rohit Deshmukh</v>
          </cell>
          <cell r="K99" t="str">
            <v>CSG (EndPoint)</v>
          </cell>
          <cell r="O99">
            <v>800000</v>
          </cell>
          <cell r="P99">
            <v>45000</v>
          </cell>
          <cell r="Q99">
            <v>45000</v>
          </cell>
          <cell r="Z99" t="str">
            <v>S2</v>
          </cell>
        </row>
        <row r="100">
          <cell r="F100" t="str">
            <v>Sankeerth Bhargav</v>
          </cell>
          <cell r="K100" t="str">
            <v>CSG (EndPoint)</v>
          </cell>
          <cell r="O100">
            <v>667800</v>
          </cell>
          <cell r="P100">
            <v>31800</v>
          </cell>
          <cell r="Q100">
            <v>31800</v>
          </cell>
          <cell r="Z100" t="str">
            <v>S2</v>
          </cell>
        </row>
        <row r="101">
          <cell r="F101" t="str">
            <v>Sankeerth Bhargav</v>
          </cell>
          <cell r="K101" t="str">
            <v>CSG (EndPoint)</v>
          </cell>
          <cell r="O101">
            <v>539325</v>
          </cell>
          <cell r="P101">
            <v>63948</v>
          </cell>
          <cell r="Q101">
            <v>49114.86</v>
          </cell>
          <cell r="Z101" t="str">
            <v>S2</v>
          </cell>
        </row>
        <row r="102">
          <cell r="F102" t="str">
            <v>Shaik Khadhar</v>
          </cell>
          <cell r="K102" t="str">
            <v>CSG (EndPoint)</v>
          </cell>
          <cell r="O102">
            <v>600000</v>
          </cell>
          <cell r="P102">
            <v>8800</v>
          </cell>
          <cell r="Q102">
            <v>8800</v>
          </cell>
          <cell r="Z102" t="str">
            <v>South</v>
          </cell>
        </row>
        <row r="104">
          <cell r="F104" t="str">
            <v>Pratik Kadam</v>
          </cell>
          <cell r="K104" t="str">
            <v>CSG (EndPoint)</v>
          </cell>
          <cell r="O104">
            <v>3787375</v>
          </cell>
          <cell r="P104">
            <v>500000</v>
          </cell>
          <cell r="Q104">
            <v>0</v>
          </cell>
          <cell r="Z104" t="str">
            <v>S1</v>
          </cell>
        </row>
        <row r="105">
          <cell r="F105" t="str">
            <v>Pratik Kadam</v>
          </cell>
          <cell r="K105" t="str">
            <v>CSG (EndPoint)</v>
          </cell>
          <cell r="O105">
            <v>87000</v>
          </cell>
          <cell r="P105">
            <v>22500</v>
          </cell>
          <cell r="Q105">
            <v>22500</v>
          </cell>
          <cell r="Z105" t="str">
            <v>S1</v>
          </cell>
        </row>
        <row r="106">
          <cell r="F106" t="str">
            <v>Pratik Kadam</v>
          </cell>
          <cell r="K106" t="str">
            <v>CSG (EndPoint)</v>
          </cell>
          <cell r="O106">
            <v>132500</v>
          </cell>
          <cell r="P106">
            <v>25000</v>
          </cell>
          <cell r="Q106">
            <v>25000</v>
          </cell>
          <cell r="Z106" t="str">
            <v>S1</v>
          </cell>
        </row>
        <row r="107">
          <cell r="F107" t="str">
            <v>Jay Rushi</v>
          </cell>
          <cell r="K107" t="str">
            <v>CSG (EndPoint)</v>
          </cell>
          <cell r="O107">
            <v>1700</v>
          </cell>
          <cell r="P107">
            <v>200</v>
          </cell>
          <cell r="Q107">
            <v>1800</v>
          </cell>
          <cell r="Z107" t="str">
            <v>GB</v>
          </cell>
        </row>
        <row r="108">
          <cell r="F108" t="str">
            <v>Jay Rushi</v>
          </cell>
          <cell r="K108" t="str">
            <v>CSG (EndPoint)</v>
          </cell>
          <cell r="O108">
            <v>39000</v>
          </cell>
          <cell r="P108">
            <v>2000</v>
          </cell>
          <cell r="Q108">
            <v>2000</v>
          </cell>
          <cell r="Z108" t="str">
            <v>GB</v>
          </cell>
        </row>
        <row r="109">
          <cell r="F109" t="str">
            <v>Jay Rushi</v>
          </cell>
          <cell r="K109" t="str">
            <v>CSG (EndPoint)</v>
          </cell>
          <cell r="O109">
            <v>167954</v>
          </cell>
          <cell r="P109">
            <v>6000</v>
          </cell>
          <cell r="Q109">
            <v>0</v>
          </cell>
          <cell r="Z109" t="str">
            <v>GB</v>
          </cell>
        </row>
        <row r="110">
          <cell r="F110" t="str">
            <v>Jay Rushi</v>
          </cell>
          <cell r="K110" t="str">
            <v>CSG (EndPoint)</v>
          </cell>
          <cell r="O110">
            <v>2519744</v>
          </cell>
          <cell r="P110">
            <v>102864</v>
          </cell>
          <cell r="Q110">
            <v>0</v>
          </cell>
          <cell r="Z110" t="str">
            <v>GB</v>
          </cell>
        </row>
        <row r="111">
          <cell r="F111" t="str">
            <v>Varunkumar Mishra</v>
          </cell>
          <cell r="K111" t="str">
            <v>CSG (EndPoint)</v>
          </cell>
          <cell r="O111">
            <v>210638</v>
          </cell>
          <cell r="P111">
            <v>8638</v>
          </cell>
          <cell r="Q111">
            <v>8638</v>
          </cell>
          <cell r="Z111" t="str">
            <v>GB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  <row r="25">
          <cell r="A25" t="str">
            <v>BU wise Plan</v>
          </cell>
        </row>
        <row r="26">
          <cell r="A26" t="str">
            <v>Sr.No</v>
          </cell>
          <cell r="C26" t="str">
            <v>Estimated Revenue in Crores</v>
          </cell>
        </row>
        <row r="27">
          <cell r="A27">
            <v>1</v>
          </cell>
          <cell r="C27">
            <v>40</v>
          </cell>
        </row>
        <row r="28">
          <cell r="A28">
            <v>2</v>
          </cell>
          <cell r="C28">
            <v>24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C8">
            <v>45.5</v>
          </cell>
          <cell r="D8">
            <v>40</v>
          </cell>
          <cell r="H8">
            <v>10</v>
          </cell>
          <cell r="I8">
            <v>15</v>
          </cell>
        </row>
        <row r="9">
          <cell r="C9">
            <v>5</v>
          </cell>
          <cell r="D9">
            <v>4</v>
          </cell>
          <cell r="H9">
            <v>1.1499999999999999</v>
          </cell>
          <cell r="I9">
            <v>1.65</v>
          </cell>
        </row>
        <row r="12">
          <cell r="C12" t="str">
            <v>Quota Split  H1 (In Crs.)</v>
          </cell>
          <cell r="H12" t="str">
            <v>Quota Split  H1 (In Crs.)</v>
          </cell>
        </row>
        <row r="13">
          <cell r="A13" t="str">
            <v>Name</v>
          </cell>
          <cell r="C13" t="str">
            <v>Q1</v>
          </cell>
          <cell r="D13" t="str">
            <v>Q2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C14">
            <v>2.5</v>
          </cell>
          <cell r="D14">
            <v>5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C15">
            <v>2.5</v>
          </cell>
          <cell r="D15">
            <v>5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C16">
            <v>0.5</v>
          </cell>
          <cell r="D16">
            <v>3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C17">
            <v>5.5</v>
          </cell>
          <cell r="D17">
            <v>13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  <cell r="C20" t="str">
            <v>Estimated Revenue in Crores</v>
          </cell>
          <cell r="D20" t="str">
            <v>MGMT Plan in Crores</v>
          </cell>
        </row>
        <row r="21">
          <cell r="C21">
            <v>10</v>
          </cell>
          <cell r="D21">
            <v>8.791208791208792</v>
          </cell>
        </row>
        <row r="22">
          <cell r="C22">
            <v>20</v>
          </cell>
          <cell r="D22">
            <v>17.582417582417584</v>
          </cell>
        </row>
        <row r="23">
          <cell r="C23">
            <v>5</v>
          </cell>
          <cell r="D23">
            <v>4.395604395604396</v>
          </cell>
        </row>
        <row r="24">
          <cell r="C24">
            <v>2</v>
          </cell>
          <cell r="D24">
            <v>1.7582417582417584</v>
          </cell>
        </row>
        <row r="25">
          <cell r="C25">
            <v>0.5</v>
          </cell>
          <cell r="D25">
            <v>0.43956043956043961</v>
          </cell>
        </row>
        <row r="26">
          <cell r="C26">
            <v>8</v>
          </cell>
          <cell r="D26">
            <v>7.0329670329670337</v>
          </cell>
        </row>
        <row r="27">
          <cell r="C27">
            <v>45.5</v>
          </cell>
          <cell r="D27">
            <v>40.000000000000007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250000000</v>
          </cell>
        </row>
        <row r="12">
          <cell r="D12">
            <v>350000000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XFD66"/>
  <sheetViews>
    <sheetView zoomScale="85" zoomScaleNormal="85" workbookViewId="0">
      <pane ySplit="1" topLeftCell="A2" activePane="bottomLeft" state="frozen"/>
      <selection pane="bottomLeft" activeCell="N57" sqref="N57"/>
    </sheetView>
  </sheetViews>
  <sheetFormatPr defaultColWidth="0" defaultRowHeight="14.4" x14ac:dyDescent="0.3"/>
  <cols>
    <col min="1" max="1" width="8.88671875" customWidth="1"/>
    <col min="2" max="2" width="24.5546875" bestFit="1" customWidth="1"/>
    <col min="3" max="4" width="8.88671875" customWidth="1"/>
    <col min="5" max="5" width="17" bestFit="1" customWidth="1"/>
    <col min="6" max="7" width="8.88671875" customWidth="1"/>
    <col min="8" max="8" width="14" style="26" customWidth="1"/>
    <col min="9" max="13" width="8.88671875" customWidth="1"/>
    <col min="14" max="14" width="12.33203125" customWidth="1"/>
    <col min="15" max="20" width="8.88671875" customWidth="1"/>
    <col min="21" max="21" width="10.77734375" customWidth="1"/>
    <col min="22" max="27" width="0" hidden="1" customWidth="1"/>
    <col min="28" max="16384" width="8.88671875" hidden="1"/>
  </cols>
  <sheetData>
    <row r="1" spans="1:26" ht="27.75" customHeight="1" x14ac:dyDescent="0.3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spans="1:26" ht="36" customHeight="1" thickBo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77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 x14ac:dyDescent="0.35">
      <c r="A3" s="65" t="s">
        <v>27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x14ac:dyDescent="0.3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SUMIF('[3]S1 '!$B:$B,"Tasneem khatri",'[3]S1 '!$H:$H)</f>
        <v>35.075000000000003</v>
      </c>
      <c r="G4" s="31">
        <f>SUMIF('[1]Opportunity Pipeline'!$F:$F, "Tasneem k",'[1]Opportunity Pipeline'!$O:$O)/10^7</f>
        <v>15.920587479000002</v>
      </c>
      <c r="H4" s="32">
        <f>IFERROR(G4/F4,"-")</f>
        <v>0.45390128236635779</v>
      </c>
      <c r="I4" s="30">
        <f>SUMIF('[3]S1 '!$B:$B,"Tasneem khatri",'[3]S1 '!$I:$I)</f>
        <v>95.275000000000006</v>
      </c>
      <c r="J4" s="31">
        <f>SUMIF('[2]Opportunity Pipeline '!$F:$F,"Tasneem K",'[2]Opportunity Pipeline '!$O:$O)/10^7</f>
        <v>1.8541540129999998</v>
      </c>
      <c r="K4" s="32">
        <f>IFERROR(J4/I4,"-")</f>
        <v>1.9461075969561793E-2</v>
      </c>
      <c r="L4" s="33">
        <f>'[4]Tasneem- TARGET LETTER - 26-27'!$D$9/10^7</f>
        <v>130.35</v>
      </c>
      <c r="M4" s="31">
        <f>SUM(G4,J4)</f>
        <v>17.774741492</v>
      </c>
      <c r="N4" s="32">
        <f>IFERROR(M4/L4,"-")</f>
        <v>0.13636165317990029</v>
      </c>
      <c r="O4" s="27">
        <f>'[4]Tasneem- TARGET LETTER - 26-27'!$D$16/10^7</f>
        <v>129.65</v>
      </c>
      <c r="P4" s="27" t="s">
        <v>117</v>
      </c>
      <c r="Q4" s="32" t="str">
        <f>IFERROR(P4/O4,"-")</f>
        <v>-</v>
      </c>
      <c r="R4" s="33">
        <f>SUM(L4,O4)</f>
        <v>260</v>
      </c>
      <c r="S4" s="33">
        <f>SUM(M4,P4)</f>
        <v>17.774741492</v>
      </c>
      <c r="T4" s="32">
        <f>IFERROR(S4/R4,"-")</f>
        <v>6.8364390353846158E-2</v>
      </c>
      <c r="U4" s="27">
        <f>COUNTIF('[1]Opportunity Pipeline'!$F:$F,"Tasneem K")+ COUNTIF('[2]Opportunity Pipeline '!$F:$F,"Tasneem K")</f>
        <v>11</v>
      </c>
    </row>
    <row r="5" spans="1:26" x14ac:dyDescent="0.3">
      <c r="A5">
        <v>2</v>
      </c>
      <c r="B5" s="3" t="s">
        <v>32</v>
      </c>
      <c r="C5" s="6" t="s">
        <v>29</v>
      </c>
      <c r="D5" s="7" t="s">
        <v>30</v>
      </c>
      <c r="E5" s="8" t="s">
        <v>31</v>
      </c>
      <c r="F5" s="30">
        <f>SUMIF('[3]S1 '!$B:$B,"Riya Roshyara",'[3]S1 '!$H:$H)</f>
        <v>20</v>
      </c>
      <c r="G5" s="31">
        <f>SUMIF('[1]Opportunity Pipeline'!$F:$F, "Riya Bhatt",'[1]Opportunity Pipeline'!$O:$O)/10^7</f>
        <v>0.57979999999999998</v>
      </c>
      <c r="H5" s="32">
        <f t="shared" ref="H5:H9" si="0">IFERROR(G5/F5,"-")</f>
        <v>2.8989999999999998E-2</v>
      </c>
      <c r="I5" s="30">
        <f>SUMIF('[3]S1 '!$B:$B,"Riya Roshyara",'[3]S1 '!$I:$I)</f>
        <v>38</v>
      </c>
      <c r="J5" s="31">
        <f>SUMIF('[2]Opportunity Pipeline '!$F:$F,"Riya Bhatt",'[2]Opportunity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117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COUNTIF('[1]Opportunity Pipeline'!$F:$F,"Riya Bhatt")+ COUNTIF('[2]Opportunity Pipeline '!$F:$F,"Riya Bhatt")</f>
        <v>2</v>
      </c>
    </row>
    <row r="6" spans="1:26" x14ac:dyDescent="0.3">
      <c r="A6">
        <v>3</v>
      </c>
      <c r="B6" s="3" t="s">
        <v>33</v>
      </c>
      <c r="C6" s="6" t="s">
        <v>29</v>
      </c>
      <c r="D6" s="7" t="s">
        <v>30</v>
      </c>
      <c r="E6" s="8" t="s">
        <v>31</v>
      </c>
      <c r="F6" s="30">
        <f>SUMIF('[3]S1 '!$B:$B,"Pratik Kadam",'[3]S1 '!$H:$H)</f>
        <v>3</v>
      </c>
      <c r="G6" s="31">
        <f>SUMIF('[1]Opportunity Pipeline'!$F:$F, "Pratik Kadam",'[1]Opportunity Pipeline'!$O:$O)/10^7</f>
        <v>1.4004570359999999</v>
      </c>
      <c r="H6" s="32">
        <f t="shared" si="0"/>
        <v>0.46681901199999998</v>
      </c>
      <c r="I6" s="30">
        <f>SUMIF('[3]S1 '!$B:$B,"Pratik Kadam",'[3]S1 '!$I:$I)</f>
        <v>2</v>
      </c>
      <c r="J6" s="31">
        <f>SUMIF('[2]Opportunity Pipeline '!$F:$F,"Pratik Kadam",'[2]Opportunity Pipeline '!$O:$O)/10^7</f>
        <v>0.43230241500000005</v>
      </c>
      <c r="K6" s="32">
        <f t="shared" si="1"/>
        <v>0.21615120750000003</v>
      </c>
      <c r="L6" s="27">
        <f>'[6]Pratik- TARGET LETTER - 26-27'!$D$9/10^7</f>
        <v>5</v>
      </c>
      <c r="M6" s="31">
        <f t="shared" si="2"/>
        <v>1.832759451</v>
      </c>
      <c r="N6" s="32">
        <f t="shared" si="3"/>
        <v>0.36655189020000001</v>
      </c>
      <c r="O6" s="27">
        <f>'[6]Pratik- TARGET LETTER - 26-27'!$D$10/10^7</f>
        <v>5</v>
      </c>
      <c r="P6" s="27" t="s">
        <v>117</v>
      </c>
      <c r="Q6" s="32" t="str">
        <f t="shared" si="4"/>
        <v>-</v>
      </c>
      <c r="R6" s="33">
        <f t="shared" si="5"/>
        <v>10</v>
      </c>
      <c r="S6" s="33">
        <f t="shared" si="6"/>
        <v>1.832759451</v>
      </c>
      <c r="T6" s="32">
        <f t="shared" si="7"/>
        <v>0.1832759451</v>
      </c>
      <c r="U6" s="27">
        <f>COUNTIF('[1]Opportunity Pipeline'!$F:$F,"Pratik Kadam")+ COUNTIF('[2]Opportunity Pipeline '!$F:$F,"Pratik Kadam")</f>
        <v>44</v>
      </c>
    </row>
    <row r="7" spans="1:26" x14ac:dyDescent="0.3">
      <c r="A7" s="24">
        <v>4</v>
      </c>
      <c r="B7" s="20" t="s">
        <v>34</v>
      </c>
      <c r="C7" s="21" t="s">
        <v>29</v>
      </c>
      <c r="D7" s="22" t="s">
        <v>30</v>
      </c>
      <c r="E7" s="23" t="s">
        <v>35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SUMIF('[2]Opportunity Pipeline '!$F:$F,"Prashant Ddugu",'[2]Opportunity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117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COUNTIF('[1]Opportunity Pipeline'!$F:$F,"Prashant Ddugu")+ COUNTIF('[2]Opportunity Pipeline '!$F:$F,"Prashant Ddugu")</f>
        <v>0</v>
      </c>
    </row>
    <row r="8" spans="1:26" x14ac:dyDescent="0.3">
      <c r="A8">
        <v>5</v>
      </c>
      <c r="B8" s="3" t="s">
        <v>36</v>
      </c>
      <c r="C8" s="6" t="s">
        <v>29</v>
      </c>
      <c r="D8" s="7" t="s">
        <v>30</v>
      </c>
      <c r="E8" s="8" t="s">
        <v>31</v>
      </c>
      <c r="F8" s="30">
        <f>SUMIF('[3]S1 '!$B:$B,"Chirag Palande",'[3]S1 '!$H:$H)</f>
        <v>13</v>
      </c>
      <c r="G8" s="31">
        <f>SUMIF('[1]Opportunity Pipeline'!$F:$F, "Chirag Palande",'[1]Opportunity Pipeline'!$O:$O)/10^7</f>
        <v>0.12866739999999999</v>
      </c>
      <c r="H8" s="32">
        <f t="shared" si="0"/>
        <v>9.8974923076923065E-3</v>
      </c>
      <c r="I8" s="30">
        <f>SUMIF('[3]S1 '!$B:$B,"Chirag Palande",'[3]S1 '!$I:$I)</f>
        <v>10</v>
      </c>
      <c r="J8" s="31">
        <f>SUMIF('[2]Opportunity Pipeline '!$F:$F,"Chirag Palande",'[2]Opportunity Pipeline '!$O:$O)/10^7</f>
        <v>10.880100000000001</v>
      </c>
      <c r="K8" s="32">
        <f t="shared" si="1"/>
        <v>1.0880100000000001</v>
      </c>
      <c r="L8" s="27">
        <f>'[8]Chirag- TARGET LETTER - 26-27'!$D$9/10^7</f>
        <v>27.5</v>
      </c>
      <c r="M8" s="31">
        <f t="shared" si="2"/>
        <v>11.0087674</v>
      </c>
      <c r="N8" s="32">
        <f t="shared" si="3"/>
        <v>0.40031881454545454</v>
      </c>
      <c r="O8" s="27">
        <f>'[8]Chirag- TARGET LETTER - 26-27'!$D$14/10^7</f>
        <v>32.5</v>
      </c>
      <c r="P8" s="27" t="s">
        <v>117</v>
      </c>
      <c r="Q8" s="32" t="str">
        <f t="shared" si="4"/>
        <v>-</v>
      </c>
      <c r="R8" s="33">
        <f t="shared" si="5"/>
        <v>60</v>
      </c>
      <c r="S8" s="33">
        <f t="shared" si="6"/>
        <v>11.0087674</v>
      </c>
      <c r="T8" s="32">
        <f t="shared" si="7"/>
        <v>0.18347945666666668</v>
      </c>
      <c r="U8" s="27">
        <f>COUNTIF('[1]Opportunity Pipeline'!$F:$F,"Chirag Palande")+ COUNTIF('[2]Opportunity Pipeline '!$F:$F,"Chirag Palande")</f>
        <v>8</v>
      </c>
    </row>
    <row r="9" spans="1:26" x14ac:dyDescent="0.3">
      <c r="A9">
        <v>6</v>
      </c>
      <c r="B9" s="3" t="s">
        <v>37</v>
      </c>
      <c r="C9" s="6" t="s">
        <v>29</v>
      </c>
      <c r="D9" s="7" t="s">
        <v>30</v>
      </c>
      <c r="E9" s="8" t="s">
        <v>31</v>
      </c>
      <c r="F9" s="30">
        <f>SUMIF('[3]S1 '!$B:$B,"Richa Tiwari",'[3]S1 '!$H:$H)</f>
        <v>8.2999999999999989</v>
      </c>
      <c r="G9" s="31">
        <f>SUMIF('[1]Opportunity Pipeline'!$F:$F, "RICHA TIWARI",'[1]Opportunity Pipeline'!$O:$O)/10^7</f>
        <v>18.887980778000003</v>
      </c>
      <c r="H9" s="32">
        <f t="shared" si="0"/>
        <v>2.275660334698796</v>
      </c>
      <c r="I9" s="30">
        <f>SUMIF('[3]S1 '!$B:$B,"Richa Tiwari",'[3]S1 '!$I:$I)</f>
        <v>16.949999999999996</v>
      </c>
      <c r="J9" s="31">
        <f>SUMIF('[2]Opportunity Pipeline '!$F:$F,"Richa Tiwari",'[2]Opportunity Pipeline '!$O:$O)/10^7</f>
        <v>4.6220999999999997</v>
      </c>
      <c r="K9" s="32">
        <f t="shared" si="1"/>
        <v>0.2726902654867257</v>
      </c>
      <c r="L9" s="27">
        <f>'[9]Richa- TARGET LETTER - 26-27'!$D$9/10^7</f>
        <v>25</v>
      </c>
      <c r="M9" s="31">
        <f t="shared" si="2"/>
        <v>23.510080778000003</v>
      </c>
      <c r="N9" s="32">
        <f t="shared" si="3"/>
        <v>0.94040323112000013</v>
      </c>
      <c r="O9" s="27">
        <f>'[9]Richa- TARGET LETTER - 26-27'!$D$12/10^7</f>
        <v>35</v>
      </c>
      <c r="P9" s="27" t="s">
        <v>117</v>
      </c>
      <c r="Q9" s="32" t="str">
        <f t="shared" si="4"/>
        <v>-</v>
      </c>
      <c r="R9" s="33">
        <f t="shared" si="5"/>
        <v>60</v>
      </c>
      <c r="S9" s="33">
        <f t="shared" si="6"/>
        <v>23.510080778000003</v>
      </c>
      <c r="T9" s="32">
        <f t="shared" si="7"/>
        <v>0.39183467963333335</v>
      </c>
      <c r="U9" s="27">
        <f>COUNTIF('[1]Opportunity Pipeline'!$F:$F,"Richa Tiwari")+ COUNTIF('[2]Opportunity Pipeline '!$F:$F,"Richa Tiwari")</f>
        <v>59</v>
      </c>
    </row>
    <row r="10" spans="1:26" s="43" customFormat="1" x14ac:dyDescent="0.3">
      <c r="B10" s="5" t="s">
        <v>38</v>
      </c>
      <c r="F10" s="44">
        <f>SUM(F4:F9)</f>
        <v>108.175</v>
      </c>
      <c r="G10" s="44">
        <f>SUM(G4,G5,G6,G8,G9)</f>
        <v>36.917492693</v>
      </c>
      <c r="H10" s="45">
        <f>G10/F10</f>
        <v>0.34127564310607811</v>
      </c>
      <c r="I10" s="44">
        <f t="shared" ref="I10:U10" si="8">SUM(I4:I9)</f>
        <v>194.17499999999998</v>
      </c>
      <c r="J10" s="44">
        <f>SUM(J4,J5,J6,J8,J9)</f>
        <v>17.788656427999999</v>
      </c>
      <c r="K10" s="45">
        <f>J10/I10</f>
        <v>9.1611466089867394E-2</v>
      </c>
      <c r="L10" s="44">
        <f t="shared" si="8"/>
        <v>307.35000000000002</v>
      </c>
      <c r="M10" s="44">
        <f>SUM(M4,M5,M6,M8,M9)</f>
        <v>54.706149121000003</v>
      </c>
      <c r="N10" s="45">
        <f>M10/L10</f>
        <v>0.17799300185781683</v>
      </c>
      <c r="O10" s="44">
        <f t="shared" si="8"/>
        <v>352.65</v>
      </c>
      <c r="P10" s="44">
        <f t="shared" si="8"/>
        <v>0</v>
      </c>
      <c r="Q10" s="45">
        <f>P10/O10</f>
        <v>0</v>
      </c>
      <c r="R10" s="44">
        <f t="shared" si="8"/>
        <v>660</v>
      </c>
      <c r="S10" s="44">
        <f>SUM(S4,S5,S6,S8,S9)</f>
        <v>54.706149121000003</v>
      </c>
      <c r="T10" s="45">
        <f>S10/R10</f>
        <v>8.2888104728787881E-2</v>
      </c>
      <c r="U10" s="46">
        <f t="shared" si="8"/>
        <v>124</v>
      </c>
    </row>
    <row r="11" spans="1:26" ht="15" thickBot="1" x14ac:dyDescent="0.35"/>
    <row r="12" spans="1:26" ht="15" thickBot="1" x14ac:dyDescent="0.35">
      <c r="A12" s="65" t="s">
        <v>39</v>
      </c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spans="1:26" x14ac:dyDescent="0.3">
      <c r="A13">
        <v>1</v>
      </c>
      <c r="B13" s="3" t="s">
        <v>40</v>
      </c>
      <c r="C13" s="6" t="s">
        <v>41</v>
      </c>
      <c r="D13" s="7" t="s">
        <v>30</v>
      </c>
      <c r="E13" s="8" t="s">
        <v>31</v>
      </c>
      <c r="F13" s="30">
        <f>SUMIF('[3]S2 '!$B$1:$B$45,"Rohit",'[3]S2 '!$G$1:$G$45)</f>
        <v>29</v>
      </c>
      <c r="G13" s="31">
        <f>SUMIF('[1]Opportunity Pipeline'!$F:$F, "Rohit Deshmukh",'[1]Opportunity Pipeline'!$O:$O)/10^7</f>
        <v>2.2971171500000001</v>
      </c>
      <c r="H13" s="32">
        <f t="shared" ref="H13:H18" si="9">IFERROR(G13/F13,"-")</f>
        <v>7.9210936206896551E-2</v>
      </c>
      <c r="I13" s="30">
        <f>SUMIF('[3]S2 '!$B$1:$B$45,"Rohit",'[3]S2 '!$H$1:$H$45)</f>
        <v>53</v>
      </c>
      <c r="J13" s="31">
        <f>SUMIF('[2]Opportunity Pipeline '!$F:$F,"Rohit Deshmukh",'[2]Opportunity Pipeline '!$O:$O)/10^7</f>
        <v>30.728125262999999</v>
      </c>
      <c r="K13" s="32">
        <f>IFERROR(J13/I13,"-")</f>
        <v>0.57977594835849056</v>
      </c>
      <c r="L13" s="33">
        <f>'[10]Rohit- TARGET LETTER - 26-27'!$D$9/10^7</f>
        <v>76</v>
      </c>
      <c r="M13" s="31">
        <f t="shared" ref="M13:M18" si="10">SUM(G13,J13)</f>
        <v>33.025242413000001</v>
      </c>
      <c r="N13" s="32">
        <f t="shared" ref="N13:N18" si="11">IFERROR(M13/L13,"-")</f>
        <v>0.43454266332894737</v>
      </c>
      <c r="O13" s="27">
        <f>'[10]Rohit- TARGET LETTER - 26-27'!$D$12/10^7</f>
        <v>59</v>
      </c>
      <c r="P13" s="27" t="s">
        <v>117</v>
      </c>
      <c r="Q13" s="32" t="str">
        <f t="shared" ref="Q13:Q18" si="12">IFERROR(P13/O13,"-")</f>
        <v>-</v>
      </c>
      <c r="R13" s="33">
        <f>SUM(L13,O13)</f>
        <v>135</v>
      </c>
      <c r="S13" s="33">
        <f>SUM(M13,P13)</f>
        <v>33.025242413000001</v>
      </c>
      <c r="T13" s="32">
        <f t="shared" ref="T13:T18" si="13">IFERROR(S13/R13,"-")</f>
        <v>0.24463142528148149</v>
      </c>
      <c r="U13" s="27">
        <f>COUNTIF('[1]Opportunity Pipeline'!$F:$F,"Rohit Deshmukh")+ COUNTIF('[2]Opportunity Pipeline '!$F:$F,"Rohit Deshmukh")</f>
        <v>18</v>
      </c>
    </row>
    <row r="14" spans="1:26" x14ac:dyDescent="0.3">
      <c r="A14">
        <v>2</v>
      </c>
      <c r="B14" s="3" t="s">
        <v>42</v>
      </c>
      <c r="C14" s="6" t="s">
        <v>41</v>
      </c>
      <c r="D14" s="7" t="s">
        <v>30</v>
      </c>
      <c r="E14" s="8" t="s">
        <v>31</v>
      </c>
      <c r="F14" s="30">
        <f>SUMIF('[3]S2 '!$B$1:$B$45,"Chetna",'[3]S2 '!$G$1:$G$45)</f>
        <v>8</v>
      </c>
      <c r="G14" s="31">
        <f>SUMIF('[1]Opportunity Pipeline'!$F:$F, "Chetna Sharma",'[1]Opportunity Pipeline'!$O:$O)/10^7</f>
        <v>11.771068571999999</v>
      </c>
      <c r="H14" s="32">
        <f t="shared" si="9"/>
        <v>1.4713835714999999</v>
      </c>
      <c r="I14" s="30">
        <f>SUMIF('[3]S2 '!$B$1:$B$45,"Chetna",'[3]S2 '!$H$1:$H$45)</f>
        <v>10</v>
      </c>
      <c r="J14" s="31">
        <f>SUMIF('[2]Opportunity Pipeline '!$F:$F,"Chetna Sharma",'[2]Opportunity Pipeline '!$O:$O)/10^7</f>
        <v>1.1399639309999998</v>
      </c>
      <c r="K14" s="32">
        <f t="shared" ref="K14:L18" si="14">IFERROR(J14/I14,"-")</f>
        <v>0.11399639309999998</v>
      </c>
      <c r="L14" s="27">
        <f>'[11]Chetna- TARGET LETTER - 26-27'!$D$9/10^7</f>
        <v>20</v>
      </c>
      <c r="M14" s="31">
        <f t="shared" si="10"/>
        <v>12.911032502999999</v>
      </c>
      <c r="N14" s="32">
        <f t="shared" si="11"/>
        <v>0.64555162514999997</v>
      </c>
      <c r="O14" s="27">
        <f>'[11]Chetna- TARGET LETTER - 26-27'!$D$17/10^7</f>
        <v>49</v>
      </c>
      <c r="P14" s="27" t="s">
        <v>117</v>
      </c>
      <c r="Q14" s="32" t="str">
        <f t="shared" si="12"/>
        <v>-</v>
      </c>
      <c r="R14" s="33">
        <f t="shared" ref="R14:R18" si="15">SUM(L14,O14)</f>
        <v>69</v>
      </c>
      <c r="S14" s="33">
        <f t="shared" ref="S14:S18" si="16">SUM(M14,P14)</f>
        <v>12.911032502999999</v>
      </c>
      <c r="T14" s="32">
        <f t="shared" si="13"/>
        <v>0.18711641308695651</v>
      </c>
      <c r="U14" s="27">
        <f>COUNTIF('[1]Opportunity Pipeline'!$F:$F,"Chetna Sharma")+ COUNTIF('[2]Opportunity Pipeline '!$F:$F,"Chetna Sharma")</f>
        <v>10</v>
      </c>
    </row>
    <row r="15" spans="1:26" x14ac:dyDescent="0.3">
      <c r="A15">
        <v>3</v>
      </c>
      <c r="B15" s="3" t="s">
        <v>43</v>
      </c>
      <c r="C15" s="6" t="s">
        <v>41</v>
      </c>
      <c r="D15" s="7" t="s">
        <v>30</v>
      </c>
      <c r="E15" s="8" t="s">
        <v>31</v>
      </c>
      <c r="F15" s="30">
        <f>SUMIF('[3]S2 '!$B$1:$B$45,"Sankeerth",'[3]S2 '!$G$1:$G$45)</f>
        <v>2.75</v>
      </c>
      <c r="G15" s="31">
        <f>SUMIF('[1]Opportunity Pipeline'!$F:$F, "Sankeerth Bhargav",'[1]Opportunity Pipeline'!$O:$O)/10^7</f>
        <v>0.21651999999999999</v>
      </c>
      <c r="H15" s="32">
        <f t="shared" si="9"/>
        <v>7.8734545454545446E-2</v>
      </c>
      <c r="I15" s="30">
        <f>SUMIF('[3]S2 '!$B$1:$B$45,"Sankeerth",'[3]S2 '!$H$1:$H$45)</f>
        <v>2.75</v>
      </c>
      <c r="J15" s="31">
        <f>SUMIF('[2]Opportunity Pipeline '!$F:$F,"Sankeerth Bhargav",'[2]Opportunity Pipeline '!$O:$O)/10^7</f>
        <v>3.9555164</v>
      </c>
      <c r="K15" s="32">
        <f t="shared" si="14"/>
        <v>1.4383695999999999</v>
      </c>
      <c r="L15" s="27">
        <f>'[12]Sankeerth TARGET LETTER - 26-27'!$D$9/10^7</f>
        <v>11.75</v>
      </c>
      <c r="M15" s="31">
        <f t="shared" si="10"/>
        <v>4.1720363999999996</v>
      </c>
      <c r="N15" s="32">
        <f t="shared" si="11"/>
        <v>0.35506692765957443</v>
      </c>
      <c r="O15" s="27">
        <f>'[12]Sankeerth TARGET LETTER - 26-27'!$D$15/10^7</f>
        <v>30.25</v>
      </c>
      <c r="P15" s="27" t="s">
        <v>117</v>
      </c>
      <c r="Q15" s="32" t="str">
        <f t="shared" si="12"/>
        <v>-</v>
      </c>
      <c r="R15" s="33">
        <f t="shared" si="15"/>
        <v>42</v>
      </c>
      <c r="S15" s="33">
        <f t="shared" si="16"/>
        <v>4.1720363999999996</v>
      </c>
      <c r="T15" s="32">
        <f t="shared" si="13"/>
        <v>9.9334199999999997E-2</v>
      </c>
      <c r="U15" s="27">
        <f>COUNTIF('[1]Opportunity Pipeline'!$F:$F,"Sankeerth Bhargav")+ COUNTIF('[2]Opportunity Pipeline '!$F:$F,"Sankeerth Bhargav")</f>
        <v>6</v>
      </c>
    </row>
    <row r="16" spans="1:26" x14ac:dyDescent="0.3">
      <c r="A16">
        <v>4</v>
      </c>
      <c r="B16" s="4" t="s">
        <v>44</v>
      </c>
      <c r="C16" s="6" t="s">
        <v>41</v>
      </c>
      <c r="D16" s="7" t="s">
        <v>30</v>
      </c>
      <c r="E16" s="8" t="s">
        <v>31</v>
      </c>
      <c r="F16" s="30">
        <f>SUMIF('[3]S2 '!$B$1:$B$45,"Varsha",'[3]S2 '!$G$1:$G$45)</f>
        <v>7.3000000000000007</v>
      </c>
      <c r="G16" s="31">
        <f>SUMIF('[1]Opportunity Pipeline'!$F:$F, "Varsha Ray",'[1]Opportunity Pipeline'!$O:$O)/10^7</f>
        <v>1.055468973</v>
      </c>
      <c r="H16" s="38">
        <f t="shared" si="9"/>
        <v>0.1445847908219178</v>
      </c>
      <c r="I16" s="30">
        <f>SUMIF('[3]S2 '!$B$1:$B$45,"Varsha",'[3]S2 '!$H$1:$H$45)</f>
        <v>9.8000000000000007</v>
      </c>
      <c r="J16" s="31">
        <f>SUMIF('[2]Opportunity Pipeline '!$F:$F,"Varsha Ray",'[2]Opportunity Pipeline '!$O:$O)/10^7</f>
        <v>0</v>
      </c>
      <c r="K16" s="38">
        <f t="shared" si="14"/>
        <v>0</v>
      </c>
      <c r="L16" s="27" t="str">
        <f t="shared" si="14"/>
        <v>-</v>
      </c>
      <c r="M16" s="31">
        <f t="shared" si="10"/>
        <v>1.055468973</v>
      </c>
      <c r="N16" s="38" t="str">
        <f t="shared" si="11"/>
        <v>-</v>
      </c>
      <c r="O16" s="27" t="str">
        <f t="shared" ref="O16:O18" si="17">IFERROR(N16/M16,"-")</f>
        <v>-</v>
      </c>
      <c r="P16" s="27" t="s">
        <v>117</v>
      </c>
      <c r="Q16" s="38" t="str">
        <f t="shared" si="12"/>
        <v>-</v>
      </c>
      <c r="R16" s="33">
        <f t="shared" si="15"/>
        <v>0</v>
      </c>
      <c r="S16" s="33">
        <f t="shared" si="16"/>
        <v>1.055468973</v>
      </c>
      <c r="T16" s="38" t="str">
        <f t="shared" si="13"/>
        <v>-</v>
      </c>
      <c r="U16" s="27">
        <f>COUNTIF('[1]Opportunity Pipeline'!$F:$F,"Varsha Ray")+ COUNTIF('[2]Opportunity Pipeline '!$F:$F,"Varsha Ray")</f>
        <v>4</v>
      </c>
    </row>
    <row r="17" spans="1:26" x14ac:dyDescent="0.3">
      <c r="A17">
        <v>5</v>
      </c>
      <c r="B17" s="4" t="s">
        <v>45</v>
      </c>
      <c r="C17" s="6" t="s">
        <v>41</v>
      </c>
      <c r="D17" s="7" t="s">
        <v>30</v>
      </c>
      <c r="E17" s="8" t="s">
        <v>31</v>
      </c>
      <c r="F17" s="30">
        <f>SUMIF('[3]S2 '!$B$1:$B$45,"Arpit",'[3]S2 '!$G$1:$G$45)</f>
        <v>6.75</v>
      </c>
      <c r="G17" s="31">
        <f>SUMIF('[1]Opportunity Pipeline'!$F:$F, "Arpit Srivastava",'[1]Opportunity Pipeline'!$O:$O)/10^7</f>
        <v>5.6395832999999992E-2</v>
      </c>
      <c r="H17" s="32">
        <f t="shared" si="9"/>
        <v>8.3549382222222208E-3</v>
      </c>
      <c r="I17" s="30">
        <f>SUMIF('[3]S2 '!$B$1:$B$45,"Arpit",'[3]S2 '!$H$1:$H$45)</f>
        <v>6.75</v>
      </c>
      <c r="J17" s="31">
        <f>SUMIF('[2]Opportunity Pipeline '!$F:$F,"Arpit Srivastava",'[2]Opportunity Pipeline '!$O:$O)/10^7</f>
        <v>0</v>
      </c>
      <c r="K17" s="32">
        <f t="shared" si="14"/>
        <v>0</v>
      </c>
      <c r="L17" s="27" t="str">
        <f t="shared" si="14"/>
        <v>-</v>
      </c>
      <c r="M17" s="31">
        <f t="shared" si="10"/>
        <v>5.6395832999999992E-2</v>
      </c>
      <c r="N17" s="32" t="str">
        <f t="shared" si="11"/>
        <v>-</v>
      </c>
      <c r="O17" s="27" t="str">
        <f t="shared" si="17"/>
        <v>-</v>
      </c>
      <c r="P17" s="27" t="s">
        <v>117</v>
      </c>
      <c r="Q17" s="32" t="str">
        <f t="shared" si="12"/>
        <v>-</v>
      </c>
      <c r="R17" s="33">
        <f t="shared" si="15"/>
        <v>0</v>
      </c>
      <c r="S17" s="33">
        <f t="shared" si="16"/>
        <v>5.6395832999999992E-2</v>
      </c>
      <c r="T17" s="32" t="str">
        <f t="shared" si="13"/>
        <v>-</v>
      </c>
      <c r="U17" s="27">
        <f>COUNTIF('[1]Opportunity Pipeline'!$F:$F,"Arpit Srivastava")+ COUNTIF('[2]Opportunity Pipeline '!$F:$F,"Arpit Srivastava")</f>
        <v>2</v>
      </c>
    </row>
    <row r="18" spans="1:26" x14ac:dyDescent="0.3">
      <c r="A18">
        <v>6</v>
      </c>
      <c r="B18" s="4" t="s">
        <v>46</v>
      </c>
      <c r="C18" s="6" t="s">
        <v>41</v>
      </c>
      <c r="D18" s="7" t="s">
        <v>30</v>
      </c>
      <c r="E18" s="8" t="s">
        <v>31</v>
      </c>
      <c r="F18" s="30">
        <f>SUMIF('[3]S2 '!$B$1:$B$45,"Dennis",'[3]S2 '!$G$1:$G$45)</f>
        <v>1.05</v>
      </c>
      <c r="G18" s="31">
        <f>SUMIF('[1]Opportunity Pipeline'!$F:$F, "Dennis",'[1]Opportunity Pipeline'!$O:$O)/10^7</f>
        <v>0</v>
      </c>
      <c r="H18" s="32">
        <f t="shared" si="9"/>
        <v>0</v>
      </c>
      <c r="I18" s="30">
        <f>SUMIF('[3]S2 '!$B$1:$B$45,"Dennis",'[3]S2 '!$H$1:$H$45)</f>
        <v>1.8499999999999999</v>
      </c>
      <c r="J18" s="31">
        <f>SUMIF('[2]Opportunity Pipeline '!$F:$F,"Dennis",'[2]Opportunity Pipeline '!$O:$O)/10^7</f>
        <v>0</v>
      </c>
      <c r="K18" s="32">
        <f t="shared" si="14"/>
        <v>0</v>
      </c>
      <c r="L18" s="27" t="str">
        <f t="shared" si="14"/>
        <v>-</v>
      </c>
      <c r="M18" s="31">
        <f t="shared" si="10"/>
        <v>0</v>
      </c>
      <c r="N18" s="32" t="str">
        <f t="shared" si="11"/>
        <v>-</v>
      </c>
      <c r="O18" s="27" t="str">
        <f t="shared" si="17"/>
        <v>-</v>
      </c>
      <c r="P18" s="27" t="s">
        <v>117</v>
      </c>
      <c r="Q18" s="32" t="str">
        <f t="shared" si="12"/>
        <v>-</v>
      </c>
      <c r="R18" s="33">
        <f t="shared" si="15"/>
        <v>0</v>
      </c>
      <c r="S18" s="33">
        <f t="shared" si="16"/>
        <v>0</v>
      </c>
      <c r="T18" s="32" t="str">
        <f t="shared" si="13"/>
        <v>-</v>
      </c>
      <c r="U18" s="27">
        <f>COUNTIF('[1]Opportunity Pipeline'!$F:$F,"Dennis")+ COUNTIF('[2]Opportunity Pipeline '!$F:$F,"Dennis")</f>
        <v>0</v>
      </c>
    </row>
    <row r="19" spans="1:26" s="43" customFormat="1" x14ac:dyDescent="0.3">
      <c r="B19" s="5" t="s">
        <v>47</v>
      </c>
      <c r="F19" s="44">
        <f>SUM(F13:F18)</f>
        <v>54.849999999999994</v>
      </c>
      <c r="G19" s="44">
        <f>SUM(G13:G18)</f>
        <v>15.396570527999998</v>
      </c>
      <c r="H19" s="45">
        <f>G19/F19</f>
        <v>0.28070320014585232</v>
      </c>
      <c r="I19" s="44">
        <f t="shared" ref="I19" si="18">SUM(I13:I18)</f>
        <v>84.149999999999991</v>
      </c>
      <c r="J19" s="44">
        <f t="shared" ref="J19" si="19">SUM(J13:J18)</f>
        <v>35.823605594</v>
      </c>
      <c r="K19" s="45">
        <f>J19/I19</f>
        <v>0.42571129642305411</v>
      </c>
      <c r="L19" s="44">
        <f t="shared" ref="L19" si="20">SUM(L13:L18)</f>
        <v>107.75</v>
      </c>
      <c r="M19" s="44">
        <f t="shared" ref="M19" si="21">SUM(M13:M18)</f>
        <v>51.220176122000005</v>
      </c>
      <c r="N19" s="45">
        <f>M19/L19</f>
        <v>0.47536126331322509</v>
      </c>
      <c r="O19" s="44">
        <f t="shared" ref="O19" si="22">SUM(O13:O18)</f>
        <v>138.25</v>
      </c>
      <c r="P19" s="44">
        <f t="shared" ref="P19" si="23">SUM(P13:P18)</f>
        <v>0</v>
      </c>
      <c r="Q19" s="45">
        <f>P19/O19</f>
        <v>0</v>
      </c>
      <c r="R19" s="44">
        <f t="shared" ref="R19" si="24">SUM(R13:R18)</f>
        <v>246</v>
      </c>
      <c r="S19" s="44">
        <f t="shared" ref="S19" si="25">SUM(S13:S18)</f>
        <v>51.220176122000005</v>
      </c>
      <c r="T19" s="45">
        <f>S19/R19</f>
        <v>0.2082120980569106</v>
      </c>
      <c r="U19" s="46">
        <f t="shared" ref="U19" si="26">SUM(U13:U18)</f>
        <v>40</v>
      </c>
    </row>
    <row r="20" spans="1:26" ht="15" thickBot="1" x14ac:dyDescent="0.35"/>
    <row r="21" spans="1:26" ht="15" thickBot="1" x14ac:dyDescent="0.35">
      <c r="A21" s="65" t="s">
        <v>48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x14ac:dyDescent="0.3">
      <c r="A22">
        <v>1</v>
      </c>
      <c r="B22" s="3" t="s">
        <v>49</v>
      </c>
      <c r="C22" s="6" t="s">
        <v>50</v>
      </c>
      <c r="D22" s="7" t="s">
        <v>51</v>
      </c>
      <c r="E22" s="8" t="s">
        <v>31</v>
      </c>
      <c r="F22" s="30">
        <f>SUMIF('[3]CB '!$A$1:$A$16,"Prachi Mayekar",'[3]CB '!$C$1:$C$16)</f>
        <v>7.5</v>
      </c>
      <c r="G22" s="31">
        <f>SUMIF('[1]Opportunity Pipeline'!$F:$F, "Prachi Mayekar",'[1]Opportunity Pipeline'!$O:$O)/10^7</f>
        <v>12.897684399999999</v>
      </c>
      <c r="H22" s="32">
        <f t="shared" ref="H22:H25" si="27">IFERROR(G22/F22,"-")</f>
        <v>1.7196912533333333</v>
      </c>
      <c r="I22" s="30">
        <f>SUMIF('[3]CB '!$A$1:$A$16,"Prachi Mayekar",'[3]CB '!$D$1:$D$22)</f>
        <v>7.5</v>
      </c>
      <c r="J22" s="31">
        <f>SUMIF('[2]Opportunity Pipeline '!$F:$F,"Prachi Mayekar",'[2]Opportunity Pipeline '!$O:$O)/10^7</f>
        <v>1.7705</v>
      </c>
      <c r="K22" s="32">
        <f t="shared" ref="K22:K25" si="28">IFERROR(J22/I22,"-")</f>
        <v>0.23606666666666667</v>
      </c>
      <c r="L22" s="33">
        <f>'[13]Prachi TARGET LETTER - 26-27'!$D$9/10^7</f>
        <v>15</v>
      </c>
      <c r="M22" s="31">
        <f t="shared" ref="M22:M25" si="29">SUM(G22,J22)</f>
        <v>14.668184399999999</v>
      </c>
      <c r="N22" s="32">
        <f t="shared" ref="N22:N25" si="30">IFERROR(M22/L22,"-")</f>
        <v>0.97787895999999996</v>
      </c>
      <c r="O22" s="27">
        <f>'[13]Prachi TARGET LETTER - 26-27'!$D$10/10^7</f>
        <v>18</v>
      </c>
      <c r="P22" s="27" t="s">
        <v>117</v>
      </c>
      <c r="Q22" s="32" t="str">
        <f t="shared" ref="Q22:Q25" si="31">IFERROR(P22/O22,"-")</f>
        <v>-</v>
      </c>
      <c r="R22" s="33">
        <f>SUM(L22,O22)</f>
        <v>33</v>
      </c>
      <c r="S22" s="33">
        <f>SUM(M22,P22)</f>
        <v>14.668184399999999</v>
      </c>
      <c r="T22" s="32">
        <f t="shared" ref="T22:T25" si="32">IFERROR(S22/R22,"-")</f>
        <v>0.44449043636363633</v>
      </c>
      <c r="U22" s="27">
        <f>COUNTIF('[1]Opportunity Pipeline'!$F:$F,"Prachi Mayekar")+ COUNTIF('[2]Opportunity Pipeline '!$F:$F,"Prachi Mayekar")</f>
        <v>13</v>
      </c>
    </row>
    <row r="23" spans="1:26" x14ac:dyDescent="0.3">
      <c r="A23">
        <v>2</v>
      </c>
      <c r="B23" s="3" t="s">
        <v>52</v>
      </c>
      <c r="C23" s="6" t="s">
        <v>50</v>
      </c>
      <c r="D23" s="7" t="s">
        <v>51</v>
      </c>
      <c r="E23" s="8" t="s">
        <v>31</v>
      </c>
      <c r="F23" s="30">
        <f>SUMIF('[3]CB '!$A$1:$A$16,"Shilpa Kavde",'[3]CB '!$C$1:$C$16)</f>
        <v>5</v>
      </c>
      <c r="G23" s="31">
        <f>SUMIF('[1]Opportunity Pipeline'!$F:$F, "Shilpa Kavde",'[1]Opportunity Pipeline'!$O:$O)/10^7</f>
        <v>2.9018713600000003</v>
      </c>
      <c r="H23" s="32">
        <f t="shared" si="27"/>
        <v>0.58037427200000002</v>
      </c>
      <c r="I23" s="30">
        <f>SUMIF('[3]CB '!$A$1:$A$16,"Shilpa Kavde",'[3]CB '!$D$1:$D$22)</f>
        <v>10</v>
      </c>
      <c r="J23" s="31">
        <f>SUMIF('[2]Opportunity Pipeline '!$F:$F,"Shilpa Kavde",'[2]Opportunity Pipeline '!$O:$O)/10^7</f>
        <v>0.11052099999999999</v>
      </c>
      <c r="K23" s="32">
        <f t="shared" si="28"/>
        <v>1.1052099999999999E-2</v>
      </c>
      <c r="L23" s="27">
        <f>'[14]Shilpa TARGET LETTER - 26-27'!$D$9/10^7</f>
        <v>15</v>
      </c>
      <c r="M23" s="31">
        <f t="shared" si="29"/>
        <v>3.0123923600000002</v>
      </c>
      <c r="N23" s="32">
        <f t="shared" si="30"/>
        <v>0.20082615733333334</v>
      </c>
      <c r="O23" s="27">
        <f>'[14]Shilpa TARGET LETTER - 26-27'!$D$10/10^7</f>
        <v>25</v>
      </c>
      <c r="P23" s="27" t="s">
        <v>117</v>
      </c>
      <c r="Q23" s="32" t="str">
        <f t="shared" si="31"/>
        <v>-</v>
      </c>
      <c r="R23" s="33">
        <f t="shared" ref="R23:R25" si="33">SUM(L23,O23)</f>
        <v>40</v>
      </c>
      <c r="S23" s="33">
        <f t="shared" ref="S23:S25" si="34">SUM(M23,P23)</f>
        <v>3.0123923600000002</v>
      </c>
      <c r="T23" s="32">
        <f t="shared" si="32"/>
        <v>7.5309809000000005E-2</v>
      </c>
      <c r="U23" s="27">
        <f>COUNTIF('[1]Opportunity Pipeline'!$F:$F,"Shilpa Kavde")+ COUNTIF('[2]Opportunity Pipeline '!$F:$F,"Shilpa Kavde")</f>
        <v>29</v>
      </c>
    </row>
    <row r="24" spans="1:26" x14ac:dyDescent="0.3">
      <c r="A24">
        <v>3</v>
      </c>
      <c r="B24" s="3" t="s">
        <v>53</v>
      </c>
      <c r="C24" s="6" t="s">
        <v>50</v>
      </c>
      <c r="D24" s="7" t="s">
        <v>51</v>
      </c>
      <c r="E24" s="8" t="s">
        <v>31</v>
      </c>
      <c r="F24" s="30">
        <f>SUMIF('[3]CB '!$A$1:$A$22,"Vidula Chavan",'[3]CB '!$C$1:$C$22)</f>
        <v>1</v>
      </c>
      <c r="G24" s="31">
        <f>SUMIF('[1]Opportunity Pipeline'!$F:$F, "Vidula Chawan",'[1]Opportunity Pipeline'!$O:$O)/10^7</f>
        <v>3.8400000000000001E-3</v>
      </c>
      <c r="H24" s="32">
        <f t="shared" si="27"/>
        <v>3.8400000000000001E-3</v>
      </c>
      <c r="I24" s="30">
        <f>SUMIF('[3]CB '!$A$1:$A$22,"Vidula Chavan",'[3]CB '!$D$1:$D$22)</f>
        <v>2</v>
      </c>
      <c r="J24" s="31">
        <f>SUMIF('[2]Opportunity Pipeline '!$F:$F,"Vidula Chavan",'[2]Opportunity Pipeline '!$O:$O)/10^7</f>
        <v>0</v>
      </c>
      <c r="K24" s="32">
        <f t="shared" si="28"/>
        <v>0</v>
      </c>
      <c r="L24" s="27">
        <f>'[15]Vidula TARGET LETTER - 26-27'!$D$9/10^7</f>
        <v>3</v>
      </c>
      <c r="M24" s="31">
        <f t="shared" si="29"/>
        <v>3.8400000000000001E-3</v>
      </c>
      <c r="N24" s="32">
        <f t="shared" si="30"/>
        <v>1.2800000000000001E-3</v>
      </c>
      <c r="O24" s="27">
        <f>'[15]Vidula TARGET LETTER - 26-27'!$D$10/10^7</f>
        <v>6.5</v>
      </c>
      <c r="P24" s="27" t="s">
        <v>117</v>
      </c>
      <c r="Q24" s="32" t="str">
        <f t="shared" si="31"/>
        <v>-</v>
      </c>
      <c r="R24" s="33">
        <f t="shared" si="33"/>
        <v>9.5</v>
      </c>
      <c r="S24" s="33">
        <f t="shared" si="34"/>
        <v>3.8400000000000001E-3</v>
      </c>
      <c r="T24" s="32">
        <f t="shared" si="32"/>
        <v>4.0421052631578946E-4</v>
      </c>
      <c r="U24" s="27">
        <f>COUNTIF('[1]Opportunity Pipeline'!$F:$F,"Vidula Chawan")+ COUNTIF('[2]Opportunity Pipeline '!$F:$F,"Vidula Chawan")</f>
        <v>3</v>
      </c>
    </row>
    <row r="25" spans="1:26" x14ac:dyDescent="0.3">
      <c r="A25" s="24">
        <v>4</v>
      </c>
      <c r="B25" s="20" t="s">
        <v>54</v>
      </c>
      <c r="C25" s="21" t="s">
        <v>50</v>
      </c>
      <c r="D25" s="22" t="s">
        <v>51</v>
      </c>
      <c r="E25" s="23" t="s">
        <v>35</v>
      </c>
      <c r="F25" s="34">
        <v>5</v>
      </c>
      <c r="G25" s="35">
        <f>SUMIF('[1]Opportunity Pipeline'!$F:$F, "Jimesh Shah",'[1]Opportunity Pipeline'!$O:$O)/10^7</f>
        <v>2.2727199999999999E-2</v>
      </c>
      <c r="H25" s="36">
        <f t="shared" si="27"/>
        <v>4.5454399999999996E-3</v>
      </c>
      <c r="I25" s="34">
        <v>10</v>
      </c>
      <c r="J25" s="35">
        <f>SUMIF('[2]Opportunity Pipeline '!$F:$F,"Jimesh Shah",'[2]Opportunity Pipeline '!$O:$O)/10^7</f>
        <v>1.7840000000000002E-2</v>
      </c>
      <c r="K25" s="36">
        <f t="shared" si="28"/>
        <v>1.7840000000000002E-3</v>
      </c>
      <c r="L25" s="28">
        <f>'[16]Jimesh TARGET LETTER - 26-27'!$D$9/10^7</f>
        <v>15</v>
      </c>
      <c r="M25" s="35">
        <f t="shared" si="29"/>
        <v>4.0567199999999998E-2</v>
      </c>
      <c r="N25" s="36">
        <f t="shared" si="30"/>
        <v>2.70448E-3</v>
      </c>
      <c r="O25" s="28">
        <f>'[16]Jimesh TARGET LETTER - 26-27'!$D$13/10^7</f>
        <v>30</v>
      </c>
      <c r="P25" s="28" t="s">
        <v>117</v>
      </c>
      <c r="Q25" s="36" t="str">
        <f t="shared" si="31"/>
        <v>-</v>
      </c>
      <c r="R25" s="37">
        <f t="shared" si="33"/>
        <v>45</v>
      </c>
      <c r="S25" s="37">
        <f t="shared" si="34"/>
        <v>4.0567199999999998E-2</v>
      </c>
      <c r="T25" s="36">
        <f t="shared" si="32"/>
        <v>9.0149333333333333E-4</v>
      </c>
      <c r="U25" s="28">
        <f>COUNTIF('[1]Opportunity Pipeline'!$F:$F,"Jimesh Shah")+ COUNTIF('[2]Opportunity Pipeline '!$F:$F,"Jimesh Shah")</f>
        <v>6</v>
      </c>
    </row>
    <row r="26" spans="1:26" s="43" customFormat="1" x14ac:dyDescent="0.3">
      <c r="B26" s="5" t="s">
        <v>55</v>
      </c>
      <c r="F26" s="44">
        <f>SUM(F20:F25)</f>
        <v>18.5</v>
      </c>
      <c r="G26" s="44">
        <f>SUM(G22:G24)</f>
        <v>15.803395760000001</v>
      </c>
      <c r="H26" s="45">
        <f>G26/F26</f>
        <v>0.85423760864864873</v>
      </c>
      <c r="I26" s="44">
        <f t="shared" ref="I26" si="35">SUM(I20:I25)</f>
        <v>29.5</v>
      </c>
      <c r="J26" s="44">
        <f>SUM(J22:J24)</f>
        <v>1.8810210000000001</v>
      </c>
      <c r="K26" s="45">
        <f>J26/I26</f>
        <v>6.3763423728813565E-2</v>
      </c>
      <c r="L26" s="44">
        <f t="shared" ref="L26" si="36">SUM(L20:L25)</f>
        <v>48</v>
      </c>
      <c r="M26" s="44">
        <f>SUM(M20:M24)</f>
        <v>17.684416760000001</v>
      </c>
      <c r="N26" s="45">
        <f>M26/L26</f>
        <v>0.36842534916666669</v>
      </c>
      <c r="O26" s="44">
        <f t="shared" ref="O26" si="37">SUM(O20:O25)</f>
        <v>79.5</v>
      </c>
      <c r="P26" s="44">
        <f t="shared" ref="P26" si="38">SUM(P20:P25)</f>
        <v>0</v>
      </c>
      <c r="Q26" s="45">
        <f>P26/O26</f>
        <v>0</v>
      </c>
      <c r="R26" s="44">
        <f t="shared" ref="R26" si="39">SUM(R20:R25)</f>
        <v>127.5</v>
      </c>
      <c r="S26" s="44">
        <f>SUM(S20:S24)</f>
        <v>17.684416760000001</v>
      </c>
      <c r="T26" s="45">
        <f>S26/R26</f>
        <v>0.13870130792156865</v>
      </c>
      <c r="U26" s="46">
        <f>SUM(U20:U24)</f>
        <v>45</v>
      </c>
    </row>
    <row r="27" spans="1:26" ht="15" thickBot="1" x14ac:dyDescent="0.35"/>
    <row r="28" spans="1:26" ht="15" thickBot="1" x14ac:dyDescent="0.35">
      <c r="A28" s="65" t="s">
        <v>56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x14ac:dyDescent="0.3">
      <c r="A29">
        <v>1</v>
      </c>
      <c r="B29" s="3" t="s">
        <v>57</v>
      </c>
      <c r="C29" s="6" t="s">
        <v>58</v>
      </c>
      <c r="D29" s="7" t="s">
        <v>51</v>
      </c>
      <c r="E29" s="8" t="s">
        <v>59</v>
      </c>
      <c r="F29" s="30">
        <f>SUMIF('[3]GB '!$A$1:$A$28,"Ashish",'[3]GB '!$C$1:$C$28)</f>
        <v>2</v>
      </c>
      <c r="G29" s="31">
        <f>SUMIF('[1]Opportunity Pipeline'!$F:$F, "Ashish Singh",'[1]Opportunity Pipeline'!$O:$O)/10^7</f>
        <v>1.345843057</v>
      </c>
      <c r="H29" s="32">
        <f t="shared" ref="H29:H38" si="40">IFERROR(G29/F29,"-")</f>
        <v>0.67292152849999998</v>
      </c>
      <c r="I29" s="30">
        <f>SUMIF('[3]GB '!$A$1:$A$28,"Ashish",'[3]GB '!$D$1:$D$28)</f>
        <v>3</v>
      </c>
      <c r="J29" s="31">
        <f>SUMIF('[2]Opportunity Pipeline '!$F:$F,"Ashish Singh",'[2]Opportunity Pipeline '!$O:$O)/10^7</f>
        <v>6.51365E-2</v>
      </c>
      <c r="K29" s="32">
        <f t="shared" ref="K29:K37" si="41">IFERROR(J29/I29,"-")</f>
        <v>2.1712166666666668E-2</v>
      </c>
      <c r="L29" s="33">
        <f>'[17]Ashish  Target Letter 26 27 '!$D$9/10^7</f>
        <v>5</v>
      </c>
      <c r="M29" s="31">
        <f t="shared" ref="M29:M39" si="42">SUM(G29,J29)</f>
        <v>1.4109795569999999</v>
      </c>
      <c r="N29" s="32">
        <f t="shared" ref="N29:N38" si="43">IFERROR(M29/L29,"-")</f>
        <v>0.2821959114</v>
      </c>
      <c r="O29" s="27">
        <f>'[17]Ashish  Target Letter 26 27 '!$D$10/10^7</f>
        <v>10</v>
      </c>
      <c r="P29" s="27" t="s">
        <v>117</v>
      </c>
      <c r="Q29" s="32" t="str">
        <f t="shared" ref="Q29:Q38" si="44">IFERROR(P29/O29,"-")</f>
        <v>-</v>
      </c>
      <c r="R29" s="33">
        <f>SUM(L29,O29)</f>
        <v>15</v>
      </c>
      <c r="S29" s="33">
        <f>SUM(M29,P29)</f>
        <v>1.4109795569999999</v>
      </c>
      <c r="T29" s="32">
        <f t="shared" ref="T29:T38" si="45">IFERROR(S29/R29,"-")</f>
        <v>9.4065303799999986E-2</v>
      </c>
      <c r="U29" s="27">
        <f>COUNTIF('[1]Opportunity Pipeline'!$F:$F,"Ashish Singh")+ COUNTIF('[2]Opportunity Pipeline '!$F:$F,"Ashish Singh")</f>
        <v>11</v>
      </c>
    </row>
    <row r="30" spans="1:26" x14ac:dyDescent="0.3">
      <c r="A30">
        <v>2</v>
      </c>
      <c r="B30" s="3" t="s">
        <v>60</v>
      </c>
      <c r="C30" s="6" t="s">
        <v>58</v>
      </c>
      <c r="D30" s="7" t="s">
        <v>51</v>
      </c>
      <c r="E30" s="8" t="s">
        <v>59</v>
      </c>
      <c r="F30" s="30">
        <f>'[18]Rima Target Letter 26 27 '!$D$9/10^7</f>
        <v>3</v>
      </c>
      <c r="G30" s="31">
        <f>SUMIF('[1]Opportunity Pipeline'!$F:$F, "Rima Ingle",'[1]Opportunity Pipeline'!$O:$O)/10^7</f>
        <v>0</v>
      </c>
      <c r="H30" s="32">
        <f t="shared" si="40"/>
        <v>0</v>
      </c>
      <c r="I30" s="30">
        <f>'[18]Rima Target Letter 26 27 '!$D$10/10^7</f>
        <v>5</v>
      </c>
      <c r="J30" s="31">
        <f>SUMIF('[2]Opportunity Pipeline '!$F:$F,"Rima Ingle",'[2]Opportunity Pipeline '!$O:$O)/10^7</f>
        <v>4.4999999999999997E-3</v>
      </c>
      <c r="K30" s="32">
        <f t="shared" si="41"/>
        <v>8.9999999999999998E-4</v>
      </c>
      <c r="L30" s="33">
        <f>'[18]Rima Target Letter 26 27 '!$D$9/10^7</f>
        <v>3</v>
      </c>
      <c r="M30" s="31">
        <f t="shared" si="42"/>
        <v>4.4999999999999997E-3</v>
      </c>
      <c r="N30" s="32">
        <f t="shared" si="43"/>
        <v>1.4999999999999998E-3</v>
      </c>
      <c r="O30" s="27">
        <f>'[18]Rima Target Letter 26 27 '!$D$10/10^7</f>
        <v>5</v>
      </c>
      <c r="P30" s="27" t="s">
        <v>117</v>
      </c>
      <c r="Q30" s="32" t="str">
        <f t="shared" si="44"/>
        <v>-</v>
      </c>
      <c r="R30" s="33">
        <f t="shared" ref="R30:R38" si="46">SUM(L30,O30)</f>
        <v>8</v>
      </c>
      <c r="S30" s="33">
        <f t="shared" ref="S30:S38" si="47">SUM(M30,P30)</f>
        <v>4.4999999999999997E-3</v>
      </c>
      <c r="T30" s="32">
        <f t="shared" si="45"/>
        <v>5.6249999999999996E-4</v>
      </c>
      <c r="U30" s="27">
        <f>COUNTIF('[1]Opportunity Pipeline'!$F:$F,"Rima Ingle")+ COUNTIF('[2]Opportunity Pipeline '!$F:$F,"Rima Ingle")</f>
        <v>1</v>
      </c>
    </row>
    <row r="31" spans="1:26" x14ac:dyDescent="0.3">
      <c r="A31">
        <v>3</v>
      </c>
      <c r="B31" s="3" t="s">
        <v>61</v>
      </c>
      <c r="C31" s="6" t="s">
        <v>58</v>
      </c>
      <c r="D31" s="7" t="s">
        <v>51</v>
      </c>
      <c r="E31" s="8" t="s">
        <v>62</v>
      </c>
      <c r="F31" s="30">
        <f>SUMIF('[3]GB '!$A$1:$A$28,"Ayushaman",'[3]GB '!$C$1:$C$28)</f>
        <v>1</v>
      </c>
      <c r="G31" s="31">
        <f>SUMIF('[1]Opportunity Pipeline'!$F:$F, "Ayushman Singh",'[1]Opportunity Pipeline'!$O:$O)/10^7</f>
        <v>0.30205890000000002</v>
      </c>
      <c r="H31" s="32">
        <f t="shared" si="40"/>
        <v>0.30205890000000002</v>
      </c>
      <c r="I31" s="30">
        <f>SUMIF('[3]GB '!$A$1:$A$28,"Ayushaman",'[3]GB '!$D$1:$D$28)</f>
        <v>2</v>
      </c>
      <c r="J31" s="31">
        <f>SUMIF('[2]Opportunity Pipeline '!$F:$F,"Ayushman Singh",'[2]Opportunity Pipeline '!$O:$O)/10^7</f>
        <v>0</v>
      </c>
      <c r="K31" s="32">
        <f t="shared" si="41"/>
        <v>0</v>
      </c>
      <c r="L31" s="33">
        <f>'[19]Ayushman-TARGET LETTER - 26-27'!$D$9/10^7</f>
        <v>3</v>
      </c>
      <c r="M31" s="31">
        <f t="shared" si="42"/>
        <v>0.30205890000000002</v>
      </c>
      <c r="N31" s="32">
        <f t="shared" si="43"/>
        <v>0.10068630000000001</v>
      </c>
      <c r="O31" s="27">
        <f>'[19]Ayushman-TARGET LETTER - 26-27'!$D$10/10^7</f>
        <v>9</v>
      </c>
      <c r="P31" s="27" t="s">
        <v>117</v>
      </c>
      <c r="Q31" s="32" t="str">
        <f t="shared" si="44"/>
        <v>-</v>
      </c>
      <c r="R31" s="33">
        <f t="shared" si="46"/>
        <v>12</v>
      </c>
      <c r="S31" s="33">
        <f t="shared" si="47"/>
        <v>0.30205890000000002</v>
      </c>
      <c r="T31" s="32">
        <f t="shared" si="45"/>
        <v>2.5171575000000002E-2</v>
      </c>
      <c r="U31" s="27">
        <f>COUNTIF('[1]Opportunity Pipeline'!$F:$F,"Ayushman Singh")+ COUNTIF('[2]Opportunity Pipeline '!$F:$F,"Ayushman Singh")</f>
        <v>4</v>
      </c>
    </row>
    <row r="32" spans="1:26" x14ac:dyDescent="0.3">
      <c r="A32">
        <v>4</v>
      </c>
      <c r="B32" s="3" t="s">
        <v>63</v>
      </c>
      <c r="C32" s="6" t="s">
        <v>58</v>
      </c>
      <c r="D32" s="7" t="s">
        <v>51</v>
      </c>
      <c r="E32" s="8" t="s">
        <v>62</v>
      </c>
      <c r="F32" s="30">
        <f>SUMIF('[3]GB '!$A$1:$A$28,"Shubhangi",'[3]GB '!$C$1:$C$28)</f>
        <v>2</v>
      </c>
      <c r="G32" s="31">
        <f>SUMIF('[1]Opportunity Pipeline'!$F:$F, "Shubhangi Srinivasan",'[1]Opportunity Pipeline'!$O:$O)/10^7</f>
        <v>5.5185175610000003</v>
      </c>
      <c r="H32" s="32">
        <f t="shared" si="40"/>
        <v>2.7592587805000002</v>
      </c>
      <c r="I32" s="30">
        <f>SUMIF('[3]GB '!$A$1:$A$28,"Shubhangi",'[3]GB '!$D$1:$D$28)</f>
        <v>3</v>
      </c>
      <c r="J32" s="31">
        <f>SUMIF('[2]Opportunity Pipeline '!$F:$F,"Shubhangi Srinivasan",'[2]Opportunity Pipeline '!$O:$O)/10^7</f>
        <v>0.91121249999999998</v>
      </c>
      <c r="K32" s="32">
        <f t="shared" si="41"/>
        <v>0.30373749999999999</v>
      </c>
      <c r="L32" s="33">
        <f>'[20]Shubhangi-TARGET LETTER - 26-27'!$D$9/10^7</f>
        <v>5</v>
      </c>
      <c r="M32" s="31">
        <f t="shared" si="42"/>
        <v>6.4297300610000008</v>
      </c>
      <c r="N32" s="32">
        <f t="shared" si="43"/>
        <v>1.2859460122000002</v>
      </c>
      <c r="O32" s="27">
        <f>'[20]Shubhangi-TARGET LETTER - 26-27'!$D$10/10^7</f>
        <v>10</v>
      </c>
      <c r="P32" s="27" t="s">
        <v>117</v>
      </c>
      <c r="Q32" s="32" t="str">
        <f t="shared" si="44"/>
        <v>-</v>
      </c>
      <c r="R32" s="33">
        <f t="shared" si="46"/>
        <v>15</v>
      </c>
      <c r="S32" s="33">
        <f t="shared" si="47"/>
        <v>6.4297300610000008</v>
      </c>
      <c r="T32" s="32">
        <f t="shared" si="45"/>
        <v>0.4286486707333334</v>
      </c>
      <c r="U32" s="27">
        <f>COUNTIF('[1]Opportunity Pipeline'!$F:$F,"Shubhangi Srinivasan")+ COUNTIF('[2]Opportunity Pipeline '!$F:$F,"Shubhangi Srinivasan")</f>
        <v>16</v>
      </c>
    </row>
    <row r="33" spans="1:26" x14ac:dyDescent="0.3">
      <c r="A33">
        <v>5</v>
      </c>
      <c r="B33" s="3" t="s">
        <v>64</v>
      </c>
      <c r="C33" s="6" t="s">
        <v>58</v>
      </c>
      <c r="D33" s="7" t="s">
        <v>51</v>
      </c>
      <c r="E33" s="8" t="s">
        <v>31</v>
      </c>
      <c r="F33" s="30">
        <f>SUMIF('[3]GB '!$A$1:$A$28,"Atharva Kapre",'[3]GB '!$C$1:$C$28)</f>
        <v>3</v>
      </c>
      <c r="G33" s="31">
        <f>SUMIF('[1]Opportunity Pipeline'!$F:$F, "Atharva Karpe",'[1]Opportunity Pipeline'!$O:$O)/10^7</f>
        <v>6.4578696999999998</v>
      </c>
      <c r="H33" s="32">
        <f t="shared" si="40"/>
        <v>2.1526232333333333</v>
      </c>
      <c r="I33" s="30">
        <f>SUMIF('[3]GB '!$A$1:$A$28,"Atharva Kapre",'[3]GB '!$D$1:$D$28)</f>
        <v>1</v>
      </c>
      <c r="J33" s="31">
        <f>SUMIF('[2]Opportunity Pipeline '!$F:$F,"Atharva Karpe",'[2]Opportunity Pipeline '!$O:$O)/10^7</f>
        <v>0</v>
      </c>
      <c r="K33" s="32">
        <f t="shared" si="41"/>
        <v>0</v>
      </c>
      <c r="L33" s="33">
        <f>'[21]Atharva -TARGET LETTER - 26-27'!$D$9/10^7</f>
        <v>4</v>
      </c>
      <c r="M33" s="31">
        <f t="shared" si="42"/>
        <v>6.4578696999999998</v>
      </c>
      <c r="N33" s="32">
        <f t="shared" si="43"/>
        <v>1.614467425</v>
      </c>
      <c r="O33" s="27">
        <f>'[21]Atharva -TARGET LETTER - 26-27'!$D$10/10^7</f>
        <v>4</v>
      </c>
      <c r="P33" s="27" t="s">
        <v>117</v>
      </c>
      <c r="Q33" s="32" t="str">
        <f t="shared" si="44"/>
        <v>-</v>
      </c>
      <c r="R33" s="33">
        <f t="shared" si="46"/>
        <v>8</v>
      </c>
      <c r="S33" s="33">
        <f t="shared" si="47"/>
        <v>6.4578696999999998</v>
      </c>
      <c r="T33" s="32">
        <f t="shared" si="45"/>
        <v>0.80723371249999998</v>
      </c>
      <c r="U33" s="27">
        <f>COUNTIF('[1]Opportunity Pipeline'!$F:$F,"Atharva Karpe")+ COUNTIF('[2]Opportunity Pipeline '!$F:$F,"Atharva Karpe")</f>
        <v>12</v>
      </c>
    </row>
    <row r="34" spans="1:26" x14ac:dyDescent="0.3">
      <c r="A34">
        <v>6</v>
      </c>
      <c r="B34" s="3" t="s">
        <v>65</v>
      </c>
      <c r="C34" s="6" t="s">
        <v>58</v>
      </c>
      <c r="D34" s="7" t="s">
        <v>51</v>
      </c>
      <c r="E34" s="8" t="s">
        <v>31</v>
      </c>
      <c r="F34" s="30">
        <f>SUMIF('[3]GB '!$A$1:$A$28,"Jay Rushi",'[3]GB '!$C$1:$C$28)</f>
        <v>1</v>
      </c>
      <c r="G34" s="31">
        <f>SUMIF('[1]Opportunity Pipeline'!$F:$F, "Jay Rushi",'[1]Opportunity Pipeline'!$O:$O)/10^7</f>
        <v>1.4900933999999999</v>
      </c>
      <c r="H34" s="32">
        <f t="shared" si="40"/>
        <v>1.4900933999999999</v>
      </c>
      <c r="I34" s="30">
        <f>SUMIF('[3]GB '!$A$1:$A$28,"Jay Rushi",'[3]GB '!$D$1:$D$28)</f>
        <v>2</v>
      </c>
      <c r="J34" s="31">
        <f>SUMIF('[2]Opportunity Pipeline '!$F:$F,"Jay Rushi",'[2]Opportunity Pipeline '!$O:$O)/10^7</f>
        <v>0.2897208</v>
      </c>
      <c r="K34" s="32">
        <f t="shared" si="41"/>
        <v>0.1448604</v>
      </c>
      <c r="L34" s="33">
        <f>'[22]Jay Rushi TARGET LETTER - 26-27'!$D$9/10^7</f>
        <v>3</v>
      </c>
      <c r="M34" s="31">
        <f t="shared" si="42"/>
        <v>1.7798141999999999</v>
      </c>
      <c r="N34" s="32">
        <f t="shared" si="43"/>
        <v>0.5932714</v>
      </c>
      <c r="O34" s="27">
        <f>'[22]Jay Rushi TARGET LETTER - 26-27'!$D$10/10^7</f>
        <v>5</v>
      </c>
      <c r="P34" s="27" t="s">
        <v>117</v>
      </c>
      <c r="Q34" s="32" t="str">
        <f t="shared" si="44"/>
        <v>-</v>
      </c>
      <c r="R34" s="33">
        <f t="shared" si="46"/>
        <v>8</v>
      </c>
      <c r="S34" s="33">
        <f t="shared" si="47"/>
        <v>1.7798141999999999</v>
      </c>
      <c r="T34" s="32">
        <f t="shared" si="45"/>
        <v>0.22247677499999999</v>
      </c>
      <c r="U34" s="27">
        <f>COUNTIF('[1]Opportunity Pipeline'!$F:$F,"Jay Rushi")+ COUNTIF('[2]Opportunity Pipeline '!$F:$F,"Jay Rushi")</f>
        <v>17</v>
      </c>
    </row>
    <row r="35" spans="1:26" x14ac:dyDescent="0.3">
      <c r="A35" s="24">
        <v>7</v>
      </c>
      <c r="B35" s="20" t="s">
        <v>66</v>
      </c>
      <c r="C35" s="21" t="s">
        <v>58</v>
      </c>
      <c r="D35" s="22" t="s">
        <v>51</v>
      </c>
      <c r="E35" s="23" t="s">
        <v>35</v>
      </c>
      <c r="F35" s="39" t="s">
        <v>117</v>
      </c>
      <c r="G35" s="35">
        <f>SUMIF('[1]Opportunity Pipeline'!$F:$F, "Sana",'[1]Opportunity Pipeline'!$O:$O)/10^7</f>
        <v>0</v>
      </c>
      <c r="H35" s="36" t="str">
        <f t="shared" si="40"/>
        <v>-</v>
      </c>
      <c r="I35" s="39" t="s">
        <v>117</v>
      </c>
      <c r="J35" s="35">
        <f>SUMIF('[2]Opportunity Pipeline '!$F:$F,"Sana",'[2]Opportunity Pipeline '!$O:$O)/10^7</f>
        <v>0</v>
      </c>
      <c r="K35" s="36" t="str">
        <f t="shared" si="41"/>
        <v>-</v>
      </c>
      <c r="L35" s="37">
        <f>'[23]SANA -TARGET LETTER - 26-27'!$D$9/10^7</f>
        <v>3.2</v>
      </c>
      <c r="M35" s="35">
        <f t="shared" si="42"/>
        <v>0</v>
      </c>
      <c r="N35" s="36">
        <f t="shared" si="43"/>
        <v>0</v>
      </c>
      <c r="O35" s="28">
        <f>'[23]SANA -TARGET LETTER - 26-27'!$D$14/10^7</f>
        <v>6.8</v>
      </c>
      <c r="P35" s="28" t="s">
        <v>117</v>
      </c>
      <c r="Q35" s="36" t="str">
        <f t="shared" si="44"/>
        <v>-</v>
      </c>
      <c r="R35" s="37">
        <f t="shared" si="46"/>
        <v>10</v>
      </c>
      <c r="S35" s="37">
        <f t="shared" si="47"/>
        <v>0</v>
      </c>
      <c r="T35" s="36">
        <f t="shared" si="45"/>
        <v>0</v>
      </c>
      <c r="U35" s="28">
        <f>COUNTIF('[1]Opportunity Pipeline'!$F:$F,"Sana")+ COUNTIF('[2]Opportunity Pipeline '!$F:$F,"Sana")</f>
        <v>0</v>
      </c>
    </row>
    <row r="36" spans="1:26" x14ac:dyDescent="0.3">
      <c r="A36">
        <v>8</v>
      </c>
      <c r="B36" s="3" t="s">
        <v>67</v>
      </c>
      <c r="C36" s="6" t="s">
        <v>58</v>
      </c>
      <c r="D36" s="7" t="s">
        <v>51</v>
      </c>
      <c r="E36" s="8" t="s">
        <v>31</v>
      </c>
      <c r="F36" s="30">
        <f>SUMIF('[3]GB '!$A$1:$A$28,"Bhumi ",'[3]GB '!$C$1:$C$28)</f>
        <v>0.1</v>
      </c>
      <c r="G36" s="31">
        <f>SUMIF('[1]Opportunity Pipeline'!$F:$F, "Bhumi",'[1]Opportunity Pipeline'!$O:$O)/10^7</f>
        <v>0</v>
      </c>
      <c r="H36" s="32">
        <f t="shared" si="40"/>
        <v>0</v>
      </c>
      <c r="I36" s="30">
        <f>SUMIF('[3]GB '!$A$1:$A$28,"Bhumi ",'[3]GB '!$D$1:$D$28)</f>
        <v>0.5</v>
      </c>
      <c r="J36" s="31">
        <f>SUMIF('[2]Opportunity Pipeline '!$F:$F,"Bhumi Karelia",'[2]Opportunity Pipeline '!$O:$O)/10^7</f>
        <v>0</v>
      </c>
      <c r="K36" s="32">
        <f t="shared" si="41"/>
        <v>0</v>
      </c>
      <c r="L36" s="33">
        <f>'[24]Bhumi Target Letter 26 27 '!$D$9/10^7</f>
        <v>0.6</v>
      </c>
      <c r="M36" s="31">
        <f t="shared" si="42"/>
        <v>0</v>
      </c>
      <c r="N36" s="32">
        <f t="shared" si="43"/>
        <v>0</v>
      </c>
      <c r="O36" s="27">
        <f>'[24]Bhumi Target Letter 26 27 '!$D$10/10^7</f>
        <v>1.4</v>
      </c>
      <c r="P36" s="27" t="s">
        <v>117</v>
      </c>
      <c r="Q36" s="32" t="str">
        <f t="shared" si="44"/>
        <v>-</v>
      </c>
      <c r="R36" s="33">
        <f t="shared" si="46"/>
        <v>2</v>
      </c>
      <c r="S36" s="33">
        <f t="shared" si="47"/>
        <v>0</v>
      </c>
      <c r="T36" s="32">
        <f t="shared" si="45"/>
        <v>0</v>
      </c>
      <c r="U36" s="27">
        <f>COUNTIF('[1]Opportunity Pipeline'!$F:$F,"Bhumi Karelia")+ COUNTIF('[2]Opportunity Pipeline '!$F:$F,"Bhumi Karelia")</f>
        <v>0</v>
      </c>
    </row>
    <row r="37" spans="1:26" x14ac:dyDescent="0.3">
      <c r="A37">
        <v>9</v>
      </c>
      <c r="B37" s="3" t="s">
        <v>68</v>
      </c>
      <c r="C37" s="6" t="s">
        <v>58</v>
      </c>
      <c r="D37" s="7" t="s">
        <v>51</v>
      </c>
      <c r="E37" s="8" t="s">
        <v>31</v>
      </c>
      <c r="F37" s="30">
        <f>SUMIF('[3]GB '!$A$1:$A$28,"Rizwana (ISR/OSR)",'[3]GB '!$C$1:$C$28)</f>
        <v>0.5</v>
      </c>
      <c r="G37" s="31">
        <f>SUMIF('[1]Opportunity Pipeline'!$F:$F, "Rizwana",'[1]Opportunity Pipeline'!$O:$O)/10^7</f>
        <v>0</v>
      </c>
      <c r="H37" s="32">
        <f t="shared" si="40"/>
        <v>0</v>
      </c>
      <c r="I37" s="30">
        <f>SUMIF('[3]GB '!$A$1:$A$28,"Rizwana (ISR/OSR)",'[3]GB '!$D$1:$D$28)</f>
        <v>1</v>
      </c>
      <c r="J37" s="31">
        <f>SUMIF('[2]Opportunity Pipeline '!$F:$F,"Rizwana Khan",'[2]Opportunity Pipeline '!$O:$O)/10^7</f>
        <v>0</v>
      </c>
      <c r="K37" s="32">
        <f t="shared" si="41"/>
        <v>0</v>
      </c>
      <c r="L37" s="33">
        <f>'[25]Rizwana Target Letter 26 27 '!$D$9/10^7</f>
        <v>1.5</v>
      </c>
      <c r="M37" s="31">
        <f t="shared" si="42"/>
        <v>0</v>
      </c>
      <c r="N37" s="32">
        <f t="shared" si="43"/>
        <v>0</v>
      </c>
      <c r="O37" s="27">
        <f>'[25]Rizwana Target Letter 26 27 '!$D$10/10^7</f>
        <v>3.5</v>
      </c>
      <c r="P37" s="27" t="s">
        <v>117</v>
      </c>
      <c r="Q37" s="32" t="str">
        <f t="shared" si="44"/>
        <v>-</v>
      </c>
      <c r="R37" s="33">
        <f t="shared" si="46"/>
        <v>5</v>
      </c>
      <c r="S37" s="33">
        <f t="shared" si="47"/>
        <v>0</v>
      </c>
      <c r="T37" s="32">
        <f t="shared" si="45"/>
        <v>0</v>
      </c>
      <c r="U37" s="27">
        <f>COUNTIF('[1]Opportunity Pipeline'!$F:$F,"Rizwana Khan")+ COUNTIF('[2]Opportunity Pipeline '!$F:$F,"Rizwana Khan")</f>
        <v>0</v>
      </c>
    </row>
    <row r="38" spans="1:26" x14ac:dyDescent="0.3">
      <c r="A38">
        <v>10</v>
      </c>
      <c r="B38" s="3" t="s">
        <v>69</v>
      </c>
      <c r="C38" s="6" t="s">
        <v>58</v>
      </c>
      <c r="D38" s="7" t="s">
        <v>51</v>
      </c>
      <c r="E38" s="8" t="s">
        <v>31</v>
      </c>
      <c r="F38" s="30">
        <f>SUMIF('[3]GB '!$A$1:$A$28,"Suyesh",'[3]GB '!$C$1:$C$28)</f>
        <v>0.1</v>
      </c>
      <c r="G38" s="31">
        <f>SUMIF('[1]Opportunity Pipeline'!$F:$F, "Suvesh Malakar",'[1]Opportunity Pipeline'!$O:$O)/10^7</f>
        <v>0</v>
      </c>
      <c r="H38" s="32">
        <f t="shared" si="40"/>
        <v>0</v>
      </c>
      <c r="I38" s="30">
        <f>SUMIF('[3]GB '!$A$1:$A$28,"Suyesh",'[3]GB '!$D$1:$D$28)</f>
        <v>0.5</v>
      </c>
      <c r="J38" s="31">
        <f>SUMIF('[2]Opportunity Pipeline '!$F:$F,"Suvesh Malakar",'[2]Opportunity Pipeline '!$O:$O)/10^7</f>
        <v>0</v>
      </c>
      <c r="K38" s="32">
        <f t="shared" ref="K38:K39" si="48">IFERROR(J38/I38,"-")</f>
        <v>0</v>
      </c>
      <c r="L38" s="33">
        <f>'[26]Suvesh- Target Letter 26 27 '!$D$9/10^7</f>
        <v>0.6</v>
      </c>
      <c r="M38" s="31">
        <f t="shared" si="42"/>
        <v>0</v>
      </c>
      <c r="N38" s="32">
        <f t="shared" si="43"/>
        <v>0</v>
      </c>
      <c r="O38" s="27">
        <f>'[26]Suvesh- Target Letter 26 27 '!$D$10/10^7</f>
        <v>1.4</v>
      </c>
      <c r="P38" s="27" t="s">
        <v>117</v>
      </c>
      <c r="Q38" s="32" t="str">
        <f t="shared" si="44"/>
        <v>-</v>
      </c>
      <c r="R38" s="33">
        <f t="shared" si="46"/>
        <v>2</v>
      </c>
      <c r="S38" s="33">
        <f t="shared" si="47"/>
        <v>0</v>
      </c>
      <c r="T38" s="32">
        <f t="shared" si="45"/>
        <v>0</v>
      </c>
      <c r="U38" s="27">
        <f>COUNTIF('[1]Opportunity Pipeline'!$F:$F,"Suvesh Malakar")+ COUNTIF('[2]Opportunity Pipeline '!$F:$F,"Suvesh Malakar")</f>
        <v>0</v>
      </c>
    </row>
    <row r="39" spans="1:26" x14ac:dyDescent="0.3">
      <c r="A39">
        <v>11</v>
      </c>
      <c r="B39" s="3" t="s">
        <v>120</v>
      </c>
      <c r="C39" s="6" t="s">
        <v>58</v>
      </c>
      <c r="D39" s="7" t="s">
        <v>51</v>
      </c>
      <c r="E39" s="8" t="s">
        <v>31</v>
      </c>
      <c r="F39" s="30">
        <f>SUMIF('[3]GB '!$A$1:$A$28,"Varunkumar Mishra",'[3]GB '!$C$1:$C$28)</f>
        <v>0</v>
      </c>
      <c r="G39" s="31">
        <f>SUMIF('[1]Opportunity Pipeline'!$F:$F, "Varunkumar Mishra",'[1]Opportunity Pipeline'!$O:$O)/10^7</f>
        <v>0</v>
      </c>
      <c r="H39" s="32" t="str">
        <f t="shared" ref="H39" si="49">IFERROR(G39/F39,"-")</f>
        <v>-</v>
      </c>
      <c r="I39" s="30">
        <f>SUMIF('[3]GB '!$A$1:$A$28,"Varunkumar Mishra",'[3]GB '!$D$1:$D$28)</f>
        <v>0</v>
      </c>
      <c r="J39" s="31">
        <f>SUMIF('[2]Opportunity Pipeline '!$F:$F,"Varunkumar Mishra",'[2]Opportunity Pipeline '!$O:$O)/10^7</f>
        <v>2.1063800000000001E-2</v>
      </c>
      <c r="K39" s="32" t="str">
        <f t="shared" si="48"/>
        <v>-</v>
      </c>
      <c r="L39" s="33" t="s">
        <v>117</v>
      </c>
      <c r="M39" s="31">
        <f t="shared" si="42"/>
        <v>2.1063800000000001E-2</v>
      </c>
      <c r="N39" s="32" t="str">
        <f t="shared" ref="N39" si="50">IFERROR(M39/L39,"-")</f>
        <v>-</v>
      </c>
      <c r="O39" s="27">
        <f>'[26]Suvesh- Target Letter 26 27 '!$D$10/10^7</f>
        <v>1.4</v>
      </c>
      <c r="P39" s="27" t="s">
        <v>117</v>
      </c>
      <c r="Q39" s="32" t="str">
        <f t="shared" ref="Q39" si="51">IFERROR(P39/O39,"-")</f>
        <v>-</v>
      </c>
      <c r="R39" s="33">
        <f t="shared" ref="R39" si="52">SUM(L39,O39)</f>
        <v>1.4</v>
      </c>
      <c r="S39" s="33">
        <f t="shared" ref="S39" si="53">SUM(M39,P39)</f>
        <v>2.1063800000000001E-2</v>
      </c>
      <c r="T39" s="32">
        <f t="shared" ref="T39" si="54">IFERROR(S39/R39,"-")</f>
        <v>1.5045571428571431E-2</v>
      </c>
      <c r="U39" s="27">
        <f>COUNTIF('[1]Opportunity Pipeline'!$F:$F,"Varunkumar Mishra")+ COUNTIF('[2]Opportunity Pipeline '!$F:$F,"Varunkumar Mishra")</f>
        <v>1</v>
      </c>
    </row>
    <row r="40" spans="1:26" s="43" customFormat="1" x14ac:dyDescent="0.3">
      <c r="B40" s="5" t="s">
        <v>70</v>
      </c>
      <c r="F40" s="44">
        <f>SUM(F33:F38)</f>
        <v>4.6999999999999993</v>
      </c>
      <c r="G40" s="44">
        <f>SUM(G29:G39)</f>
        <v>15.114382618</v>
      </c>
      <c r="H40" s="45">
        <f>G40/F40</f>
        <v>3.2158260889361707</v>
      </c>
      <c r="I40" s="44">
        <f>SUM(I33:I38)</f>
        <v>5</v>
      </c>
      <c r="J40" s="44">
        <f>SUM(J29:J39)</f>
        <v>1.2916336000000002</v>
      </c>
      <c r="K40" s="45">
        <f>J40/I40</f>
        <v>0.25832672000000001</v>
      </c>
      <c r="L40" s="44">
        <f>SUM(L33:L38)</f>
        <v>12.899999999999999</v>
      </c>
      <c r="M40" s="44">
        <f>SUM(M29:M39)</f>
        <v>16.406016218000001</v>
      </c>
      <c r="N40" s="45">
        <f>M40/L40</f>
        <v>1.2717842029457367</v>
      </c>
      <c r="O40" s="44">
        <f>SUM(O33:O38)</f>
        <v>22.099999999999998</v>
      </c>
      <c r="P40" s="44">
        <f>SUM(P33:P38)</f>
        <v>0</v>
      </c>
      <c r="Q40" s="45">
        <f>P40/O40</f>
        <v>0</v>
      </c>
      <c r="R40" s="44">
        <f>SUM(R33:R38)</f>
        <v>35</v>
      </c>
      <c r="S40" s="44">
        <f>SUM(S29:S39)</f>
        <v>16.406016218000001</v>
      </c>
      <c r="T40" s="45">
        <f>S40/R40</f>
        <v>0.46874332051428574</v>
      </c>
      <c r="U40" s="46">
        <f>SUM(U29:U39)</f>
        <v>62</v>
      </c>
    </row>
    <row r="41" spans="1:26" ht="15" thickBot="1" x14ac:dyDescent="0.35"/>
    <row r="42" spans="1:26" ht="15" thickBot="1" x14ac:dyDescent="0.35">
      <c r="A42" s="65" t="s">
        <v>71</v>
      </c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x14ac:dyDescent="0.3">
      <c r="A43">
        <v>1</v>
      </c>
      <c r="B43" s="3" t="s">
        <v>72</v>
      </c>
      <c r="C43" s="6" t="s">
        <v>73</v>
      </c>
      <c r="D43" s="7" t="s">
        <v>51</v>
      </c>
      <c r="E43" s="8" t="s">
        <v>31</v>
      </c>
      <c r="F43" s="30">
        <f>SUMIF('[3]South '!$B$1:$B$28,"Abrar Altaf Menon",'[3]South '!$D$1:$D$28)</f>
        <v>2</v>
      </c>
      <c r="G43" s="31">
        <f>SUMIF('[1]Opportunity Pipeline'!$F:$F, "Abrar Memon",'[1]Opportunity Pipeline'!$O:$O)/10^7</f>
        <v>4.1457089000000003E-2</v>
      </c>
      <c r="H43" s="32">
        <f t="shared" ref="H43:H46" si="55">IFERROR(G43/F43,"-")</f>
        <v>2.0728544500000001E-2</v>
      </c>
      <c r="I43" s="30">
        <f>SUMIF('[3]South '!$B$1:$B$28,"Abrar Altaf Menon",'[3]South '!$E$1:$E$28)</f>
        <v>2</v>
      </c>
      <c r="J43" s="31">
        <f>SUMIF('[2]Opportunity Pipeline '!$F:$F,"Abrar Memon",'[2]Opportunity Pipeline '!$O:$O)/10^7</f>
        <v>0.48780000000000001</v>
      </c>
      <c r="K43" s="32">
        <f t="shared" ref="K43:K46" si="56">IFERROR(J43/I43,"-")</f>
        <v>0.24390000000000001</v>
      </c>
      <c r="L43" s="33">
        <f>'[27]Abrar TARGET LETTER - 26-27'!$D$9/10^7</f>
        <v>4</v>
      </c>
      <c r="M43" s="31">
        <f t="shared" ref="M43:M46" si="57">SUM(G43,J43)</f>
        <v>0.52925708900000001</v>
      </c>
      <c r="N43" s="32">
        <f t="shared" ref="N43:N46" si="58">IFERROR(M43/L43,"-")</f>
        <v>0.13231427225</v>
      </c>
      <c r="O43" s="27">
        <f>'[27]Abrar TARGET LETTER - 26-27'!$D$10/10^7</f>
        <v>4</v>
      </c>
      <c r="P43" s="27" t="s">
        <v>117</v>
      </c>
      <c r="Q43" s="32" t="str">
        <f t="shared" ref="Q43:Q46" si="59">IFERROR(P43/O43,"-")</f>
        <v>-</v>
      </c>
      <c r="R43" s="33">
        <f t="shared" ref="R43:R46" si="60">SUM(L43,O43)</f>
        <v>8</v>
      </c>
      <c r="S43" s="33">
        <f t="shared" ref="S43:S46" si="61">SUM(M43,P43)</f>
        <v>0.52925708900000001</v>
      </c>
      <c r="T43" s="32">
        <f t="shared" ref="T43:T46" si="62">IFERROR(S43/R43,"-")</f>
        <v>6.6157136125000002E-2</v>
      </c>
      <c r="U43" s="27">
        <f>COUNTIF('[1]Opportunity Pipeline'!$F:$F,"Abrar Memon")+ COUNTIF('[2]Opportunity Pipeline '!$F:$F,"Abrar Memon")</f>
        <v>9</v>
      </c>
    </row>
    <row r="44" spans="1:26" x14ac:dyDescent="0.3">
      <c r="A44">
        <v>2</v>
      </c>
      <c r="B44" s="3" t="s">
        <v>74</v>
      </c>
      <c r="C44" s="6" t="s">
        <v>73</v>
      </c>
      <c r="D44" s="7" t="s">
        <v>51</v>
      </c>
      <c r="E44" s="8" t="s">
        <v>31</v>
      </c>
      <c r="F44" s="30">
        <f>SUMIF('[3]South '!$B$1:$B$28,"Sagar TR",'[3]South '!$D$1:$D$28)</f>
        <v>2.5</v>
      </c>
      <c r="G44" s="31">
        <f>SUMIF('[1]Opportunity Pipeline'!$F:$F, "Sagar TR",'[1]Opportunity Pipeline'!$O:$O)/10^7</f>
        <v>1.1067547</v>
      </c>
      <c r="H44" s="32">
        <f t="shared" si="55"/>
        <v>0.44270187999999999</v>
      </c>
      <c r="I44" s="30">
        <f>SUMIF('[3]South '!$B$1:$B$28,"Sagar TR",'[3]South '!$E$1:$E$28)</f>
        <v>2.5</v>
      </c>
      <c r="J44" s="31">
        <f>SUMIF('[2]Opportunity Pipeline '!$F:$F,"Sagar TR",'[2]Opportunity Pipeline '!$O:$O)/10^7</f>
        <v>2.3429010799999999</v>
      </c>
      <c r="K44" s="32">
        <f t="shared" si="56"/>
        <v>0.93716043199999999</v>
      </c>
      <c r="L44" s="33">
        <f>'[28]Sagar- TARGET LETTER - 26-27'!$D$9/10^7</f>
        <v>5</v>
      </c>
      <c r="M44" s="31">
        <f t="shared" si="57"/>
        <v>3.4496557799999996</v>
      </c>
      <c r="N44" s="32">
        <f t="shared" si="58"/>
        <v>0.68993115599999988</v>
      </c>
      <c r="O44" s="27">
        <f>'[28]Sagar- TARGET LETTER - 26-27'!$D$10/10^7</f>
        <v>5</v>
      </c>
      <c r="P44" s="27" t="s">
        <v>117</v>
      </c>
      <c r="Q44" s="32" t="str">
        <f t="shared" si="59"/>
        <v>-</v>
      </c>
      <c r="R44" s="33">
        <f t="shared" si="60"/>
        <v>10</v>
      </c>
      <c r="S44" s="33">
        <f t="shared" si="61"/>
        <v>3.4496557799999996</v>
      </c>
      <c r="T44" s="32">
        <f t="shared" si="62"/>
        <v>0.34496557799999994</v>
      </c>
      <c r="U44" s="27">
        <f>COUNTIF('[1]Opportunity Pipeline'!$F:$F,"Sagar TR")+ COUNTIF('[2]Opportunity Pipeline '!$F:$F,"Sagar TR")</f>
        <v>46</v>
      </c>
    </row>
    <row r="45" spans="1:26" x14ac:dyDescent="0.3">
      <c r="A45">
        <v>3</v>
      </c>
      <c r="B45" s="3" t="s">
        <v>75</v>
      </c>
      <c r="C45" s="6" t="s">
        <v>73</v>
      </c>
      <c r="D45" s="7" t="s">
        <v>51</v>
      </c>
      <c r="E45" s="8" t="s">
        <v>31</v>
      </c>
      <c r="F45" s="30">
        <f>SUMIF('[3]South '!$B$1:$B$28,"Shahbaz Khan",'[3]South '!$D$1:$D$28)</f>
        <v>3</v>
      </c>
      <c r="G45" s="31">
        <f>SUMIF('[1]Opportunity Pipeline'!$F:$F, "Shahbaz Khan",'[1]Opportunity Pipeline'!$O:$O)/10^7</f>
        <v>3.8053235999999999</v>
      </c>
      <c r="H45" s="32">
        <f t="shared" si="55"/>
        <v>1.2684412</v>
      </c>
      <c r="I45" s="30">
        <f>SUMIF('[3]South '!$B$1:$B$28,"Shahbaz Khan",'[3]South '!$E$1:$E$28)</f>
        <v>3</v>
      </c>
      <c r="J45" s="31">
        <f>SUMIF('[2]Opportunity Pipeline '!$F:$F,"Shahbaz Khan",'[2]Opportunity Pipeline '!$O:$O)/10^7</f>
        <v>0</v>
      </c>
      <c r="K45" s="32">
        <f t="shared" si="56"/>
        <v>0</v>
      </c>
      <c r="L45" s="33">
        <f>'[29]Shahbaz - TARGET LETTER - 26-27'!$D$9/10^7</f>
        <v>6</v>
      </c>
      <c r="M45" s="31">
        <f t="shared" si="57"/>
        <v>3.8053235999999999</v>
      </c>
      <c r="N45" s="32">
        <f t="shared" si="58"/>
        <v>0.63422060000000002</v>
      </c>
      <c r="O45" s="27">
        <f>'[29]Shahbaz - TARGET LETTER - 26-27'!$D$10/10^7</f>
        <v>6</v>
      </c>
      <c r="P45" s="27" t="s">
        <v>117</v>
      </c>
      <c r="Q45" s="32" t="str">
        <f t="shared" si="59"/>
        <v>-</v>
      </c>
      <c r="R45" s="33">
        <f t="shared" si="60"/>
        <v>12</v>
      </c>
      <c r="S45" s="33">
        <f t="shared" si="61"/>
        <v>3.8053235999999999</v>
      </c>
      <c r="T45" s="32">
        <f t="shared" si="62"/>
        <v>0.31711030000000001</v>
      </c>
      <c r="U45" s="27">
        <f>COUNTIF('[1]Opportunity Pipeline'!$F:$F,"Shahbaz Khan")+ COUNTIF('[2]Opportunity Pipeline '!$F:$F,"Shahbaz Khan")</f>
        <v>12</v>
      </c>
    </row>
    <row r="46" spans="1:26" x14ac:dyDescent="0.3">
      <c r="A46">
        <v>4</v>
      </c>
      <c r="B46" s="3" t="s">
        <v>76</v>
      </c>
      <c r="C46" s="6" t="s">
        <v>73</v>
      </c>
      <c r="D46" s="7" t="s">
        <v>51</v>
      </c>
      <c r="E46" s="8" t="s">
        <v>31</v>
      </c>
      <c r="F46" s="30">
        <f>SUMIF('[3]South '!$B$1:$B$28,"Shaikh Kadar",'[3]South '!$D$1:$D$28)</f>
        <v>3</v>
      </c>
      <c r="G46" s="31">
        <f>SUMIF('[1]Opportunity Pipeline'!$F:$F, "Shaik Khadhar",'[1]Opportunity Pipeline'!$O:$O)/10^7</f>
        <v>5.3360915000000002</v>
      </c>
      <c r="H46" s="32">
        <f t="shared" si="55"/>
        <v>1.7786971666666667</v>
      </c>
      <c r="I46" s="30">
        <f>SUMIF('[3]South '!$B$1:$B$28,"Shaikh Kada",'[3]South '!$E$1:$E$28)</f>
        <v>0</v>
      </c>
      <c r="J46" s="31">
        <f>SUMIF('[2]Opportunity Pipeline '!$F:$F,"Shaik Khadhar",'[2]Opportunity Pipeline '!$O:$O)/10^7</f>
        <v>0.20399999999999999</v>
      </c>
      <c r="K46" s="32" t="str">
        <f t="shared" si="56"/>
        <v>-</v>
      </c>
      <c r="L46" s="33">
        <f>'[30]Khadar-  TARGET LETTER - 26-27'!$D$9/10^7</f>
        <v>7</v>
      </c>
      <c r="M46" s="31">
        <f t="shared" si="57"/>
        <v>5.5400914999999999</v>
      </c>
      <c r="N46" s="32">
        <f t="shared" si="58"/>
        <v>0.7914416428571428</v>
      </c>
      <c r="O46" s="27">
        <f>'[30]Khadar-  TARGET LETTER - 26-27'!$D$10/10^7</f>
        <v>8</v>
      </c>
      <c r="P46" s="27" t="s">
        <v>117</v>
      </c>
      <c r="Q46" s="32" t="str">
        <f t="shared" si="59"/>
        <v>-</v>
      </c>
      <c r="R46" s="33">
        <f t="shared" si="60"/>
        <v>15</v>
      </c>
      <c r="S46" s="33">
        <f t="shared" si="61"/>
        <v>5.5400914999999999</v>
      </c>
      <c r="T46" s="32">
        <f t="shared" si="62"/>
        <v>0.36933943333333336</v>
      </c>
      <c r="U46" s="27">
        <f>COUNTIF('[1]Opportunity Pipeline'!$F:$F,"Shaik Khadhar")+ COUNTIF('[2]Opportunity Pipeline '!$F:$F,"Shaik Khadhar")</f>
        <v>5</v>
      </c>
    </row>
    <row r="47" spans="1:26" s="43" customFormat="1" x14ac:dyDescent="0.3">
      <c r="B47" s="5" t="s">
        <v>77</v>
      </c>
      <c r="F47" s="44">
        <f>SUM(F41:F46)</f>
        <v>10.5</v>
      </c>
      <c r="G47" s="44">
        <f>SUM(G41:G46)</f>
        <v>10.289626889000001</v>
      </c>
      <c r="H47" s="45">
        <f>G47/F47</f>
        <v>0.97996446561904771</v>
      </c>
      <c r="I47" s="44">
        <f t="shared" ref="I47" si="63">SUM(I41:I46)</f>
        <v>7.5</v>
      </c>
      <c r="J47" s="44">
        <f t="shared" ref="J47" si="64">SUM(J41:J46)</f>
        <v>3.0347010800000001</v>
      </c>
      <c r="K47" s="45">
        <f>J47/I47</f>
        <v>0.40462681066666667</v>
      </c>
      <c r="L47" s="44">
        <f t="shared" ref="L47" si="65">SUM(L41:L46)</f>
        <v>22</v>
      </c>
      <c r="M47" s="44">
        <f t="shared" ref="M47" si="66">SUM(M41:M46)</f>
        <v>13.324327968999999</v>
      </c>
      <c r="N47" s="45">
        <f>M47/L47</f>
        <v>0.60565127131818175</v>
      </c>
      <c r="O47" s="44">
        <f t="shared" ref="O47" si="67">SUM(O41:O46)</f>
        <v>23</v>
      </c>
      <c r="P47" s="44">
        <f t="shared" ref="P47" si="68">SUM(P41:P46)</f>
        <v>0</v>
      </c>
      <c r="Q47" s="45">
        <f>P47/O47</f>
        <v>0</v>
      </c>
      <c r="R47" s="44">
        <f t="shared" ref="R47" si="69">SUM(R41:R46)</f>
        <v>45</v>
      </c>
      <c r="S47" s="44">
        <f t="shared" ref="S47" si="70">SUM(S41:S46)</f>
        <v>13.324327968999999</v>
      </c>
      <c r="T47" s="45">
        <f>S47/R47</f>
        <v>0.29609617708888886</v>
      </c>
      <c r="U47" s="46">
        <f t="shared" ref="U47" si="71">SUM(U41:U46)</f>
        <v>72</v>
      </c>
    </row>
    <row r="48" spans="1:26" ht="15" thickBot="1" x14ac:dyDescent="0.35"/>
    <row r="49" spans="1:16384" ht="15" thickBot="1" x14ac:dyDescent="0.35">
      <c r="A49" s="65" t="s">
        <v>78</v>
      </c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spans="1:16384" x14ac:dyDescent="0.3">
      <c r="A50">
        <v>1</v>
      </c>
      <c r="B50" s="3" t="s">
        <v>79</v>
      </c>
      <c r="C50" s="6" t="s">
        <v>80</v>
      </c>
      <c r="D50" s="7" t="s">
        <v>51</v>
      </c>
      <c r="E50" s="8" t="s">
        <v>81</v>
      </c>
      <c r="F50" s="30">
        <f>SUMIF('[3]GeoX '!$A$1:$A$28,"Hrushikesh Bagade",'[3]GeoX '!$H$1:$H$28)</f>
        <v>0.4</v>
      </c>
      <c r="G50" s="31">
        <f>SUMIF('[1]Opportunity Pipeline'!$F:$F, "Hrushikesh Bagade",'[1]Opportunity Pipeline'!$Q:$Q)/10^7</f>
        <v>0.29095014400000002</v>
      </c>
      <c r="H50" s="32">
        <f t="shared" ref="H50:H52" si="72">IFERROR(G50/F50,"-")</f>
        <v>0.72737536000000003</v>
      </c>
      <c r="I50" s="30">
        <f>SUMIF('[3]GeoX '!$A$1:$A$28,"Hrushikesh Bagade",'[3]GeoX '!$I$1:$I$28)</f>
        <v>0.65</v>
      </c>
      <c r="J50" s="31">
        <f>SUMIF('[2]Opportunity Pipeline '!$F:$F,"Hrushikesh Bagade",'[2]Opportunity Pipeline '!$Q:$Q)/10^7</f>
        <v>2.0729000000000001E-2</v>
      </c>
      <c r="K50" s="32">
        <f t="shared" ref="K50" si="73">IFERROR(J50/I50,"-")</f>
        <v>3.1890769230769229E-2</v>
      </c>
      <c r="L50" s="33">
        <f>'[31]Hrushikesh TARGET LETTER 26-27'!$D$9/10^7</f>
        <v>1.05</v>
      </c>
      <c r="M50" s="31">
        <f t="shared" ref="M50" si="74">SUM(G50,J50)</f>
        <v>0.31167914400000002</v>
      </c>
      <c r="N50" s="32">
        <f t="shared" ref="N50" si="75">IFERROR(M50/L50,"-")</f>
        <v>0.29683727999999998</v>
      </c>
      <c r="O50" s="27">
        <f>'[31]Hrushikesh TARGET LETTER 26-27'!$D$10/10^7</f>
        <v>1.35</v>
      </c>
      <c r="P50" s="27" t="s">
        <v>117</v>
      </c>
      <c r="Q50" s="32" t="s">
        <v>117</v>
      </c>
      <c r="R50" s="33">
        <f t="shared" ref="R50" si="76">SUM(L50,O50)</f>
        <v>2.4000000000000004</v>
      </c>
      <c r="S50" s="33">
        <f t="shared" ref="S50" si="77">SUM(M50,P50)</f>
        <v>0.31167914400000002</v>
      </c>
      <c r="T50" s="32">
        <f t="shared" ref="T50" si="78">IFERROR(S50/R50,"-")</f>
        <v>0.12986630999999998</v>
      </c>
      <c r="U50" s="27">
        <f>COUNTIF('[1]Opportunity Pipeline'!$F:$F,"Hrushikesh Bagade")+ COUNTIF('[2]Opportunity Pipeline '!$F:$F,"Hrushikesh Bagade")</f>
        <v>56</v>
      </c>
    </row>
    <row r="51" spans="1:16384" x14ac:dyDescent="0.3">
      <c r="B51" s="3" t="s">
        <v>79</v>
      </c>
      <c r="C51" s="6" t="s">
        <v>80</v>
      </c>
      <c r="D51" s="7" t="s">
        <v>51</v>
      </c>
      <c r="E51" s="8" t="s">
        <v>139</v>
      </c>
      <c r="F51" s="30">
        <f>SUMIF('[3]GeoX '!$A$1:$A$28,"Hrushikesh Bagade",'[3]GeoX '!$C$1:$C$28)</f>
        <v>2.5</v>
      </c>
      <c r="G51" s="31">
        <f>SUMIF('[1]Opportunity Pipeline'!$F:$F, "Hrushikesh Bagade",'[1]Opportunity Pipeline'!$O:$O)/10^7</f>
        <v>3.8126083999999998</v>
      </c>
      <c r="H51" s="32">
        <f t="shared" ref="H51" si="79">IFERROR(G51/F51,"-")</f>
        <v>1.52504336</v>
      </c>
      <c r="I51" s="30">
        <f>SUMIF('[3]GeoX '!$A$1:$A$28,"Hrushikesh Bagade",'[3]GeoX '!$D$1:$D$28)</f>
        <v>5</v>
      </c>
      <c r="J51" s="31">
        <f>SUMIF('[2]Opportunity Pipeline '!$F:$F,"Hrushikesh Bagade",'[2]Opportunity Pipeline '!$O:$O)/10^7</f>
        <v>5.5104E-2</v>
      </c>
      <c r="K51" s="32">
        <f t="shared" ref="K51" si="80">IFERROR(J51/I51,"-")</f>
        <v>1.1020800000000001E-2</v>
      </c>
      <c r="L51" s="33"/>
      <c r="M51" s="31">
        <f t="shared" ref="M51" si="81">SUM(G51,J51)</f>
        <v>3.8677123999999998</v>
      </c>
      <c r="N51" s="32" t="str">
        <f t="shared" ref="N51" si="82">IFERROR(M51/L51,"-")</f>
        <v>-</v>
      </c>
      <c r="O51" s="27"/>
      <c r="P51" s="27" t="s">
        <v>117</v>
      </c>
      <c r="Q51" s="32" t="s">
        <v>117</v>
      </c>
      <c r="R51" s="33">
        <f t="shared" ref="R51" si="83">SUM(L51,O51)</f>
        <v>0</v>
      </c>
      <c r="S51" s="33">
        <f t="shared" ref="S51" si="84">SUM(M51,P51)</f>
        <v>3.8677123999999998</v>
      </c>
      <c r="T51" s="32" t="str">
        <f t="shared" ref="T51" si="85">IFERROR(S51/R51,"-")</f>
        <v>-</v>
      </c>
      <c r="U51" s="27">
        <f>COUNTIF('[1]Opportunity Pipeline'!$F:$F,"Hrushikesh Bagade")+ COUNTIF('[2]Opportunity Pipeline '!$F:$F,"Hrushikesh Bagade")</f>
        <v>56</v>
      </c>
    </row>
    <row r="52" spans="1:16384" s="43" customFormat="1" x14ac:dyDescent="0.3">
      <c r="B52" s="5" t="s">
        <v>82</v>
      </c>
      <c r="F52" s="44">
        <f>SUM(F51)</f>
        <v>2.5</v>
      </c>
      <c r="G52" s="44">
        <f>SUM(G51)</f>
        <v>3.8126083999999998</v>
      </c>
      <c r="H52" s="45">
        <f t="shared" si="72"/>
        <v>1.52504336</v>
      </c>
      <c r="I52" s="44">
        <f>SUM(I51)</f>
        <v>5</v>
      </c>
      <c r="J52" s="44">
        <f>SUM(J51)</f>
        <v>5.5104E-2</v>
      </c>
      <c r="K52" s="45">
        <f>J52/I52</f>
        <v>1.1020800000000001E-2</v>
      </c>
      <c r="L52" s="44">
        <f>SUM(L51)</f>
        <v>0</v>
      </c>
      <c r="M52" s="44">
        <f>SUM(M51)</f>
        <v>3.8677123999999998</v>
      </c>
      <c r="N52" s="45" t="e">
        <f>M52/L52</f>
        <v>#DIV/0!</v>
      </c>
      <c r="O52" s="44">
        <f>SUM(O50)</f>
        <v>1.35</v>
      </c>
      <c r="P52" s="44">
        <f>SUM(P50)</f>
        <v>0</v>
      </c>
      <c r="Q52" s="45">
        <f>P52/O52</f>
        <v>0</v>
      </c>
      <c r="R52" s="44">
        <f>SUM(R50)</f>
        <v>2.4000000000000004</v>
      </c>
      <c r="S52" s="44">
        <f>SUM(S51)</f>
        <v>3.8677123999999998</v>
      </c>
      <c r="T52" s="45">
        <f>S52/R52</f>
        <v>1.6115468333333329</v>
      </c>
      <c r="U52" s="46">
        <f>SUM(U50)</f>
        <v>56</v>
      </c>
    </row>
    <row r="53" spans="1:16384" ht="15" thickBot="1" x14ac:dyDescent="0.35"/>
    <row r="54" spans="1:16384" ht="15" thickBot="1" x14ac:dyDescent="0.35">
      <c r="A54" s="65" t="s">
        <v>136</v>
      </c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spans="1:16384" x14ac:dyDescent="0.3">
      <c r="A55">
        <v>1</v>
      </c>
      <c r="B55" t="s">
        <v>122</v>
      </c>
      <c r="C55" s="6" t="s">
        <v>131</v>
      </c>
      <c r="D55" s="7" t="s">
        <v>51</v>
      </c>
      <c r="E55" s="8" t="s">
        <v>81</v>
      </c>
      <c r="F55" s="30"/>
      <c r="G55" s="31">
        <f>SUMIF('[1]Opportunity Pipeline'!$F:$F, "Ajay Patodia",'[1]Opportunity Pipeline'!$Q:$Q)/10^7</f>
        <v>0.55290700400000004</v>
      </c>
      <c r="H55" s="32" t="str">
        <f t="shared" ref="H55:H57" si="86">IFERROR(G55/F55,"-")</f>
        <v>-</v>
      </c>
      <c r="I55" s="30">
        <f>SUMIF('[3]GeoX '!$A$1:$A$28,"Ajay Patodia",'[3]GeoX '!$D$1:$D$28)</f>
        <v>0</v>
      </c>
      <c r="J55" s="31">
        <f>SUMIF('[2]Opportunity Pipeline '!$F:$F,"Ajay Patodia",'[2]Opportunity Pipeline '!$O:$O)/10^7</f>
        <v>0.78806980000000004</v>
      </c>
      <c r="K55" s="32" t="str">
        <f t="shared" ref="K55:K57" si="87">IFERROR(J55/I55,"-")</f>
        <v>-</v>
      </c>
      <c r="L55" s="33"/>
      <c r="M55" s="31">
        <f t="shared" ref="M55:M57" si="88">SUM(G55,J55)</f>
        <v>1.3409768040000001</v>
      </c>
      <c r="N55" s="32" t="str">
        <f t="shared" ref="N55:N57" si="89">IFERROR(M55/L55,"-")</f>
        <v>-</v>
      </c>
      <c r="O55" s="27"/>
      <c r="P55" s="27" t="s">
        <v>117</v>
      </c>
      <c r="Q55" s="32" t="s">
        <v>117</v>
      </c>
      <c r="R55" s="33">
        <f t="shared" ref="R55:R57" si="90">SUM(L55,O55)</f>
        <v>0</v>
      </c>
      <c r="S55" s="33">
        <f t="shared" ref="S55:S57" si="91">SUM(M55,P55)</f>
        <v>1.3409768040000001</v>
      </c>
      <c r="T55" s="32" t="str">
        <f t="shared" ref="T55:T57" si="92">IFERROR(S55/R55,"-")</f>
        <v>-</v>
      </c>
      <c r="U55" s="27">
        <f>COUNTIF('[1]Opportunity Pipeline'!$F:$F,"Ajay Patodia")+ COUNTIF('[2]Opportunity Pipeline '!$F:$F,"Ajay Patodia")</f>
        <v>32</v>
      </c>
    </row>
    <row r="56" spans="1:16384" x14ac:dyDescent="0.3">
      <c r="B56" t="s">
        <v>122</v>
      </c>
      <c r="C56" s="6" t="s">
        <v>131</v>
      </c>
      <c r="D56" s="7" t="s">
        <v>51</v>
      </c>
      <c r="E56" s="8" t="s">
        <v>139</v>
      </c>
      <c r="F56" s="30"/>
      <c r="G56" s="31">
        <f>SUMIF('[1]Opportunity Pipeline'!$F:$F, "Ajay Patodia",'[1]Opportunity Pipeline'!$O:$O)/10^7</f>
        <v>9.4460405699999974</v>
      </c>
      <c r="H56" s="32" t="str">
        <f t="shared" si="86"/>
        <v>-</v>
      </c>
      <c r="I56" s="30">
        <f>SUMIF('[3]GeoX '!$A$1:$A$28,"Ajay Patodia",'[3]GeoX '!$D$1:$D$28)</f>
        <v>0</v>
      </c>
      <c r="J56" s="31">
        <f>SUMIF('[2]Opportunity Pipeline '!$F:$F,"Ajay Patodia",'[2]Opportunity Pipeline '!$O:$O)/10^7</f>
        <v>0.78806980000000004</v>
      </c>
      <c r="K56" s="32" t="str">
        <f t="shared" si="87"/>
        <v>-</v>
      </c>
      <c r="L56" s="33"/>
      <c r="M56" s="31">
        <f t="shared" si="88"/>
        <v>10.234110369999998</v>
      </c>
      <c r="N56" s="32" t="str">
        <f t="shared" si="89"/>
        <v>-</v>
      </c>
      <c r="O56" s="27"/>
      <c r="P56" s="27" t="s">
        <v>117</v>
      </c>
      <c r="Q56" s="32" t="s">
        <v>117</v>
      </c>
      <c r="R56" s="33">
        <f t="shared" si="90"/>
        <v>0</v>
      </c>
      <c r="S56" s="33">
        <f t="shared" si="91"/>
        <v>10.234110369999998</v>
      </c>
      <c r="T56" s="32" t="str">
        <f t="shared" si="92"/>
        <v>-</v>
      </c>
      <c r="U56" s="27">
        <f>COUNTIF('[1]Opportunity Pipeline'!$F:$F,"Ajay Patodia")+ COUNTIF('[2]Opportunity Pipeline '!$F:$F,"Ajay Patodia")</f>
        <v>32</v>
      </c>
    </row>
    <row r="57" spans="1:16384" ht="15" customHeight="1" x14ac:dyDescent="0.3">
      <c r="A57">
        <v>2</v>
      </c>
      <c r="B57" t="s">
        <v>137</v>
      </c>
      <c r="C57" s="6" t="s">
        <v>138</v>
      </c>
      <c r="D57" s="7" t="s">
        <v>51</v>
      </c>
      <c r="E57" s="8" t="s">
        <v>139</v>
      </c>
      <c r="F57" s="30"/>
      <c r="G57" s="31">
        <f>SUMIF('[1]Opportunity Pipeline'!$F:$F, "Yusufali Petiwala",'[1]Opportunity Pipeline'!$O:$O)/10^7</f>
        <v>1.076047508</v>
      </c>
      <c r="H57" s="32" t="str">
        <f t="shared" si="86"/>
        <v>-</v>
      </c>
      <c r="I57" s="30">
        <f>SUMIF('[3]GeoX '!$A$1:$A$28,"Yusufali Petiwala",'[3]GeoX '!$D$1:$D$28)</f>
        <v>0</v>
      </c>
      <c r="J57" s="31">
        <f>SUMIF('[2]Opportunity Pipeline '!$F:$F,"Yusufali Petiwala",'[2]Opportunity Pipeline '!$O:$O)/10^7</f>
        <v>0</v>
      </c>
      <c r="K57" s="32" t="str">
        <f t="shared" si="87"/>
        <v>-</v>
      </c>
      <c r="L57" s="33"/>
      <c r="M57" s="31">
        <f t="shared" si="88"/>
        <v>1.076047508</v>
      </c>
      <c r="N57" s="32" t="str">
        <f t="shared" si="89"/>
        <v>-</v>
      </c>
      <c r="O57" s="27"/>
      <c r="P57" s="27" t="s">
        <v>117</v>
      </c>
      <c r="Q57" s="32" t="s">
        <v>117</v>
      </c>
      <c r="R57" s="33">
        <f t="shared" si="90"/>
        <v>0</v>
      </c>
      <c r="S57" s="33">
        <f t="shared" si="91"/>
        <v>1.076047508</v>
      </c>
      <c r="T57" s="32" t="str">
        <f t="shared" si="92"/>
        <v>-</v>
      </c>
      <c r="U57" s="27">
        <f>COUNTIF('[1]Opportunity Pipeline'!$F:$F,"Yusufali Petiwala")+ COUNTIF('[2]Opportunity Pipeline '!$F:$F,"Yusufali Petiwala")</f>
        <v>13</v>
      </c>
    </row>
    <row r="58" spans="1:16384" ht="15" customHeight="1" x14ac:dyDescent="0.3">
      <c r="A58">
        <v>3</v>
      </c>
      <c r="B58" t="s">
        <v>141</v>
      </c>
      <c r="C58" s="60" t="s">
        <v>29</v>
      </c>
      <c r="D58" s="7" t="s">
        <v>51</v>
      </c>
      <c r="E58" s="8" t="s">
        <v>139</v>
      </c>
      <c r="F58" s="30"/>
      <c r="G58" s="31">
        <f>SUMIF('[1]Opportunity Pipeline'!$F:$F, "Ishwari Kadam",'[1]Opportunity Pipeline'!$O:$O)/10^7</f>
        <v>6.26694</v>
      </c>
      <c r="H58" s="32" t="str">
        <f t="shared" ref="H58:H65" si="93">IFERROR(G58/F58,"-")</f>
        <v>-</v>
      </c>
      <c r="I58" s="30">
        <f>SUMIF('[3]GeoX '!$A$1:$A$28,"Ishwari Kadam",'[3]GeoX '!$D$1:$D$28)</f>
        <v>0</v>
      </c>
      <c r="J58" s="31">
        <f>SUMIF('[2]Opportunity Pipeline '!$F:$F,"Ishwari Kadam",'[2]Opportunity Pipeline '!$O:$O)/10^7</f>
        <v>0</v>
      </c>
      <c r="K58" s="32" t="str">
        <f t="shared" ref="K58:K59" si="94">IFERROR(J58/I58,"-")</f>
        <v>-</v>
      </c>
      <c r="L58" s="33"/>
      <c r="M58" s="31">
        <f t="shared" ref="M58:M59" si="95">SUM(G58,J58)</f>
        <v>6.26694</v>
      </c>
      <c r="N58" s="32" t="str">
        <f t="shared" ref="N58:N59" si="96">IFERROR(M58/L58,"-")</f>
        <v>-</v>
      </c>
      <c r="O58" s="27"/>
      <c r="P58" s="27" t="s">
        <v>117</v>
      </c>
      <c r="Q58" s="32" t="s">
        <v>117</v>
      </c>
      <c r="R58" s="33">
        <f t="shared" ref="R58:R59" si="97">SUM(L58,O58)</f>
        <v>0</v>
      </c>
      <c r="S58" s="33">
        <f t="shared" ref="S58:S59" si="98">SUM(M58,P58)</f>
        <v>6.26694</v>
      </c>
      <c r="T58" s="32" t="str">
        <f t="shared" ref="T58:T59" si="99">IFERROR(S58/R58,"-")</f>
        <v>-</v>
      </c>
      <c r="U58" s="27">
        <f>COUNTIF('[1]Opportunity Pipeline'!$F:$F,"Ishwari Kadam")+ COUNTIF('[2]Opportunity Pipeline '!$F:$F,"Ishwari Kadam")</f>
        <v>4</v>
      </c>
    </row>
    <row r="59" spans="1:16384" ht="15" customHeight="1" x14ac:dyDescent="0.3">
      <c r="A59">
        <v>4</v>
      </c>
      <c r="B59" t="s">
        <v>126</v>
      </c>
      <c r="C59" s="60" t="s">
        <v>80</v>
      </c>
      <c r="D59" s="7" t="s">
        <v>51</v>
      </c>
      <c r="E59" s="8" t="s">
        <v>139</v>
      </c>
      <c r="F59" s="30">
        <f>SUMIF('[3]GeoX '!$A$1:$A$28,"Sanjeev Kohli",'[3]GeoX '!$C$1:$C$28)</f>
        <v>2.5</v>
      </c>
      <c r="G59" s="31">
        <f>SUMIF('[1]Opportunity Pipeline'!$F:$F, "Sanjeev Kohli",'[1]Opportunity Pipeline'!$O:$O)/10^7</f>
        <v>2.19665</v>
      </c>
      <c r="H59" s="32">
        <f t="shared" si="93"/>
        <v>0.87866</v>
      </c>
      <c r="I59" s="30">
        <f>SUMIF('[3]GeoX '!$A$1:$A$28,"Sanjeev Kohli",'[3]GeoX '!$D$1:$D$28)</f>
        <v>5</v>
      </c>
      <c r="J59" s="31">
        <f>SUMIF('[2]Opportunity Pipeline '!$F:$F,"Sanjeev Kohli",'[2]Opportunity Pipeline '!$O:$O)/10^7</f>
        <v>0</v>
      </c>
      <c r="K59" s="32">
        <f t="shared" si="94"/>
        <v>0</v>
      </c>
      <c r="L59" s="33"/>
      <c r="M59" s="31">
        <f t="shared" si="95"/>
        <v>2.19665</v>
      </c>
      <c r="N59" s="32" t="str">
        <f t="shared" si="96"/>
        <v>-</v>
      </c>
      <c r="O59" s="27"/>
      <c r="P59" s="27" t="s">
        <v>117</v>
      </c>
      <c r="Q59" s="32" t="s">
        <v>117</v>
      </c>
      <c r="R59" s="33">
        <f t="shared" si="97"/>
        <v>0</v>
      </c>
      <c r="S59" s="33">
        <f t="shared" si="98"/>
        <v>2.19665</v>
      </c>
      <c r="T59" s="32" t="str">
        <f t="shared" si="99"/>
        <v>-</v>
      </c>
      <c r="U59" s="27">
        <f>COUNTIF('[1]Opportunity Pipeline'!$F:$F,"Sanjeev Kohli")+ COUNTIF('[2]Opportunity Pipeline '!$F:$F,"Sanjeev Kohli")</f>
        <v>1</v>
      </c>
    </row>
    <row r="60" spans="1:16384" ht="15" customHeight="1" x14ac:dyDescent="0.3">
      <c r="A60">
        <v>5</v>
      </c>
      <c r="B60" t="s">
        <v>54</v>
      </c>
      <c r="C60" s="60"/>
      <c r="D60" s="7"/>
      <c r="E60" s="8"/>
      <c r="F60" s="30">
        <f>SUMIF('[3]CB '!$A$1:$A$28,"Jimesh Shah",'[3]CB '!$C$1:$C$28)</f>
        <v>0</v>
      </c>
      <c r="G60" s="31">
        <f>SUMIF('[1]Opportunity Pipeline'!$F:$F, "Jimesh Shah",'[1]Opportunity Pipeline'!$O:$O)/10^7</f>
        <v>2.2727199999999999E-2</v>
      </c>
      <c r="H60" s="32" t="str">
        <f t="shared" si="93"/>
        <v>-</v>
      </c>
      <c r="I60" s="30">
        <f>SUMIF('[3]GeoX '!$A$1:$A$28,"Jimesh Shah",'[3]GeoX '!$D$1:$D$28)</f>
        <v>0</v>
      </c>
      <c r="J60" s="31">
        <f>SUMIF('[2]Opportunity Pipeline '!$F:$F,"Jimesh Shah",'[2]Opportunity Pipeline '!$O:$O)/10^7</f>
        <v>1.7840000000000002E-2</v>
      </c>
      <c r="K60" s="32" t="str">
        <f t="shared" ref="K60" si="100">IFERROR(J60/I60,"-")</f>
        <v>-</v>
      </c>
      <c r="L60" s="33"/>
      <c r="M60" s="31">
        <f t="shared" ref="M60" si="101">SUM(G60,J60)</f>
        <v>4.0567199999999998E-2</v>
      </c>
      <c r="N60" s="32" t="str">
        <f t="shared" ref="N60" si="102">IFERROR(M60/L60,"-")</f>
        <v>-</v>
      </c>
      <c r="O60" s="27"/>
      <c r="P60" s="27" t="s">
        <v>117</v>
      </c>
      <c r="Q60" s="32" t="s">
        <v>117</v>
      </c>
      <c r="R60" s="33">
        <f t="shared" ref="R60" si="103">SUM(L60,O60)</f>
        <v>0</v>
      </c>
      <c r="S60" s="33">
        <f t="shared" ref="S60" si="104">SUM(M60,P60)</f>
        <v>4.0567199999999998E-2</v>
      </c>
      <c r="T60" s="32" t="str">
        <f t="shared" ref="T60" si="105">IFERROR(S60/R60,"-")</f>
        <v>-</v>
      </c>
      <c r="U60" s="27">
        <f>COUNTIF('[1]Opportunity Pipeline'!$F:$F,"Jimesh Shah")+ COUNTIF('[2]Opportunity Pipeline '!$F:$F,"Jimesh Shah")</f>
        <v>6</v>
      </c>
    </row>
    <row r="61" spans="1:16384" ht="15" customHeight="1" x14ac:dyDescent="0.3">
      <c r="A61">
        <v>6</v>
      </c>
      <c r="B61" t="s">
        <v>128</v>
      </c>
      <c r="C61" s="60"/>
      <c r="D61" s="7" t="s">
        <v>51</v>
      </c>
      <c r="E61" s="8" t="s">
        <v>81</v>
      </c>
      <c r="F61" s="30"/>
      <c r="G61" s="31">
        <f>SUMIF('[1]Opportunity Pipeline'!$F:$F, "Jitesh Rajput",'[1]Opportunity Pipeline'!$O:$O)/10^7</f>
        <v>1.5479999999999999E-3</v>
      </c>
      <c r="H61" s="32" t="str">
        <f t="shared" si="93"/>
        <v>-</v>
      </c>
      <c r="I61" s="30"/>
      <c r="J61" s="31">
        <f>SUMIF('[2]Opportunity Pipeline '!$F:$F,"Jitesh Rajput",'[2]Opportunity Pipeline '!$O:$O)/10^7</f>
        <v>0</v>
      </c>
      <c r="K61" s="32" t="str">
        <f t="shared" ref="K61" si="106">IFERROR(J61/I61,"-")</f>
        <v>-</v>
      </c>
      <c r="L61" s="33"/>
      <c r="M61" s="31">
        <f t="shared" ref="M61" si="107">SUM(G61,J61)</f>
        <v>1.5479999999999999E-3</v>
      </c>
      <c r="N61" s="32" t="str">
        <f t="shared" ref="N61" si="108">IFERROR(M61/L61,"-")</f>
        <v>-</v>
      </c>
      <c r="O61" s="27"/>
      <c r="P61" s="27" t="s">
        <v>117</v>
      </c>
      <c r="Q61" s="32" t="s">
        <v>117</v>
      </c>
      <c r="R61" s="33">
        <f t="shared" ref="R61" si="109">SUM(L61,O61)</f>
        <v>0</v>
      </c>
      <c r="S61" s="33">
        <f t="shared" ref="S61" si="110">SUM(M61,P61)</f>
        <v>1.5479999999999999E-3</v>
      </c>
      <c r="T61" s="32" t="str">
        <f t="shared" ref="T61" si="111">IFERROR(S61/R61,"-")</f>
        <v>-</v>
      </c>
      <c r="U61" s="27">
        <f>COUNTIF('[1]Opportunity Pipeline'!$F:$F,"Jitesh Rajput")+ COUNTIF('[2]Opportunity Pipeline '!$F:$F,"Jitesh Rajput")</f>
        <v>3</v>
      </c>
    </row>
    <row r="62" spans="1:16384" s="61" customFormat="1" ht="15" customHeight="1" x14ac:dyDescent="0.3">
      <c r="A62">
        <v>7</v>
      </c>
      <c r="B62" s="61" t="s">
        <v>142</v>
      </c>
      <c r="F62" s="30"/>
      <c r="G62" s="31">
        <f>SUMIF('[1]Opportunity Pipeline'!$F:$F, "Darshana Patil",'[1]Opportunity Pipeline'!$O:$O)/10^7</f>
        <v>6.2075615040000001</v>
      </c>
      <c r="H62" s="32" t="str">
        <f t="shared" si="93"/>
        <v>-</v>
      </c>
      <c r="I62" s="30"/>
      <c r="J62" s="31">
        <f>SUMIF('[2]Opportunity Pipeline '!$F:$F,"Darshana Patil",'[2]Opportunity Pipeline '!$O:$O)/10^7</f>
        <v>0</v>
      </c>
      <c r="K62" s="32" t="str">
        <f t="shared" ref="K62" si="112">IFERROR(J62/I62,"-")</f>
        <v>-</v>
      </c>
      <c r="L62" s="33"/>
      <c r="M62" s="31">
        <f t="shared" ref="M62" si="113">SUM(G62,J62)</f>
        <v>6.2075615040000001</v>
      </c>
      <c r="N62" s="32" t="str">
        <f t="shared" ref="N62" si="114">IFERROR(M62/L62,"-")</f>
        <v>-</v>
      </c>
      <c r="O62" s="27"/>
      <c r="P62" s="27" t="s">
        <v>117</v>
      </c>
      <c r="Q62" s="32" t="s">
        <v>117</v>
      </c>
      <c r="R62" s="33">
        <f t="shared" ref="R62" si="115">SUM(L62,O62)</f>
        <v>0</v>
      </c>
      <c r="S62" s="33">
        <f t="shared" ref="S62" si="116">SUM(M62,P62)</f>
        <v>6.2075615040000001</v>
      </c>
      <c r="T62" s="32" t="str">
        <f t="shared" ref="T62" si="117">IFERROR(S62/R62,"-")</f>
        <v>-</v>
      </c>
      <c r="U62" s="27">
        <f>COUNTIF('[1]Opportunity Pipeline'!$F:$F,"Darshana Patil")+ COUNTIF('[2]Opportunity Pipeline '!$F:$F,"Darshana Patil")</f>
        <v>14</v>
      </c>
    </row>
    <row r="63" spans="1:16384" s="43" customFormat="1" x14ac:dyDescent="0.3">
      <c r="B63" s="5" t="s">
        <v>140</v>
      </c>
      <c r="F63" s="44">
        <f>SUM(F56:F57)</f>
        <v>0</v>
      </c>
      <c r="G63" s="44">
        <f>SUM(G56:G59,G60,G62)</f>
        <v>25.215966781999999</v>
      </c>
      <c r="H63" s="43" t="str">
        <f t="shared" si="93"/>
        <v>-</v>
      </c>
      <c r="I63" s="44">
        <f t="shared" ref="H63:T63" si="118">SUM(I56:I59,I60,I62)</f>
        <v>5</v>
      </c>
      <c r="J63" s="44">
        <f t="shared" si="118"/>
        <v>0.80590980000000001</v>
      </c>
      <c r="K63" s="44">
        <f t="shared" si="118"/>
        <v>0</v>
      </c>
      <c r="L63" s="44">
        <f t="shared" si="118"/>
        <v>0</v>
      </c>
      <c r="M63" s="44">
        <f t="shared" si="118"/>
        <v>26.021876581999997</v>
      </c>
      <c r="N63" s="44">
        <f t="shared" si="118"/>
        <v>0</v>
      </c>
      <c r="O63" s="44">
        <f t="shared" si="118"/>
        <v>0</v>
      </c>
      <c r="P63" s="44">
        <f t="shared" si="118"/>
        <v>0</v>
      </c>
      <c r="Q63" s="44">
        <f t="shared" si="118"/>
        <v>0</v>
      </c>
      <c r="R63" s="44">
        <f t="shared" si="118"/>
        <v>0</v>
      </c>
      <c r="S63" s="44">
        <f t="shared" si="118"/>
        <v>26.021876581999997</v>
      </c>
      <c r="T63" s="44">
        <f t="shared" si="118"/>
        <v>0</v>
      </c>
      <c r="U63" s="44">
        <f>SUM(U56:U62)</f>
        <v>73</v>
      </c>
      <c r="V63" s="44">
        <f t="shared" ref="V63:CG63" si="119">SUM(V56:V57)</f>
        <v>0</v>
      </c>
      <c r="W63" s="44">
        <f t="shared" si="119"/>
        <v>0</v>
      </c>
      <c r="X63" s="44">
        <f t="shared" si="119"/>
        <v>0</v>
      </c>
      <c r="Y63" s="44">
        <f t="shared" si="119"/>
        <v>0</v>
      </c>
      <c r="Z63" s="44">
        <f t="shared" si="119"/>
        <v>0</v>
      </c>
      <c r="AA63" s="44">
        <f t="shared" si="119"/>
        <v>0</v>
      </c>
      <c r="AB63" s="44">
        <f t="shared" si="119"/>
        <v>0</v>
      </c>
      <c r="AC63" s="44">
        <f t="shared" si="119"/>
        <v>0</v>
      </c>
      <c r="AD63" s="44">
        <f t="shared" si="119"/>
        <v>0</v>
      </c>
      <c r="AE63" s="44">
        <f t="shared" si="119"/>
        <v>0</v>
      </c>
      <c r="AF63" s="44">
        <f t="shared" si="119"/>
        <v>0</v>
      </c>
      <c r="AG63" s="44">
        <f t="shared" si="119"/>
        <v>0</v>
      </c>
      <c r="AH63" s="44">
        <f t="shared" si="119"/>
        <v>0</v>
      </c>
      <c r="AI63" s="44">
        <f t="shared" si="119"/>
        <v>0</v>
      </c>
      <c r="AJ63" s="44">
        <f t="shared" si="119"/>
        <v>0</v>
      </c>
      <c r="AK63" s="44">
        <f t="shared" si="119"/>
        <v>0</v>
      </c>
      <c r="AL63" s="44">
        <f t="shared" si="119"/>
        <v>0</v>
      </c>
      <c r="AM63" s="44">
        <f t="shared" si="119"/>
        <v>0</v>
      </c>
      <c r="AN63" s="44">
        <f t="shared" si="119"/>
        <v>0</v>
      </c>
      <c r="AO63" s="44">
        <f t="shared" si="119"/>
        <v>0</v>
      </c>
      <c r="AP63" s="44">
        <f t="shared" si="119"/>
        <v>0</v>
      </c>
      <c r="AQ63" s="44">
        <f t="shared" si="119"/>
        <v>0</v>
      </c>
      <c r="AR63" s="44">
        <f t="shared" si="119"/>
        <v>0</v>
      </c>
      <c r="AS63" s="44">
        <f t="shared" si="119"/>
        <v>0</v>
      </c>
      <c r="AT63" s="44">
        <f t="shared" si="119"/>
        <v>0</v>
      </c>
      <c r="AU63" s="44">
        <f t="shared" si="119"/>
        <v>0</v>
      </c>
      <c r="AV63" s="44">
        <f t="shared" si="119"/>
        <v>0</v>
      </c>
      <c r="AW63" s="44">
        <f t="shared" si="119"/>
        <v>0</v>
      </c>
      <c r="AX63" s="44">
        <f t="shared" si="119"/>
        <v>0</v>
      </c>
      <c r="AY63" s="44">
        <f t="shared" si="119"/>
        <v>0</v>
      </c>
      <c r="AZ63" s="44">
        <f t="shared" si="119"/>
        <v>0</v>
      </c>
      <c r="BA63" s="44">
        <f t="shared" si="119"/>
        <v>0</v>
      </c>
      <c r="BB63" s="44">
        <f t="shared" si="119"/>
        <v>0</v>
      </c>
      <c r="BC63" s="44">
        <f t="shared" si="119"/>
        <v>0</v>
      </c>
      <c r="BD63" s="44">
        <f t="shared" si="119"/>
        <v>0</v>
      </c>
      <c r="BE63" s="44">
        <f t="shared" si="119"/>
        <v>0</v>
      </c>
      <c r="BF63" s="44">
        <f t="shared" si="119"/>
        <v>0</v>
      </c>
      <c r="BG63" s="44">
        <f t="shared" si="119"/>
        <v>0</v>
      </c>
      <c r="BH63" s="44">
        <f t="shared" si="119"/>
        <v>0</v>
      </c>
      <c r="BI63" s="44">
        <f t="shared" si="119"/>
        <v>0</v>
      </c>
      <c r="BJ63" s="44">
        <f t="shared" si="119"/>
        <v>0</v>
      </c>
      <c r="BK63" s="44">
        <f t="shared" si="119"/>
        <v>0</v>
      </c>
      <c r="BL63" s="44">
        <f t="shared" si="119"/>
        <v>0</v>
      </c>
      <c r="BM63" s="44">
        <f t="shared" si="119"/>
        <v>0</v>
      </c>
      <c r="BN63" s="44">
        <f t="shared" si="119"/>
        <v>0</v>
      </c>
      <c r="BO63" s="44">
        <f t="shared" si="119"/>
        <v>0</v>
      </c>
      <c r="BP63" s="44">
        <f t="shared" si="119"/>
        <v>0</v>
      </c>
      <c r="BQ63" s="44">
        <f t="shared" si="119"/>
        <v>0</v>
      </c>
      <c r="BR63" s="44">
        <f t="shared" si="119"/>
        <v>0</v>
      </c>
      <c r="BS63" s="44">
        <f t="shared" si="119"/>
        <v>0</v>
      </c>
      <c r="BT63" s="44">
        <f t="shared" si="119"/>
        <v>0</v>
      </c>
      <c r="BU63" s="44">
        <f t="shared" si="119"/>
        <v>0</v>
      </c>
      <c r="BV63" s="44">
        <f t="shared" si="119"/>
        <v>0</v>
      </c>
      <c r="BW63" s="44">
        <f t="shared" si="119"/>
        <v>0</v>
      </c>
      <c r="BX63" s="44">
        <f t="shared" si="119"/>
        <v>0</v>
      </c>
      <c r="BY63" s="44">
        <f t="shared" si="119"/>
        <v>0</v>
      </c>
      <c r="BZ63" s="44">
        <f t="shared" si="119"/>
        <v>0</v>
      </c>
      <c r="CA63" s="44">
        <f t="shared" si="119"/>
        <v>0</v>
      </c>
      <c r="CB63" s="44">
        <f t="shared" si="119"/>
        <v>0</v>
      </c>
      <c r="CC63" s="44">
        <f t="shared" si="119"/>
        <v>0</v>
      </c>
      <c r="CD63" s="44">
        <f t="shared" si="119"/>
        <v>0</v>
      </c>
      <c r="CE63" s="44">
        <f t="shared" si="119"/>
        <v>0</v>
      </c>
      <c r="CF63" s="44">
        <f t="shared" si="119"/>
        <v>0</v>
      </c>
      <c r="CG63" s="44">
        <f t="shared" si="119"/>
        <v>0</v>
      </c>
      <c r="CH63" s="44">
        <f t="shared" ref="CH63:ES63" si="120">SUM(CH56:CH57)</f>
        <v>0</v>
      </c>
      <c r="CI63" s="44">
        <f t="shared" si="120"/>
        <v>0</v>
      </c>
      <c r="CJ63" s="44">
        <f t="shared" si="120"/>
        <v>0</v>
      </c>
      <c r="CK63" s="44">
        <f t="shared" si="120"/>
        <v>0</v>
      </c>
      <c r="CL63" s="44">
        <f t="shared" si="120"/>
        <v>0</v>
      </c>
      <c r="CM63" s="44">
        <f t="shared" si="120"/>
        <v>0</v>
      </c>
      <c r="CN63" s="44">
        <f t="shared" si="120"/>
        <v>0</v>
      </c>
      <c r="CO63" s="44">
        <f t="shared" si="120"/>
        <v>0</v>
      </c>
      <c r="CP63" s="44">
        <f t="shared" si="120"/>
        <v>0</v>
      </c>
      <c r="CQ63" s="44">
        <f t="shared" si="120"/>
        <v>0</v>
      </c>
      <c r="CR63" s="44">
        <f t="shared" si="120"/>
        <v>0</v>
      </c>
      <c r="CS63" s="44">
        <f t="shared" si="120"/>
        <v>0</v>
      </c>
      <c r="CT63" s="44">
        <f t="shared" si="120"/>
        <v>0</v>
      </c>
      <c r="CU63" s="44">
        <f t="shared" si="120"/>
        <v>0</v>
      </c>
      <c r="CV63" s="44">
        <f t="shared" si="120"/>
        <v>0</v>
      </c>
      <c r="CW63" s="44">
        <f t="shared" si="120"/>
        <v>0</v>
      </c>
      <c r="CX63" s="44">
        <f t="shared" si="120"/>
        <v>0</v>
      </c>
      <c r="CY63" s="44">
        <f t="shared" si="120"/>
        <v>0</v>
      </c>
      <c r="CZ63" s="44">
        <f t="shared" si="120"/>
        <v>0</v>
      </c>
      <c r="DA63" s="44">
        <f t="shared" si="120"/>
        <v>0</v>
      </c>
      <c r="DB63" s="44">
        <f t="shared" si="120"/>
        <v>0</v>
      </c>
      <c r="DC63" s="44">
        <f t="shared" si="120"/>
        <v>0</v>
      </c>
      <c r="DD63" s="44">
        <f t="shared" si="120"/>
        <v>0</v>
      </c>
      <c r="DE63" s="44">
        <f t="shared" si="120"/>
        <v>0</v>
      </c>
      <c r="DF63" s="44">
        <f t="shared" si="120"/>
        <v>0</v>
      </c>
      <c r="DG63" s="44">
        <f t="shared" si="120"/>
        <v>0</v>
      </c>
      <c r="DH63" s="44">
        <f t="shared" si="120"/>
        <v>0</v>
      </c>
      <c r="DI63" s="44">
        <f t="shared" si="120"/>
        <v>0</v>
      </c>
      <c r="DJ63" s="44">
        <f t="shared" si="120"/>
        <v>0</v>
      </c>
      <c r="DK63" s="44">
        <f t="shared" si="120"/>
        <v>0</v>
      </c>
      <c r="DL63" s="44">
        <f t="shared" si="120"/>
        <v>0</v>
      </c>
      <c r="DM63" s="44">
        <f t="shared" si="120"/>
        <v>0</v>
      </c>
      <c r="DN63" s="44">
        <f t="shared" si="120"/>
        <v>0</v>
      </c>
      <c r="DO63" s="44">
        <f t="shared" si="120"/>
        <v>0</v>
      </c>
      <c r="DP63" s="44">
        <f t="shared" si="120"/>
        <v>0</v>
      </c>
      <c r="DQ63" s="44">
        <f t="shared" si="120"/>
        <v>0</v>
      </c>
      <c r="DR63" s="44">
        <f t="shared" si="120"/>
        <v>0</v>
      </c>
      <c r="DS63" s="44">
        <f t="shared" si="120"/>
        <v>0</v>
      </c>
      <c r="DT63" s="44">
        <f t="shared" si="120"/>
        <v>0</v>
      </c>
      <c r="DU63" s="44">
        <f t="shared" si="120"/>
        <v>0</v>
      </c>
      <c r="DV63" s="44">
        <f t="shared" si="120"/>
        <v>0</v>
      </c>
      <c r="DW63" s="44">
        <f t="shared" si="120"/>
        <v>0</v>
      </c>
      <c r="DX63" s="44">
        <f t="shared" si="120"/>
        <v>0</v>
      </c>
      <c r="DY63" s="44">
        <f t="shared" si="120"/>
        <v>0</v>
      </c>
      <c r="DZ63" s="44">
        <f t="shared" si="120"/>
        <v>0</v>
      </c>
      <c r="EA63" s="44">
        <f t="shared" si="120"/>
        <v>0</v>
      </c>
      <c r="EB63" s="44">
        <f t="shared" si="120"/>
        <v>0</v>
      </c>
      <c r="EC63" s="44">
        <f t="shared" si="120"/>
        <v>0</v>
      </c>
      <c r="ED63" s="44">
        <f t="shared" si="120"/>
        <v>0</v>
      </c>
      <c r="EE63" s="44">
        <f t="shared" si="120"/>
        <v>0</v>
      </c>
      <c r="EF63" s="44">
        <f t="shared" si="120"/>
        <v>0</v>
      </c>
      <c r="EG63" s="44">
        <f t="shared" si="120"/>
        <v>0</v>
      </c>
      <c r="EH63" s="44">
        <f t="shared" si="120"/>
        <v>0</v>
      </c>
      <c r="EI63" s="44">
        <f t="shared" si="120"/>
        <v>0</v>
      </c>
      <c r="EJ63" s="44">
        <f t="shared" si="120"/>
        <v>0</v>
      </c>
      <c r="EK63" s="44">
        <f t="shared" si="120"/>
        <v>0</v>
      </c>
      <c r="EL63" s="44">
        <f t="shared" si="120"/>
        <v>0</v>
      </c>
      <c r="EM63" s="44">
        <f t="shared" si="120"/>
        <v>0</v>
      </c>
      <c r="EN63" s="44">
        <f t="shared" si="120"/>
        <v>0</v>
      </c>
      <c r="EO63" s="44">
        <f t="shared" si="120"/>
        <v>0</v>
      </c>
      <c r="EP63" s="44">
        <f t="shared" si="120"/>
        <v>0</v>
      </c>
      <c r="EQ63" s="44">
        <f t="shared" si="120"/>
        <v>0</v>
      </c>
      <c r="ER63" s="44">
        <f t="shared" si="120"/>
        <v>0</v>
      </c>
      <c r="ES63" s="44">
        <f t="shared" si="120"/>
        <v>0</v>
      </c>
      <c r="ET63" s="44">
        <f t="shared" ref="ET63:HE63" si="121">SUM(ET56:ET57)</f>
        <v>0</v>
      </c>
      <c r="EU63" s="44">
        <f t="shared" si="121"/>
        <v>0</v>
      </c>
      <c r="EV63" s="44">
        <f t="shared" si="121"/>
        <v>0</v>
      </c>
      <c r="EW63" s="44">
        <f t="shared" si="121"/>
        <v>0</v>
      </c>
      <c r="EX63" s="44">
        <f t="shared" si="121"/>
        <v>0</v>
      </c>
      <c r="EY63" s="44">
        <f t="shared" si="121"/>
        <v>0</v>
      </c>
      <c r="EZ63" s="44">
        <f t="shared" si="121"/>
        <v>0</v>
      </c>
      <c r="FA63" s="44">
        <f t="shared" si="121"/>
        <v>0</v>
      </c>
      <c r="FB63" s="44">
        <f t="shared" si="121"/>
        <v>0</v>
      </c>
      <c r="FC63" s="44">
        <f t="shared" si="121"/>
        <v>0</v>
      </c>
      <c r="FD63" s="44">
        <f t="shared" si="121"/>
        <v>0</v>
      </c>
      <c r="FE63" s="44">
        <f t="shared" si="121"/>
        <v>0</v>
      </c>
      <c r="FF63" s="44">
        <f t="shared" si="121"/>
        <v>0</v>
      </c>
      <c r="FG63" s="44">
        <f t="shared" si="121"/>
        <v>0</v>
      </c>
      <c r="FH63" s="44">
        <f t="shared" si="121"/>
        <v>0</v>
      </c>
      <c r="FI63" s="44">
        <f t="shared" si="121"/>
        <v>0</v>
      </c>
      <c r="FJ63" s="44">
        <f t="shared" si="121"/>
        <v>0</v>
      </c>
      <c r="FK63" s="44">
        <f t="shared" si="121"/>
        <v>0</v>
      </c>
      <c r="FL63" s="44">
        <f t="shared" si="121"/>
        <v>0</v>
      </c>
      <c r="FM63" s="44">
        <f t="shared" si="121"/>
        <v>0</v>
      </c>
      <c r="FN63" s="44">
        <f t="shared" si="121"/>
        <v>0</v>
      </c>
      <c r="FO63" s="44">
        <f t="shared" si="121"/>
        <v>0</v>
      </c>
      <c r="FP63" s="44">
        <f t="shared" si="121"/>
        <v>0</v>
      </c>
      <c r="FQ63" s="44">
        <f t="shared" si="121"/>
        <v>0</v>
      </c>
      <c r="FR63" s="44">
        <f t="shared" si="121"/>
        <v>0</v>
      </c>
      <c r="FS63" s="44">
        <f t="shared" si="121"/>
        <v>0</v>
      </c>
      <c r="FT63" s="44">
        <f t="shared" si="121"/>
        <v>0</v>
      </c>
      <c r="FU63" s="44">
        <f t="shared" si="121"/>
        <v>0</v>
      </c>
      <c r="FV63" s="44">
        <f t="shared" si="121"/>
        <v>0</v>
      </c>
      <c r="FW63" s="44">
        <f t="shared" si="121"/>
        <v>0</v>
      </c>
      <c r="FX63" s="44">
        <f t="shared" si="121"/>
        <v>0</v>
      </c>
      <c r="FY63" s="44">
        <f t="shared" si="121"/>
        <v>0</v>
      </c>
      <c r="FZ63" s="44">
        <f t="shared" si="121"/>
        <v>0</v>
      </c>
      <c r="GA63" s="44">
        <f t="shared" si="121"/>
        <v>0</v>
      </c>
      <c r="GB63" s="44">
        <f t="shared" si="121"/>
        <v>0</v>
      </c>
      <c r="GC63" s="44">
        <f t="shared" si="121"/>
        <v>0</v>
      </c>
      <c r="GD63" s="44">
        <f t="shared" si="121"/>
        <v>0</v>
      </c>
      <c r="GE63" s="44">
        <f t="shared" si="121"/>
        <v>0</v>
      </c>
      <c r="GF63" s="44">
        <f t="shared" si="121"/>
        <v>0</v>
      </c>
      <c r="GG63" s="44">
        <f t="shared" si="121"/>
        <v>0</v>
      </c>
      <c r="GH63" s="44">
        <f t="shared" si="121"/>
        <v>0</v>
      </c>
      <c r="GI63" s="44">
        <f t="shared" si="121"/>
        <v>0</v>
      </c>
      <c r="GJ63" s="44">
        <f t="shared" si="121"/>
        <v>0</v>
      </c>
      <c r="GK63" s="44">
        <f t="shared" si="121"/>
        <v>0</v>
      </c>
      <c r="GL63" s="44">
        <f t="shared" si="121"/>
        <v>0</v>
      </c>
      <c r="GM63" s="44">
        <f t="shared" si="121"/>
        <v>0</v>
      </c>
      <c r="GN63" s="44">
        <f t="shared" si="121"/>
        <v>0</v>
      </c>
      <c r="GO63" s="44">
        <f t="shared" si="121"/>
        <v>0</v>
      </c>
      <c r="GP63" s="44">
        <f t="shared" si="121"/>
        <v>0</v>
      </c>
      <c r="GQ63" s="44">
        <f t="shared" si="121"/>
        <v>0</v>
      </c>
      <c r="GR63" s="44">
        <f t="shared" si="121"/>
        <v>0</v>
      </c>
      <c r="GS63" s="44">
        <f t="shared" si="121"/>
        <v>0</v>
      </c>
      <c r="GT63" s="44">
        <f t="shared" si="121"/>
        <v>0</v>
      </c>
      <c r="GU63" s="44">
        <f t="shared" si="121"/>
        <v>0</v>
      </c>
      <c r="GV63" s="44">
        <f t="shared" si="121"/>
        <v>0</v>
      </c>
      <c r="GW63" s="44">
        <f t="shared" si="121"/>
        <v>0</v>
      </c>
      <c r="GX63" s="44">
        <f t="shared" si="121"/>
        <v>0</v>
      </c>
      <c r="GY63" s="44">
        <f t="shared" si="121"/>
        <v>0</v>
      </c>
      <c r="GZ63" s="44">
        <f t="shared" si="121"/>
        <v>0</v>
      </c>
      <c r="HA63" s="44">
        <f t="shared" si="121"/>
        <v>0</v>
      </c>
      <c r="HB63" s="44">
        <f t="shared" si="121"/>
        <v>0</v>
      </c>
      <c r="HC63" s="44">
        <f t="shared" si="121"/>
        <v>0</v>
      </c>
      <c r="HD63" s="44">
        <f t="shared" si="121"/>
        <v>0</v>
      </c>
      <c r="HE63" s="44">
        <f t="shared" si="121"/>
        <v>0</v>
      </c>
      <c r="HF63" s="44">
        <f t="shared" ref="HF63:JQ63" si="122">SUM(HF56:HF57)</f>
        <v>0</v>
      </c>
      <c r="HG63" s="44">
        <f t="shared" si="122"/>
        <v>0</v>
      </c>
      <c r="HH63" s="44">
        <f t="shared" si="122"/>
        <v>0</v>
      </c>
      <c r="HI63" s="44">
        <f t="shared" si="122"/>
        <v>0</v>
      </c>
      <c r="HJ63" s="44">
        <f t="shared" si="122"/>
        <v>0</v>
      </c>
      <c r="HK63" s="44">
        <f t="shared" si="122"/>
        <v>0</v>
      </c>
      <c r="HL63" s="44">
        <f t="shared" si="122"/>
        <v>0</v>
      </c>
      <c r="HM63" s="44">
        <f t="shared" si="122"/>
        <v>0</v>
      </c>
      <c r="HN63" s="44">
        <f t="shared" si="122"/>
        <v>0</v>
      </c>
      <c r="HO63" s="44">
        <f t="shared" si="122"/>
        <v>0</v>
      </c>
      <c r="HP63" s="44">
        <f t="shared" si="122"/>
        <v>0</v>
      </c>
      <c r="HQ63" s="44">
        <f t="shared" si="122"/>
        <v>0</v>
      </c>
      <c r="HR63" s="44">
        <f t="shared" si="122"/>
        <v>0</v>
      </c>
      <c r="HS63" s="44">
        <f t="shared" si="122"/>
        <v>0</v>
      </c>
      <c r="HT63" s="44">
        <f t="shared" si="122"/>
        <v>0</v>
      </c>
      <c r="HU63" s="44">
        <f t="shared" si="122"/>
        <v>0</v>
      </c>
      <c r="HV63" s="44">
        <f t="shared" si="122"/>
        <v>0</v>
      </c>
      <c r="HW63" s="44">
        <f t="shared" si="122"/>
        <v>0</v>
      </c>
      <c r="HX63" s="44">
        <f t="shared" si="122"/>
        <v>0</v>
      </c>
      <c r="HY63" s="44">
        <f t="shared" si="122"/>
        <v>0</v>
      </c>
      <c r="HZ63" s="44">
        <f t="shared" si="122"/>
        <v>0</v>
      </c>
      <c r="IA63" s="44">
        <f t="shared" si="122"/>
        <v>0</v>
      </c>
      <c r="IB63" s="44">
        <f t="shared" si="122"/>
        <v>0</v>
      </c>
      <c r="IC63" s="44">
        <f t="shared" si="122"/>
        <v>0</v>
      </c>
      <c r="ID63" s="44">
        <f t="shared" si="122"/>
        <v>0</v>
      </c>
      <c r="IE63" s="44">
        <f t="shared" si="122"/>
        <v>0</v>
      </c>
      <c r="IF63" s="44">
        <f t="shared" si="122"/>
        <v>0</v>
      </c>
      <c r="IG63" s="44">
        <f t="shared" si="122"/>
        <v>0</v>
      </c>
      <c r="IH63" s="44">
        <f t="shared" si="122"/>
        <v>0</v>
      </c>
      <c r="II63" s="44">
        <f t="shared" si="122"/>
        <v>0</v>
      </c>
      <c r="IJ63" s="44">
        <f t="shared" si="122"/>
        <v>0</v>
      </c>
      <c r="IK63" s="44">
        <f t="shared" si="122"/>
        <v>0</v>
      </c>
      <c r="IL63" s="44">
        <f t="shared" si="122"/>
        <v>0</v>
      </c>
      <c r="IM63" s="44">
        <f t="shared" si="122"/>
        <v>0</v>
      </c>
      <c r="IN63" s="44">
        <f t="shared" si="122"/>
        <v>0</v>
      </c>
      <c r="IO63" s="44">
        <f t="shared" si="122"/>
        <v>0</v>
      </c>
      <c r="IP63" s="44">
        <f t="shared" si="122"/>
        <v>0</v>
      </c>
      <c r="IQ63" s="44">
        <f t="shared" si="122"/>
        <v>0</v>
      </c>
      <c r="IR63" s="44">
        <f t="shared" si="122"/>
        <v>0</v>
      </c>
      <c r="IS63" s="44">
        <f t="shared" si="122"/>
        <v>0</v>
      </c>
      <c r="IT63" s="44">
        <f t="shared" si="122"/>
        <v>0</v>
      </c>
      <c r="IU63" s="44">
        <f t="shared" si="122"/>
        <v>0</v>
      </c>
      <c r="IV63" s="44">
        <f t="shared" si="122"/>
        <v>0</v>
      </c>
      <c r="IW63" s="44">
        <f t="shared" si="122"/>
        <v>0</v>
      </c>
      <c r="IX63" s="44">
        <f t="shared" si="122"/>
        <v>0</v>
      </c>
      <c r="IY63" s="44">
        <f t="shared" si="122"/>
        <v>0</v>
      </c>
      <c r="IZ63" s="44">
        <f t="shared" si="122"/>
        <v>0</v>
      </c>
      <c r="JA63" s="44">
        <f t="shared" si="122"/>
        <v>0</v>
      </c>
      <c r="JB63" s="44">
        <f t="shared" si="122"/>
        <v>0</v>
      </c>
      <c r="JC63" s="44">
        <f t="shared" si="122"/>
        <v>0</v>
      </c>
      <c r="JD63" s="44">
        <f t="shared" si="122"/>
        <v>0</v>
      </c>
      <c r="JE63" s="44">
        <f t="shared" si="122"/>
        <v>0</v>
      </c>
      <c r="JF63" s="44">
        <f t="shared" si="122"/>
        <v>0</v>
      </c>
      <c r="JG63" s="44">
        <f t="shared" si="122"/>
        <v>0</v>
      </c>
      <c r="JH63" s="44">
        <f t="shared" si="122"/>
        <v>0</v>
      </c>
      <c r="JI63" s="44">
        <f t="shared" si="122"/>
        <v>0</v>
      </c>
      <c r="JJ63" s="44">
        <f t="shared" si="122"/>
        <v>0</v>
      </c>
      <c r="JK63" s="44">
        <f t="shared" si="122"/>
        <v>0</v>
      </c>
      <c r="JL63" s="44">
        <f t="shared" si="122"/>
        <v>0</v>
      </c>
      <c r="JM63" s="44">
        <f t="shared" si="122"/>
        <v>0</v>
      </c>
      <c r="JN63" s="44">
        <f t="shared" si="122"/>
        <v>0</v>
      </c>
      <c r="JO63" s="44">
        <f t="shared" si="122"/>
        <v>0</v>
      </c>
      <c r="JP63" s="44">
        <f t="shared" si="122"/>
        <v>0</v>
      </c>
      <c r="JQ63" s="44">
        <f t="shared" si="122"/>
        <v>0</v>
      </c>
      <c r="JR63" s="44">
        <f t="shared" ref="JR63:MC63" si="123">SUM(JR56:JR57)</f>
        <v>0</v>
      </c>
      <c r="JS63" s="44">
        <f t="shared" si="123"/>
        <v>0</v>
      </c>
      <c r="JT63" s="44">
        <f t="shared" si="123"/>
        <v>0</v>
      </c>
      <c r="JU63" s="44">
        <f t="shared" si="123"/>
        <v>0</v>
      </c>
      <c r="JV63" s="44">
        <f t="shared" si="123"/>
        <v>0</v>
      </c>
      <c r="JW63" s="44">
        <f t="shared" si="123"/>
        <v>0</v>
      </c>
      <c r="JX63" s="44">
        <f t="shared" si="123"/>
        <v>0</v>
      </c>
      <c r="JY63" s="44">
        <f t="shared" si="123"/>
        <v>0</v>
      </c>
      <c r="JZ63" s="44">
        <f t="shared" si="123"/>
        <v>0</v>
      </c>
      <c r="KA63" s="44">
        <f t="shared" si="123"/>
        <v>0</v>
      </c>
      <c r="KB63" s="44">
        <f t="shared" si="123"/>
        <v>0</v>
      </c>
      <c r="KC63" s="44">
        <f t="shared" si="123"/>
        <v>0</v>
      </c>
      <c r="KD63" s="44">
        <f t="shared" si="123"/>
        <v>0</v>
      </c>
      <c r="KE63" s="44">
        <f t="shared" si="123"/>
        <v>0</v>
      </c>
      <c r="KF63" s="44">
        <f t="shared" si="123"/>
        <v>0</v>
      </c>
      <c r="KG63" s="44">
        <f t="shared" si="123"/>
        <v>0</v>
      </c>
      <c r="KH63" s="44">
        <f t="shared" si="123"/>
        <v>0</v>
      </c>
      <c r="KI63" s="44">
        <f t="shared" si="123"/>
        <v>0</v>
      </c>
      <c r="KJ63" s="44">
        <f t="shared" si="123"/>
        <v>0</v>
      </c>
      <c r="KK63" s="44">
        <f t="shared" si="123"/>
        <v>0</v>
      </c>
      <c r="KL63" s="44">
        <f t="shared" si="123"/>
        <v>0</v>
      </c>
      <c r="KM63" s="44">
        <f t="shared" si="123"/>
        <v>0</v>
      </c>
      <c r="KN63" s="44">
        <f t="shared" si="123"/>
        <v>0</v>
      </c>
      <c r="KO63" s="44">
        <f t="shared" si="123"/>
        <v>0</v>
      </c>
      <c r="KP63" s="44">
        <f t="shared" si="123"/>
        <v>0</v>
      </c>
      <c r="KQ63" s="44">
        <f t="shared" si="123"/>
        <v>0</v>
      </c>
      <c r="KR63" s="44">
        <f t="shared" si="123"/>
        <v>0</v>
      </c>
      <c r="KS63" s="44">
        <f t="shared" si="123"/>
        <v>0</v>
      </c>
      <c r="KT63" s="44">
        <f t="shared" si="123"/>
        <v>0</v>
      </c>
      <c r="KU63" s="44">
        <f t="shared" si="123"/>
        <v>0</v>
      </c>
      <c r="KV63" s="44">
        <f t="shared" si="123"/>
        <v>0</v>
      </c>
      <c r="KW63" s="44">
        <f t="shared" si="123"/>
        <v>0</v>
      </c>
      <c r="KX63" s="44">
        <f t="shared" si="123"/>
        <v>0</v>
      </c>
      <c r="KY63" s="44">
        <f t="shared" si="123"/>
        <v>0</v>
      </c>
      <c r="KZ63" s="44">
        <f t="shared" si="123"/>
        <v>0</v>
      </c>
      <c r="LA63" s="44">
        <f t="shared" si="123"/>
        <v>0</v>
      </c>
      <c r="LB63" s="44">
        <f t="shared" si="123"/>
        <v>0</v>
      </c>
      <c r="LC63" s="44">
        <f t="shared" si="123"/>
        <v>0</v>
      </c>
      <c r="LD63" s="44">
        <f t="shared" si="123"/>
        <v>0</v>
      </c>
      <c r="LE63" s="44">
        <f t="shared" si="123"/>
        <v>0</v>
      </c>
      <c r="LF63" s="44">
        <f t="shared" si="123"/>
        <v>0</v>
      </c>
      <c r="LG63" s="44">
        <f t="shared" si="123"/>
        <v>0</v>
      </c>
      <c r="LH63" s="44">
        <f t="shared" si="123"/>
        <v>0</v>
      </c>
      <c r="LI63" s="44">
        <f t="shared" si="123"/>
        <v>0</v>
      </c>
      <c r="LJ63" s="44">
        <f t="shared" si="123"/>
        <v>0</v>
      </c>
      <c r="LK63" s="44">
        <f t="shared" si="123"/>
        <v>0</v>
      </c>
      <c r="LL63" s="44">
        <f t="shared" si="123"/>
        <v>0</v>
      </c>
      <c r="LM63" s="44">
        <f t="shared" si="123"/>
        <v>0</v>
      </c>
      <c r="LN63" s="44">
        <f t="shared" si="123"/>
        <v>0</v>
      </c>
      <c r="LO63" s="44">
        <f t="shared" si="123"/>
        <v>0</v>
      </c>
      <c r="LP63" s="44">
        <f t="shared" si="123"/>
        <v>0</v>
      </c>
      <c r="LQ63" s="44">
        <f t="shared" si="123"/>
        <v>0</v>
      </c>
      <c r="LR63" s="44">
        <f t="shared" si="123"/>
        <v>0</v>
      </c>
      <c r="LS63" s="44">
        <f t="shared" si="123"/>
        <v>0</v>
      </c>
      <c r="LT63" s="44">
        <f t="shared" si="123"/>
        <v>0</v>
      </c>
      <c r="LU63" s="44">
        <f t="shared" si="123"/>
        <v>0</v>
      </c>
      <c r="LV63" s="44">
        <f t="shared" si="123"/>
        <v>0</v>
      </c>
      <c r="LW63" s="44">
        <f t="shared" si="123"/>
        <v>0</v>
      </c>
      <c r="LX63" s="44">
        <f t="shared" si="123"/>
        <v>0</v>
      </c>
      <c r="LY63" s="44">
        <f t="shared" si="123"/>
        <v>0</v>
      </c>
      <c r="LZ63" s="44">
        <f t="shared" si="123"/>
        <v>0</v>
      </c>
      <c r="MA63" s="44">
        <f t="shared" si="123"/>
        <v>0</v>
      </c>
      <c r="MB63" s="44">
        <f t="shared" si="123"/>
        <v>0</v>
      </c>
      <c r="MC63" s="44">
        <f t="shared" si="123"/>
        <v>0</v>
      </c>
      <c r="MD63" s="44">
        <f t="shared" ref="MD63:OO63" si="124">SUM(MD56:MD57)</f>
        <v>0</v>
      </c>
      <c r="ME63" s="44">
        <f t="shared" si="124"/>
        <v>0</v>
      </c>
      <c r="MF63" s="44">
        <f t="shared" si="124"/>
        <v>0</v>
      </c>
      <c r="MG63" s="44">
        <f t="shared" si="124"/>
        <v>0</v>
      </c>
      <c r="MH63" s="44">
        <f t="shared" si="124"/>
        <v>0</v>
      </c>
      <c r="MI63" s="44">
        <f t="shared" si="124"/>
        <v>0</v>
      </c>
      <c r="MJ63" s="44">
        <f t="shared" si="124"/>
        <v>0</v>
      </c>
      <c r="MK63" s="44">
        <f t="shared" si="124"/>
        <v>0</v>
      </c>
      <c r="ML63" s="44">
        <f t="shared" si="124"/>
        <v>0</v>
      </c>
      <c r="MM63" s="44">
        <f t="shared" si="124"/>
        <v>0</v>
      </c>
      <c r="MN63" s="44">
        <f t="shared" si="124"/>
        <v>0</v>
      </c>
      <c r="MO63" s="44">
        <f t="shared" si="124"/>
        <v>0</v>
      </c>
      <c r="MP63" s="44">
        <f t="shared" si="124"/>
        <v>0</v>
      </c>
      <c r="MQ63" s="44">
        <f t="shared" si="124"/>
        <v>0</v>
      </c>
      <c r="MR63" s="44">
        <f t="shared" si="124"/>
        <v>0</v>
      </c>
      <c r="MS63" s="44">
        <f t="shared" si="124"/>
        <v>0</v>
      </c>
      <c r="MT63" s="44">
        <f t="shared" si="124"/>
        <v>0</v>
      </c>
      <c r="MU63" s="44">
        <f t="shared" si="124"/>
        <v>0</v>
      </c>
      <c r="MV63" s="44">
        <f t="shared" si="124"/>
        <v>0</v>
      </c>
      <c r="MW63" s="44">
        <f t="shared" si="124"/>
        <v>0</v>
      </c>
      <c r="MX63" s="44">
        <f t="shared" si="124"/>
        <v>0</v>
      </c>
      <c r="MY63" s="44">
        <f t="shared" si="124"/>
        <v>0</v>
      </c>
      <c r="MZ63" s="44">
        <f t="shared" si="124"/>
        <v>0</v>
      </c>
      <c r="NA63" s="44">
        <f t="shared" si="124"/>
        <v>0</v>
      </c>
      <c r="NB63" s="44">
        <f t="shared" si="124"/>
        <v>0</v>
      </c>
      <c r="NC63" s="44">
        <f t="shared" si="124"/>
        <v>0</v>
      </c>
      <c r="ND63" s="44">
        <f t="shared" si="124"/>
        <v>0</v>
      </c>
      <c r="NE63" s="44">
        <f t="shared" si="124"/>
        <v>0</v>
      </c>
      <c r="NF63" s="44">
        <f t="shared" si="124"/>
        <v>0</v>
      </c>
      <c r="NG63" s="44">
        <f t="shared" si="124"/>
        <v>0</v>
      </c>
      <c r="NH63" s="44">
        <f t="shared" si="124"/>
        <v>0</v>
      </c>
      <c r="NI63" s="44">
        <f t="shared" si="124"/>
        <v>0</v>
      </c>
      <c r="NJ63" s="44">
        <f t="shared" si="124"/>
        <v>0</v>
      </c>
      <c r="NK63" s="44">
        <f t="shared" si="124"/>
        <v>0</v>
      </c>
      <c r="NL63" s="44">
        <f t="shared" si="124"/>
        <v>0</v>
      </c>
      <c r="NM63" s="44">
        <f t="shared" si="124"/>
        <v>0</v>
      </c>
      <c r="NN63" s="44">
        <f t="shared" si="124"/>
        <v>0</v>
      </c>
      <c r="NO63" s="44">
        <f t="shared" si="124"/>
        <v>0</v>
      </c>
      <c r="NP63" s="44">
        <f t="shared" si="124"/>
        <v>0</v>
      </c>
      <c r="NQ63" s="44">
        <f t="shared" si="124"/>
        <v>0</v>
      </c>
      <c r="NR63" s="44">
        <f t="shared" si="124"/>
        <v>0</v>
      </c>
      <c r="NS63" s="44">
        <f t="shared" si="124"/>
        <v>0</v>
      </c>
      <c r="NT63" s="44">
        <f t="shared" si="124"/>
        <v>0</v>
      </c>
      <c r="NU63" s="44">
        <f t="shared" si="124"/>
        <v>0</v>
      </c>
      <c r="NV63" s="44">
        <f t="shared" si="124"/>
        <v>0</v>
      </c>
      <c r="NW63" s="44">
        <f t="shared" si="124"/>
        <v>0</v>
      </c>
      <c r="NX63" s="44">
        <f t="shared" si="124"/>
        <v>0</v>
      </c>
      <c r="NY63" s="44">
        <f t="shared" si="124"/>
        <v>0</v>
      </c>
      <c r="NZ63" s="44">
        <f t="shared" si="124"/>
        <v>0</v>
      </c>
      <c r="OA63" s="44">
        <f t="shared" si="124"/>
        <v>0</v>
      </c>
      <c r="OB63" s="44">
        <f t="shared" si="124"/>
        <v>0</v>
      </c>
      <c r="OC63" s="44">
        <f t="shared" si="124"/>
        <v>0</v>
      </c>
      <c r="OD63" s="44">
        <f t="shared" si="124"/>
        <v>0</v>
      </c>
      <c r="OE63" s="44">
        <f t="shared" si="124"/>
        <v>0</v>
      </c>
      <c r="OF63" s="44">
        <f t="shared" si="124"/>
        <v>0</v>
      </c>
      <c r="OG63" s="44">
        <f t="shared" si="124"/>
        <v>0</v>
      </c>
      <c r="OH63" s="44">
        <f t="shared" si="124"/>
        <v>0</v>
      </c>
      <c r="OI63" s="44">
        <f t="shared" si="124"/>
        <v>0</v>
      </c>
      <c r="OJ63" s="44">
        <f t="shared" si="124"/>
        <v>0</v>
      </c>
      <c r="OK63" s="44">
        <f t="shared" si="124"/>
        <v>0</v>
      </c>
      <c r="OL63" s="44">
        <f t="shared" si="124"/>
        <v>0</v>
      </c>
      <c r="OM63" s="44">
        <f t="shared" si="124"/>
        <v>0</v>
      </c>
      <c r="ON63" s="44">
        <f t="shared" si="124"/>
        <v>0</v>
      </c>
      <c r="OO63" s="44">
        <f t="shared" si="124"/>
        <v>0</v>
      </c>
      <c r="OP63" s="44">
        <f t="shared" ref="OP63:RA63" si="125">SUM(OP56:OP57)</f>
        <v>0</v>
      </c>
      <c r="OQ63" s="44">
        <f t="shared" si="125"/>
        <v>0</v>
      </c>
      <c r="OR63" s="44">
        <f t="shared" si="125"/>
        <v>0</v>
      </c>
      <c r="OS63" s="44">
        <f t="shared" si="125"/>
        <v>0</v>
      </c>
      <c r="OT63" s="44">
        <f t="shared" si="125"/>
        <v>0</v>
      </c>
      <c r="OU63" s="44">
        <f t="shared" si="125"/>
        <v>0</v>
      </c>
      <c r="OV63" s="44">
        <f t="shared" si="125"/>
        <v>0</v>
      </c>
      <c r="OW63" s="44">
        <f t="shared" si="125"/>
        <v>0</v>
      </c>
      <c r="OX63" s="44">
        <f t="shared" si="125"/>
        <v>0</v>
      </c>
      <c r="OY63" s="44">
        <f t="shared" si="125"/>
        <v>0</v>
      </c>
      <c r="OZ63" s="44">
        <f t="shared" si="125"/>
        <v>0</v>
      </c>
      <c r="PA63" s="44">
        <f t="shared" si="125"/>
        <v>0</v>
      </c>
      <c r="PB63" s="44">
        <f t="shared" si="125"/>
        <v>0</v>
      </c>
      <c r="PC63" s="44">
        <f t="shared" si="125"/>
        <v>0</v>
      </c>
      <c r="PD63" s="44">
        <f t="shared" si="125"/>
        <v>0</v>
      </c>
      <c r="PE63" s="44">
        <f t="shared" si="125"/>
        <v>0</v>
      </c>
      <c r="PF63" s="44">
        <f t="shared" si="125"/>
        <v>0</v>
      </c>
      <c r="PG63" s="44">
        <f t="shared" si="125"/>
        <v>0</v>
      </c>
      <c r="PH63" s="44">
        <f t="shared" si="125"/>
        <v>0</v>
      </c>
      <c r="PI63" s="44">
        <f t="shared" si="125"/>
        <v>0</v>
      </c>
      <c r="PJ63" s="44">
        <f t="shared" si="125"/>
        <v>0</v>
      </c>
      <c r="PK63" s="44">
        <f t="shared" si="125"/>
        <v>0</v>
      </c>
      <c r="PL63" s="44">
        <f t="shared" si="125"/>
        <v>0</v>
      </c>
      <c r="PM63" s="44">
        <f t="shared" si="125"/>
        <v>0</v>
      </c>
      <c r="PN63" s="44">
        <f t="shared" si="125"/>
        <v>0</v>
      </c>
      <c r="PO63" s="44">
        <f t="shared" si="125"/>
        <v>0</v>
      </c>
      <c r="PP63" s="44">
        <f t="shared" si="125"/>
        <v>0</v>
      </c>
      <c r="PQ63" s="44">
        <f t="shared" si="125"/>
        <v>0</v>
      </c>
      <c r="PR63" s="44">
        <f t="shared" si="125"/>
        <v>0</v>
      </c>
      <c r="PS63" s="44">
        <f t="shared" si="125"/>
        <v>0</v>
      </c>
      <c r="PT63" s="44">
        <f t="shared" si="125"/>
        <v>0</v>
      </c>
      <c r="PU63" s="44">
        <f t="shared" si="125"/>
        <v>0</v>
      </c>
      <c r="PV63" s="44">
        <f t="shared" si="125"/>
        <v>0</v>
      </c>
      <c r="PW63" s="44">
        <f t="shared" si="125"/>
        <v>0</v>
      </c>
      <c r="PX63" s="44">
        <f t="shared" si="125"/>
        <v>0</v>
      </c>
      <c r="PY63" s="44">
        <f t="shared" si="125"/>
        <v>0</v>
      </c>
      <c r="PZ63" s="44">
        <f t="shared" si="125"/>
        <v>0</v>
      </c>
      <c r="QA63" s="44">
        <f t="shared" si="125"/>
        <v>0</v>
      </c>
      <c r="QB63" s="44">
        <f t="shared" si="125"/>
        <v>0</v>
      </c>
      <c r="QC63" s="44">
        <f t="shared" si="125"/>
        <v>0</v>
      </c>
      <c r="QD63" s="44">
        <f t="shared" si="125"/>
        <v>0</v>
      </c>
      <c r="QE63" s="44">
        <f t="shared" si="125"/>
        <v>0</v>
      </c>
      <c r="QF63" s="44">
        <f t="shared" si="125"/>
        <v>0</v>
      </c>
      <c r="QG63" s="44">
        <f t="shared" si="125"/>
        <v>0</v>
      </c>
      <c r="QH63" s="44">
        <f t="shared" si="125"/>
        <v>0</v>
      </c>
      <c r="QI63" s="44">
        <f t="shared" si="125"/>
        <v>0</v>
      </c>
      <c r="QJ63" s="44">
        <f t="shared" si="125"/>
        <v>0</v>
      </c>
      <c r="QK63" s="44">
        <f t="shared" si="125"/>
        <v>0</v>
      </c>
      <c r="QL63" s="44">
        <f t="shared" si="125"/>
        <v>0</v>
      </c>
      <c r="QM63" s="44">
        <f t="shared" si="125"/>
        <v>0</v>
      </c>
      <c r="QN63" s="44">
        <f t="shared" si="125"/>
        <v>0</v>
      </c>
      <c r="QO63" s="44">
        <f t="shared" si="125"/>
        <v>0</v>
      </c>
      <c r="QP63" s="44">
        <f t="shared" si="125"/>
        <v>0</v>
      </c>
      <c r="QQ63" s="44">
        <f t="shared" si="125"/>
        <v>0</v>
      </c>
      <c r="QR63" s="44">
        <f t="shared" si="125"/>
        <v>0</v>
      </c>
      <c r="QS63" s="44">
        <f t="shared" si="125"/>
        <v>0</v>
      </c>
      <c r="QT63" s="44">
        <f t="shared" si="125"/>
        <v>0</v>
      </c>
      <c r="QU63" s="44">
        <f t="shared" si="125"/>
        <v>0</v>
      </c>
      <c r="QV63" s="44">
        <f t="shared" si="125"/>
        <v>0</v>
      </c>
      <c r="QW63" s="44">
        <f t="shared" si="125"/>
        <v>0</v>
      </c>
      <c r="QX63" s="44">
        <f t="shared" si="125"/>
        <v>0</v>
      </c>
      <c r="QY63" s="44">
        <f t="shared" si="125"/>
        <v>0</v>
      </c>
      <c r="QZ63" s="44">
        <f t="shared" si="125"/>
        <v>0</v>
      </c>
      <c r="RA63" s="44">
        <f t="shared" si="125"/>
        <v>0</v>
      </c>
      <c r="RB63" s="44">
        <f t="shared" ref="RB63:TM63" si="126">SUM(RB56:RB57)</f>
        <v>0</v>
      </c>
      <c r="RC63" s="44">
        <f t="shared" si="126"/>
        <v>0</v>
      </c>
      <c r="RD63" s="44">
        <f t="shared" si="126"/>
        <v>0</v>
      </c>
      <c r="RE63" s="44">
        <f t="shared" si="126"/>
        <v>0</v>
      </c>
      <c r="RF63" s="44">
        <f t="shared" si="126"/>
        <v>0</v>
      </c>
      <c r="RG63" s="44">
        <f t="shared" si="126"/>
        <v>0</v>
      </c>
      <c r="RH63" s="44">
        <f t="shared" si="126"/>
        <v>0</v>
      </c>
      <c r="RI63" s="44">
        <f t="shared" si="126"/>
        <v>0</v>
      </c>
      <c r="RJ63" s="44">
        <f t="shared" si="126"/>
        <v>0</v>
      </c>
      <c r="RK63" s="44">
        <f t="shared" si="126"/>
        <v>0</v>
      </c>
      <c r="RL63" s="44">
        <f t="shared" si="126"/>
        <v>0</v>
      </c>
      <c r="RM63" s="44">
        <f t="shared" si="126"/>
        <v>0</v>
      </c>
      <c r="RN63" s="44">
        <f t="shared" si="126"/>
        <v>0</v>
      </c>
      <c r="RO63" s="44">
        <f t="shared" si="126"/>
        <v>0</v>
      </c>
      <c r="RP63" s="44">
        <f t="shared" si="126"/>
        <v>0</v>
      </c>
      <c r="RQ63" s="44">
        <f t="shared" si="126"/>
        <v>0</v>
      </c>
      <c r="RR63" s="44">
        <f t="shared" si="126"/>
        <v>0</v>
      </c>
      <c r="RS63" s="44">
        <f t="shared" si="126"/>
        <v>0</v>
      </c>
      <c r="RT63" s="44">
        <f t="shared" si="126"/>
        <v>0</v>
      </c>
      <c r="RU63" s="44">
        <f t="shared" si="126"/>
        <v>0</v>
      </c>
      <c r="RV63" s="44">
        <f t="shared" si="126"/>
        <v>0</v>
      </c>
      <c r="RW63" s="44">
        <f t="shared" si="126"/>
        <v>0</v>
      </c>
      <c r="RX63" s="44">
        <f t="shared" si="126"/>
        <v>0</v>
      </c>
      <c r="RY63" s="44">
        <f t="shared" si="126"/>
        <v>0</v>
      </c>
      <c r="RZ63" s="44">
        <f t="shared" si="126"/>
        <v>0</v>
      </c>
      <c r="SA63" s="44">
        <f t="shared" si="126"/>
        <v>0</v>
      </c>
      <c r="SB63" s="44">
        <f t="shared" si="126"/>
        <v>0</v>
      </c>
      <c r="SC63" s="44">
        <f t="shared" si="126"/>
        <v>0</v>
      </c>
      <c r="SD63" s="44">
        <f t="shared" si="126"/>
        <v>0</v>
      </c>
      <c r="SE63" s="44">
        <f t="shared" si="126"/>
        <v>0</v>
      </c>
      <c r="SF63" s="44">
        <f t="shared" si="126"/>
        <v>0</v>
      </c>
      <c r="SG63" s="44">
        <f t="shared" si="126"/>
        <v>0</v>
      </c>
      <c r="SH63" s="44">
        <f t="shared" si="126"/>
        <v>0</v>
      </c>
      <c r="SI63" s="44">
        <f t="shared" si="126"/>
        <v>0</v>
      </c>
      <c r="SJ63" s="44">
        <f t="shared" si="126"/>
        <v>0</v>
      </c>
      <c r="SK63" s="44">
        <f t="shared" si="126"/>
        <v>0</v>
      </c>
      <c r="SL63" s="44">
        <f t="shared" si="126"/>
        <v>0</v>
      </c>
      <c r="SM63" s="44">
        <f t="shared" si="126"/>
        <v>0</v>
      </c>
      <c r="SN63" s="44">
        <f t="shared" si="126"/>
        <v>0</v>
      </c>
      <c r="SO63" s="44">
        <f t="shared" si="126"/>
        <v>0</v>
      </c>
      <c r="SP63" s="44">
        <f t="shared" si="126"/>
        <v>0</v>
      </c>
      <c r="SQ63" s="44">
        <f t="shared" si="126"/>
        <v>0</v>
      </c>
      <c r="SR63" s="44">
        <f t="shared" si="126"/>
        <v>0</v>
      </c>
      <c r="SS63" s="44">
        <f t="shared" si="126"/>
        <v>0</v>
      </c>
      <c r="ST63" s="44">
        <f t="shared" si="126"/>
        <v>0</v>
      </c>
      <c r="SU63" s="44">
        <f t="shared" si="126"/>
        <v>0</v>
      </c>
      <c r="SV63" s="44">
        <f t="shared" si="126"/>
        <v>0</v>
      </c>
      <c r="SW63" s="44">
        <f t="shared" si="126"/>
        <v>0</v>
      </c>
      <c r="SX63" s="44">
        <f t="shared" si="126"/>
        <v>0</v>
      </c>
      <c r="SY63" s="44">
        <f t="shared" si="126"/>
        <v>0</v>
      </c>
      <c r="SZ63" s="44">
        <f t="shared" si="126"/>
        <v>0</v>
      </c>
      <c r="TA63" s="44">
        <f t="shared" si="126"/>
        <v>0</v>
      </c>
      <c r="TB63" s="44">
        <f t="shared" si="126"/>
        <v>0</v>
      </c>
      <c r="TC63" s="44">
        <f t="shared" si="126"/>
        <v>0</v>
      </c>
      <c r="TD63" s="44">
        <f t="shared" si="126"/>
        <v>0</v>
      </c>
      <c r="TE63" s="44">
        <f t="shared" si="126"/>
        <v>0</v>
      </c>
      <c r="TF63" s="44">
        <f t="shared" si="126"/>
        <v>0</v>
      </c>
      <c r="TG63" s="44">
        <f t="shared" si="126"/>
        <v>0</v>
      </c>
      <c r="TH63" s="44">
        <f t="shared" si="126"/>
        <v>0</v>
      </c>
      <c r="TI63" s="44">
        <f t="shared" si="126"/>
        <v>0</v>
      </c>
      <c r="TJ63" s="44">
        <f t="shared" si="126"/>
        <v>0</v>
      </c>
      <c r="TK63" s="44">
        <f t="shared" si="126"/>
        <v>0</v>
      </c>
      <c r="TL63" s="44">
        <f t="shared" si="126"/>
        <v>0</v>
      </c>
      <c r="TM63" s="44">
        <f t="shared" si="126"/>
        <v>0</v>
      </c>
      <c r="TN63" s="44">
        <f t="shared" ref="TN63:VY63" si="127">SUM(TN56:TN57)</f>
        <v>0</v>
      </c>
      <c r="TO63" s="44">
        <f t="shared" si="127"/>
        <v>0</v>
      </c>
      <c r="TP63" s="44">
        <f t="shared" si="127"/>
        <v>0</v>
      </c>
      <c r="TQ63" s="44">
        <f t="shared" si="127"/>
        <v>0</v>
      </c>
      <c r="TR63" s="44">
        <f t="shared" si="127"/>
        <v>0</v>
      </c>
      <c r="TS63" s="44">
        <f t="shared" si="127"/>
        <v>0</v>
      </c>
      <c r="TT63" s="44">
        <f t="shared" si="127"/>
        <v>0</v>
      </c>
      <c r="TU63" s="44">
        <f t="shared" si="127"/>
        <v>0</v>
      </c>
      <c r="TV63" s="44">
        <f t="shared" si="127"/>
        <v>0</v>
      </c>
      <c r="TW63" s="44">
        <f t="shared" si="127"/>
        <v>0</v>
      </c>
      <c r="TX63" s="44">
        <f t="shared" si="127"/>
        <v>0</v>
      </c>
      <c r="TY63" s="44">
        <f t="shared" si="127"/>
        <v>0</v>
      </c>
      <c r="TZ63" s="44">
        <f t="shared" si="127"/>
        <v>0</v>
      </c>
      <c r="UA63" s="44">
        <f t="shared" si="127"/>
        <v>0</v>
      </c>
      <c r="UB63" s="44">
        <f t="shared" si="127"/>
        <v>0</v>
      </c>
      <c r="UC63" s="44">
        <f t="shared" si="127"/>
        <v>0</v>
      </c>
      <c r="UD63" s="44">
        <f t="shared" si="127"/>
        <v>0</v>
      </c>
      <c r="UE63" s="44">
        <f t="shared" si="127"/>
        <v>0</v>
      </c>
      <c r="UF63" s="44">
        <f t="shared" si="127"/>
        <v>0</v>
      </c>
      <c r="UG63" s="44">
        <f t="shared" si="127"/>
        <v>0</v>
      </c>
      <c r="UH63" s="44">
        <f t="shared" si="127"/>
        <v>0</v>
      </c>
      <c r="UI63" s="44">
        <f t="shared" si="127"/>
        <v>0</v>
      </c>
      <c r="UJ63" s="44">
        <f t="shared" si="127"/>
        <v>0</v>
      </c>
      <c r="UK63" s="44">
        <f t="shared" si="127"/>
        <v>0</v>
      </c>
      <c r="UL63" s="44">
        <f t="shared" si="127"/>
        <v>0</v>
      </c>
      <c r="UM63" s="44">
        <f t="shared" si="127"/>
        <v>0</v>
      </c>
      <c r="UN63" s="44">
        <f t="shared" si="127"/>
        <v>0</v>
      </c>
      <c r="UO63" s="44">
        <f t="shared" si="127"/>
        <v>0</v>
      </c>
      <c r="UP63" s="44">
        <f t="shared" si="127"/>
        <v>0</v>
      </c>
      <c r="UQ63" s="44">
        <f t="shared" si="127"/>
        <v>0</v>
      </c>
      <c r="UR63" s="44">
        <f t="shared" si="127"/>
        <v>0</v>
      </c>
      <c r="US63" s="44">
        <f t="shared" si="127"/>
        <v>0</v>
      </c>
      <c r="UT63" s="44">
        <f t="shared" si="127"/>
        <v>0</v>
      </c>
      <c r="UU63" s="44">
        <f t="shared" si="127"/>
        <v>0</v>
      </c>
      <c r="UV63" s="44">
        <f t="shared" si="127"/>
        <v>0</v>
      </c>
      <c r="UW63" s="44">
        <f t="shared" si="127"/>
        <v>0</v>
      </c>
      <c r="UX63" s="44">
        <f t="shared" si="127"/>
        <v>0</v>
      </c>
      <c r="UY63" s="44">
        <f t="shared" si="127"/>
        <v>0</v>
      </c>
      <c r="UZ63" s="44">
        <f t="shared" si="127"/>
        <v>0</v>
      </c>
      <c r="VA63" s="44">
        <f t="shared" si="127"/>
        <v>0</v>
      </c>
      <c r="VB63" s="44">
        <f t="shared" si="127"/>
        <v>0</v>
      </c>
      <c r="VC63" s="44">
        <f t="shared" si="127"/>
        <v>0</v>
      </c>
      <c r="VD63" s="44">
        <f t="shared" si="127"/>
        <v>0</v>
      </c>
      <c r="VE63" s="44">
        <f t="shared" si="127"/>
        <v>0</v>
      </c>
      <c r="VF63" s="44">
        <f t="shared" si="127"/>
        <v>0</v>
      </c>
      <c r="VG63" s="44">
        <f t="shared" si="127"/>
        <v>0</v>
      </c>
      <c r="VH63" s="44">
        <f t="shared" si="127"/>
        <v>0</v>
      </c>
      <c r="VI63" s="44">
        <f t="shared" si="127"/>
        <v>0</v>
      </c>
      <c r="VJ63" s="44">
        <f t="shared" si="127"/>
        <v>0</v>
      </c>
      <c r="VK63" s="44">
        <f t="shared" si="127"/>
        <v>0</v>
      </c>
      <c r="VL63" s="44">
        <f t="shared" si="127"/>
        <v>0</v>
      </c>
      <c r="VM63" s="44">
        <f t="shared" si="127"/>
        <v>0</v>
      </c>
      <c r="VN63" s="44">
        <f t="shared" si="127"/>
        <v>0</v>
      </c>
      <c r="VO63" s="44">
        <f t="shared" si="127"/>
        <v>0</v>
      </c>
      <c r="VP63" s="44">
        <f t="shared" si="127"/>
        <v>0</v>
      </c>
      <c r="VQ63" s="44">
        <f t="shared" si="127"/>
        <v>0</v>
      </c>
      <c r="VR63" s="44">
        <f t="shared" si="127"/>
        <v>0</v>
      </c>
      <c r="VS63" s="44">
        <f t="shared" si="127"/>
        <v>0</v>
      </c>
      <c r="VT63" s="44">
        <f t="shared" si="127"/>
        <v>0</v>
      </c>
      <c r="VU63" s="44">
        <f t="shared" si="127"/>
        <v>0</v>
      </c>
      <c r="VV63" s="44">
        <f t="shared" si="127"/>
        <v>0</v>
      </c>
      <c r="VW63" s="44">
        <f t="shared" si="127"/>
        <v>0</v>
      </c>
      <c r="VX63" s="44">
        <f t="shared" si="127"/>
        <v>0</v>
      </c>
      <c r="VY63" s="44">
        <f t="shared" si="127"/>
        <v>0</v>
      </c>
      <c r="VZ63" s="44">
        <f t="shared" ref="VZ63:YK63" si="128">SUM(VZ56:VZ57)</f>
        <v>0</v>
      </c>
      <c r="WA63" s="44">
        <f t="shared" si="128"/>
        <v>0</v>
      </c>
      <c r="WB63" s="44">
        <f t="shared" si="128"/>
        <v>0</v>
      </c>
      <c r="WC63" s="44">
        <f t="shared" si="128"/>
        <v>0</v>
      </c>
      <c r="WD63" s="44">
        <f t="shared" si="128"/>
        <v>0</v>
      </c>
      <c r="WE63" s="44">
        <f t="shared" si="128"/>
        <v>0</v>
      </c>
      <c r="WF63" s="44">
        <f t="shared" si="128"/>
        <v>0</v>
      </c>
      <c r="WG63" s="44">
        <f t="shared" si="128"/>
        <v>0</v>
      </c>
      <c r="WH63" s="44">
        <f t="shared" si="128"/>
        <v>0</v>
      </c>
      <c r="WI63" s="44">
        <f t="shared" si="128"/>
        <v>0</v>
      </c>
      <c r="WJ63" s="44">
        <f t="shared" si="128"/>
        <v>0</v>
      </c>
      <c r="WK63" s="44">
        <f t="shared" si="128"/>
        <v>0</v>
      </c>
      <c r="WL63" s="44">
        <f t="shared" si="128"/>
        <v>0</v>
      </c>
      <c r="WM63" s="44">
        <f t="shared" si="128"/>
        <v>0</v>
      </c>
      <c r="WN63" s="44">
        <f t="shared" si="128"/>
        <v>0</v>
      </c>
      <c r="WO63" s="44">
        <f t="shared" si="128"/>
        <v>0</v>
      </c>
      <c r="WP63" s="44">
        <f t="shared" si="128"/>
        <v>0</v>
      </c>
      <c r="WQ63" s="44">
        <f t="shared" si="128"/>
        <v>0</v>
      </c>
      <c r="WR63" s="44">
        <f t="shared" si="128"/>
        <v>0</v>
      </c>
      <c r="WS63" s="44">
        <f t="shared" si="128"/>
        <v>0</v>
      </c>
      <c r="WT63" s="44">
        <f t="shared" si="128"/>
        <v>0</v>
      </c>
      <c r="WU63" s="44">
        <f t="shared" si="128"/>
        <v>0</v>
      </c>
      <c r="WV63" s="44">
        <f t="shared" si="128"/>
        <v>0</v>
      </c>
      <c r="WW63" s="44">
        <f t="shared" si="128"/>
        <v>0</v>
      </c>
      <c r="WX63" s="44">
        <f t="shared" si="128"/>
        <v>0</v>
      </c>
      <c r="WY63" s="44">
        <f t="shared" si="128"/>
        <v>0</v>
      </c>
      <c r="WZ63" s="44">
        <f t="shared" si="128"/>
        <v>0</v>
      </c>
      <c r="XA63" s="44">
        <f t="shared" si="128"/>
        <v>0</v>
      </c>
      <c r="XB63" s="44">
        <f t="shared" si="128"/>
        <v>0</v>
      </c>
      <c r="XC63" s="44">
        <f t="shared" si="128"/>
        <v>0</v>
      </c>
      <c r="XD63" s="44">
        <f t="shared" si="128"/>
        <v>0</v>
      </c>
      <c r="XE63" s="44">
        <f t="shared" si="128"/>
        <v>0</v>
      </c>
      <c r="XF63" s="44">
        <f t="shared" si="128"/>
        <v>0</v>
      </c>
      <c r="XG63" s="44">
        <f t="shared" si="128"/>
        <v>0</v>
      </c>
      <c r="XH63" s="44">
        <f t="shared" si="128"/>
        <v>0</v>
      </c>
      <c r="XI63" s="44">
        <f t="shared" si="128"/>
        <v>0</v>
      </c>
      <c r="XJ63" s="44">
        <f t="shared" si="128"/>
        <v>0</v>
      </c>
      <c r="XK63" s="44">
        <f t="shared" si="128"/>
        <v>0</v>
      </c>
      <c r="XL63" s="44">
        <f t="shared" si="128"/>
        <v>0</v>
      </c>
      <c r="XM63" s="44">
        <f t="shared" si="128"/>
        <v>0</v>
      </c>
      <c r="XN63" s="44">
        <f t="shared" si="128"/>
        <v>0</v>
      </c>
      <c r="XO63" s="44">
        <f t="shared" si="128"/>
        <v>0</v>
      </c>
      <c r="XP63" s="44">
        <f t="shared" si="128"/>
        <v>0</v>
      </c>
      <c r="XQ63" s="44">
        <f t="shared" si="128"/>
        <v>0</v>
      </c>
      <c r="XR63" s="44">
        <f t="shared" si="128"/>
        <v>0</v>
      </c>
      <c r="XS63" s="44">
        <f t="shared" si="128"/>
        <v>0</v>
      </c>
      <c r="XT63" s="44">
        <f t="shared" si="128"/>
        <v>0</v>
      </c>
      <c r="XU63" s="44">
        <f t="shared" si="128"/>
        <v>0</v>
      </c>
      <c r="XV63" s="44">
        <f t="shared" si="128"/>
        <v>0</v>
      </c>
      <c r="XW63" s="44">
        <f t="shared" si="128"/>
        <v>0</v>
      </c>
      <c r="XX63" s="44">
        <f t="shared" si="128"/>
        <v>0</v>
      </c>
      <c r="XY63" s="44">
        <f t="shared" si="128"/>
        <v>0</v>
      </c>
      <c r="XZ63" s="44">
        <f t="shared" si="128"/>
        <v>0</v>
      </c>
      <c r="YA63" s="44">
        <f t="shared" si="128"/>
        <v>0</v>
      </c>
      <c r="YB63" s="44">
        <f t="shared" si="128"/>
        <v>0</v>
      </c>
      <c r="YC63" s="44">
        <f t="shared" si="128"/>
        <v>0</v>
      </c>
      <c r="YD63" s="44">
        <f t="shared" si="128"/>
        <v>0</v>
      </c>
      <c r="YE63" s="44">
        <f t="shared" si="128"/>
        <v>0</v>
      </c>
      <c r="YF63" s="44">
        <f t="shared" si="128"/>
        <v>0</v>
      </c>
      <c r="YG63" s="44">
        <f t="shared" si="128"/>
        <v>0</v>
      </c>
      <c r="YH63" s="44">
        <f t="shared" si="128"/>
        <v>0</v>
      </c>
      <c r="YI63" s="44">
        <f t="shared" si="128"/>
        <v>0</v>
      </c>
      <c r="YJ63" s="44">
        <f t="shared" si="128"/>
        <v>0</v>
      </c>
      <c r="YK63" s="44">
        <f t="shared" si="128"/>
        <v>0</v>
      </c>
      <c r="YL63" s="44">
        <f t="shared" ref="YL63:AAW63" si="129">SUM(YL56:YL57)</f>
        <v>0</v>
      </c>
      <c r="YM63" s="44">
        <f t="shared" si="129"/>
        <v>0</v>
      </c>
      <c r="YN63" s="44">
        <f t="shared" si="129"/>
        <v>0</v>
      </c>
      <c r="YO63" s="44">
        <f t="shared" si="129"/>
        <v>0</v>
      </c>
      <c r="YP63" s="44">
        <f t="shared" si="129"/>
        <v>0</v>
      </c>
      <c r="YQ63" s="44">
        <f t="shared" si="129"/>
        <v>0</v>
      </c>
      <c r="YR63" s="44">
        <f t="shared" si="129"/>
        <v>0</v>
      </c>
      <c r="YS63" s="44">
        <f t="shared" si="129"/>
        <v>0</v>
      </c>
      <c r="YT63" s="44">
        <f t="shared" si="129"/>
        <v>0</v>
      </c>
      <c r="YU63" s="44">
        <f t="shared" si="129"/>
        <v>0</v>
      </c>
      <c r="YV63" s="44">
        <f t="shared" si="129"/>
        <v>0</v>
      </c>
      <c r="YW63" s="44">
        <f t="shared" si="129"/>
        <v>0</v>
      </c>
      <c r="YX63" s="44">
        <f t="shared" si="129"/>
        <v>0</v>
      </c>
      <c r="YY63" s="44">
        <f t="shared" si="129"/>
        <v>0</v>
      </c>
      <c r="YZ63" s="44">
        <f t="shared" si="129"/>
        <v>0</v>
      </c>
      <c r="ZA63" s="44">
        <f t="shared" si="129"/>
        <v>0</v>
      </c>
      <c r="ZB63" s="44">
        <f t="shared" si="129"/>
        <v>0</v>
      </c>
      <c r="ZC63" s="44">
        <f t="shared" si="129"/>
        <v>0</v>
      </c>
      <c r="ZD63" s="44">
        <f t="shared" si="129"/>
        <v>0</v>
      </c>
      <c r="ZE63" s="44">
        <f t="shared" si="129"/>
        <v>0</v>
      </c>
      <c r="ZF63" s="44">
        <f t="shared" si="129"/>
        <v>0</v>
      </c>
      <c r="ZG63" s="44">
        <f t="shared" si="129"/>
        <v>0</v>
      </c>
      <c r="ZH63" s="44">
        <f t="shared" si="129"/>
        <v>0</v>
      </c>
      <c r="ZI63" s="44">
        <f t="shared" si="129"/>
        <v>0</v>
      </c>
      <c r="ZJ63" s="44">
        <f t="shared" si="129"/>
        <v>0</v>
      </c>
      <c r="ZK63" s="44">
        <f t="shared" si="129"/>
        <v>0</v>
      </c>
      <c r="ZL63" s="44">
        <f t="shared" si="129"/>
        <v>0</v>
      </c>
      <c r="ZM63" s="44">
        <f t="shared" si="129"/>
        <v>0</v>
      </c>
      <c r="ZN63" s="44">
        <f t="shared" si="129"/>
        <v>0</v>
      </c>
      <c r="ZO63" s="44">
        <f t="shared" si="129"/>
        <v>0</v>
      </c>
      <c r="ZP63" s="44">
        <f t="shared" si="129"/>
        <v>0</v>
      </c>
      <c r="ZQ63" s="44">
        <f t="shared" si="129"/>
        <v>0</v>
      </c>
      <c r="ZR63" s="44">
        <f t="shared" si="129"/>
        <v>0</v>
      </c>
      <c r="ZS63" s="44">
        <f t="shared" si="129"/>
        <v>0</v>
      </c>
      <c r="ZT63" s="44">
        <f t="shared" si="129"/>
        <v>0</v>
      </c>
      <c r="ZU63" s="44">
        <f t="shared" si="129"/>
        <v>0</v>
      </c>
      <c r="ZV63" s="44">
        <f t="shared" si="129"/>
        <v>0</v>
      </c>
      <c r="ZW63" s="44">
        <f t="shared" si="129"/>
        <v>0</v>
      </c>
      <c r="ZX63" s="44">
        <f t="shared" si="129"/>
        <v>0</v>
      </c>
      <c r="ZY63" s="44">
        <f t="shared" si="129"/>
        <v>0</v>
      </c>
      <c r="ZZ63" s="44">
        <f t="shared" si="129"/>
        <v>0</v>
      </c>
      <c r="AAA63" s="44">
        <f t="shared" si="129"/>
        <v>0</v>
      </c>
      <c r="AAB63" s="44">
        <f t="shared" si="129"/>
        <v>0</v>
      </c>
      <c r="AAC63" s="44">
        <f t="shared" si="129"/>
        <v>0</v>
      </c>
      <c r="AAD63" s="44">
        <f t="shared" si="129"/>
        <v>0</v>
      </c>
      <c r="AAE63" s="44">
        <f t="shared" si="129"/>
        <v>0</v>
      </c>
      <c r="AAF63" s="44">
        <f t="shared" si="129"/>
        <v>0</v>
      </c>
      <c r="AAG63" s="44">
        <f t="shared" si="129"/>
        <v>0</v>
      </c>
      <c r="AAH63" s="44">
        <f t="shared" si="129"/>
        <v>0</v>
      </c>
      <c r="AAI63" s="44">
        <f t="shared" si="129"/>
        <v>0</v>
      </c>
      <c r="AAJ63" s="44">
        <f t="shared" si="129"/>
        <v>0</v>
      </c>
      <c r="AAK63" s="44">
        <f t="shared" si="129"/>
        <v>0</v>
      </c>
      <c r="AAL63" s="44">
        <f t="shared" si="129"/>
        <v>0</v>
      </c>
      <c r="AAM63" s="44">
        <f t="shared" si="129"/>
        <v>0</v>
      </c>
      <c r="AAN63" s="44">
        <f t="shared" si="129"/>
        <v>0</v>
      </c>
      <c r="AAO63" s="44">
        <f t="shared" si="129"/>
        <v>0</v>
      </c>
      <c r="AAP63" s="44">
        <f t="shared" si="129"/>
        <v>0</v>
      </c>
      <c r="AAQ63" s="44">
        <f t="shared" si="129"/>
        <v>0</v>
      </c>
      <c r="AAR63" s="44">
        <f t="shared" si="129"/>
        <v>0</v>
      </c>
      <c r="AAS63" s="44">
        <f t="shared" si="129"/>
        <v>0</v>
      </c>
      <c r="AAT63" s="44">
        <f t="shared" si="129"/>
        <v>0</v>
      </c>
      <c r="AAU63" s="44">
        <f t="shared" si="129"/>
        <v>0</v>
      </c>
      <c r="AAV63" s="44">
        <f t="shared" si="129"/>
        <v>0</v>
      </c>
      <c r="AAW63" s="44">
        <f t="shared" si="129"/>
        <v>0</v>
      </c>
      <c r="AAX63" s="44">
        <f t="shared" ref="AAX63:ADI63" si="130">SUM(AAX56:AAX57)</f>
        <v>0</v>
      </c>
      <c r="AAY63" s="44">
        <f t="shared" si="130"/>
        <v>0</v>
      </c>
      <c r="AAZ63" s="44">
        <f t="shared" si="130"/>
        <v>0</v>
      </c>
      <c r="ABA63" s="44">
        <f t="shared" si="130"/>
        <v>0</v>
      </c>
      <c r="ABB63" s="44">
        <f t="shared" si="130"/>
        <v>0</v>
      </c>
      <c r="ABC63" s="44">
        <f t="shared" si="130"/>
        <v>0</v>
      </c>
      <c r="ABD63" s="44">
        <f t="shared" si="130"/>
        <v>0</v>
      </c>
      <c r="ABE63" s="44">
        <f t="shared" si="130"/>
        <v>0</v>
      </c>
      <c r="ABF63" s="44">
        <f t="shared" si="130"/>
        <v>0</v>
      </c>
      <c r="ABG63" s="44">
        <f t="shared" si="130"/>
        <v>0</v>
      </c>
      <c r="ABH63" s="44">
        <f t="shared" si="130"/>
        <v>0</v>
      </c>
      <c r="ABI63" s="44">
        <f t="shared" si="130"/>
        <v>0</v>
      </c>
      <c r="ABJ63" s="44">
        <f t="shared" si="130"/>
        <v>0</v>
      </c>
      <c r="ABK63" s="44">
        <f t="shared" si="130"/>
        <v>0</v>
      </c>
      <c r="ABL63" s="44">
        <f t="shared" si="130"/>
        <v>0</v>
      </c>
      <c r="ABM63" s="44">
        <f t="shared" si="130"/>
        <v>0</v>
      </c>
      <c r="ABN63" s="44">
        <f t="shared" si="130"/>
        <v>0</v>
      </c>
      <c r="ABO63" s="44">
        <f t="shared" si="130"/>
        <v>0</v>
      </c>
      <c r="ABP63" s="44">
        <f t="shared" si="130"/>
        <v>0</v>
      </c>
      <c r="ABQ63" s="44">
        <f t="shared" si="130"/>
        <v>0</v>
      </c>
      <c r="ABR63" s="44">
        <f t="shared" si="130"/>
        <v>0</v>
      </c>
      <c r="ABS63" s="44">
        <f t="shared" si="130"/>
        <v>0</v>
      </c>
      <c r="ABT63" s="44">
        <f t="shared" si="130"/>
        <v>0</v>
      </c>
      <c r="ABU63" s="44">
        <f t="shared" si="130"/>
        <v>0</v>
      </c>
      <c r="ABV63" s="44">
        <f t="shared" si="130"/>
        <v>0</v>
      </c>
      <c r="ABW63" s="44">
        <f t="shared" si="130"/>
        <v>0</v>
      </c>
      <c r="ABX63" s="44">
        <f t="shared" si="130"/>
        <v>0</v>
      </c>
      <c r="ABY63" s="44">
        <f t="shared" si="130"/>
        <v>0</v>
      </c>
      <c r="ABZ63" s="44">
        <f t="shared" si="130"/>
        <v>0</v>
      </c>
      <c r="ACA63" s="44">
        <f t="shared" si="130"/>
        <v>0</v>
      </c>
      <c r="ACB63" s="44">
        <f t="shared" si="130"/>
        <v>0</v>
      </c>
      <c r="ACC63" s="44">
        <f t="shared" si="130"/>
        <v>0</v>
      </c>
      <c r="ACD63" s="44">
        <f t="shared" si="130"/>
        <v>0</v>
      </c>
      <c r="ACE63" s="44">
        <f t="shared" si="130"/>
        <v>0</v>
      </c>
      <c r="ACF63" s="44">
        <f t="shared" si="130"/>
        <v>0</v>
      </c>
      <c r="ACG63" s="44">
        <f t="shared" si="130"/>
        <v>0</v>
      </c>
      <c r="ACH63" s="44">
        <f t="shared" si="130"/>
        <v>0</v>
      </c>
      <c r="ACI63" s="44">
        <f t="shared" si="130"/>
        <v>0</v>
      </c>
      <c r="ACJ63" s="44">
        <f t="shared" si="130"/>
        <v>0</v>
      </c>
      <c r="ACK63" s="44">
        <f t="shared" si="130"/>
        <v>0</v>
      </c>
      <c r="ACL63" s="44">
        <f t="shared" si="130"/>
        <v>0</v>
      </c>
      <c r="ACM63" s="44">
        <f t="shared" si="130"/>
        <v>0</v>
      </c>
      <c r="ACN63" s="44">
        <f t="shared" si="130"/>
        <v>0</v>
      </c>
      <c r="ACO63" s="44">
        <f t="shared" si="130"/>
        <v>0</v>
      </c>
      <c r="ACP63" s="44">
        <f t="shared" si="130"/>
        <v>0</v>
      </c>
      <c r="ACQ63" s="44">
        <f t="shared" si="130"/>
        <v>0</v>
      </c>
      <c r="ACR63" s="44">
        <f t="shared" si="130"/>
        <v>0</v>
      </c>
      <c r="ACS63" s="44">
        <f t="shared" si="130"/>
        <v>0</v>
      </c>
      <c r="ACT63" s="44">
        <f t="shared" si="130"/>
        <v>0</v>
      </c>
      <c r="ACU63" s="44">
        <f t="shared" si="130"/>
        <v>0</v>
      </c>
      <c r="ACV63" s="44">
        <f t="shared" si="130"/>
        <v>0</v>
      </c>
      <c r="ACW63" s="44">
        <f t="shared" si="130"/>
        <v>0</v>
      </c>
      <c r="ACX63" s="44">
        <f t="shared" si="130"/>
        <v>0</v>
      </c>
      <c r="ACY63" s="44">
        <f t="shared" si="130"/>
        <v>0</v>
      </c>
      <c r="ACZ63" s="44">
        <f t="shared" si="130"/>
        <v>0</v>
      </c>
      <c r="ADA63" s="44">
        <f t="shared" si="130"/>
        <v>0</v>
      </c>
      <c r="ADB63" s="44">
        <f t="shared" si="130"/>
        <v>0</v>
      </c>
      <c r="ADC63" s="44">
        <f t="shared" si="130"/>
        <v>0</v>
      </c>
      <c r="ADD63" s="44">
        <f t="shared" si="130"/>
        <v>0</v>
      </c>
      <c r="ADE63" s="44">
        <f t="shared" si="130"/>
        <v>0</v>
      </c>
      <c r="ADF63" s="44">
        <f t="shared" si="130"/>
        <v>0</v>
      </c>
      <c r="ADG63" s="44">
        <f t="shared" si="130"/>
        <v>0</v>
      </c>
      <c r="ADH63" s="44">
        <f t="shared" si="130"/>
        <v>0</v>
      </c>
      <c r="ADI63" s="44">
        <f t="shared" si="130"/>
        <v>0</v>
      </c>
      <c r="ADJ63" s="44">
        <f t="shared" ref="ADJ63:AFU63" si="131">SUM(ADJ56:ADJ57)</f>
        <v>0</v>
      </c>
      <c r="ADK63" s="44">
        <f t="shared" si="131"/>
        <v>0</v>
      </c>
      <c r="ADL63" s="44">
        <f t="shared" si="131"/>
        <v>0</v>
      </c>
      <c r="ADM63" s="44">
        <f t="shared" si="131"/>
        <v>0</v>
      </c>
      <c r="ADN63" s="44">
        <f t="shared" si="131"/>
        <v>0</v>
      </c>
      <c r="ADO63" s="44">
        <f t="shared" si="131"/>
        <v>0</v>
      </c>
      <c r="ADP63" s="44">
        <f t="shared" si="131"/>
        <v>0</v>
      </c>
      <c r="ADQ63" s="44">
        <f t="shared" si="131"/>
        <v>0</v>
      </c>
      <c r="ADR63" s="44">
        <f t="shared" si="131"/>
        <v>0</v>
      </c>
      <c r="ADS63" s="44">
        <f t="shared" si="131"/>
        <v>0</v>
      </c>
      <c r="ADT63" s="44">
        <f t="shared" si="131"/>
        <v>0</v>
      </c>
      <c r="ADU63" s="44">
        <f t="shared" si="131"/>
        <v>0</v>
      </c>
      <c r="ADV63" s="44">
        <f t="shared" si="131"/>
        <v>0</v>
      </c>
      <c r="ADW63" s="44">
        <f t="shared" si="131"/>
        <v>0</v>
      </c>
      <c r="ADX63" s="44">
        <f t="shared" si="131"/>
        <v>0</v>
      </c>
      <c r="ADY63" s="44">
        <f t="shared" si="131"/>
        <v>0</v>
      </c>
      <c r="ADZ63" s="44">
        <f t="shared" si="131"/>
        <v>0</v>
      </c>
      <c r="AEA63" s="44">
        <f t="shared" si="131"/>
        <v>0</v>
      </c>
      <c r="AEB63" s="44">
        <f t="shared" si="131"/>
        <v>0</v>
      </c>
      <c r="AEC63" s="44">
        <f t="shared" si="131"/>
        <v>0</v>
      </c>
      <c r="AED63" s="44">
        <f t="shared" si="131"/>
        <v>0</v>
      </c>
      <c r="AEE63" s="44">
        <f t="shared" si="131"/>
        <v>0</v>
      </c>
      <c r="AEF63" s="44">
        <f t="shared" si="131"/>
        <v>0</v>
      </c>
      <c r="AEG63" s="44">
        <f t="shared" si="131"/>
        <v>0</v>
      </c>
      <c r="AEH63" s="44">
        <f t="shared" si="131"/>
        <v>0</v>
      </c>
      <c r="AEI63" s="44">
        <f t="shared" si="131"/>
        <v>0</v>
      </c>
      <c r="AEJ63" s="44">
        <f t="shared" si="131"/>
        <v>0</v>
      </c>
      <c r="AEK63" s="44">
        <f t="shared" si="131"/>
        <v>0</v>
      </c>
      <c r="AEL63" s="44">
        <f t="shared" si="131"/>
        <v>0</v>
      </c>
      <c r="AEM63" s="44">
        <f t="shared" si="131"/>
        <v>0</v>
      </c>
      <c r="AEN63" s="44">
        <f t="shared" si="131"/>
        <v>0</v>
      </c>
      <c r="AEO63" s="44">
        <f t="shared" si="131"/>
        <v>0</v>
      </c>
      <c r="AEP63" s="44">
        <f t="shared" si="131"/>
        <v>0</v>
      </c>
      <c r="AEQ63" s="44">
        <f t="shared" si="131"/>
        <v>0</v>
      </c>
      <c r="AER63" s="44">
        <f t="shared" si="131"/>
        <v>0</v>
      </c>
      <c r="AES63" s="44">
        <f t="shared" si="131"/>
        <v>0</v>
      </c>
      <c r="AET63" s="44">
        <f t="shared" si="131"/>
        <v>0</v>
      </c>
      <c r="AEU63" s="44">
        <f t="shared" si="131"/>
        <v>0</v>
      </c>
      <c r="AEV63" s="44">
        <f t="shared" si="131"/>
        <v>0</v>
      </c>
      <c r="AEW63" s="44">
        <f t="shared" si="131"/>
        <v>0</v>
      </c>
      <c r="AEX63" s="44">
        <f t="shared" si="131"/>
        <v>0</v>
      </c>
      <c r="AEY63" s="44">
        <f t="shared" si="131"/>
        <v>0</v>
      </c>
      <c r="AEZ63" s="44">
        <f t="shared" si="131"/>
        <v>0</v>
      </c>
      <c r="AFA63" s="44">
        <f t="shared" si="131"/>
        <v>0</v>
      </c>
      <c r="AFB63" s="44">
        <f t="shared" si="131"/>
        <v>0</v>
      </c>
      <c r="AFC63" s="44">
        <f t="shared" si="131"/>
        <v>0</v>
      </c>
      <c r="AFD63" s="44">
        <f t="shared" si="131"/>
        <v>0</v>
      </c>
      <c r="AFE63" s="44">
        <f t="shared" si="131"/>
        <v>0</v>
      </c>
      <c r="AFF63" s="44">
        <f t="shared" si="131"/>
        <v>0</v>
      </c>
      <c r="AFG63" s="44">
        <f t="shared" si="131"/>
        <v>0</v>
      </c>
      <c r="AFH63" s="44">
        <f t="shared" si="131"/>
        <v>0</v>
      </c>
      <c r="AFI63" s="44">
        <f t="shared" si="131"/>
        <v>0</v>
      </c>
      <c r="AFJ63" s="44">
        <f t="shared" si="131"/>
        <v>0</v>
      </c>
      <c r="AFK63" s="44">
        <f t="shared" si="131"/>
        <v>0</v>
      </c>
      <c r="AFL63" s="44">
        <f t="shared" si="131"/>
        <v>0</v>
      </c>
      <c r="AFM63" s="44">
        <f t="shared" si="131"/>
        <v>0</v>
      </c>
      <c r="AFN63" s="44">
        <f t="shared" si="131"/>
        <v>0</v>
      </c>
      <c r="AFO63" s="44">
        <f t="shared" si="131"/>
        <v>0</v>
      </c>
      <c r="AFP63" s="44">
        <f t="shared" si="131"/>
        <v>0</v>
      </c>
      <c r="AFQ63" s="44">
        <f t="shared" si="131"/>
        <v>0</v>
      </c>
      <c r="AFR63" s="44">
        <f t="shared" si="131"/>
        <v>0</v>
      </c>
      <c r="AFS63" s="44">
        <f t="shared" si="131"/>
        <v>0</v>
      </c>
      <c r="AFT63" s="44">
        <f t="shared" si="131"/>
        <v>0</v>
      </c>
      <c r="AFU63" s="44">
        <f t="shared" si="131"/>
        <v>0</v>
      </c>
      <c r="AFV63" s="44">
        <f t="shared" ref="AFV63:AIG63" si="132">SUM(AFV56:AFV57)</f>
        <v>0</v>
      </c>
      <c r="AFW63" s="44">
        <f t="shared" si="132"/>
        <v>0</v>
      </c>
      <c r="AFX63" s="44">
        <f t="shared" si="132"/>
        <v>0</v>
      </c>
      <c r="AFY63" s="44">
        <f t="shared" si="132"/>
        <v>0</v>
      </c>
      <c r="AFZ63" s="44">
        <f t="shared" si="132"/>
        <v>0</v>
      </c>
      <c r="AGA63" s="44">
        <f t="shared" si="132"/>
        <v>0</v>
      </c>
      <c r="AGB63" s="44">
        <f t="shared" si="132"/>
        <v>0</v>
      </c>
      <c r="AGC63" s="44">
        <f t="shared" si="132"/>
        <v>0</v>
      </c>
      <c r="AGD63" s="44">
        <f t="shared" si="132"/>
        <v>0</v>
      </c>
      <c r="AGE63" s="44">
        <f t="shared" si="132"/>
        <v>0</v>
      </c>
      <c r="AGF63" s="44">
        <f t="shared" si="132"/>
        <v>0</v>
      </c>
      <c r="AGG63" s="44">
        <f t="shared" si="132"/>
        <v>0</v>
      </c>
      <c r="AGH63" s="44">
        <f t="shared" si="132"/>
        <v>0</v>
      </c>
      <c r="AGI63" s="44">
        <f t="shared" si="132"/>
        <v>0</v>
      </c>
      <c r="AGJ63" s="44">
        <f t="shared" si="132"/>
        <v>0</v>
      </c>
      <c r="AGK63" s="44">
        <f t="shared" si="132"/>
        <v>0</v>
      </c>
      <c r="AGL63" s="44">
        <f t="shared" si="132"/>
        <v>0</v>
      </c>
      <c r="AGM63" s="44">
        <f t="shared" si="132"/>
        <v>0</v>
      </c>
      <c r="AGN63" s="44">
        <f t="shared" si="132"/>
        <v>0</v>
      </c>
      <c r="AGO63" s="44">
        <f t="shared" si="132"/>
        <v>0</v>
      </c>
      <c r="AGP63" s="44">
        <f t="shared" si="132"/>
        <v>0</v>
      </c>
      <c r="AGQ63" s="44">
        <f t="shared" si="132"/>
        <v>0</v>
      </c>
      <c r="AGR63" s="44">
        <f t="shared" si="132"/>
        <v>0</v>
      </c>
      <c r="AGS63" s="44">
        <f t="shared" si="132"/>
        <v>0</v>
      </c>
      <c r="AGT63" s="44">
        <f t="shared" si="132"/>
        <v>0</v>
      </c>
      <c r="AGU63" s="44">
        <f t="shared" si="132"/>
        <v>0</v>
      </c>
      <c r="AGV63" s="44">
        <f t="shared" si="132"/>
        <v>0</v>
      </c>
      <c r="AGW63" s="44">
        <f t="shared" si="132"/>
        <v>0</v>
      </c>
      <c r="AGX63" s="44">
        <f t="shared" si="132"/>
        <v>0</v>
      </c>
      <c r="AGY63" s="44">
        <f t="shared" si="132"/>
        <v>0</v>
      </c>
      <c r="AGZ63" s="44">
        <f t="shared" si="132"/>
        <v>0</v>
      </c>
      <c r="AHA63" s="44">
        <f t="shared" si="132"/>
        <v>0</v>
      </c>
      <c r="AHB63" s="44">
        <f t="shared" si="132"/>
        <v>0</v>
      </c>
      <c r="AHC63" s="44">
        <f t="shared" si="132"/>
        <v>0</v>
      </c>
      <c r="AHD63" s="44">
        <f t="shared" si="132"/>
        <v>0</v>
      </c>
      <c r="AHE63" s="44">
        <f t="shared" si="132"/>
        <v>0</v>
      </c>
      <c r="AHF63" s="44">
        <f t="shared" si="132"/>
        <v>0</v>
      </c>
      <c r="AHG63" s="44">
        <f t="shared" si="132"/>
        <v>0</v>
      </c>
      <c r="AHH63" s="44">
        <f t="shared" si="132"/>
        <v>0</v>
      </c>
      <c r="AHI63" s="44">
        <f t="shared" si="132"/>
        <v>0</v>
      </c>
      <c r="AHJ63" s="44">
        <f t="shared" si="132"/>
        <v>0</v>
      </c>
      <c r="AHK63" s="44">
        <f t="shared" si="132"/>
        <v>0</v>
      </c>
      <c r="AHL63" s="44">
        <f t="shared" si="132"/>
        <v>0</v>
      </c>
      <c r="AHM63" s="44">
        <f t="shared" si="132"/>
        <v>0</v>
      </c>
      <c r="AHN63" s="44">
        <f t="shared" si="132"/>
        <v>0</v>
      </c>
      <c r="AHO63" s="44">
        <f t="shared" si="132"/>
        <v>0</v>
      </c>
      <c r="AHP63" s="44">
        <f t="shared" si="132"/>
        <v>0</v>
      </c>
      <c r="AHQ63" s="44">
        <f t="shared" si="132"/>
        <v>0</v>
      </c>
      <c r="AHR63" s="44">
        <f t="shared" si="132"/>
        <v>0</v>
      </c>
      <c r="AHS63" s="44">
        <f t="shared" si="132"/>
        <v>0</v>
      </c>
      <c r="AHT63" s="44">
        <f t="shared" si="132"/>
        <v>0</v>
      </c>
      <c r="AHU63" s="44">
        <f t="shared" si="132"/>
        <v>0</v>
      </c>
      <c r="AHV63" s="44">
        <f t="shared" si="132"/>
        <v>0</v>
      </c>
      <c r="AHW63" s="44">
        <f t="shared" si="132"/>
        <v>0</v>
      </c>
      <c r="AHX63" s="44">
        <f t="shared" si="132"/>
        <v>0</v>
      </c>
      <c r="AHY63" s="44">
        <f t="shared" si="132"/>
        <v>0</v>
      </c>
      <c r="AHZ63" s="44">
        <f t="shared" si="132"/>
        <v>0</v>
      </c>
      <c r="AIA63" s="44">
        <f t="shared" si="132"/>
        <v>0</v>
      </c>
      <c r="AIB63" s="44">
        <f t="shared" si="132"/>
        <v>0</v>
      </c>
      <c r="AIC63" s="44">
        <f t="shared" si="132"/>
        <v>0</v>
      </c>
      <c r="AID63" s="44">
        <f t="shared" si="132"/>
        <v>0</v>
      </c>
      <c r="AIE63" s="44">
        <f t="shared" si="132"/>
        <v>0</v>
      </c>
      <c r="AIF63" s="44">
        <f t="shared" si="132"/>
        <v>0</v>
      </c>
      <c r="AIG63" s="44">
        <f t="shared" si="132"/>
        <v>0</v>
      </c>
      <c r="AIH63" s="44">
        <f t="shared" ref="AIH63:AKS63" si="133">SUM(AIH56:AIH57)</f>
        <v>0</v>
      </c>
      <c r="AII63" s="44">
        <f t="shared" si="133"/>
        <v>0</v>
      </c>
      <c r="AIJ63" s="44">
        <f t="shared" si="133"/>
        <v>0</v>
      </c>
      <c r="AIK63" s="44">
        <f t="shared" si="133"/>
        <v>0</v>
      </c>
      <c r="AIL63" s="44">
        <f t="shared" si="133"/>
        <v>0</v>
      </c>
      <c r="AIM63" s="44">
        <f t="shared" si="133"/>
        <v>0</v>
      </c>
      <c r="AIN63" s="44">
        <f t="shared" si="133"/>
        <v>0</v>
      </c>
      <c r="AIO63" s="44">
        <f t="shared" si="133"/>
        <v>0</v>
      </c>
      <c r="AIP63" s="44">
        <f t="shared" si="133"/>
        <v>0</v>
      </c>
      <c r="AIQ63" s="44">
        <f t="shared" si="133"/>
        <v>0</v>
      </c>
      <c r="AIR63" s="44">
        <f t="shared" si="133"/>
        <v>0</v>
      </c>
      <c r="AIS63" s="44">
        <f t="shared" si="133"/>
        <v>0</v>
      </c>
      <c r="AIT63" s="44">
        <f t="shared" si="133"/>
        <v>0</v>
      </c>
      <c r="AIU63" s="44">
        <f t="shared" si="133"/>
        <v>0</v>
      </c>
      <c r="AIV63" s="44">
        <f t="shared" si="133"/>
        <v>0</v>
      </c>
      <c r="AIW63" s="44">
        <f t="shared" si="133"/>
        <v>0</v>
      </c>
      <c r="AIX63" s="44">
        <f t="shared" si="133"/>
        <v>0</v>
      </c>
      <c r="AIY63" s="44">
        <f t="shared" si="133"/>
        <v>0</v>
      </c>
      <c r="AIZ63" s="44">
        <f t="shared" si="133"/>
        <v>0</v>
      </c>
      <c r="AJA63" s="44">
        <f t="shared" si="133"/>
        <v>0</v>
      </c>
      <c r="AJB63" s="44">
        <f t="shared" si="133"/>
        <v>0</v>
      </c>
      <c r="AJC63" s="44">
        <f t="shared" si="133"/>
        <v>0</v>
      </c>
      <c r="AJD63" s="44">
        <f t="shared" si="133"/>
        <v>0</v>
      </c>
      <c r="AJE63" s="44">
        <f t="shared" si="133"/>
        <v>0</v>
      </c>
      <c r="AJF63" s="44">
        <f t="shared" si="133"/>
        <v>0</v>
      </c>
      <c r="AJG63" s="44">
        <f t="shared" si="133"/>
        <v>0</v>
      </c>
      <c r="AJH63" s="44">
        <f t="shared" si="133"/>
        <v>0</v>
      </c>
      <c r="AJI63" s="44">
        <f t="shared" si="133"/>
        <v>0</v>
      </c>
      <c r="AJJ63" s="44">
        <f t="shared" si="133"/>
        <v>0</v>
      </c>
      <c r="AJK63" s="44">
        <f t="shared" si="133"/>
        <v>0</v>
      </c>
      <c r="AJL63" s="44">
        <f t="shared" si="133"/>
        <v>0</v>
      </c>
      <c r="AJM63" s="44">
        <f t="shared" si="133"/>
        <v>0</v>
      </c>
      <c r="AJN63" s="44">
        <f t="shared" si="133"/>
        <v>0</v>
      </c>
      <c r="AJO63" s="44">
        <f t="shared" si="133"/>
        <v>0</v>
      </c>
      <c r="AJP63" s="44">
        <f t="shared" si="133"/>
        <v>0</v>
      </c>
      <c r="AJQ63" s="44">
        <f t="shared" si="133"/>
        <v>0</v>
      </c>
      <c r="AJR63" s="44">
        <f t="shared" si="133"/>
        <v>0</v>
      </c>
      <c r="AJS63" s="44">
        <f t="shared" si="133"/>
        <v>0</v>
      </c>
      <c r="AJT63" s="44">
        <f t="shared" si="133"/>
        <v>0</v>
      </c>
      <c r="AJU63" s="44">
        <f t="shared" si="133"/>
        <v>0</v>
      </c>
      <c r="AJV63" s="44">
        <f t="shared" si="133"/>
        <v>0</v>
      </c>
      <c r="AJW63" s="44">
        <f t="shared" si="133"/>
        <v>0</v>
      </c>
      <c r="AJX63" s="44">
        <f t="shared" si="133"/>
        <v>0</v>
      </c>
      <c r="AJY63" s="44">
        <f t="shared" si="133"/>
        <v>0</v>
      </c>
      <c r="AJZ63" s="44">
        <f t="shared" si="133"/>
        <v>0</v>
      </c>
      <c r="AKA63" s="44">
        <f t="shared" si="133"/>
        <v>0</v>
      </c>
      <c r="AKB63" s="44">
        <f t="shared" si="133"/>
        <v>0</v>
      </c>
      <c r="AKC63" s="44">
        <f t="shared" si="133"/>
        <v>0</v>
      </c>
      <c r="AKD63" s="44">
        <f t="shared" si="133"/>
        <v>0</v>
      </c>
      <c r="AKE63" s="44">
        <f t="shared" si="133"/>
        <v>0</v>
      </c>
      <c r="AKF63" s="44">
        <f t="shared" si="133"/>
        <v>0</v>
      </c>
      <c r="AKG63" s="44">
        <f t="shared" si="133"/>
        <v>0</v>
      </c>
      <c r="AKH63" s="44">
        <f t="shared" si="133"/>
        <v>0</v>
      </c>
      <c r="AKI63" s="44">
        <f t="shared" si="133"/>
        <v>0</v>
      </c>
      <c r="AKJ63" s="44">
        <f t="shared" si="133"/>
        <v>0</v>
      </c>
      <c r="AKK63" s="44">
        <f t="shared" si="133"/>
        <v>0</v>
      </c>
      <c r="AKL63" s="44">
        <f t="shared" si="133"/>
        <v>0</v>
      </c>
      <c r="AKM63" s="44">
        <f t="shared" si="133"/>
        <v>0</v>
      </c>
      <c r="AKN63" s="44">
        <f t="shared" si="133"/>
        <v>0</v>
      </c>
      <c r="AKO63" s="44">
        <f t="shared" si="133"/>
        <v>0</v>
      </c>
      <c r="AKP63" s="44">
        <f t="shared" si="133"/>
        <v>0</v>
      </c>
      <c r="AKQ63" s="44">
        <f t="shared" si="133"/>
        <v>0</v>
      </c>
      <c r="AKR63" s="44">
        <f t="shared" si="133"/>
        <v>0</v>
      </c>
      <c r="AKS63" s="44">
        <f t="shared" si="133"/>
        <v>0</v>
      </c>
      <c r="AKT63" s="44">
        <f t="shared" ref="AKT63:ANE63" si="134">SUM(AKT56:AKT57)</f>
        <v>0</v>
      </c>
      <c r="AKU63" s="44">
        <f t="shared" si="134"/>
        <v>0</v>
      </c>
      <c r="AKV63" s="44">
        <f t="shared" si="134"/>
        <v>0</v>
      </c>
      <c r="AKW63" s="44">
        <f t="shared" si="134"/>
        <v>0</v>
      </c>
      <c r="AKX63" s="44">
        <f t="shared" si="134"/>
        <v>0</v>
      </c>
      <c r="AKY63" s="44">
        <f t="shared" si="134"/>
        <v>0</v>
      </c>
      <c r="AKZ63" s="44">
        <f t="shared" si="134"/>
        <v>0</v>
      </c>
      <c r="ALA63" s="44">
        <f t="shared" si="134"/>
        <v>0</v>
      </c>
      <c r="ALB63" s="44">
        <f t="shared" si="134"/>
        <v>0</v>
      </c>
      <c r="ALC63" s="44">
        <f t="shared" si="134"/>
        <v>0</v>
      </c>
      <c r="ALD63" s="44">
        <f t="shared" si="134"/>
        <v>0</v>
      </c>
      <c r="ALE63" s="44">
        <f t="shared" si="134"/>
        <v>0</v>
      </c>
      <c r="ALF63" s="44">
        <f t="shared" si="134"/>
        <v>0</v>
      </c>
      <c r="ALG63" s="44">
        <f t="shared" si="134"/>
        <v>0</v>
      </c>
      <c r="ALH63" s="44">
        <f t="shared" si="134"/>
        <v>0</v>
      </c>
      <c r="ALI63" s="44">
        <f t="shared" si="134"/>
        <v>0</v>
      </c>
      <c r="ALJ63" s="44">
        <f t="shared" si="134"/>
        <v>0</v>
      </c>
      <c r="ALK63" s="44">
        <f t="shared" si="134"/>
        <v>0</v>
      </c>
      <c r="ALL63" s="44">
        <f t="shared" si="134"/>
        <v>0</v>
      </c>
      <c r="ALM63" s="44">
        <f t="shared" si="134"/>
        <v>0</v>
      </c>
      <c r="ALN63" s="44">
        <f t="shared" si="134"/>
        <v>0</v>
      </c>
      <c r="ALO63" s="44">
        <f t="shared" si="134"/>
        <v>0</v>
      </c>
      <c r="ALP63" s="44">
        <f t="shared" si="134"/>
        <v>0</v>
      </c>
      <c r="ALQ63" s="44">
        <f t="shared" si="134"/>
        <v>0</v>
      </c>
      <c r="ALR63" s="44">
        <f t="shared" si="134"/>
        <v>0</v>
      </c>
      <c r="ALS63" s="44">
        <f t="shared" si="134"/>
        <v>0</v>
      </c>
      <c r="ALT63" s="44">
        <f t="shared" si="134"/>
        <v>0</v>
      </c>
      <c r="ALU63" s="44">
        <f t="shared" si="134"/>
        <v>0</v>
      </c>
      <c r="ALV63" s="44">
        <f t="shared" si="134"/>
        <v>0</v>
      </c>
      <c r="ALW63" s="44">
        <f t="shared" si="134"/>
        <v>0</v>
      </c>
      <c r="ALX63" s="44">
        <f t="shared" si="134"/>
        <v>0</v>
      </c>
      <c r="ALY63" s="44">
        <f t="shared" si="134"/>
        <v>0</v>
      </c>
      <c r="ALZ63" s="44">
        <f t="shared" si="134"/>
        <v>0</v>
      </c>
      <c r="AMA63" s="44">
        <f t="shared" si="134"/>
        <v>0</v>
      </c>
      <c r="AMB63" s="44">
        <f t="shared" si="134"/>
        <v>0</v>
      </c>
      <c r="AMC63" s="44">
        <f t="shared" si="134"/>
        <v>0</v>
      </c>
      <c r="AMD63" s="44">
        <f t="shared" si="134"/>
        <v>0</v>
      </c>
      <c r="AME63" s="44">
        <f t="shared" si="134"/>
        <v>0</v>
      </c>
      <c r="AMF63" s="44">
        <f t="shared" si="134"/>
        <v>0</v>
      </c>
      <c r="AMG63" s="44">
        <f t="shared" si="134"/>
        <v>0</v>
      </c>
      <c r="AMH63" s="44">
        <f t="shared" si="134"/>
        <v>0</v>
      </c>
      <c r="AMI63" s="44">
        <f t="shared" si="134"/>
        <v>0</v>
      </c>
      <c r="AMJ63" s="44">
        <f t="shared" si="134"/>
        <v>0</v>
      </c>
      <c r="AMK63" s="44">
        <f t="shared" si="134"/>
        <v>0</v>
      </c>
      <c r="AML63" s="44">
        <f t="shared" si="134"/>
        <v>0</v>
      </c>
      <c r="AMM63" s="44">
        <f t="shared" si="134"/>
        <v>0</v>
      </c>
      <c r="AMN63" s="44">
        <f t="shared" si="134"/>
        <v>0</v>
      </c>
      <c r="AMO63" s="44">
        <f t="shared" si="134"/>
        <v>0</v>
      </c>
      <c r="AMP63" s="44">
        <f t="shared" si="134"/>
        <v>0</v>
      </c>
      <c r="AMQ63" s="44">
        <f t="shared" si="134"/>
        <v>0</v>
      </c>
      <c r="AMR63" s="44">
        <f t="shared" si="134"/>
        <v>0</v>
      </c>
      <c r="AMS63" s="44">
        <f t="shared" si="134"/>
        <v>0</v>
      </c>
      <c r="AMT63" s="44">
        <f t="shared" si="134"/>
        <v>0</v>
      </c>
      <c r="AMU63" s="44">
        <f t="shared" si="134"/>
        <v>0</v>
      </c>
      <c r="AMV63" s="44">
        <f t="shared" si="134"/>
        <v>0</v>
      </c>
      <c r="AMW63" s="44">
        <f t="shared" si="134"/>
        <v>0</v>
      </c>
      <c r="AMX63" s="44">
        <f t="shared" si="134"/>
        <v>0</v>
      </c>
      <c r="AMY63" s="44">
        <f t="shared" si="134"/>
        <v>0</v>
      </c>
      <c r="AMZ63" s="44">
        <f t="shared" si="134"/>
        <v>0</v>
      </c>
      <c r="ANA63" s="44">
        <f t="shared" si="134"/>
        <v>0</v>
      </c>
      <c r="ANB63" s="44">
        <f t="shared" si="134"/>
        <v>0</v>
      </c>
      <c r="ANC63" s="44">
        <f t="shared" si="134"/>
        <v>0</v>
      </c>
      <c r="AND63" s="44">
        <f t="shared" si="134"/>
        <v>0</v>
      </c>
      <c r="ANE63" s="44">
        <f t="shared" si="134"/>
        <v>0</v>
      </c>
      <c r="ANF63" s="44">
        <f t="shared" ref="ANF63:APQ63" si="135">SUM(ANF56:ANF57)</f>
        <v>0</v>
      </c>
      <c r="ANG63" s="44">
        <f t="shared" si="135"/>
        <v>0</v>
      </c>
      <c r="ANH63" s="44">
        <f t="shared" si="135"/>
        <v>0</v>
      </c>
      <c r="ANI63" s="44">
        <f t="shared" si="135"/>
        <v>0</v>
      </c>
      <c r="ANJ63" s="44">
        <f t="shared" si="135"/>
        <v>0</v>
      </c>
      <c r="ANK63" s="44">
        <f t="shared" si="135"/>
        <v>0</v>
      </c>
      <c r="ANL63" s="44">
        <f t="shared" si="135"/>
        <v>0</v>
      </c>
      <c r="ANM63" s="44">
        <f t="shared" si="135"/>
        <v>0</v>
      </c>
      <c r="ANN63" s="44">
        <f t="shared" si="135"/>
        <v>0</v>
      </c>
      <c r="ANO63" s="44">
        <f t="shared" si="135"/>
        <v>0</v>
      </c>
      <c r="ANP63" s="44">
        <f t="shared" si="135"/>
        <v>0</v>
      </c>
      <c r="ANQ63" s="44">
        <f t="shared" si="135"/>
        <v>0</v>
      </c>
      <c r="ANR63" s="44">
        <f t="shared" si="135"/>
        <v>0</v>
      </c>
      <c r="ANS63" s="44">
        <f t="shared" si="135"/>
        <v>0</v>
      </c>
      <c r="ANT63" s="44">
        <f t="shared" si="135"/>
        <v>0</v>
      </c>
      <c r="ANU63" s="44">
        <f t="shared" si="135"/>
        <v>0</v>
      </c>
      <c r="ANV63" s="44">
        <f t="shared" si="135"/>
        <v>0</v>
      </c>
      <c r="ANW63" s="44">
        <f t="shared" si="135"/>
        <v>0</v>
      </c>
      <c r="ANX63" s="44">
        <f t="shared" si="135"/>
        <v>0</v>
      </c>
      <c r="ANY63" s="44">
        <f t="shared" si="135"/>
        <v>0</v>
      </c>
      <c r="ANZ63" s="44">
        <f t="shared" si="135"/>
        <v>0</v>
      </c>
      <c r="AOA63" s="44">
        <f t="shared" si="135"/>
        <v>0</v>
      </c>
      <c r="AOB63" s="44">
        <f t="shared" si="135"/>
        <v>0</v>
      </c>
      <c r="AOC63" s="44">
        <f t="shared" si="135"/>
        <v>0</v>
      </c>
      <c r="AOD63" s="44">
        <f t="shared" si="135"/>
        <v>0</v>
      </c>
      <c r="AOE63" s="44">
        <f t="shared" si="135"/>
        <v>0</v>
      </c>
      <c r="AOF63" s="44">
        <f t="shared" si="135"/>
        <v>0</v>
      </c>
      <c r="AOG63" s="44">
        <f t="shared" si="135"/>
        <v>0</v>
      </c>
      <c r="AOH63" s="44">
        <f t="shared" si="135"/>
        <v>0</v>
      </c>
      <c r="AOI63" s="44">
        <f t="shared" si="135"/>
        <v>0</v>
      </c>
      <c r="AOJ63" s="44">
        <f t="shared" si="135"/>
        <v>0</v>
      </c>
      <c r="AOK63" s="44">
        <f t="shared" si="135"/>
        <v>0</v>
      </c>
      <c r="AOL63" s="44">
        <f t="shared" si="135"/>
        <v>0</v>
      </c>
      <c r="AOM63" s="44">
        <f t="shared" si="135"/>
        <v>0</v>
      </c>
      <c r="AON63" s="44">
        <f t="shared" si="135"/>
        <v>0</v>
      </c>
      <c r="AOO63" s="44">
        <f t="shared" si="135"/>
        <v>0</v>
      </c>
      <c r="AOP63" s="44">
        <f t="shared" si="135"/>
        <v>0</v>
      </c>
      <c r="AOQ63" s="44">
        <f t="shared" si="135"/>
        <v>0</v>
      </c>
      <c r="AOR63" s="44">
        <f t="shared" si="135"/>
        <v>0</v>
      </c>
      <c r="AOS63" s="44">
        <f t="shared" si="135"/>
        <v>0</v>
      </c>
      <c r="AOT63" s="44">
        <f t="shared" si="135"/>
        <v>0</v>
      </c>
      <c r="AOU63" s="44">
        <f t="shared" si="135"/>
        <v>0</v>
      </c>
      <c r="AOV63" s="44">
        <f t="shared" si="135"/>
        <v>0</v>
      </c>
      <c r="AOW63" s="44">
        <f t="shared" si="135"/>
        <v>0</v>
      </c>
      <c r="AOX63" s="44">
        <f t="shared" si="135"/>
        <v>0</v>
      </c>
      <c r="AOY63" s="44">
        <f t="shared" si="135"/>
        <v>0</v>
      </c>
      <c r="AOZ63" s="44">
        <f t="shared" si="135"/>
        <v>0</v>
      </c>
      <c r="APA63" s="44">
        <f t="shared" si="135"/>
        <v>0</v>
      </c>
      <c r="APB63" s="44">
        <f t="shared" si="135"/>
        <v>0</v>
      </c>
      <c r="APC63" s="44">
        <f t="shared" si="135"/>
        <v>0</v>
      </c>
      <c r="APD63" s="44">
        <f t="shared" si="135"/>
        <v>0</v>
      </c>
      <c r="APE63" s="44">
        <f t="shared" si="135"/>
        <v>0</v>
      </c>
      <c r="APF63" s="44">
        <f t="shared" si="135"/>
        <v>0</v>
      </c>
      <c r="APG63" s="44">
        <f t="shared" si="135"/>
        <v>0</v>
      </c>
      <c r="APH63" s="44">
        <f t="shared" si="135"/>
        <v>0</v>
      </c>
      <c r="API63" s="44">
        <f t="shared" si="135"/>
        <v>0</v>
      </c>
      <c r="APJ63" s="44">
        <f t="shared" si="135"/>
        <v>0</v>
      </c>
      <c r="APK63" s="44">
        <f t="shared" si="135"/>
        <v>0</v>
      </c>
      <c r="APL63" s="44">
        <f t="shared" si="135"/>
        <v>0</v>
      </c>
      <c r="APM63" s="44">
        <f t="shared" si="135"/>
        <v>0</v>
      </c>
      <c r="APN63" s="44">
        <f t="shared" si="135"/>
        <v>0</v>
      </c>
      <c r="APO63" s="44">
        <f t="shared" si="135"/>
        <v>0</v>
      </c>
      <c r="APP63" s="44">
        <f t="shared" si="135"/>
        <v>0</v>
      </c>
      <c r="APQ63" s="44">
        <f t="shared" si="135"/>
        <v>0</v>
      </c>
      <c r="APR63" s="44">
        <f t="shared" ref="APR63:ASC63" si="136">SUM(APR56:APR57)</f>
        <v>0</v>
      </c>
      <c r="APS63" s="44">
        <f t="shared" si="136"/>
        <v>0</v>
      </c>
      <c r="APT63" s="44">
        <f t="shared" si="136"/>
        <v>0</v>
      </c>
      <c r="APU63" s="44">
        <f t="shared" si="136"/>
        <v>0</v>
      </c>
      <c r="APV63" s="44">
        <f t="shared" si="136"/>
        <v>0</v>
      </c>
      <c r="APW63" s="44">
        <f t="shared" si="136"/>
        <v>0</v>
      </c>
      <c r="APX63" s="44">
        <f t="shared" si="136"/>
        <v>0</v>
      </c>
      <c r="APY63" s="44">
        <f t="shared" si="136"/>
        <v>0</v>
      </c>
      <c r="APZ63" s="44">
        <f t="shared" si="136"/>
        <v>0</v>
      </c>
      <c r="AQA63" s="44">
        <f t="shared" si="136"/>
        <v>0</v>
      </c>
      <c r="AQB63" s="44">
        <f t="shared" si="136"/>
        <v>0</v>
      </c>
      <c r="AQC63" s="44">
        <f t="shared" si="136"/>
        <v>0</v>
      </c>
      <c r="AQD63" s="44">
        <f t="shared" si="136"/>
        <v>0</v>
      </c>
      <c r="AQE63" s="44">
        <f t="shared" si="136"/>
        <v>0</v>
      </c>
      <c r="AQF63" s="44">
        <f t="shared" si="136"/>
        <v>0</v>
      </c>
      <c r="AQG63" s="44">
        <f t="shared" si="136"/>
        <v>0</v>
      </c>
      <c r="AQH63" s="44">
        <f t="shared" si="136"/>
        <v>0</v>
      </c>
      <c r="AQI63" s="44">
        <f t="shared" si="136"/>
        <v>0</v>
      </c>
      <c r="AQJ63" s="44">
        <f t="shared" si="136"/>
        <v>0</v>
      </c>
      <c r="AQK63" s="44">
        <f t="shared" si="136"/>
        <v>0</v>
      </c>
      <c r="AQL63" s="44">
        <f t="shared" si="136"/>
        <v>0</v>
      </c>
      <c r="AQM63" s="44">
        <f t="shared" si="136"/>
        <v>0</v>
      </c>
      <c r="AQN63" s="44">
        <f t="shared" si="136"/>
        <v>0</v>
      </c>
      <c r="AQO63" s="44">
        <f t="shared" si="136"/>
        <v>0</v>
      </c>
      <c r="AQP63" s="44">
        <f t="shared" si="136"/>
        <v>0</v>
      </c>
      <c r="AQQ63" s="44">
        <f t="shared" si="136"/>
        <v>0</v>
      </c>
      <c r="AQR63" s="44">
        <f t="shared" si="136"/>
        <v>0</v>
      </c>
      <c r="AQS63" s="44">
        <f t="shared" si="136"/>
        <v>0</v>
      </c>
      <c r="AQT63" s="44">
        <f t="shared" si="136"/>
        <v>0</v>
      </c>
      <c r="AQU63" s="44">
        <f t="shared" si="136"/>
        <v>0</v>
      </c>
      <c r="AQV63" s="44">
        <f t="shared" si="136"/>
        <v>0</v>
      </c>
      <c r="AQW63" s="44">
        <f t="shared" si="136"/>
        <v>0</v>
      </c>
      <c r="AQX63" s="44">
        <f t="shared" si="136"/>
        <v>0</v>
      </c>
      <c r="AQY63" s="44">
        <f t="shared" si="136"/>
        <v>0</v>
      </c>
      <c r="AQZ63" s="44">
        <f t="shared" si="136"/>
        <v>0</v>
      </c>
      <c r="ARA63" s="44">
        <f t="shared" si="136"/>
        <v>0</v>
      </c>
      <c r="ARB63" s="44">
        <f t="shared" si="136"/>
        <v>0</v>
      </c>
      <c r="ARC63" s="44">
        <f t="shared" si="136"/>
        <v>0</v>
      </c>
      <c r="ARD63" s="44">
        <f t="shared" si="136"/>
        <v>0</v>
      </c>
      <c r="ARE63" s="44">
        <f t="shared" si="136"/>
        <v>0</v>
      </c>
      <c r="ARF63" s="44">
        <f t="shared" si="136"/>
        <v>0</v>
      </c>
      <c r="ARG63" s="44">
        <f t="shared" si="136"/>
        <v>0</v>
      </c>
      <c r="ARH63" s="44">
        <f t="shared" si="136"/>
        <v>0</v>
      </c>
      <c r="ARI63" s="44">
        <f t="shared" si="136"/>
        <v>0</v>
      </c>
      <c r="ARJ63" s="44">
        <f t="shared" si="136"/>
        <v>0</v>
      </c>
      <c r="ARK63" s="44">
        <f t="shared" si="136"/>
        <v>0</v>
      </c>
      <c r="ARL63" s="44">
        <f t="shared" si="136"/>
        <v>0</v>
      </c>
      <c r="ARM63" s="44">
        <f t="shared" si="136"/>
        <v>0</v>
      </c>
      <c r="ARN63" s="44">
        <f t="shared" si="136"/>
        <v>0</v>
      </c>
      <c r="ARO63" s="44">
        <f t="shared" si="136"/>
        <v>0</v>
      </c>
      <c r="ARP63" s="44">
        <f t="shared" si="136"/>
        <v>0</v>
      </c>
      <c r="ARQ63" s="44">
        <f t="shared" si="136"/>
        <v>0</v>
      </c>
      <c r="ARR63" s="44">
        <f t="shared" si="136"/>
        <v>0</v>
      </c>
      <c r="ARS63" s="44">
        <f t="shared" si="136"/>
        <v>0</v>
      </c>
      <c r="ART63" s="44">
        <f t="shared" si="136"/>
        <v>0</v>
      </c>
      <c r="ARU63" s="44">
        <f t="shared" si="136"/>
        <v>0</v>
      </c>
      <c r="ARV63" s="44">
        <f t="shared" si="136"/>
        <v>0</v>
      </c>
      <c r="ARW63" s="44">
        <f t="shared" si="136"/>
        <v>0</v>
      </c>
      <c r="ARX63" s="44">
        <f t="shared" si="136"/>
        <v>0</v>
      </c>
      <c r="ARY63" s="44">
        <f t="shared" si="136"/>
        <v>0</v>
      </c>
      <c r="ARZ63" s="44">
        <f t="shared" si="136"/>
        <v>0</v>
      </c>
      <c r="ASA63" s="44">
        <f t="shared" si="136"/>
        <v>0</v>
      </c>
      <c r="ASB63" s="44">
        <f t="shared" si="136"/>
        <v>0</v>
      </c>
      <c r="ASC63" s="44">
        <f t="shared" si="136"/>
        <v>0</v>
      </c>
      <c r="ASD63" s="44">
        <f t="shared" ref="ASD63:AUO63" si="137">SUM(ASD56:ASD57)</f>
        <v>0</v>
      </c>
      <c r="ASE63" s="44">
        <f t="shared" si="137"/>
        <v>0</v>
      </c>
      <c r="ASF63" s="44">
        <f t="shared" si="137"/>
        <v>0</v>
      </c>
      <c r="ASG63" s="44">
        <f t="shared" si="137"/>
        <v>0</v>
      </c>
      <c r="ASH63" s="44">
        <f t="shared" si="137"/>
        <v>0</v>
      </c>
      <c r="ASI63" s="44">
        <f t="shared" si="137"/>
        <v>0</v>
      </c>
      <c r="ASJ63" s="44">
        <f t="shared" si="137"/>
        <v>0</v>
      </c>
      <c r="ASK63" s="44">
        <f t="shared" si="137"/>
        <v>0</v>
      </c>
      <c r="ASL63" s="44">
        <f t="shared" si="137"/>
        <v>0</v>
      </c>
      <c r="ASM63" s="44">
        <f t="shared" si="137"/>
        <v>0</v>
      </c>
      <c r="ASN63" s="44">
        <f t="shared" si="137"/>
        <v>0</v>
      </c>
      <c r="ASO63" s="44">
        <f t="shared" si="137"/>
        <v>0</v>
      </c>
      <c r="ASP63" s="44">
        <f t="shared" si="137"/>
        <v>0</v>
      </c>
      <c r="ASQ63" s="44">
        <f t="shared" si="137"/>
        <v>0</v>
      </c>
      <c r="ASR63" s="44">
        <f t="shared" si="137"/>
        <v>0</v>
      </c>
      <c r="ASS63" s="44">
        <f t="shared" si="137"/>
        <v>0</v>
      </c>
      <c r="AST63" s="44">
        <f t="shared" si="137"/>
        <v>0</v>
      </c>
      <c r="ASU63" s="44">
        <f t="shared" si="137"/>
        <v>0</v>
      </c>
      <c r="ASV63" s="44">
        <f t="shared" si="137"/>
        <v>0</v>
      </c>
      <c r="ASW63" s="44">
        <f t="shared" si="137"/>
        <v>0</v>
      </c>
      <c r="ASX63" s="44">
        <f t="shared" si="137"/>
        <v>0</v>
      </c>
      <c r="ASY63" s="44">
        <f t="shared" si="137"/>
        <v>0</v>
      </c>
      <c r="ASZ63" s="44">
        <f t="shared" si="137"/>
        <v>0</v>
      </c>
      <c r="ATA63" s="44">
        <f t="shared" si="137"/>
        <v>0</v>
      </c>
      <c r="ATB63" s="44">
        <f t="shared" si="137"/>
        <v>0</v>
      </c>
      <c r="ATC63" s="44">
        <f t="shared" si="137"/>
        <v>0</v>
      </c>
      <c r="ATD63" s="44">
        <f t="shared" si="137"/>
        <v>0</v>
      </c>
      <c r="ATE63" s="44">
        <f t="shared" si="137"/>
        <v>0</v>
      </c>
      <c r="ATF63" s="44">
        <f t="shared" si="137"/>
        <v>0</v>
      </c>
      <c r="ATG63" s="44">
        <f t="shared" si="137"/>
        <v>0</v>
      </c>
      <c r="ATH63" s="44">
        <f t="shared" si="137"/>
        <v>0</v>
      </c>
      <c r="ATI63" s="44">
        <f t="shared" si="137"/>
        <v>0</v>
      </c>
      <c r="ATJ63" s="44">
        <f t="shared" si="137"/>
        <v>0</v>
      </c>
      <c r="ATK63" s="44">
        <f t="shared" si="137"/>
        <v>0</v>
      </c>
      <c r="ATL63" s="44">
        <f t="shared" si="137"/>
        <v>0</v>
      </c>
      <c r="ATM63" s="44">
        <f t="shared" si="137"/>
        <v>0</v>
      </c>
      <c r="ATN63" s="44">
        <f t="shared" si="137"/>
        <v>0</v>
      </c>
      <c r="ATO63" s="44">
        <f t="shared" si="137"/>
        <v>0</v>
      </c>
      <c r="ATP63" s="44">
        <f t="shared" si="137"/>
        <v>0</v>
      </c>
      <c r="ATQ63" s="44">
        <f t="shared" si="137"/>
        <v>0</v>
      </c>
      <c r="ATR63" s="44">
        <f t="shared" si="137"/>
        <v>0</v>
      </c>
      <c r="ATS63" s="44">
        <f t="shared" si="137"/>
        <v>0</v>
      </c>
      <c r="ATT63" s="44">
        <f t="shared" si="137"/>
        <v>0</v>
      </c>
      <c r="ATU63" s="44">
        <f t="shared" si="137"/>
        <v>0</v>
      </c>
      <c r="ATV63" s="44">
        <f t="shared" si="137"/>
        <v>0</v>
      </c>
      <c r="ATW63" s="44">
        <f t="shared" si="137"/>
        <v>0</v>
      </c>
      <c r="ATX63" s="44">
        <f t="shared" si="137"/>
        <v>0</v>
      </c>
      <c r="ATY63" s="44">
        <f t="shared" si="137"/>
        <v>0</v>
      </c>
      <c r="ATZ63" s="44">
        <f t="shared" si="137"/>
        <v>0</v>
      </c>
      <c r="AUA63" s="44">
        <f t="shared" si="137"/>
        <v>0</v>
      </c>
      <c r="AUB63" s="44">
        <f t="shared" si="137"/>
        <v>0</v>
      </c>
      <c r="AUC63" s="44">
        <f t="shared" si="137"/>
        <v>0</v>
      </c>
      <c r="AUD63" s="44">
        <f t="shared" si="137"/>
        <v>0</v>
      </c>
      <c r="AUE63" s="44">
        <f t="shared" si="137"/>
        <v>0</v>
      </c>
      <c r="AUF63" s="44">
        <f t="shared" si="137"/>
        <v>0</v>
      </c>
      <c r="AUG63" s="44">
        <f t="shared" si="137"/>
        <v>0</v>
      </c>
      <c r="AUH63" s="44">
        <f t="shared" si="137"/>
        <v>0</v>
      </c>
      <c r="AUI63" s="44">
        <f t="shared" si="137"/>
        <v>0</v>
      </c>
      <c r="AUJ63" s="44">
        <f t="shared" si="137"/>
        <v>0</v>
      </c>
      <c r="AUK63" s="44">
        <f t="shared" si="137"/>
        <v>0</v>
      </c>
      <c r="AUL63" s="44">
        <f t="shared" si="137"/>
        <v>0</v>
      </c>
      <c r="AUM63" s="44">
        <f t="shared" si="137"/>
        <v>0</v>
      </c>
      <c r="AUN63" s="44">
        <f t="shared" si="137"/>
        <v>0</v>
      </c>
      <c r="AUO63" s="44">
        <f t="shared" si="137"/>
        <v>0</v>
      </c>
      <c r="AUP63" s="44">
        <f t="shared" ref="AUP63:AXA63" si="138">SUM(AUP56:AUP57)</f>
        <v>0</v>
      </c>
      <c r="AUQ63" s="44">
        <f t="shared" si="138"/>
        <v>0</v>
      </c>
      <c r="AUR63" s="44">
        <f t="shared" si="138"/>
        <v>0</v>
      </c>
      <c r="AUS63" s="44">
        <f t="shared" si="138"/>
        <v>0</v>
      </c>
      <c r="AUT63" s="44">
        <f t="shared" si="138"/>
        <v>0</v>
      </c>
      <c r="AUU63" s="44">
        <f t="shared" si="138"/>
        <v>0</v>
      </c>
      <c r="AUV63" s="44">
        <f t="shared" si="138"/>
        <v>0</v>
      </c>
      <c r="AUW63" s="44">
        <f t="shared" si="138"/>
        <v>0</v>
      </c>
      <c r="AUX63" s="44">
        <f t="shared" si="138"/>
        <v>0</v>
      </c>
      <c r="AUY63" s="44">
        <f t="shared" si="138"/>
        <v>0</v>
      </c>
      <c r="AUZ63" s="44">
        <f t="shared" si="138"/>
        <v>0</v>
      </c>
      <c r="AVA63" s="44">
        <f t="shared" si="138"/>
        <v>0</v>
      </c>
      <c r="AVB63" s="44">
        <f t="shared" si="138"/>
        <v>0</v>
      </c>
      <c r="AVC63" s="44">
        <f t="shared" si="138"/>
        <v>0</v>
      </c>
      <c r="AVD63" s="44">
        <f t="shared" si="138"/>
        <v>0</v>
      </c>
      <c r="AVE63" s="44">
        <f t="shared" si="138"/>
        <v>0</v>
      </c>
      <c r="AVF63" s="44">
        <f t="shared" si="138"/>
        <v>0</v>
      </c>
      <c r="AVG63" s="44">
        <f t="shared" si="138"/>
        <v>0</v>
      </c>
      <c r="AVH63" s="44">
        <f t="shared" si="138"/>
        <v>0</v>
      </c>
      <c r="AVI63" s="44">
        <f t="shared" si="138"/>
        <v>0</v>
      </c>
      <c r="AVJ63" s="44">
        <f t="shared" si="138"/>
        <v>0</v>
      </c>
      <c r="AVK63" s="44">
        <f t="shared" si="138"/>
        <v>0</v>
      </c>
      <c r="AVL63" s="44">
        <f t="shared" si="138"/>
        <v>0</v>
      </c>
      <c r="AVM63" s="44">
        <f t="shared" si="138"/>
        <v>0</v>
      </c>
      <c r="AVN63" s="44">
        <f t="shared" si="138"/>
        <v>0</v>
      </c>
      <c r="AVO63" s="44">
        <f t="shared" si="138"/>
        <v>0</v>
      </c>
      <c r="AVP63" s="44">
        <f t="shared" si="138"/>
        <v>0</v>
      </c>
      <c r="AVQ63" s="44">
        <f t="shared" si="138"/>
        <v>0</v>
      </c>
      <c r="AVR63" s="44">
        <f t="shared" si="138"/>
        <v>0</v>
      </c>
      <c r="AVS63" s="44">
        <f t="shared" si="138"/>
        <v>0</v>
      </c>
      <c r="AVT63" s="44">
        <f t="shared" si="138"/>
        <v>0</v>
      </c>
      <c r="AVU63" s="44">
        <f t="shared" si="138"/>
        <v>0</v>
      </c>
      <c r="AVV63" s="44">
        <f t="shared" si="138"/>
        <v>0</v>
      </c>
      <c r="AVW63" s="44">
        <f t="shared" si="138"/>
        <v>0</v>
      </c>
      <c r="AVX63" s="44">
        <f t="shared" si="138"/>
        <v>0</v>
      </c>
      <c r="AVY63" s="44">
        <f t="shared" si="138"/>
        <v>0</v>
      </c>
      <c r="AVZ63" s="44">
        <f t="shared" si="138"/>
        <v>0</v>
      </c>
      <c r="AWA63" s="44">
        <f t="shared" si="138"/>
        <v>0</v>
      </c>
      <c r="AWB63" s="44">
        <f t="shared" si="138"/>
        <v>0</v>
      </c>
      <c r="AWC63" s="44">
        <f t="shared" si="138"/>
        <v>0</v>
      </c>
      <c r="AWD63" s="44">
        <f t="shared" si="138"/>
        <v>0</v>
      </c>
      <c r="AWE63" s="44">
        <f t="shared" si="138"/>
        <v>0</v>
      </c>
      <c r="AWF63" s="44">
        <f t="shared" si="138"/>
        <v>0</v>
      </c>
      <c r="AWG63" s="44">
        <f t="shared" si="138"/>
        <v>0</v>
      </c>
      <c r="AWH63" s="44">
        <f t="shared" si="138"/>
        <v>0</v>
      </c>
      <c r="AWI63" s="44">
        <f t="shared" si="138"/>
        <v>0</v>
      </c>
      <c r="AWJ63" s="44">
        <f t="shared" si="138"/>
        <v>0</v>
      </c>
      <c r="AWK63" s="44">
        <f t="shared" si="138"/>
        <v>0</v>
      </c>
      <c r="AWL63" s="44">
        <f t="shared" si="138"/>
        <v>0</v>
      </c>
      <c r="AWM63" s="44">
        <f t="shared" si="138"/>
        <v>0</v>
      </c>
      <c r="AWN63" s="44">
        <f t="shared" si="138"/>
        <v>0</v>
      </c>
      <c r="AWO63" s="44">
        <f t="shared" si="138"/>
        <v>0</v>
      </c>
      <c r="AWP63" s="44">
        <f t="shared" si="138"/>
        <v>0</v>
      </c>
      <c r="AWQ63" s="44">
        <f t="shared" si="138"/>
        <v>0</v>
      </c>
      <c r="AWR63" s="44">
        <f t="shared" si="138"/>
        <v>0</v>
      </c>
      <c r="AWS63" s="44">
        <f t="shared" si="138"/>
        <v>0</v>
      </c>
      <c r="AWT63" s="44">
        <f t="shared" si="138"/>
        <v>0</v>
      </c>
      <c r="AWU63" s="44">
        <f t="shared" si="138"/>
        <v>0</v>
      </c>
      <c r="AWV63" s="44">
        <f t="shared" si="138"/>
        <v>0</v>
      </c>
      <c r="AWW63" s="44">
        <f t="shared" si="138"/>
        <v>0</v>
      </c>
      <c r="AWX63" s="44">
        <f t="shared" si="138"/>
        <v>0</v>
      </c>
      <c r="AWY63" s="44">
        <f t="shared" si="138"/>
        <v>0</v>
      </c>
      <c r="AWZ63" s="44">
        <f t="shared" si="138"/>
        <v>0</v>
      </c>
      <c r="AXA63" s="44">
        <f t="shared" si="138"/>
        <v>0</v>
      </c>
      <c r="AXB63" s="44">
        <f t="shared" ref="AXB63:AZM63" si="139">SUM(AXB56:AXB57)</f>
        <v>0</v>
      </c>
      <c r="AXC63" s="44">
        <f t="shared" si="139"/>
        <v>0</v>
      </c>
      <c r="AXD63" s="44">
        <f t="shared" si="139"/>
        <v>0</v>
      </c>
      <c r="AXE63" s="44">
        <f t="shared" si="139"/>
        <v>0</v>
      </c>
      <c r="AXF63" s="44">
        <f t="shared" si="139"/>
        <v>0</v>
      </c>
      <c r="AXG63" s="44">
        <f t="shared" si="139"/>
        <v>0</v>
      </c>
      <c r="AXH63" s="44">
        <f t="shared" si="139"/>
        <v>0</v>
      </c>
      <c r="AXI63" s="44">
        <f t="shared" si="139"/>
        <v>0</v>
      </c>
      <c r="AXJ63" s="44">
        <f t="shared" si="139"/>
        <v>0</v>
      </c>
      <c r="AXK63" s="44">
        <f t="shared" si="139"/>
        <v>0</v>
      </c>
      <c r="AXL63" s="44">
        <f t="shared" si="139"/>
        <v>0</v>
      </c>
      <c r="AXM63" s="44">
        <f t="shared" si="139"/>
        <v>0</v>
      </c>
      <c r="AXN63" s="44">
        <f t="shared" si="139"/>
        <v>0</v>
      </c>
      <c r="AXO63" s="44">
        <f t="shared" si="139"/>
        <v>0</v>
      </c>
      <c r="AXP63" s="44">
        <f t="shared" si="139"/>
        <v>0</v>
      </c>
      <c r="AXQ63" s="44">
        <f t="shared" si="139"/>
        <v>0</v>
      </c>
      <c r="AXR63" s="44">
        <f t="shared" si="139"/>
        <v>0</v>
      </c>
      <c r="AXS63" s="44">
        <f t="shared" si="139"/>
        <v>0</v>
      </c>
      <c r="AXT63" s="44">
        <f t="shared" si="139"/>
        <v>0</v>
      </c>
      <c r="AXU63" s="44">
        <f t="shared" si="139"/>
        <v>0</v>
      </c>
      <c r="AXV63" s="44">
        <f t="shared" si="139"/>
        <v>0</v>
      </c>
      <c r="AXW63" s="44">
        <f t="shared" si="139"/>
        <v>0</v>
      </c>
      <c r="AXX63" s="44">
        <f t="shared" si="139"/>
        <v>0</v>
      </c>
      <c r="AXY63" s="44">
        <f t="shared" si="139"/>
        <v>0</v>
      </c>
      <c r="AXZ63" s="44">
        <f t="shared" si="139"/>
        <v>0</v>
      </c>
      <c r="AYA63" s="44">
        <f t="shared" si="139"/>
        <v>0</v>
      </c>
      <c r="AYB63" s="44">
        <f t="shared" si="139"/>
        <v>0</v>
      </c>
      <c r="AYC63" s="44">
        <f t="shared" si="139"/>
        <v>0</v>
      </c>
      <c r="AYD63" s="44">
        <f t="shared" si="139"/>
        <v>0</v>
      </c>
      <c r="AYE63" s="44">
        <f t="shared" si="139"/>
        <v>0</v>
      </c>
      <c r="AYF63" s="44">
        <f t="shared" si="139"/>
        <v>0</v>
      </c>
      <c r="AYG63" s="44">
        <f t="shared" si="139"/>
        <v>0</v>
      </c>
      <c r="AYH63" s="44">
        <f t="shared" si="139"/>
        <v>0</v>
      </c>
      <c r="AYI63" s="44">
        <f t="shared" si="139"/>
        <v>0</v>
      </c>
      <c r="AYJ63" s="44">
        <f t="shared" si="139"/>
        <v>0</v>
      </c>
      <c r="AYK63" s="44">
        <f t="shared" si="139"/>
        <v>0</v>
      </c>
      <c r="AYL63" s="44">
        <f t="shared" si="139"/>
        <v>0</v>
      </c>
      <c r="AYM63" s="44">
        <f t="shared" si="139"/>
        <v>0</v>
      </c>
      <c r="AYN63" s="44">
        <f t="shared" si="139"/>
        <v>0</v>
      </c>
      <c r="AYO63" s="44">
        <f t="shared" si="139"/>
        <v>0</v>
      </c>
      <c r="AYP63" s="44">
        <f t="shared" si="139"/>
        <v>0</v>
      </c>
      <c r="AYQ63" s="44">
        <f t="shared" si="139"/>
        <v>0</v>
      </c>
      <c r="AYR63" s="44">
        <f t="shared" si="139"/>
        <v>0</v>
      </c>
      <c r="AYS63" s="44">
        <f t="shared" si="139"/>
        <v>0</v>
      </c>
      <c r="AYT63" s="44">
        <f t="shared" si="139"/>
        <v>0</v>
      </c>
      <c r="AYU63" s="44">
        <f t="shared" si="139"/>
        <v>0</v>
      </c>
      <c r="AYV63" s="44">
        <f t="shared" si="139"/>
        <v>0</v>
      </c>
      <c r="AYW63" s="44">
        <f t="shared" si="139"/>
        <v>0</v>
      </c>
      <c r="AYX63" s="44">
        <f t="shared" si="139"/>
        <v>0</v>
      </c>
      <c r="AYY63" s="44">
        <f t="shared" si="139"/>
        <v>0</v>
      </c>
      <c r="AYZ63" s="44">
        <f t="shared" si="139"/>
        <v>0</v>
      </c>
      <c r="AZA63" s="44">
        <f t="shared" si="139"/>
        <v>0</v>
      </c>
      <c r="AZB63" s="44">
        <f t="shared" si="139"/>
        <v>0</v>
      </c>
      <c r="AZC63" s="44">
        <f t="shared" si="139"/>
        <v>0</v>
      </c>
      <c r="AZD63" s="44">
        <f t="shared" si="139"/>
        <v>0</v>
      </c>
      <c r="AZE63" s="44">
        <f t="shared" si="139"/>
        <v>0</v>
      </c>
      <c r="AZF63" s="44">
        <f t="shared" si="139"/>
        <v>0</v>
      </c>
      <c r="AZG63" s="44">
        <f t="shared" si="139"/>
        <v>0</v>
      </c>
      <c r="AZH63" s="44">
        <f t="shared" si="139"/>
        <v>0</v>
      </c>
      <c r="AZI63" s="44">
        <f t="shared" si="139"/>
        <v>0</v>
      </c>
      <c r="AZJ63" s="44">
        <f t="shared" si="139"/>
        <v>0</v>
      </c>
      <c r="AZK63" s="44">
        <f t="shared" si="139"/>
        <v>0</v>
      </c>
      <c r="AZL63" s="44">
        <f t="shared" si="139"/>
        <v>0</v>
      </c>
      <c r="AZM63" s="44">
        <f t="shared" si="139"/>
        <v>0</v>
      </c>
      <c r="AZN63" s="44">
        <f t="shared" ref="AZN63:BBY63" si="140">SUM(AZN56:AZN57)</f>
        <v>0</v>
      </c>
      <c r="AZO63" s="44">
        <f t="shared" si="140"/>
        <v>0</v>
      </c>
      <c r="AZP63" s="44">
        <f t="shared" si="140"/>
        <v>0</v>
      </c>
      <c r="AZQ63" s="44">
        <f t="shared" si="140"/>
        <v>0</v>
      </c>
      <c r="AZR63" s="44">
        <f t="shared" si="140"/>
        <v>0</v>
      </c>
      <c r="AZS63" s="44">
        <f t="shared" si="140"/>
        <v>0</v>
      </c>
      <c r="AZT63" s="44">
        <f t="shared" si="140"/>
        <v>0</v>
      </c>
      <c r="AZU63" s="44">
        <f t="shared" si="140"/>
        <v>0</v>
      </c>
      <c r="AZV63" s="44">
        <f t="shared" si="140"/>
        <v>0</v>
      </c>
      <c r="AZW63" s="44">
        <f t="shared" si="140"/>
        <v>0</v>
      </c>
      <c r="AZX63" s="44">
        <f t="shared" si="140"/>
        <v>0</v>
      </c>
      <c r="AZY63" s="44">
        <f t="shared" si="140"/>
        <v>0</v>
      </c>
      <c r="AZZ63" s="44">
        <f t="shared" si="140"/>
        <v>0</v>
      </c>
      <c r="BAA63" s="44">
        <f t="shared" si="140"/>
        <v>0</v>
      </c>
      <c r="BAB63" s="44">
        <f t="shared" si="140"/>
        <v>0</v>
      </c>
      <c r="BAC63" s="44">
        <f t="shared" si="140"/>
        <v>0</v>
      </c>
      <c r="BAD63" s="44">
        <f t="shared" si="140"/>
        <v>0</v>
      </c>
      <c r="BAE63" s="44">
        <f t="shared" si="140"/>
        <v>0</v>
      </c>
      <c r="BAF63" s="44">
        <f t="shared" si="140"/>
        <v>0</v>
      </c>
      <c r="BAG63" s="44">
        <f t="shared" si="140"/>
        <v>0</v>
      </c>
      <c r="BAH63" s="44">
        <f t="shared" si="140"/>
        <v>0</v>
      </c>
      <c r="BAI63" s="44">
        <f t="shared" si="140"/>
        <v>0</v>
      </c>
      <c r="BAJ63" s="44">
        <f t="shared" si="140"/>
        <v>0</v>
      </c>
      <c r="BAK63" s="44">
        <f t="shared" si="140"/>
        <v>0</v>
      </c>
      <c r="BAL63" s="44">
        <f t="shared" si="140"/>
        <v>0</v>
      </c>
      <c r="BAM63" s="44">
        <f t="shared" si="140"/>
        <v>0</v>
      </c>
      <c r="BAN63" s="44">
        <f t="shared" si="140"/>
        <v>0</v>
      </c>
      <c r="BAO63" s="44">
        <f t="shared" si="140"/>
        <v>0</v>
      </c>
      <c r="BAP63" s="44">
        <f t="shared" si="140"/>
        <v>0</v>
      </c>
      <c r="BAQ63" s="44">
        <f t="shared" si="140"/>
        <v>0</v>
      </c>
      <c r="BAR63" s="44">
        <f t="shared" si="140"/>
        <v>0</v>
      </c>
      <c r="BAS63" s="44">
        <f t="shared" si="140"/>
        <v>0</v>
      </c>
      <c r="BAT63" s="44">
        <f t="shared" si="140"/>
        <v>0</v>
      </c>
      <c r="BAU63" s="44">
        <f t="shared" si="140"/>
        <v>0</v>
      </c>
      <c r="BAV63" s="44">
        <f t="shared" si="140"/>
        <v>0</v>
      </c>
      <c r="BAW63" s="44">
        <f t="shared" si="140"/>
        <v>0</v>
      </c>
      <c r="BAX63" s="44">
        <f t="shared" si="140"/>
        <v>0</v>
      </c>
      <c r="BAY63" s="44">
        <f t="shared" si="140"/>
        <v>0</v>
      </c>
      <c r="BAZ63" s="44">
        <f t="shared" si="140"/>
        <v>0</v>
      </c>
      <c r="BBA63" s="44">
        <f t="shared" si="140"/>
        <v>0</v>
      </c>
      <c r="BBB63" s="44">
        <f t="shared" si="140"/>
        <v>0</v>
      </c>
      <c r="BBC63" s="44">
        <f t="shared" si="140"/>
        <v>0</v>
      </c>
      <c r="BBD63" s="44">
        <f t="shared" si="140"/>
        <v>0</v>
      </c>
      <c r="BBE63" s="44">
        <f t="shared" si="140"/>
        <v>0</v>
      </c>
      <c r="BBF63" s="44">
        <f t="shared" si="140"/>
        <v>0</v>
      </c>
      <c r="BBG63" s="44">
        <f t="shared" si="140"/>
        <v>0</v>
      </c>
      <c r="BBH63" s="44">
        <f t="shared" si="140"/>
        <v>0</v>
      </c>
      <c r="BBI63" s="44">
        <f t="shared" si="140"/>
        <v>0</v>
      </c>
      <c r="BBJ63" s="44">
        <f t="shared" si="140"/>
        <v>0</v>
      </c>
      <c r="BBK63" s="44">
        <f t="shared" si="140"/>
        <v>0</v>
      </c>
      <c r="BBL63" s="44">
        <f t="shared" si="140"/>
        <v>0</v>
      </c>
      <c r="BBM63" s="44">
        <f t="shared" si="140"/>
        <v>0</v>
      </c>
      <c r="BBN63" s="44">
        <f t="shared" si="140"/>
        <v>0</v>
      </c>
      <c r="BBO63" s="44">
        <f t="shared" si="140"/>
        <v>0</v>
      </c>
      <c r="BBP63" s="44">
        <f t="shared" si="140"/>
        <v>0</v>
      </c>
      <c r="BBQ63" s="44">
        <f t="shared" si="140"/>
        <v>0</v>
      </c>
      <c r="BBR63" s="44">
        <f t="shared" si="140"/>
        <v>0</v>
      </c>
      <c r="BBS63" s="44">
        <f t="shared" si="140"/>
        <v>0</v>
      </c>
      <c r="BBT63" s="44">
        <f t="shared" si="140"/>
        <v>0</v>
      </c>
      <c r="BBU63" s="44">
        <f t="shared" si="140"/>
        <v>0</v>
      </c>
      <c r="BBV63" s="44">
        <f t="shared" si="140"/>
        <v>0</v>
      </c>
      <c r="BBW63" s="44">
        <f t="shared" si="140"/>
        <v>0</v>
      </c>
      <c r="BBX63" s="44">
        <f t="shared" si="140"/>
        <v>0</v>
      </c>
      <c r="BBY63" s="44">
        <f t="shared" si="140"/>
        <v>0</v>
      </c>
      <c r="BBZ63" s="44">
        <f t="shared" ref="BBZ63:BEK63" si="141">SUM(BBZ56:BBZ57)</f>
        <v>0</v>
      </c>
      <c r="BCA63" s="44">
        <f t="shared" si="141"/>
        <v>0</v>
      </c>
      <c r="BCB63" s="44">
        <f t="shared" si="141"/>
        <v>0</v>
      </c>
      <c r="BCC63" s="44">
        <f t="shared" si="141"/>
        <v>0</v>
      </c>
      <c r="BCD63" s="44">
        <f t="shared" si="141"/>
        <v>0</v>
      </c>
      <c r="BCE63" s="44">
        <f t="shared" si="141"/>
        <v>0</v>
      </c>
      <c r="BCF63" s="44">
        <f t="shared" si="141"/>
        <v>0</v>
      </c>
      <c r="BCG63" s="44">
        <f t="shared" si="141"/>
        <v>0</v>
      </c>
      <c r="BCH63" s="44">
        <f t="shared" si="141"/>
        <v>0</v>
      </c>
      <c r="BCI63" s="44">
        <f t="shared" si="141"/>
        <v>0</v>
      </c>
      <c r="BCJ63" s="44">
        <f t="shared" si="141"/>
        <v>0</v>
      </c>
      <c r="BCK63" s="44">
        <f t="shared" si="141"/>
        <v>0</v>
      </c>
      <c r="BCL63" s="44">
        <f t="shared" si="141"/>
        <v>0</v>
      </c>
      <c r="BCM63" s="44">
        <f t="shared" si="141"/>
        <v>0</v>
      </c>
      <c r="BCN63" s="44">
        <f t="shared" si="141"/>
        <v>0</v>
      </c>
      <c r="BCO63" s="44">
        <f t="shared" si="141"/>
        <v>0</v>
      </c>
      <c r="BCP63" s="44">
        <f t="shared" si="141"/>
        <v>0</v>
      </c>
      <c r="BCQ63" s="44">
        <f t="shared" si="141"/>
        <v>0</v>
      </c>
      <c r="BCR63" s="44">
        <f t="shared" si="141"/>
        <v>0</v>
      </c>
      <c r="BCS63" s="44">
        <f t="shared" si="141"/>
        <v>0</v>
      </c>
      <c r="BCT63" s="44">
        <f t="shared" si="141"/>
        <v>0</v>
      </c>
      <c r="BCU63" s="44">
        <f t="shared" si="141"/>
        <v>0</v>
      </c>
      <c r="BCV63" s="44">
        <f t="shared" si="141"/>
        <v>0</v>
      </c>
      <c r="BCW63" s="44">
        <f t="shared" si="141"/>
        <v>0</v>
      </c>
      <c r="BCX63" s="44">
        <f t="shared" si="141"/>
        <v>0</v>
      </c>
      <c r="BCY63" s="44">
        <f t="shared" si="141"/>
        <v>0</v>
      </c>
      <c r="BCZ63" s="44">
        <f t="shared" si="141"/>
        <v>0</v>
      </c>
      <c r="BDA63" s="44">
        <f t="shared" si="141"/>
        <v>0</v>
      </c>
      <c r="BDB63" s="44">
        <f t="shared" si="141"/>
        <v>0</v>
      </c>
      <c r="BDC63" s="44">
        <f t="shared" si="141"/>
        <v>0</v>
      </c>
      <c r="BDD63" s="44">
        <f t="shared" si="141"/>
        <v>0</v>
      </c>
      <c r="BDE63" s="44">
        <f t="shared" si="141"/>
        <v>0</v>
      </c>
      <c r="BDF63" s="44">
        <f t="shared" si="141"/>
        <v>0</v>
      </c>
      <c r="BDG63" s="44">
        <f t="shared" si="141"/>
        <v>0</v>
      </c>
      <c r="BDH63" s="44">
        <f t="shared" si="141"/>
        <v>0</v>
      </c>
      <c r="BDI63" s="44">
        <f t="shared" si="141"/>
        <v>0</v>
      </c>
      <c r="BDJ63" s="44">
        <f t="shared" si="141"/>
        <v>0</v>
      </c>
      <c r="BDK63" s="44">
        <f t="shared" si="141"/>
        <v>0</v>
      </c>
      <c r="BDL63" s="44">
        <f t="shared" si="141"/>
        <v>0</v>
      </c>
      <c r="BDM63" s="44">
        <f t="shared" si="141"/>
        <v>0</v>
      </c>
      <c r="BDN63" s="44">
        <f t="shared" si="141"/>
        <v>0</v>
      </c>
      <c r="BDO63" s="44">
        <f t="shared" si="141"/>
        <v>0</v>
      </c>
      <c r="BDP63" s="44">
        <f t="shared" si="141"/>
        <v>0</v>
      </c>
      <c r="BDQ63" s="44">
        <f t="shared" si="141"/>
        <v>0</v>
      </c>
      <c r="BDR63" s="44">
        <f t="shared" si="141"/>
        <v>0</v>
      </c>
      <c r="BDS63" s="44">
        <f t="shared" si="141"/>
        <v>0</v>
      </c>
      <c r="BDT63" s="44">
        <f t="shared" si="141"/>
        <v>0</v>
      </c>
      <c r="BDU63" s="44">
        <f t="shared" si="141"/>
        <v>0</v>
      </c>
      <c r="BDV63" s="44">
        <f t="shared" si="141"/>
        <v>0</v>
      </c>
      <c r="BDW63" s="44">
        <f t="shared" si="141"/>
        <v>0</v>
      </c>
      <c r="BDX63" s="44">
        <f t="shared" si="141"/>
        <v>0</v>
      </c>
      <c r="BDY63" s="44">
        <f t="shared" si="141"/>
        <v>0</v>
      </c>
      <c r="BDZ63" s="44">
        <f t="shared" si="141"/>
        <v>0</v>
      </c>
      <c r="BEA63" s="44">
        <f t="shared" si="141"/>
        <v>0</v>
      </c>
      <c r="BEB63" s="44">
        <f t="shared" si="141"/>
        <v>0</v>
      </c>
      <c r="BEC63" s="44">
        <f t="shared" si="141"/>
        <v>0</v>
      </c>
      <c r="BED63" s="44">
        <f t="shared" si="141"/>
        <v>0</v>
      </c>
      <c r="BEE63" s="44">
        <f t="shared" si="141"/>
        <v>0</v>
      </c>
      <c r="BEF63" s="44">
        <f t="shared" si="141"/>
        <v>0</v>
      </c>
      <c r="BEG63" s="44">
        <f t="shared" si="141"/>
        <v>0</v>
      </c>
      <c r="BEH63" s="44">
        <f t="shared" si="141"/>
        <v>0</v>
      </c>
      <c r="BEI63" s="44">
        <f t="shared" si="141"/>
        <v>0</v>
      </c>
      <c r="BEJ63" s="44">
        <f t="shared" si="141"/>
        <v>0</v>
      </c>
      <c r="BEK63" s="44">
        <f t="shared" si="141"/>
        <v>0</v>
      </c>
      <c r="BEL63" s="44">
        <f t="shared" ref="BEL63:BGW63" si="142">SUM(BEL56:BEL57)</f>
        <v>0</v>
      </c>
      <c r="BEM63" s="44">
        <f t="shared" si="142"/>
        <v>0</v>
      </c>
      <c r="BEN63" s="44">
        <f t="shared" si="142"/>
        <v>0</v>
      </c>
      <c r="BEO63" s="44">
        <f t="shared" si="142"/>
        <v>0</v>
      </c>
      <c r="BEP63" s="44">
        <f t="shared" si="142"/>
        <v>0</v>
      </c>
      <c r="BEQ63" s="44">
        <f t="shared" si="142"/>
        <v>0</v>
      </c>
      <c r="BER63" s="44">
        <f t="shared" si="142"/>
        <v>0</v>
      </c>
      <c r="BES63" s="44">
        <f t="shared" si="142"/>
        <v>0</v>
      </c>
      <c r="BET63" s="44">
        <f t="shared" si="142"/>
        <v>0</v>
      </c>
      <c r="BEU63" s="44">
        <f t="shared" si="142"/>
        <v>0</v>
      </c>
      <c r="BEV63" s="44">
        <f t="shared" si="142"/>
        <v>0</v>
      </c>
      <c r="BEW63" s="44">
        <f t="shared" si="142"/>
        <v>0</v>
      </c>
      <c r="BEX63" s="44">
        <f t="shared" si="142"/>
        <v>0</v>
      </c>
      <c r="BEY63" s="44">
        <f t="shared" si="142"/>
        <v>0</v>
      </c>
      <c r="BEZ63" s="44">
        <f t="shared" si="142"/>
        <v>0</v>
      </c>
      <c r="BFA63" s="44">
        <f t="shared" si="142"/>
        <v>0</v>
      </c>
      <c r="BFB63" s="44">
        <f t="shared" si="142"/>
        <v>0</v>
      </c>
      <c r="BFC63" s="44">
        <f t="shared" si="142"/>
        <v>0</v>
      </c>
      <c r="BFD63" s="44">
        <f t="shared" si="142"/>
        <v>0</v>
      </c>
      <c r="BFE63" s="44">
        <f t="shared" si="142"/>
        <v>0</v>
      </c>
      <c r="BFF63" s="44">
        <f t="shared" si="142"/>
        <v>0</v>
      </c>
      <c r="BFG63" s="44">
        <f t="shared" si="142"/>
        <v>0</v>
      </c>
      <c r="BFH63" s="44">
        <f t="shared" si="142"/>
        <v>0</v>
      </c>
      <c r="BFI63" s="44">
        <f t="shared" si="142"/>
        <v>0</v>
      </c>
      <c r="BFJ63" s="44">
        <f t="shared" si="142"/>
        <v>0</v>
      </c>
      <c r="BFK63" s="44">
        <f t="shared" si="142"/>
        <v>0</v>
      </c>
      <c r="BFL63" s="44">
        <f t="shared" si="142"/>
        <v>0</v>
      </c>
      <c r="BFM63" s="44">
        <f t="shared" si="142"/>
        <v>0</v>
      </c>
      <c r="BFN63" s="44">
        <f t="shared" si="142"/>
        <v>0</v>
      </c>
      <c r="BFO63" s="44">
        <f t="shared" si="142"/>
        <v>0</v>
      </c>
      <c r="BFP63" s="44">
        <f t="shared" si="142"/>
        <v>0</v>
      </c>
      <c r="BFQ63" s="44">
        <f t="shared" si="142"/>
        <v>0</v>
      </c>
      <c r="BFR63" s="44">
        <f t="shared" si="142"/>
        <v>0</v>
      </c>
      <c r="BFS63" s="44">
        <f t="shared" si="142"/>
        <v>0</v>
      </c>
      <c r="BFT63" s="44">
        <f t="shared" si="142"/>
        <v>0</v>
      </c>
      <c r="BFU63" s="44">
        <f t="shared" si="142"/>
        <v>0</v>
      </c>
      <c r="BFV63" s="44">
        <f t="shared" si="142"/>
        <v>0</v>
      </c>
      <c r="BFW63" s="44">
        <f t="shared" si="142"/>
        <v>0</v>
      </c>
      <c r="BFX63" s="44">
        <f t="shared" si="142"/>
        <v>0</v>
      </c>
      <c r="BFY63" s="44">
        <f t="shared" si="142"/>
        <v>0</v>
      </c>
      <c r="BFZ63" s="44">
        <f t="shared" si="142"/>
        <v>0</v>
      </c>
      <c r="BGA63" s="44">
        <f t="shared" si="142"/>
        <v>0</v>
      </c>
      <c r="BGB63" s="44">
        <f t="shared" si="142"/>
        <v>0</v>
      </c>
      <c r="BGC63" s="44">
        <f t="shared" si="142"/>
        <v>0</v>
      </c>
      <c r="BGD63" s="44">
        <f t="shared" si="142"/>
        <v>0</v>
      </c>
      <c r="BGE63" s="44">
        <f t="shared" si="142"/>
        <v>0</v>
      </c>
      <c r="BGF63" s="44">
        <f t="shared" si="142"/>
        <v>0</v>
      </c>
      <c r="BGG63" s="44">
        <f t="shared" si="142"/>
        <v>0</v>
      </c>
      <c r="BGH63" s="44">
        <f t="shared" si="142"/>
        <v>0</v>
      </c>
      <c r="BGI63" s="44">
        <f t="shared" si="142"/>
        <v>0</v>
      </c>
      <c r="BGJ63" s="44">
        <f t="shared" si="142"/>
        <v>0</v>
      </c>
      <c r="BGK63" s="44">
        <f t="shared" si="142"/>
        <v>0</v>
      </c>
      <c r="BGL63" s="44">
        <f t="shared" si="142"/>
        <v>0</v>
      </c>
      <c r="BGM63" s="44">
        <f t="shared" si="142"/>
        <v>0</v>
      </c>
      <c r="BGN63" s="44">
        <f t="shared" si="142"/>
        <v>0</v>
      </c>
      <c r="BGO63" s="44">
        <f t="shared" si="142"/>
        <v>0</v>
      </c>
      <c r="BGP63" s="44">
        <f t="shared" si="142"/>
        <v>0</v>
      </c>
      <c r="BGQ63" s="44">
        <f t="shared" si="142"/>
        <v>0</v>
      </c>
      <c r="BGR63" s="44">
        <f t="shared" si="142"/>
        <v>0</v>
      </c>
      <c r="BGS63" s="44">
        <f t="shared" si="142"/>
        <v>0</v>
      </c>
      <c r="BGT63" s="44">
        <f t="shared" si="142"/>
        <v>0</v>
      </c>
      <c r="BGU63" s="44">
        <f t="shared" si="142"/>
        <v>0</v>
      </c>
      <c r="BGV63" s="44">
        <f t="shared" si="142"/>
        <v>0</v>
      </c>
      <c r="BGW63" s="44">
        <f t="shared" si="142"/>
        <v>0</v>
      </c>
      <c r="BGX63" s="44">
        <f t="shared" ref="BGX63:BJI63" si="143">SUM(BGX56:BGX57)</f>
        <v>0</v>
      </c>
      <c r="BGY63" s="44">
        <f t="shared" si="143"/>
        <v>0</v>
      </c>
      <c r="BGZ63" s="44">
        <f t="shared" si="143"/>
        <v>0</v>
      </c>
      <c r="BHA63" s="44">
        <f t="shared" si="143"/>
        <v>0</v>
      </c>
      <c r="BHB63" s="44">
        <f t="shared" si="143"/>
        <v>0</v>
      </c>
      <c r="BHC63" s="44">
        <f t="shared" si="143"/>
        <v>0</v>
      </c>
      <c r="BHD63" s="44">
        <f t="shared" si="143"/>
        <v>0</v>
      </c>
      <c r="BHE63" s="44">
        <f t="shared" si="143"/>
        <v>0</v>
      </c>
      <c r="BHF63" s="44">
        <f t="shared" si="143"/>
        <v>0</v>
      </c>
      <c r="BHG63" s="44">
        <f t="shared" si="143"/>
        <v>0</v>
      </c>
      <c r="BHH63" s="44">
        <f t="shared" si="143"/>
        <v>0</v>
      </c>
      <c r="BHI63" s="44">
        <f t="shared" si="143"/>
        <v>0</v>
      </c>
      <c r="BHJ63" s="44">
        <f t="shared" si="143"/>
        <v>0</v>
      </c>
      <c r="BHK63" s="44">
        <f t="shared" si="143"/>
        <v>0</v>
      </c>
      <c r="BHL63" s="44">
        <f t="shared" si="143"/>
        <v>0</v>
      </c>
      <c r="BHM63" s="44">
        <f t="shared" si="143"/>
        <v>0</v>
      </c>
      <c r="BHN63" s="44">
        <f t="shared" si="143"/>
        <v>0</v>
      </c>
      <c r="BHO63" s="44">
        <f t="shared" si="143"/>
        <v>0</v>
      </c>
      <c r="BHP63" s="44">
        <f t="shared" si="143"/>
        <v>0</v>
      </c>
      <c r="BHQ63" s="44">
        <f t="shared" si="143"/>
        <v>0</v>
      </c>
      <c r="BHR63" s="44">
        <f t="shared" si="143"/>
        <v>0</v>
      </c>
      <c r="BHS63" s="44">
        <f t="shared" si="143"/>
        <v>0</v>
      </c>
      <c r="BHT63" s="44">
        <f t="shared" si="143"/>
        <v>0</v>
      </c>
      <c r="BHU63" s="44">
        <f t="shared" si="143"/>
        <v>0</v>
      </c>
      <c r="BHV63" s="44">
        <f t="shared" si="143"/>
        <v>0</v>
      </c>
      <c r="BHW63" s="44">
        <f t="shared" si="143"/>
        <v>0</v>
      </c>
      <c r="BHX63" s="44">
        <f t="shared" si="143"/>
        <v>0</v>
      </c>
      <c r="BHY63" s="44">
        <f t="shared" si="143"/>
        <v>0</v>
      </c>
      <c r="BHZ63" s="44">
        <f t="shared" si="143"/>
        <v>0</v>
      </c>
      <c r="BIA63" s="44">
        <f t="shared" si="143"/>
        <v>0</v>
      </c>
      <c r="BIB63" s="44">
        <f t="shared" si="143"/>
        <v>0</v>
      </c>
      <c r="BIC63" s="44">
        <f t="shared" si="143"/>
        <v>0</v>
      </c>
      <c r="BID63" s="44">
        <f t="shared" si="143"/>
        <v>0</v>
      </c>
      <c r="BIE63" s="44">
        <f t="shared" si="143"/>
        <v>0</v>
      </c>
      <c r="BIF63" s="44">
        <f t="shared" si="143"/>
        <v>0</v>
      </c>
      <c r="BIG63" s="44">
        <f t="shared" si="143"/>
        <v>0</v>
      </c>
      <c r="BIH63" s="44">
        <f t="shared" si="143"/>
        <v>0</v>
      </c>
      <c r="BII63" s="44">
        <f t="shared" si="143"/>
        <v>0</v>
      </c>
      <c r="BIJ63" s="44">
        <f t="shared" si="143"/>
        <v>0</v>
      </c>
      <c r="BIK63" s="44">
        <f t="shared" si="143"/>
        <v>0</v>
      </c>
      <c r="BIL63" s="44">
        <f t="shared" si="143"/>
        <v>0</v>
      </c>
      <c r="BIM63" s="44">
        <f t="shared" si="143"/>
        <v>0</v>
      </c>
      <c r="BIN63" s="44">
        <f t="shared" si="143"/>
        <v>0</v>
      </c>
      <c r="BIO63" s="44">
        <f t="shared" si="143"/>
        <v>0</v>
      </c>
      <c r="BIP63" s="44">
        <f t="shared" si="143"/>
        <v>0</v>
      </c>
      <c r="BIQ63" s="44">
        <f t="shared" si="143"/>
        <v>0</v>
      </c>
      <c r="BIR63" s="44">
        <f t="shared" si="143"/>
        <v>0</v>
      </c>
      <c r="BIS63" s="44">
        <f t="shared" si="143"/>
        <v>0</v>
      </c>
      <c r="BIT63" s="44">
        <f t="shared" si="143"/>
        <v>0</v>
      </c>
      <c r="BIU63" s="44">
        <f t="shared" si="143"/>
        <v>0</v>
      </c>
      <c r="BIV63" s="44">
        <f t="shared" si="143"/>
        <v>0</v>
      </c>
      <c r="BIW63" s="44">
        <f t="shared" si="143"/>
        <v>0</v>
      </c>
      <c r="BIX63" s="44">
        <f t="shared" si="143"/>
        <v>0</v>
      </c>
      <c r="BIY63" s="44">
        <f t="shared" si="143"/>
        <v>0</v>
      </c>
      <c r="BIZ63" s="44">
        <f t="shared" si="143"/>
        <v>0</v>
      </c>
      <c r="BJA63" s="44">
        <f t="shared" si="143"/>
        <v>0</v>
      </c>
      <c r="BJB63" s="44">
        <f t="shared" si="143"/>
        <v>0</v>
      </c>
      <c r="BJC63" s="44">
        <f t="shared" si="143"/>
        <v>0</v>
      </c>
      <c r="BJD63" s="44">
        <f t="shared" si="143"/>
        <v>0</v>
      </c>
      <c r="BJE63" s="44">
        <f t="shared" si="143"/>
        <v>0</v>
      </c>
      <c r="BJF63" s="44">
        <f t="shared" si="143"/>
        <v>0</v>
      </c>
      <c r="BJG63" s="44">
        <f t="shared" si="143"/>
        <v>0</v>
      </c>
      <c r="BJH63" s="44">
        <f t="shared" si="143"/>
        <v>0</v>
      </c>
      <c r="BJI63" s="44">
        <f t="shared" si="143"/>
        <v>0</v>
      </c>
      <c r="BJJ63" s="44">
        <f t="shared" ref="BJJ63:BLU63" si="144">SUM(BJJ56:BJJ57)</f>
        <v>0</v>
      </c>
      <c r="BJK63" s="44">
        <f t="shared" si="144"/>
        <v>0</v>
      </c>
      <c r="BJL63" s="44">
        <f t="shared" si="144"/>
        <v>0</v>
      </c>
      <c r="BJM63" s="44">
        <f t="shared" si="144"/>
        <v>0</v>
      </c>
      <c r="BJN63" s="44">
        <f t="shared" si="144"/>
        <v>0</v>
      </c>
      <c r="BJO63" s="44">
        <f t="shared" si="144"/>
        <v>0</v>
      </c>
      <c r="BJP63" s="44">
        <f t="shared" si="144"/>
        <v>0</v>
      </c>
      <c r="BJQ63" s="44">
        <f t="shared" si="144"/>
        <v>0</v>
      </c>
      <c r="BJR63" s="44">
        <f t="shared" si="144"/>
        <v>0</v>
      </c>
      <c r="BJS63" s="44">
        <f t="shared" si="144"/>
        <v>0</v>
      </c>
      <c r="BJT63" s="44">
        <f t="shared" si="144"/>
        <v>0</v>
      </c>
      <c r="BJU63" s="44">
        <f t="shared" si="144"/>
        <v>0</v>
      </c>
      <c r="BJV63" s="44">
        <f t="shared" si="144"/>
        <v>0</v>
      </c>
      <c r="BJW63" s="44">
        <f t="shared" si="144"/>
        <v>0</v>
      </c>
      <c r="BJX63" s="44">
        <f t="shared" si="144"/>
        <v>0</v>
      </c>
      <c r="BJY63" s="44">
        <f t="shared" si="144"/>
        <v>0</v>
      </c>
      <c r="BJZ63" s="44">
        <f t="shared" si="144"/>
        <v>0</v>
      </c>
      <c r="BKA63" s="44">
        <f t="shared" si="144"/>
        <v>0</v>
      </c>
      <c r="BKB63" s="44">
        <f t="shared" si="144"/>
        <v>0</v>
      </c>
      <c r="BKC63" s="44">
        <f t="shared" si="144"/>
        <v>0</v>
      </c>
      <c r="BKD63" s="44">
        <f t="shared" si="144"/>
        <v>0</v>
      </c>
      <c r="BKE63" s="44">
        <f t="shared" si="144"/>
        <v>0</v>
      </c>
      <c r="BKF63" s="44">
        <f t="shared" si="144"/>
        <v>0</v>
      </c>
      <c r="BKG63" s="44">
        <f t="shared" si="144"/>
        <v>0</v>
      </c>
      <c r="BKH63" s="44">
        <f t="shared" si="144"/>
        <v>0</v>
      </c>
      <c r="BKI63" s="44">
        <f t="shared" si="144"/>
        <v>0</v>
      </c>
      <c r="BKJ63" s="44">
        <f t="shared" si="144"/>
        <v>0</v>
      </c>
      <c r="BKK63" s="44">
        <f t="shared" si="144"/>
        <v>0</v>
      </c>
      <c r="BKL63" s="44">
        <f t="shared" si="144"/>
        <v>0</v>
      </c>
      <c r="BKM63" s="44">
        <f t="shared" si="144"/>
        <v>0</v>
      </c>
      <c r="BKN63" s="44">
        <f t="shared" si="144"/>
        <v>0</v>
      </c>
      <c r="BKO63" s="44">
        <f t="shared" si="144"/>
        <v>0</v>
      </c>
      <c r="BKP63" s="44">
        <f t="shared" si="144"/>
        <v>0</v>
      </c>
      <c r="BKQ63" s="44">
        <f t="shared" si="144"/>
        <v>0</v>
      </c>
      <c r="BKR63" s="44">
        <f t="shared" si="144"/>
        <v>0</v>
      </c>
      <c r="BKS63" s="44">
        <f t="shared" si="144"/>
        <v>0</v>
      </c>
      <c r="BKT63" s="44">
        <f t="shared" si="144"/>
        <v>0</v>
      </c>
      <c r="BKU63" s="44">
        <f t="shared" si="144"/>
        <v>0</v>
      </c>
      <c r="BKV63" s="44">
        <f t="shared" si="144"/>
        <v>0</v>
      </c>
      <c r="BKW63" s="44">
        <f t="shared" si="144"/>
        <v>0</v>
      </c>
      <c r="BKX63" s="44">
        <f t="shared" si="144"/>
        <v>0</v>
      </c>
      <c r="BKY63" s="44">
        <f t="shared" si="144"/>
        <v>0</v>
      </c>
      <c r="BKZ63" s="44">
        <f t="shared" si="144"/>
        <v>0</v>
      </c>
      <c r="BLA63" s="44">
        <f t="shared" si="144"/>
        <v>0</v>
      </c>
      <c r="BLB63" s="44">
        <f t="shared" si="144"/>
        <v>0</v>
      </c>
      <c r="BLC63" s="44">
        <f t="shared" si="144"/>
        <v>0</v>
      </c>
      <c r="BLD63" s="44">
        <f t="shared" si="144"/>
        <v>0</v>
      </c>
      <c r="BLE63" s="44">
        <f t="shared" si="144"/>
        <v>0</v>
      </c>
      <c r="BLF63" s="44">
        <f t="shared" si="144"/>
        <v>0</v>
      </c>
      <c r="BLG63" s="44">
        <f t="shared" si="144"/>
        <v>0</v>
      </c>
      <c r="BLH63" s="44">
        <f t="shared" si="144"/>
        <v>0</v>
      </c>
      <c r="BLI63" s="44">
        <f t="shared" si="144"/>
        <v>0</v>
      </c>
      <c r="BLJ63" s="44">
        <f t="shared" si="144"/>
        <v>0</v>
      </c>
      <c r="BLK63" s="44">
        <f t="shared" si="144"/>
        <v>0</v>
      </c>
      <c r="BLL63" s="44">
        <f t="shared" si="144"/>
        <v>0</v>
      </c>
      <c r="BLM63" s="44">
        <f t="shared" si="144"/>
        <v>0</v>
      </c>
      <c r="BLN63" s="44">
        <f t="shared" si="144"/>
        <v>0</v>
      </c>
      <c r="BLO63" s="44">
        <f t="shared" si="144"/>
        <v>0</v>
      </c>
      <c r="BLP63" s="44">
        <f t="shared" si="144"/>
        <v>0</v>
      </c>
      <c r="BLQ63" s="44">
        <f t="shared" si="144"/>
        <v>0</v>
      </c>
      <c r="BLR63" s="44">
        <f t="shared" si="144"/>
        <v>0</v>
      </c>
      <c r="BLS63" s="44">
        <f t="shared" si="144"/>
        <v>0</v>
      </c>
      <c r="BLT63" s="44">
        <f t="shared" si="144"/>
        <v>0</v>
      </c>
      <c r="BLU63" s="44">
        <f t="shared" si="144"/>
        <v>0</v>
      </c>
      <c r="BLV63" s="44">
        <f t="shared" ref="BLV63:BOG63" si="145">SUM(BLV56:BLV57)</f>
        <v>0</v>
      </c>
      <c r="BLW63" s="44">
        <f t="shared" si="145"/>
        <v>0</v>
      </c>
      <c r="BLX63" s="44">
        <f t="shared" si="145"/>
        <v>0</v>
      </c>
      <c r="BLY63" s="44">
        <f t="shared" si="145"/>
        <v>0</v>
      </c>
      <c r="BLZ63" s="44">
        <f t="shared" si="145"/>
        <v>0</v>
      </c>
      <c r="BMA63" s="44">
        <f t="shared" si="145"/>
        <v>0</v>
      </c>
      <c r="BMB63" s="44">
        <f t="shared" si="145"/>
        <v>0</v>
      </c>
      <c r="BMC63" s="44">
        <f t="shared" si="145"/>
        <v>0</v>
      </c>
      <c r="BMD63" s="44">
        <f t="shared" si="145"/>
        <v>0</v>
      </c>
      <c r="BME63" s="44">
        <f t="shared" si="145"/>
        <v>0</v>
      </c>
      <c r="BMF63" s="44">
        <f t="shared" si="145"/>
        <v>0</v>
      </c>
      <c r="BMG63" s="44">
        <f t="shared" si="145"/>
        <v>0</v>
      </c>
      <c r="BMH63" s="44">
        <f t="shared" si="145"/>
        <v>0</v>
      </c>
      <c r="BMI63" s="44">
        <f t="shared" si="145"/>
        <v>0</v>
      </c>
      <c r="BMJ63" s="44">
        <f t="shared" si="145"/>
        <v>0</v>
      </c>
      <c r="BMK63" s="44">
        <f t="shared" si="145"/>
        <v>0</v>
      </c>
      <c r="BML63" s="44">
        <f t="shared" si="145"/>
        <v>0</v>
      </c>
      <c r="BMM63" s="44">
        <f t="shared" si="145"/>
        <v>0</v>
      </c>
      <c r="BMN63" s="44">
        <f t="shared" si="145"/>
        <v>0</v>
      </c>
      <c r="BMO63" s="44">
        <f t="shared" si="145"/>
        <v>0</v>
      </c>
      <c r="BMP63" s="44">
        <f t="shared" si="145"/>
        <v>0</v>
      </c>
      <c r="BMQ63" s="44">
        <f t="shared" si="145"/>
        <v>0</v>
      </c>
      <c r="BMR63" s="44">
        <f t="shared" si="145"/>
        <v>0</v>
      </c>
      <c r="BMS63" s="44">
        <f t="shared" si="145"/>
        <v>0</v>
      </c>
      <c r="BMT63" s="44">
        <f t="shared" si="145"/>
        <v>0</v>
      </c>
      <c r="BMU63" s="44">
        <f t="shared" si="145"/>
        <v>0</v>
      </c>
      <c r="BMV63" s="44">
        <f t="shared" si="145"/>
        <v>0</v>
      </c>
      <c r="BMW63" s="44">
        <f t="shared" si="145"/>
        <v>0</v>
      </c>
      <c r="BMX63" s="44">
        <f t="shared" si="145"/>
        <v>0</v>
      </c>
      <c r="BMY63" s="44">
        <f t="shared" si="145"/>
        <v>0</v>
      </c>
      <c r="BMZ63" s="44">
        <f t="shared" si="145"/>
        <v>0</v>
      </c>
      <c r="BNA63" s="44">
        <f t="shared" si="145"/>
        <v>0</v>
      </c>
      <c r="BNB63" s="44">
        <f t="shared" si="145"/>
        <v>0</v>
      </c>
      <c r="BNC63" s="44">
        <f t="shared" si="145"/>
        <v>0</v>
      </c>
      <c r="BND63" s="44">
        <f t="shared" si="145"/>
        <v>0</v>
      </c>
      <c r="BNE63" s="44">
        <f t="shared" si="145"/>
        <v>0</v>
      </c>
      <c r="BNF63" s="44">
        <f t="shared" si="145"/>
        <v>0</v>
      </c>
      <c r="BNG63" s="44">
        <f t="shared" si="145"/>
        <v>0</v>
      </c>
      <c r="BNH63" s="44">
        <f t="shared" si="145"/>
        <v>0</v>
      </c>
      <c r="BNI63" s="44">
        <f t="shared" si="145"/>
        <v>0</v>
      </c>
      <c r="BNJ63" s="44">
        <f t="shared" si="145"/>
        <v>0</v>
      </c>
      <c r="BNK63" s="44">
        <f t="shared" si="145"/>
        <v>0</v>
      </c>
      <c r="BNL63" s="44">
        <f t="shared" si="145"/>
        <v>0</v>
      </c>
      <c r="BNM63" s="44">
        <f t="shared" si="145"/>
        <v>0</v>
      </c>
      <c r="BNN63" s="44">
        <f t="shared" si="145"/>
        <v>0</v>
      </c>
      <c r="BNO63" s="44">
        <f t="shared" si="145"/>
        <v>0</v>
      </c>
      <c r="BNP63" s="44">
        <f t="shared" si="145"/>
        <v>0</v>
      </c>
      <c r="BNQ63" s="44">
        <f t="shared" si="145"/>
        <v>0</v>
      </c>
      <c r="BNR63" s="44">
        <f t="shared" si="145"/>
        <v>0</v>
      </c>
      <c r="BNS63" s="44">
        <f t="shared" si="145"/>
        <v>0</v>
      </c>
      <c r="BNT63" s="44">
        <f t="shared" si="145"/>
        <v>0</v>
      </c>
      <c r="BNU63" s="44">
        <f t="shared" si="145"/>
        <v>0</v>
      </c>
      <c r="BNV63" s="44">
        <f t="shared" si="145"/>
        <v>0</v>
      </c>
      <c r="BNW63" s="44">
        <f t="shared" si="145"/>
        <v>0</v>
      </c>
      <c r="BNX63" s="44">
        <f t="shared" si="145"/>
        <v>0</v>
      </c>
      <c r="BNY63" s="44">
        <f t="shared" si="145"/>
        <v>0</v>
      </c>
      <c r="BNZ63" s="44">
        <f t="shared" si="145"/>
        <v>0</v>
      </c>
      <c r="BOA63" s="44">
        <f t="shared" si="145"/>
        <v>0</v>
      </c>
      <c r="BOB63" s="44">
        <f t="shared" si="145"/>
        <v>0</v>
      </c>
      <c r="BOC63" s="44">
        <f t="shared" si="145"/>
        <v>0</v>
      </c>
      <c r="BOD63" s="44">
        <f t="shared" si="145"/>
        <v>0</v>
      </c>
      <c r="BOE63" s="44">
        <f t="shared" si="145"/>
        <v>0</v>
      </c>
      <c r="BOF63" s="44">
        <f t="shared" si="145"/>
        <v>0</v>
      </c>
      <c r="BOG63" s="44">
        <f t="shared" si="145"/>
        <v>0</v>
      </c>
      <c r="BOH63" s="44">
        <f t="shared" ref="BOH63:BQS63" si="146">SUM(BOH56:BOH57)</f>
        <v>0</v>
      </c>
      <c r="BOI63" s="44">
        <f t="shared" si="146"/>
        <v>0</v>
      </c>
      <c r="BOJ63" s="44">
        <f t="shared" si="146"/>
        <v>0</v>
      </c>
      <c r="BOK63" s="44">
        <f t="shared" si="146"/>
        <v>0</v>
      </c>
      <c r="BOL63" s="44">
        <f t="shared" si="146"/>
        <v>0</v>
      </c>
      <c r="BOM63" s="44">
        <f t="shared" si="146"/>
        <v>0</v>
      </c>
      <c r="BON63" s="44">
        <f t="shared" si="146"/>
        <v>0</v>
      </c>
      <c r="BOO63" s="44">
        <f t="shared" si="146"/>
        <v>0</v>
      </c>
      <c r="BOP63" s="44">
        <f t="shared" si="146"/>
        <v>0</v>
      </c>
      <c r="BOQ63" s="44">
        <f t="shared" si="146"/>
        <v>0</v>
      </c>
      <c r="BOR63" s="44">
        <f t="shared" si="146"/>
        <v>0</v>
      </c>
      <c r="BOS63" s="44">
        <f t="shared" si="146"/>
        <v>0</v>
      </c>
      <c r="BOT63" s="44">
        <f t="shared" si="146"/>
        <v>0</v>
      </c>
      <c r="BOU63" s="44">
        <f t="shared" si="146"/>
        <v>0</v>
      </c>
      <c r="BOV63" s="44">
        <f t="shared" si="146"/>
        <v>0</v>
      </c>
      <c r="BOW63" s="44">
        <f t="shared" si="146"/>
        <v>0</v>
      </c>
      <c r="BOX63" s="44">
        <f t="shared" si="146"/>
        <v>0</v>
      </c>
      <c r="BOY63" s="44">
        <f t="shared" si="146"/>
        <v>0</v>
      </c>
      <c r="BOZ63" s="44">
        <f t="shared" si="146"/>
        <v>0</v>
      </c>
      <c r="BPA63" s="44">
        <f t="shared" si="146"/>
        <v>0</v>
      </c>
      <c r="BPB63" s="44">
        <f t="shared" si="146"/>
        <v>0</v>
      </c>
      <c r="BPC63" s="44">
        <f t="shared" si="146"/>
        <v>0</v>
      </c>
      <c r="BPD63" s="44">
        <f t="shared" si="146"/>
        <v>0</v>
      </c>
      <c r="BPE63" s="44">
        <f t="shared" si="146"/>
        <v>0</v>
      </c>
      <c r="BPF63" s="44">
        <f t="shared" si="146"/>
        <v>0</v>
      </c>
      <c r="BPG63" s="44">
        <f t="shared" si="146"/>
        <v>0</v>
      </c>
      <c r="BPH63" s="44">
        <f t="shared" si="146"/>
        <v>0</v>
      </c>
      <c r="BPI63" s="44">
        <f t="shared" si="146"/>
        <v>0</v>
      </c>
      <c r="BPJ63" s="44">
        <f t="shared" si="146"/>
        <v>0</v>
      </c>
      <c r="BPK63" s="44">
        <f t="shared" si="146"/>
        <v>0</v>
      </c>
      <c r="BPL63" s="44">
        <f t="shared" si="146"/>
        <v>0</v>
      </c>
      <c r="BPM63" s="44">
        <f t="shared" si="146"/>
        <v>0</v>
      </c>
      <c r="BPN63" s="44">
        <f t="shared" si="146"/>
        <v>0</v>
      </c>
      <c r="BPO63" s="44">
        <f t="shared" si="146"/>
        <v>0</v>
      </c>
      <c r="BPP63" s="44">
        <f t="shared" si="146"/>
        <v>0</v>
      </c>
      <c r="BPQ63" s="44">
        <f t="shared" si="146"/>
        <v>0</v>
      </c>
      <c r="BPR63" s="44">
        <f t="shared" si="146"/>
        <v>0</v>
      </c>
      <c r="BPS63" s="44">
        <f t="shared" si="146"/>
        <v>0</v>
      </c>
      <c r="BPT63" s="44">
        <f t="shared" si="146"/>
        <v>0</v>
      </c>
      <c r="BPU63" s="44">
        <f t="shared" si="146"/>
        <v>0</v>
      </c>
      <c r="BPV63" s="44">
        <f t="shared" si="146"/>
        <v>0</v>
      </c>
      <c r="BPW63" s="44">
        <f t="shared" si="146"/>
        <v>0</v>
      </c>
      <c r="BPX63" s="44">
        <f t="shared" si="146"/>
        <v>0</v>
      </c>
      <c r="BPY63" s="44">
        <f t="shared" si="146"/>
        <v>0</v>
      </c>
      <c r="BPZ63" s="44">
        <f t="shared" si="146"/>
        <v>0</v>
      </c>
      <c r="BQA63" s="44">
        <f t="shared" si="146"/>
        <v>0</v>
      </c>
      <c r="BQB63" s="44">
        <f t="shared" si="146"/>
        <v>0</v>
      </c>
      <c r="BQC63" s="44">
        <f t="shared" si="146"/>
        <v>0</v>
      </c>
      <c r="BQD63" s="44">
        <f t="shared" si="146"/>
        <v>0</v>
      </c>
      <c r="BQE63" s="44">
        <f t="shared" si="146"/>
        <v>0</v>
      </c>
      <c r="BQF63" s="44">
        <f t="shared" si="146"/>
        <v>0</v>
      </c>
      <c r="BQG63" s="44">
        <f t="shared" si="146"/>
        <v>0</v>
      </c>
      <c r="BQH63" s="44">
        <f t="shared" si="146"/>
        <v>0</v>
      </c>
      <c r="BQI63" s="44">
        <f t="shared" si="146"/>
        <v>0</v>
      </c>
      <c r="BQJ63" s="44">
        <f t="shared" si="146"/>
        <v>0</v>
      </c>
      <c r="BQK63" s="44">
        <f t="shared" si="146"/>
        <v>0</v>
      </c>
      <c r="BQL63" s="44">
        <f t="shared" si="146"/>
        <v>0</v>
      </c>
      <c r="BQM63" s="44">
        <f t="shared" si="146"/>
        <v>0</v>
      </c>
      <c r="BQN63" s="44">
        <f t="shared" si="146"/>
        <v>0</v>
      </c>
      <c r="BQO63" s="44">
        <f t="shared" si="146"/>
        <v>0</v>
      </c>
      <c r="BQP63" s="44">
        <f t="shared" si="146"/>
        <v>0</v>
      </c>
      <c r="BQQ63" s="44">
        <f t="shared" si="146"/>
        <v>0</v>
      </c>
      <c r="BQR63" s="44">
        <f t="shared" si="146"/>
        <v>0</v>
      </c>
      <c r="BQS63" s="44">
        <f t="shared" si="146"/>
        <v>0</v>
      </c>
      <c r="BQT63" s="44">
        <f t="shared" ref="BQT63:BTE63" si="147">SUM(BQT56:BQT57)</f>
        <v>0</v>
      </c>
      <c r="BQU63" s="44">
        <f t="shared" si="147"/>
        <v>0</v>
      </c>
      <c r="BQV63" s="44">
        <f t="shared" si="147"/>
        <v>0</v>
      </c>
      <c r="BQW63" s="44">
        <f t="shared" si="147"/>
        <v>0</v>
      </c>
      <c r="BQX63" s="44">
        <f t="shared" si="147"/>
        <v>0</v>
      </c>
      <c r="BQY63" s="44">
        <f t="shared" si="147"/>
        <v>0</v>
      </c>
      <c r="BQZ63" s="44">
        <f t="shared" si="147"/>
        <v>0</v>
      </c>
      <c r="BRA63" s="44">
        <f t="shared" si="147"/>
        <v>0</v>
      </c>
      <c r="BRB63" s="44">
        <f t="shared" si="147"/>
        <v>0</v>
      </c>
      <c r="BRC63" s="44">
        <f t="shared" si="147"/>
        <v>0</v>
      </c>
      <c r="BRD63" s="44">
        <f t="shared" si="147"/>
        <v>0</v>
      </c>
      <c r="BRE63" s="44">
        <f t="shared" si="147"/>
        <v>0</v>
      </c>
      <c r="BRF63" s="44">
        <f t="shared" si="147"/>
        <v>0</v>
      </c>
      <c r="BRG63" s="44">
        <f t="shared" si="147"/>
        <v>0</v>
      </c>
      <c r="BRH63" s="44">
        <f t="shared" si="147"/>
        <v>0</v>
      </c>
      <c r="BRI63" s="44">
        <f t="shared" si="147"/>
        <v>0</v>
      </c>
      <c r="BRJ63" s="44">
        <f t="shared" si="147"/>
        <v>0</v>
      </c>
      <c r="BRK63" s="44">
        <f t="shared" si="147"/>
        <v>0</v>
      </c>
      <c r="BRL63" s="44">
        <f t="shared" si="147"/>
        <v>0</v>
      </c>
      <c r="BRM63" s="44">
        <f t="shared" si="147"/>
        <v>0</v>
      </c>
      <c r="BRN63" s="44">
        <f t="shared" si="147"/>
        <v>0</v>
      </c>
      <c r="BRO63" s="44">
        <f t="shared" si="147"/>
        <v>0</v>
      </c>
      <c r="BRP63" s="44">
        <f t="shared" si="147"/>
        <v>0</v>
      </c>
      <c r="BRQ63" s="44">
        <f t="shared" si="147"/>
        <v>0</v>
      </c>
      <c r="BRR63" s="44">
        <f t="shared" si="147"/>
        <v>0</v>
      </c>
      <c r="BRS63" s="44">
        <f t="shared" si="147"/>
        <v>0</v>
      </c>
      <c r="BRT63" s="44">
        <f t="shared" si="147"/>
        <v>0</v>
      </c>
      <c r="BRU63" s="44">
        <f t="shared" si="147"/>
        <v>0</v>
      </c>
      <c r="BRV63" s="44">
        <f t="shared" si="147"/>
        <v>0</v>
      </c>
      <c r="BRW63" s="44">
        <f t="shared" si="147"/>
        <v>0</v>
      </c>
      <c r="BRX63" s="44">
        <f t="shared" si="147"/>
        <v>0</v>
      </c>
      <c r="BRY63" s="44">
        <f t="shared" si="147"/>
        <v>0</v>
      </c>
      <c r="BRZ63" s="44">
        <f t="shared" si="147"/>
        <v>0</v>
      </c>
      <c r="BSA63" s="44">
        <f t="shared" si="147"/>
        <v>0</v>
      </c>
      <c r="BSB63" s="44">
        <f t="shared" si="147"/>
        <v>0</v>
      </c>
      <c r="BSC63" s="44">
        <f t="shared" si="147"/>
        <v>0</v>
      </c>
      <c r="BSD63" s="44">
        <f t="shared" si="147"/>
        <v>0</v>
      </c>
      <c r="BSE63" s="44">
        <f t="shared" si="147"/>
        <v>0</v>
      </c>
      <c r="BSF63" s="44">
        <f t="shared" si="147"/>
        <v>0</v>
      </c>
      <c r="BSG63" s="44">
        <f t="shared" si="147"/>
        <v>0</v>
      </c>
      <c r="BSH63" s="44">
        <f t="shared" si="147"/>
        <v>0</v>
      </c>
      <c r="BSI63" s="44">
        <f t="shared" si="147"/>
        <v>0</v>
      </c>
      <c r="BSJ63" s="44">
        <f t="shared" si="147"/>
        <v>0</v>
      </c>
      <c r="BSK63" s="44">
        <f t="shared" si="147"/>
        <v>0</v>
      </c>
      <c r="BSL63" s="44">
        <f t="shared" si="147"/>
        <v>0</v>
      </c>
      <c r="BSM63" s="44">
        <f t="shared" si="147"/>
        <v>0</v>
      </c>
      <c r="BSN63" s="44">
        <f t="shared" si="147"/>
        <v>0</v>
      </c>
      <c r="BSO63" s="44">
        <f t="shared" si="147"/>
        <v>0</v>
      </c>
      <c r="BSP63" s="44">
        <f t="shared" si="147"/>
        <v>0</v>
      </c>
      <c r="BSQ63" s="44">
        <f t="shared" si="147"/>
        <v>0</v>
      </c>
      <c r="BSR63" s="44">
        <f t="shared" si="147"/>
        <v>0</v>
      </c>
      <c r="BSS63" s="44">
        <f t="shared" si="147"/>
        <v>0</v>
      </c>
      <c r="BST63" s="44">
        <f t="shared" si="147"/>
        <v>0</v>
      </c>
      <c r="BSU63" s="44">
        <f t="shared" si="147"/>
        <v>0</v>
      </c>
      <c r="BSV63" s="44">
        <f t="shared" si="147"/>
        <v>0</v>
      </c>
      <c r="BSW63" s="44">
        <f t="shared" si="147"/>
        <v>0</v>
      </c>
      <c r="BSX63" s="44">
        <f t="shared" si="147"/>
        <v>0</v>
      </c>
      <c r="BSY63" s="44">
        <f t="shared" si="147"/>
        <v>0</v>
      </c>
      <c r="BSZ63" s="44">
        <f t="shared" si="147"/>
        <v>0</v>
      </c>
      <c r="BTA63" s="44">
        <f t="shared" si="147"/>
        <v>0</v>
      </c>
      <c r="BTB63" s="44">
        <f t="shared" si="147"/>
        <v>0</v>
      </c>
      <c r="BTC63" s="44">
        <f t="shared" si="147"/>
        <v>0</v>
      </c>
      <c r="BTD63" s="44">
        <f t="shared" si="147"/>
        <v>0</v>
      </c>
      <c r="BTE63" s="44">
        <f t="shared" si="147"/>
        <v>0</v>
      </c>
      <c r="BTF63" s="44">
        <f t="shared" ref="BTF63:BVQ63" si="148">SUM(BTF56:BTF57)</f>
        <v>0</v>
      </c>
      <c r="BTG63" s="44">
        <f t="shared" si="148"/>
        <v>0</v>
      </c>
      <c r="BTH63" s="44">
        <f t="shared" si="148"/>
        <v>0</v>
      </c>
      <c r="BTI63" s="44">
        <f t="shared" si="148"/>
        <v>0</v>
      </c>
      <c r="BTJ63" s="44">
        <f t="shared" si="148"/>
        <v>0</v>
      </c>
      <c r="BTK63" s="44">
        <f t="shared" si="148"/>
        <v>0</v>
      </c>
      <c r="BTL63" s="44">
        <f t="shared" si="148"/>
        <v>0</v>
      </c>
      <c r="BTM63" s="44">
        <f t="shared" si="148"/>
        <v>0</v>
      </c>
      <c r="BTN63" s="44">
        <f t="shared" si="148"/>
        <v>0</v>
      </c>
      <c r="BTO63" s="44">
        <f t="shared" si="148"/>
        <v>0</v>
      </c>
      <c r="BTP63" s="44">
        <f t="shared" si="148"/>
        <v>0</v>
      </c>
      <c r="BTQ63" s="44">
        <f t="shared" si="148"/>
        <v>0</v>
      </c>
      <c r="BTR63" s="44">
        <f t="shared" si="148"/>
        <v>0</v>
      </c>
      <c r="BTS63" s="44">
        <f t="shared" si="148"/>
        <v>0</v>
      </c>
      <c r="BTT63" s="44">
        <f t="shared" si="148"/>
        <v>0</v>
      </c>
      <c r="BTU63" s="44">
        <f t="shared" si="148"/>
        <v>0</v>
      </c>
      <c r="BTV63" s="44">
        <f t="shared" si="148"/>
        <v>0</v>
      </c>
      <c r="BTW63" s="44">
        <f t="shared" si="148"/>
        <v>0</v>
      </c>
      <c r="BTX63" s="44">
        <f t="shared" si="148"/>
        <v>0</v>
      </c>
      <c r="BTY63" s="44">
        <f t="shared" si="148"/>
        <v>0</v>
      </c>
      <c r="BTZ63" s="44">
        <f t="shared" si="148"/>
        <v>0</v>
      </c>
      <c r="BUA63" s="44">
        <f t="shared" si="148"/>
        <v>0</v>
      </c>
      <c r="BUB63" s="44">
        <f t="shared" si="148"/>
        <v>0</v>
      </c>
      <c r="BUC63" s="44">
        <f t="shared" si="148"/>
        <v>0</v>
      </c>
      <c r="BUD63" s="44">
        <f t="shared" si="148"/>
        <v>0</v>
      </c>
      <c r="BUE63" s="44">
        <f t="shared" si="148"/>
        <v>0</v>
      </c>
      <c r="BUF63" s="44">
        <f t="shared" si="148"/>
        <v>0</v>
      </c>
      <c r="BUG63" s="44">
        <f t="shared" si="148"/>
        <v>0</v>
      </c>
      <c r="BUH63" s="44">
        <f t="shared" si="148"/>
        <v>0</v>
      </c>
      <c r="BUI63" s="44">
        <f t="shared" si="148"/>
        <v>0</v>
      </c>
      <c r="BUJ63" s="44">
        <f t="shared" si="148"/>
        <v>0</v>
      </c>
      <c r="BUK63" s="44">
        <f t="shared" si="148"/>
        <v>0</v>
      </c>
      <c r="BUL63" s="44">
        <f t="shared" si="148"/>
        <v>0</v>
      </c>
      <c r="BUM63" s="44">
        <f t="shared" si="148"/>
        <v>0</v>
      </c>
      <c r="BUN63" s="44">
        <f t="shared" si="148"/>
        <v>0</v>
      </c>
      <c r="BUO63" s="44">
        <f t="shared" si="148"/>
        <v>0</v>
      </c>
      <c r="BUP63" s="44">
        <f t="shared" si="148"/>
        <v>0</v>
      </c>
      <c r="BUQ63" s="44">
        <f t="shared" si="148"/>
        <v>0</v>
      </c>
      <c r="BUR63" s="44">
        <f t="shared" si="148"/>
        <v>0</v>
      </c>
      <c r="BUS63" s="44">
        <f t="shared" si="148"/>
        <v>0</v>
      </c>
      <c r="BUT63" s="44">
        <f t="shared" si="148"/>
        <v>0</v>
      </c>
      <c r="BUU63" s="44">
        <f t="shared" si="148"/>
        <v>0</v>
      </c>
      <c r="BUV63" s="44">
        <f t="shared" si="148"/>
        <v>0</v>
      </c>
      <c r="BUW63" s="44">
        <f t="shared" si="148"/>
        <v>0</v>
      </c>
      <c r="BUX63" s="44">
        <f t="shared" si="148"/>
        <v>0</v>
      </c>
      <c r="BUY63" s="44">
        <f t="shared" si="148"/>
        <v>0</v>
      </c>
      <c r="BUZ63" s="44">
        <f t="shared" si="148"/>
        <v>0</v>
      </c>
      <c r="BVA63" s="44">
        <f t="shared" si="148"/>
        <v>0</v>
      </c>
      <c r="BVB63" s="44">
        <f t="shared" si="148"/>
        <v>0</v>
      </c>
      <c r="BVC63" s="44">
        <f t="shared" si="148"/>
        <v>0</v>
      </c>
      <c r="BVD63" s="44">
        <f t="shared" si="148"/>
        <v>0</v>
      </c>
      <c r="BVE63" s="44">
        <f t="shared" si="148"/>
        <v>0</v>
      </c>
      <c r="BVF63" s="44">
        <f t="shared" si="148"/>
        <v>0</v>
      </c>
      <c r="BVG63" s="44">
        <f t="shared" si="148"/>
        <v>0</v>
      </c>
      <c r="BVH63" s="44">
        <f t="shared" si="148"/>
        <v>0</v>
      </c>
      <c r="BVI63" s="44">
        <f t="shared" si="148"/>
        <v>0</v>
      </c>
      <c r="BVJ63" s="44">
        <f t="shared" si="148"/>
        <v>0</v>
      </c>
      <c r="BVK63" s="44">
        <f t="shared" si="148"/>
        <v>0</v>
      </c>
      <c r="BVL63" s="44">
        <f t="shared" si="148"/>
        <v>0</v>
      </c>
      <c r="BVM63" s="44">
        <f t="shared" si="148"/>
        <v>0</v>
      </c>
      <c r="BVN63" s="44">
        <f t="shared" si="148"/>
        <v>0</v>
      </c>
      <c r="BVO63" s="44">
        <f t="shared" si="148"/>
        <v>0</v>
      </c>
      <c r="BVP63" s="44">
        <f t="shared" si="148"/>
        <v>0</v>
      </c>
      <c r="BVQ63" s="44">
        <f t="shared" si="148"/>
        <v>0</v>
      </c>
      <c r="BVR63" s="44">
        <f t="shared" ref="BVR63:BYC63" si="149">SUM(BVR56:BVR57)</f>
        <v>0</v>
      </c>
      <c r="BVS63" s="44">
        <f t="shared" si="149"/>
        <v>0</v>
      </c>
      <c r="BVT63" s="44">
        <f t="shared" si="149"/>
        <v>0</v>
      </c>
      <c r="BVU63" s="44">
        <f t="shared" si="149"/>
        <v>0</v>
      </c>
      <c r="BVV63" s="44">
        <f t="shared" si="149"/>
        <v>0</v>
      </c>
      <c r="BVW63" s="44">
        <f t="shared" si="149"/>
        <v>0</v>
      </c>
      <c r="BVX63" s="44">
        <f t="shared" si="149"/>
        <v>0</v>
      </c>
      <c r="BVY63" s="44">
        <f t="shared" si="149"/>
        <v>0</v>
      </c>
      <c r="BVZ63" s="44">
        <f t="shared" si="149"/>
        <v>0</v>
      </c>
      <c r="BWA63" s="44">
        <f t="shared" si="149"/>
        <v>0</v>
      </c>
      <c r="BWB63" s="44">
        <f t="shared" si="149"/>
        <v>0</v>
      </c>
      <c r="BWC63" s="44">
        <f t="shared" si="149"/>
        <v>0</v>
      </c>
      <c r="BWD63" s="44">
        <f t="shared" si="149"/>
        <v>0</v>
      </c>
      <c r="BWE63" s="44">
        <f t="shared" si="149"/>
        <v>0</v>
      </c>
      <c r="BWF63" s="44">
        <f t="shared" si="149"/>
        <v>0</v>
      </c>
      <c r="BWG63" s="44">
        <f t="shared" si="149"/>
        <v>0</v>
      </c>
      <c r="BWH63" s="44">
        <f t="shared" si="149"/>
        <v>0</v>
      </c>
      <c r="BWI63" s="44">
        <f t="shared" si="149"/>
        <v>0</v>
      </c>
      <c r="BWJ63" s="44">
        <f t="shared" si="149"/>
        <v>0</v>
      </c>
      <c r="BWK63" s="44">
        <f t="shared" si="149"/>
        <v>0</v>
      </c>
      <c r="BWL63" s="44">
        <f t="shared" si="149"/>
        <v>0</v>
      </c>
      <c r="BWM63" s="44">
        <f t="shared" si="149"/>
        <v>0</v>
      </c>
      <c r="BWN63" s="44">
        <f t="shared" si="149"/>
        <v>0</v>
      </c>
      <c r="BWO63" s="44">
        <f t="shared" si="149"/>
        <v>0</v>
      </c>
      <c r="BWP63" s="44">
        <f t="shared" si="149"/>
        <v>0</v>
      </c>
      <c r="BWQ63" s="44">
        <f t="shared" si="149"/>
        <v>0</v>
      </c>
      <c r="BWR63" s="44">
        <f t="shared" si="149"/>
        <v>0</v>
      </c>
      <c r="BWS63" s="44">
        <f t="shared" si="149"/>
        <v>0</v>
      </c>
      <c r="BWT63" s="44">
        <f t="shared" si="149"/>
        <v>0</v>
      </c>
      <c r="BWU63" s="44">
        <f t="shared" si="149"/>
        <v>0</v>
      </c>
      <c r="BWV63" s="44">
        <f t="shared" si="149"/>
        <v>0</v>
      </c>
      <c r="BWW63" s="44">
        <f t="shared" si="149"/>
        <v>0</v>
      </c>
      <c r="BWX63" s="44">
        <f t="shared" si="149"/>
        <v>0</v>
      </c>
      <c r="BWY63" s="44">
        <f t="shared" si="149"/>
        <v>0</v>
      </c>
      <c r="BWZ63" s="44">
        <f t="shared" si="149"/>
        <v>0</v>
      </c>
      <c r="BXA63" s="44">
        <f t="shared" si="149"/>
        <v>0</v>
      </c>
      <c r="BXB63" s="44">
        <f t="shared" si="149"/>
        <v>0</v>
      </c>
      <c r="BXC63" s="44">
        <f t="shared" si="149"/>
        <v>0</v>
      </c>
      <c r="BXD63" s="44">
        <f t="shared" si="149"/>
        <v>0</v>
      </c>
      <c r="BXE63" s="44">
        <f t="shared" si="149"/>
        <v>0</v>
      </c>
      <c r="BXF63" s="44">
        <f t="shared" si="149"/>
        <v>0</v>
      </c>
      <c r="BXG63" s="44">
        <f t="shared" si="149"/>
        <v>0</v>
      </c>
      <c r="BXH63" s="44">
        <f t="shared" si="149"/>
        <v>0</v>
      </c>
      <c r="BXI63" s="44">
        <f t="shared" si="149"/>
        <v>0</v>
      </c>
      <c r="BXJ63" s="44">
        <f t="shared" si="149"/>
        <v>0</v>
      </c>
      <c r="BXK63" s="44">
        <f t="shared" si="149"/>
        <v>0</v>
      </c>
      <c r="BXL63" s="44">
        <f t="shared" si="149"/>
        <v>0</v>
      </c>
      <c r="BXM63" s="44">
        <f t="shared" si="149"/>
        <v>0</v>
      </c>
      <c r="BXN63" s="44">
        <f t="shared" si="149"/>
        <v>0</v>
      </c>
      <c r="BXO63" s="44">
        <f t="shared" si="149"/>
        <v>0</v>
      </c>
      <c r="BXP63" s="44">
        <f t="shared" si="149"/>
        <v>0</v>
      </c>
      <c r="BXQ63" s="44">
        <f t="shared" si="149"/>
        <v>0</v>
      </c>
      <c r="BXR63" s="44">
        <f t="shared" si="149"/>
        <v>0</v>
      </c>
      <c r="BXS63" s="44">
        <f t="shared" si="149"/>
        <v>0</v>
      </c>
      <c r="BXT63" s="44">
        <f t="shared" si="149"/>
        <v>0</v>
      </c>
      <c r="BXU63" s="44">
        <f t="shared" si="149"/>
        <v>0</v>
      </c>
      <c r="BXV63" s="44">
        <f t="shared" si="149"/>
        <v>0</v>
      </c>
      <c r="BXW63" s="44">
        <f t="shared" si="149"/>
        <v>0</v>
      </c>
      <c r="BXX63" s="44">
        <f t="shared" si="149"/>
        <v>0</v>
      </c>
      <c r="BXY63" s="44">
        <f t="shared" si="149"/>
        <v>0</v>
      </c>
      <c r="BXZ63" s="44">
        <f t="shared" si="149"/>
        <v>0</v>
      </c>
      <c r="BYA63" s="44">
        <f t="shared" si="149"/>
        <v>0</v>
      </c>
      <c r="BYB63" s="44">
        <f t="shared" si="149"/>
        <v>0</v>
      </c>
      <c r="BYC63" s="44">
        <f t="shared" si="149"/>
        <v>0</v>
      </c>
      <c r="BYD63" s="44">
        <f t="shared" ref="BYD63:CAO63" si="150">SUM(BYD56:BYD57)</f>
        <v>0</v>
      </c>
      <c r="BYE63" s="44">
        <f t="shared" si="150"/>
        <v>0</v>
      </c>
      <c r="BYF63" s="44">
        <f t="shared" si="150"/>
        <v>0</v>
      </c>
      <c r="BYG63" s="44">
        <f t="shared" si="150"/>
        <v>0</v>
      </c>
      <c r="BYH63" s="44">
        <f t="shared" si="150"/>
        <v>0</v>
      </c>
      <c r="BYI63" s="44">
        <f t="shared" si="150"/>
        <v>0</v>
      </c>
      <c r="BYJ63" s="44">
        <f t="shared" si="150"/>
        <v>0</v>
      </c>
      <c r="BYK63" s="44">
        <f t="shared" si="150"/>
        <v>0</v>
      </c>
      <c r="BYL63" s="44">
        <f t="shared" si="150"/>
        <v>0</v>
      </c>
      <c r="BYM63" s="44">
        <f t="shared" si="150"/>
        <v>0</v>
      </c>
      <c r="BYN63" s="44">
        <f t="shared" si="150"/>
        <v>0</v>
      </c>
      <c r="BYO63" s="44">
        <f t="shared" si="150"/>
        <v>0</v>
      </c>
      <c r="BYP63" s="44">
        <f t="shared" si="150"/>
        <v>0</v>
      </c>
      <c r="BYQ63" s="44">
        <f t="shared" si="150"/>
        <v>0</v>
      </c>
      <c r="BYR63" s="44">
        <f t="shared" si="150"/>
        <v>0</v>
      </c>
      <c r="BYS63" s="44">
        <f t="shared" si="150"/>
        <v>0</v>
      </c>
      <c r="BYT63" s="44">
        <f t="shared" si="150"/>
        <v>0</v>
      </c>
      <c r="BYU63" s="44">
        <f t="shared" si="150"/>
        <v>0</v>
      </c>
      <c r="BYV63" s="44">
        <f t="shared" si="150"/>
        <v>0</v>
      </c>
      <c r="BYW63" s="44">
        <f t="shared" si="150"/>
        <v>0</v>
      </c>
      <c r="BYX63" s="44">
        <f t="shared" si="150"/>
        <v>0</v>
      </c>
      <c r="BYY63" s="44">
        <f t="shared" si="150"/>
        <v>0</v>
      </c>
      <c r="BYZ63" s="44">
        <f t="shared" si="150"/>
        <v>0</v>
      </c>
      <c r="BZA63" s="44">
        <f t="shared" si="150"/>
        <v>0</v>
      </c>
      <c r="BZB63" s="44">
        <f t="shared" si="150"/>
        <v>0</v>
      </c>
      <c r="BZC63" s="44">
        <f t="shared" si="150"/>
        <v>0</v>
      </c>
      <c r="BZD63" s="44">
        <f t="shared" si="150"/>
        <v>0</v>
      </c>
      <c r="BZE63" s="44">
        <f t="shared" si="150"/>
        <v>0</v>
      </c>
      <c r="BZF63" s="44">
        <f t="shared" si="150"/>
        <v>0</v>
      </c>
      <c r="BZG63" s="44">
        <f t="shared" si="150"/>
        <v>0</v>
      </c>
      <c r="BZH63" s="44">
        <f t="shared" si="150"/>
        <v>0</v>
      </c>
      <c r="BZI63" s="44">
        <f t="shared" si="150"/>
        <v>0</v>
      </c>
      <c r="BZJ63" s="44">
        <f t="shared" si="150"/>
        <v>0</v>
      </c>
      <c r="BZK63" s="44">
        <f t="shared" si="150"/>
        <v>0</v>
      </c>
      <c r="BZL63" s="44">
        <f t="shared" si="150"/>
        <v>0</v>
      </c>
      <c r="BZM63" s="44">
        <f t="shared" si="150"/>
        <v>0</v>
      </c>
      <c r="BZN63" s="44">
        <f t="shared" si="150"/>
        <v>0</v>
      </c>
      <c r="BZO63" s="44">
        <f t="shared" si="150"/>
        <v>0</v>
      </c>
      <c r="BZP63" s="44">
        <f t="shared" si="150"/>
        <v>0</v>
      </c>
      <c r="BZQ63" s="44">
        <f t="shared" si="150"/>
        <v>0</v>
      </c>
      <c r="BZR63" s="44">
        <f t="shared" si="150"/>
        <v>0</v>
      </c>
      <c r="BZS63" s="44">
        <f t="shared" si="150"/>
        <v>0</v>
      </c>
      <c r="BZT63" s="44">
        <f t="shared" si="150"/>
        <v>0</v>
      </c>
      <c r="BZU63" s="44">
        <f t="shared" si="150"/>
        <v>0</v>
      </c>
      <c r="BZV63" s="44">
        <f t="shared" si="150"/>
        <v>0</v>
      </c>
      <c r="BZW63" s="44">
        <f t="shared" si="150"/>
        <v>0</v>
      </c>
      <c r="BZX63" s="44">
        <f t="shared" si="150"/>
        <v>0</v>
      </c>
      <c r="BZY63" s="44">
        <f t="shared" si="150"/>
        <v>0</v>
      </c>
      <c r="BZZ63" s="44">
        <f t="shared" si="150"/>
        <v>0</v>
      </c>
      <c r="CAA63" s="44">
        <f t="shared" si="150"/>
        <v>0</v>
      </c>
      <c r="CAB63" s="44">
        <f t="shared" si="150"/>
        <v>0</v>
      </c>
      <c r="CAC63" s="44">
        <f t="shared" si="150"/>
        <v>0</v>
      </c>
      <c r="CAD63" s="44">
        <f t="shared" si="150"/>
        <v>0</v>
      </c>
      <c r="CAE63" s="44">
        <f t="shared" si="150"/>
        <v>0</v>
      </c>
      <c r="CAF63" s="44">
        <f t="shared" si="150"/>
        <v>0</v>
      </c>
      <c r="CAG63" s="44">
        <f t="shared" si="150"/>
        <v>0</v>
      </c>
      <c r="CAH63" s="44">
        <f t="shared" si="150"/>
        <v>0</v>
      </c>
      <c r="CAI63" s="44">
        <f t="shared" si="150"/>
        <v>0</v>
      </c>
      <c r="CAJ63" s="44">
        <f t="shared" si="150"/>
        <v>0</v>
      </c>
      <c r="CAK63" s="44">
        <f t="shared" si="150"/>
        <v>0</v>
      </c>
      <c r="CAL63" s="44">
        <f t="shared" si="150"/>
        <v>0</v>
      </c>
      <c r="CAM63" s="44">
        <f t="shared" si="150"/>
        <v>0</v>
      </c>
      <c r="CAN63" s="44">
        <f t="shared" si="150"/>
        <v>0</v>
      </c>
      <c r="CAO63" s="44">
        <f t="shared" si="150"/>
        <v>0</v>
      </c>
      <c r="CAP63" s="44">
        <f t="shared" ref="CAP63:CDA63" si="151">SUM(CAP56:CAP57)</f>
        <v>0</v>
      </c>
      <c r="CAQ63" s="44">
        <f t="shared" si="151"/>
        <v>0</v>
      </c>
      <c r="CAR63" s="44">
        <f t="shared" si="151"/>
        <v>0</v>
      </c>
      <c r="CAS63" s="44">
        <f t="shared" si="151"/>
        <v>0</v>
      </c>
      <c r="CAT63" s="44">
        <f t="shared" si="151"/>
        <v>0</v>
      </c>
      <c r="CAU63" s="44">
        <f t="shared" si="151"/>
        <v>0</v>
      </c>
      <c r="CAV63" s="44">
        <f t="shared" si="151"/>
        <v>0</v>
      </c>
      <c r="CAW63" s="44">
        <f t="shared" si="151"/>
        <v>0</v>
      </c>
      <c r="CAX63" s="44">
        <f t="shared" si="151"/>
        <v>0</v>
      </c>
      <c r="CAY63" s="44">
        <f t="shared" si="151"/>
        <v>0</v>
      </c>
      <c r="CAZ63" s="44">
        <f t="shared" si="151"/>
        <v>0</v>
      </c>
      <c r="CBA63" s="44">
        <f t="shared" si="151"/>
        <v>0</v>
      </c>
      <c r="CBB63" s="44">
        <f t="shared" si="151"/>
        <v>0</v>
      </c>
      <c r="CBC63" s="44">
        <f t="shared" si="151"/>
        <v>0</v>
      </c>
      <c r="CBD63" s="44">
        <f t="shared" si="151"/>
        <v>0</v>
      </c>
      <c r="CBE63" s="44">
        <f t="shared" si="151"/>
        <v>0</v>
      </c>
      <c r="CBF63" s="44">
        <f t="shared" si="151"/>
        <v>0</v>
      </c>
      <c r="CBG63" s="44">
        <f t="shared" si="151"/>
        <v>0</v>
      </c>
      <c r="CBH63" s="44">
        <f t="shared" si="151"/>
        <v>0</v>
      </c>
      <c r="CBI63" s="44">
        <f t="shared" si="151"/>
        <v>0</v>
      </c>
      <c r="CBJ63" s="44">
        <f t="shared" si="151"/>
        <v>0</v>
      </c>
      <c r="CBK63" s="44">
        <f t="shared" si="151"/>
        <v>0</v>
      </c>
      <c r="CBL63" s="44">
        <f t="shared" si="151"/>
        <v>0</v>
      </c>
      <c r="CBM63" s="44">
        <f t="shared" si="151"/>
        <v>0</v>
      </c>
      <c r="CBN63" s="44">
        <f t="shared" si="151"/>
        <v>0</v>
      </c>
      <c r="CBO63" s="44">
        <f t="shared" si="151"/>
        <v>0</v>
      </c>
      <c r="CBP63" s="44">
        <f t="shared" si="151"/>
        <v>0</v>
      </c>
      <c r="CBQ63" s="44">
        <f t="shared" si="151"/>
        <v>0</v>
      </c>
      <c r="CBR63" s="44">
        <f t="shared" si="151"/>
        <v>0</v>
      </c>
      <c r="CBS63" s="44">
        <f t="shared" si="151"/>
        <v>0</v>
      </c>
      <c r="CBT63" s="44">
        <f t="shared" si="151"/>
        <v>0</v>
      </c>
      <c r="CBU63" s="44">
        <f t="shared" si="151"/>
        <v>0</v>
      </c>
      <c r="CBV63" s="44">
        <f t="shared" si="151"/>
        <v>0</v>
      </c>
      <c r="CBW63" s="44">
        <f t="shared" si="151"/>
        <v>0</v>
      </c>
      <c r="CBX63" s="44">
        <f t="shared" si="151"/>
        <v>0</v>
      </c>
      <c r="CBY63" s="44">
        <f t="shared" si="151"/>
        <v>0</v>
      </c>
      <c r="CBZ63" s="44">
        <f t="shared" si="151"/>
        <v>0</v>
      </c>
      <c r="CCA63" s="44">
        <f t="shared" si="151"/>
        <v>0</v>
      </c>
      <c r="CCB63" s="44">
        <f t="shared" si="151"/>
        <v>0</v>
      </c>
      <c r="CCC63" s="44">
        <f t="shared" si="151"/>
        <v>0</v>
      </c>
      <c r="CCD63" s="44">
        <f t="shared" si="151"/>
        <v>0</v>
      </c>
      <c r="CCE63" s="44">
        <f t="shared" si="151"/>
        <v>0</v>
      </c>
      <c r="CCF63" s="44">
        <f t="shared" si="151"/>
        <v>0</v>
      </c>
      <c r="CCG63" s="44">
        <f t="shared" si="151"/>
        <v>0</v>
      </c>
      <c r="CCH63" s="44">
        <f t="shared" si="151"/>
        <v>0</v>
      </c>
      <c r="CCI63" s="44">
        <f t="shared" si="151"/>
        <v>0</v>
      </c>
      <c r="CCJ63" s="44">
        <f t="shared" si="151"/>
        <v>0</v>
      </c>
      <c r="CCK63" s="44">
        <f t="shared" si="151"/>
        <v>0</v>
      </c>
      <c r="CCL63" s="44">
        <f t="shared" si="151"/>
        <v>0</v>
      </c>
      <c r="CCM63" s="44">
        <f t="shared" si="151"/>
        <v>0</v>
      </c>
      <c r="CCN63" s="44">
        <f t="shared" si="151"/>
        <v>0</v>
      </c>
      <c r="CCO63" s="44">
        <f t="shared" si="151"/>
        <v>0</v>
      </c>
      <c r="CCP63" s="44">
        <f t="shared" si="151"/>
        <v>0</v>
      </c>
      <c r="CCQ63" s="44">
        <f t="shared" si="151"/>
        <v>0</v>
      </c>
      <c r="CCR63" s="44">
        <f t="shared" si="151"/>
        <v>0</v>
      </c>
      <c r="CCS63" s="44">
        <f t="shared" si="151"/>
        <v>0</v>
      </c>
      <c r="CCT63" s="44">
        <f t="shared" si="151"/>
        <v>0</v>
      </c>
      <c r="CCU63" s="44">
        <f t="shared" si="151"/>
        <v>0</v>
      </c>
      <c r="CCV63" s="44">
        <f t="shared" si="151"/>
        <v>0</v>
      </c>
      <c r="CCW63" s="44">
        <f t="shared" si="151"/>
        <v>0</v>
      </c>
      <c r="CCX63" s="44">
        <f t="shared" si="151"/>
        <v>0</v>
      </c>
      <c r="CCY63" s="44">
        <f t="shared" si="151"/>
        <v>0</v>
      </c>
      <c r="CCZ63" s="44">
        <f t="shared" si="151"/>
        <v>0</v>
      </c>
      <c r="CDA63" s="44">
        <f t="shared" si="151"/>
        <v>0</v>
      </c>
      <c r="CDB63" s="44">
        <f t="shared" ref="CDB63:CFM63" si="152">SUM(CDB56:CDB57)</f>
        <v>0</v>
      </c>
      <c r="CDC63" s="44">
        <f t="shared" si="152"/>
        <v>0</v>
      </c>
      <c r="CDD63" s="44">
        <f t="shared" si="152"/>
        <v>0</v>
      </c>
      <c r="CDE63" s="44">
        <f t="shared" si="152"/>
        <v>0</v>
      </c>
      <c r="CDF63" s="44">
        <f t="shared" si="152"/>
        <v>0</v>
      </c>
      <c r="CDG63" s="44">
        <f t="shared" si="152"/>
        <v>0</v>
      </c>
      <c r="CDH63" s="44">
        <f t="shared" si="152"/>
        <v>0</v>
      </c>
      <c r="CDI63" s="44">
        <f t="shared" si="152"/>
        <v>0</v>
      </c>
      <c r="CDJ63" s="44">
        <f t="shared" si="152"/>
        <v>0</v>
      </c>
      <c r="CDK63" s="44">
        <f t="shared" si="152"/>
        <v>0</v>
      </c>
      <c r="CDL63" s="44">
        <f t="shared" si="152"/>
        <v>0</v>
      </c>
      <c r="CDM63" s="44">
        <f t="shared" si="152"/>
        <v>0</v>
      </c>
      <c r="CDN63" s="44">
        <f t="shared" si="152"/>
        <v>0</v>
      </c>
      <c r="CDO63" s="44">
        <f t="shared" si="152"/>
        <v>0</v>
      </c>
      <c r="CDP63" s="44">
        <f t="shared" si="152"/>
        <v>0</v>
      </c>
      <c r="CDQ63" s="44">
        <f t="shared" si="152"/>
        <v>0</v>
      </c>
      <c r="CDR63" s="44">
        <f t="shared" si="152"/>
        <v>0</v>
      </c>
      <c r="CDS63" s="44">
        <f t="shared" si="152"/>
        <v>0</v>
      </c>
      <c r="CDT63" s="44">
        <f t="shared" si="152"/>
        <v>0</v>
      </c>
      <c r="CDU63" s="44">
        <f t="shared" si="152"/>
        <v>0</v>
      </c>
      <c r="CDV63" s="44">
        <f t="shared" si="152"/>
        <v>0</v>
      </c>
      <c r="CDW63" s="44">
        <f t="shared" si="152"/>
        <v>0</v>
      </c>
      <c r="CDX63" s="44">
        <f t="shared" si="152"/>
        <v>0</v>
      </c>
      <c r="CDY63" s="44">
        <f t="shared" si="152"/>
        <v>0</v>
      </c>
      <c r="CDZ63" s="44">
        <f t="shared" si="152"/>
        <v>0</v>
      </c>
      <c r="CEA63" s="44">
        <f t="shared" si="152"/>
        <v>0</v>
      </c>
      <c r="CEB63" s="44">
        <f t="shared" si="152"/>
        <v>0</v>
      </c>
      <c r="CEC63" s="44">
        <f t="shared" si="152"/>
        <v>0</v>
      </c>
      <c r="CED63" s="44">
        <f t="shared" si="152"/>
        <v>0</v>
      </c>
      <c r="CEE63" s="44">
        <f t="shared" si="152"/>
        <v>0</v>
      </c>
      <c r="CEF63" s="44">
        <f t="shared" si="152"/>
        <v>0</v>
      </c>
      <c r="CEG63" s="44">
        <f t="shared" si="152"/>
        <v>0</v>
      </c>
      <c r="CEH63" s="44">
        <f t="shared" si="152"/>
        <v>0</v>
      </c>
      <c r="CEI63" s="44">
        <f t="shared" si="152"/>
        <v>0</v>
      </c>
      <c r="CEJ63" s="44">
        <f t="shared" si="152"/>
        <v>0</v>
      </c>
      <c r="CEK63" s="44">
        <f t="shared" si="152"/>
        <v>0</v>
      </c>
      <c r="CEL63" s="44">
        <f t="shared" si="152"/>
        <v>0</v>
      </c>
      <c r="CEM63" s="44">
        <f t="shared" si="152"/>
        <v>0</v>
      </c>
      <c r="CEN63" s="44">
        <f t="shared" si="152"/>
        <v>0</v>
      </c>
      <c r="CEO63" s="44">
        <f t="shared" si="152"/>
        <v>0</v>
      </c>
      <c r="CEP63" s="44">
        <f t="shared" si="152"/>
        <v>0</v>
      </c>
      <c r="CEQ63" s="44">
        <f t="shared" si="152"/>
        <v>0</v>
      </c>
      <c r="CER63" s="44">
        <f t="shared" si="152"/>
        <v>0</v>
      </c>
      <c r="CES63" s="44">
        <f t="shared" si="152"/>
        <v>0</v>
      </c>
      <c r="CET63" s="44">
        <f t="shared" si="152"/>
        <v>0</v>
      </c>
      <c r="CEU63" s="44">
        <f t="shared" si="152"/>
        <v>0</v>
      </c>
      <c r="CEV63" s="44">
        <f t="shared" si="152"/>
        <v>0</v>
      </c>
      <c r="CEW63" s="44">
        <f t="shared" si="152"/>
        <v>0</v>
      </c>
      <c r="CEX63" s="44">
        <f t="shared" si="152"/>
        <v>0</v>
      </c>
      <c r="CEY63" s="44">
        <f t="shared" si="152"/>
        <v>0</v>
      </c>
      <c r="CEZ63" s="44">
        <f t="shared" si="152"/>
        <v>0</v>
      </c>
      <c r="CFA63" s="44">
        <f t="shared" si="152"/>
        <v>0</v>
      </c>
      <c r="CFB63" s="44">
        <f t="shared" si="152"/>
        <v>0</v>
      </c>
      <c r="CFC63" s="44">
        <f t="shared" si="152"/>
        <v>0</v>
      </c>
      <c r="CFD63" s="44">
        <f t="shared" si="152"/>
        <v>0</v>
      </c>
      <c r="CFE63" s="44">
        <f t="shared" si="152"/>
        <v>0</v>
      </c>
      <c r="CFF63" s="44">
        <f t="shared" si="152"/>
        <v>0</v>
      </c>
      <c r="CFG63" s="44">
        <f t="shared" si="152"/>
        <v>0</v>
      </c>
      <c r="CFH63" s="44">
        <f t="shared" si="152"/>
        <v>0</v>
      </c>
      <c r="CFI63" s="44">
        <f t="shared" si="152"/>
        <v>0</v>
      </c>
      <c r="CFJ63" s="44">
        <f t="shared" si="152"/>
        <v>0</v>
      </c>
      <c r="CFK63" s="44">
        <f t="shared" si="152"/>
        <v>0</v>
      </c>
      <c r="CFL63" s="44">
        <f t="shared" si="152"/>
        <v>0</v>
      </c>
      <c r="CFM63" s="44">
        <f t="shared" si="152"/>
        <v>0</v>
      </c>
      <c r="CFN63" s="44">
        <f t="shared" ref="CFN63:CHY63" si="153">SUM(CFN56:CFN57)</f>
        <v>0</v>
      </c>
      <c r="CFO63" s="44">
        <f t="shared" si="153"/>
        <v>0</v>
      </c>
      <c r="CFP63" s="44">
        <f t="shared" si="153"/>
        <v>0</v>
      </c>
      <c r="CFQ63" s="44">
        <f t="shared" si="153"/>
        <v>0</v>
      </c>
      <c r="CFR63" s="44">
        <f t="shared" si="153"/>
        <v>0</v>
      </c>
      <c r="CFS63" s="44">
        <f t="shared" si="153"/>
        <v>0</v>
      </c>
      <c r="CFT63" s="44">
        <f t="shared" si="153"/>
        <v>0</v>
      </c>
      <c r="CFU63" s="44">
        <f t="shared" si="153"/>
        <v>0</v>
      </c>
      <c r="CFV63" s="44">
        <f t="shared" si="153"/>
        <v>0</v>
      </c>
      <c r="CFW63" s="44">
        <f t="shared" si="153"/>
        <v>0</v>
      </c>
      <c r="CFX63" s="44">
        <f t="shared" si="153"/>
        <v>0</v>
      </c>
      <c r="CFY63" s="44">
        <f t="shared" si="153"/>
        <v>0</v>
      </c>
      <c r="CFZ63" s="44">
        <f t="shared" si="153"/>
        <v>0</v>
      </c>
      <c r="CGA63" s="44">
        <f t="shared" si="153"/>
        <v>0</v>
      </c>
      <c r="CGB63" s="44">
        <f t="shared" si="153"/>
        <v>0</v>
      </c>
      <c r="CGC63" s="44">
        <f t="shared" si="153"/>
        <v>0</v>
      </c>
      <c r="CGD63" s="44">
        <f t="shared" si="153"/>
        <v>0</v>
      </c>
      <c r="CGE63" s="44">
        <f t="shared" si="153"/>
        <v>0</v>
      </c>
      <c r="CGF63" s="44">
        <f t="shared" si="153"/>
        <v>0</v>
      </c>
      <c r="CGG63" s="44">
        <f t="shared" si="153"/>
        <v>0</v>
      </c>
      <c r="CGH63" s="44">
        <f t="shared" si="153"/>
        <v>0</v>
      </c>
      <c r="CGI63" s="44">
        <f t="shared" si="153"/>
        <v>0</v>
      </c>
      <c r="CGJ63" s="44">
        <f t="shared" si="153"/>
        <v>0</v>
      </c>
      <c r="CGK63" s="44">
        <f t="shared" si="153"/>
        <v>0</v>
      </c>
      <c r="CGL63" s="44">
        <f t="shared" si="153"/>
        <v>0</v>
      </c>
      <c r="CGM63" s="44">
        <f t="shared" si="153"/>
        <v>0</v>
      </c>
      <c r="CGN63" s="44">
        <f t="shared" si="153"/>
        <v>0</v>
      </c>
      <c r="CGO63" s="44">
        <f t="shared" si="153"/>
        <v>0</v>
      </c>
      <c r="CGP63" s="44">
        <f t="shared" si="153"/>
        <v>0</v>
      </c>
      <c r="CGQ63" s="44">
        <f t="shared" si="153"/>
        <v>0</v>
      </c>
      <c r="CGR63" s="44">
        <f t="shared" si="153"/>
        <v>0</v>
      </c>
      <c r="CGS63" s="44">
        <f t="shared" si="153"/>
        <v>0</v>
      </c>
      <c r="CGT63" s="44">
        <f t="shared" si="153"/>
        <v>0</v>
      </c>
      <c r="CGU63" s="44">
        <f t="shared" si="153"/>
        <v>0</v>
      </c>
      <c r="CGV63" s="44">
        <f t="shared" si="153"/>
        <v>0</v>
      </c>
      <c r="CGW63" s="44">
        <f t="shared" si="153"/>
        <v>0</v>
      </c>
      <c r="CGX63" s="44">
        <f t="shared" si="153"/>
        <v>0</v>
      </c>
      <c r="CGY63" s="44">
        <f t="shared" si="153"/>
        <v>0</v>
      </c>
      <c r="CGZ63" s="44">
        <f t="shared" si="153"/>
        <v>0</v>
      </c>
      <c r="CHA63" s="44">
        <f t="shared" si="153"/>
        <v>0</v>
      </c>
      <c r="CHB63" s="44">
        <f t="shared" si="153"/>
        <v>0</v>
      </c>
      <c r="CHC63" s="44">
        <f t="shared" si="153"/>
        <v>0</v>
      </c>
      <c r="CHD63" s="44">
        <f t="shared" si="153"/>
        <v>0</v>
      </c>
      <c r="CHE63" s="44">
        <f t="shared" si="153"/>
        <v>0</v>
      </c>
      <c r="CHF63" s="44">
        <f t="shared" si="153"/>
        <v>0</v>
      </c>
      <c r="CHG63" s="44">
        <f t="shared" si="153"/>
        <v>0</v>
      </c>
      <c r="CHH63" s="44">
        <f t="shared" si="153"/>
        <v>0</v>
      </c>
      <c r="CHI63" s="44">
        <f t="shared" si="153"/>
        <v>0</v>
      </c>
      <c r="CHJ63" s="44">
        <f t="shared" si="153"/>
        <v>0</v>
      </c>
      <c r="CHK63" s="44">
        <f t="shared" si="153"/>
        <v>0</v>
      </c>
      <c r="CHL63" s="44">
        <f t="shared" si="153"/>
        <v>0</v>
      </c>
      <c r="CHM63" s="44">
        <f t="shared" si="153"/>
        <v>0</v>
      </c>
      <c r="CHN63" s="44">
        <f t="shared" si="153"/>
        <v>0</v>
      </c>
      <c r="CHO63" s="44">
        <f t="shared" si="153"/>
        <v>0</v>
      </c>
      <c r="CHP63" s="44">
        <f t="shared" si="153"/>
        <v>0</v>
      </c>
      <c r="CHQ63" s="44">
        <f t="shared" si="153"/>
        <v>0</v>
      </c>
      <c r="CHR63" s="44">
        <f t="shared" si="153"/>
        <v>0</v>
      </c>
      <c r="CHS63" s="44">
        <f t="shared" si="153"/>
        <v>0</v>
      </c>
      <c r="CHT63" s="44">
        <f t="shared" si="153"/>
        <v>0</v>
      </c>
      <c r="CHU63" s="44">
        <f t="shared" si="153"/>
        <v>0</v>
      </c>
      <c r="CHV63" s="44">
        <f t="shared" si="153"/>
        <v>0</v>
      </c>
      <c r="CHW63" s="44">
        <f t="shared" si="153"/>
        <v>0</v>
      </c>
      <c r="CHX63" s="44">
        <f t="shared" si="153"/>
        <v>0</v>
      </c>
      <c r="CHY63" s="44">
        <f t="shared" si="153"/>
        <v>0</v>
      </c>
      <c r="CHZ63" s="44">
        <f t="shared" ref="CHZ63:CKK63" si="154">SUM(CHZ56:CHZ57)</f>
        <v>0</v>
      </c>
      <c r="CIA63" s="44">
        <f t="shared" si="154"/>
        <v>0</v>
      </c>
      <c r="CIB63" s="44">
        <f t="shared" si="154"/>
        <v>0</v>
      </c>
      <c r="CIC63" s="44">
        <f t="shared" si="154"/>
        <v>0</v>
      </c>
      <c r="CID63" s="44">
        <f t="shared" si="154"/>
        <v>0</v>
      </c>
      <c r="CIE63" s="44">
        <f t="shared" si="154"/>
        <v>0</v>
      </c>
      <c r="CIF63" s="44">
        <f t="shared" si="154"/>
        <v>0</v>
      </c>
      <c r="CIG63" s="44">
        <f t="shared" si="154"/>
        <v>0</v>
      </c>
      <c r="CIH63" s="44">
        <f t="shared" si="154"/>
        <v>0</v>
      </c>
      <c r="CII63" s="44">
        <f t="shared" si="154"/>
        <v>0</v>
      </c>
      <c r="CIJ63" s="44">
        <f t="shared" si="154"/>
        <v>0</v>
      </c>
      <c r="CIK63" s="44">
        <f t="shared" si="154"/>
        <v>0</v>
      </c>
      <c r="CIL63" s="44">
        <f t="shared" si="154"/>
        <v>0</v>
      </c>
      <c r="CIM63" s="44">
        <f t="shared" si="154"/>
        <v>0</v>
      </c>
      <c r="CIN63" s="44">
        <f t="shared" si="154"/>
        <v>0</v>
      </c>
      <c r="CIO63" s="44">
        <f t="shared" si="154"/>
        <v>0</v>
      </c>
      <c r="CIP63" s="44">
        <f t="shared" si="154"/>
        <v>0</v>
      </c>
      <c r="CIQ63" s="44">
        <f t="shared" si="154"/>
        <v>0</v>
      </c>
      <c r="CIR63" s="44">
        <f t="shared" si="154"/>
        <v>0</v>
      </c>
      <c r="CIS63" s="44">
        <f t="shared" si="154"/>
        <v>0</v>
      </c>
      <c r="CIT63" s="44">
        <f t="shared" si="154"/>
        <v>0</v>
      </c>
      <c r="CIU63" s="44">
        <f t="shared" si="154"/>
        <v>0</v>
      </c>
      <c r="CIV63" s="44">
        <f t="shared" si="154"/>
        <v>0</v>
      </c>
      <c r="CIW63" s="44">
        <f t="shared" si="154"/>
        <v>0</v>
      </c>
      <c r="CIX63" s="44">
        <f t="shared" si="154"/>
        <v>0</v>
      </c>
      <c r="CIY63" s="44">
        <f t="shared" si="154"/>
        <v>0</v>
      </c>
      <c r="CIZ63" s="44">
        <f t="shared" si="154"/>
        <v>0</v>
      </c>
      <c r="CJA63" s="44">
        <f t="shared" si="154"/>
        <v>0</v>
      </c>
      <c r="CJB63" s="44">
        <f t="shared" si="154"/>
        <v>0</v>
      </c>
      <c r="CJC63" s="44">
        <f t="shared" si="154"/>
        <v>0</v>
      </c>
      <c r="CJD63" s="44">
        <f t="shared" si="154"/>
        <v>0</v>
      </c>
      <c r="CJE63" s="44">
        <f t="shared" si="154"/>
        <v>0</v>
      </c>
      <c r="CJF63" s="44">
        <f t="shared" si="154"/>
        <v>0</v>
      </c>
      <c r="CJG63" s="44">
        <f t="shared" si="154"/>
        <v>0</v>
      </c>
      <c r="CJH63" s="44">
        <f t="shared" si="154"/>
        <v>0</v>
      </c>
      <c r="CJI63" s="44">
        <f t="shared" si="154"/>
        <v>0</v>
      </c>
      <c r="CJJ63" s="44">
        <f t="shared" si="154"/>
        <v>0</v>
      </c>
      <c r="CJK63" s="44">
        <f t="shared" si="154"/>
        <v>0</v>
      </c>
      <c r="CJL63" s="44">
        <f t="shared" si="154"/>
        <v>0</v>
      </c>
      <c r="CJM63" s="44">
        <f t="shared" si="154"/>
        <v>0</v>
      </c>
      <c r="CJN63" s="44">
        <f t="shared" si="154"/>
        <v>0</v>
      </c>
      <c r="CJO63" s="44">
        <f t="shared" si="154"/>
        <v>0</v>
      </c>
      <c r="CJP63" s="44">
        <f t="shared" si="154"/>
        <v>0</v>
      </c>
      <c r="CJQ63" s="44">
        <f t="shared" si="154"/>
        <v>0</v>
      </c>
      <c r="CJR63" s="44">
        <f t="shared" si="154"/>
        <v>0</v>
      </c>
      <c r="CJS63" s="44">
        <f t="shared" si="154"/>
        <v>0</v>
      </c>
      <c r="CJT63" s="44">
        <f t="shared" si="154"/>
        <v>0</v>
      </c>
      <c r="CJU63" s="44">
        <f t="shared" si="154"/>
        <v>0</v>
      </c>
      <c r="CJV63" s="44">
        <f t="shared" si="154"/>
        <v>0</v>
      </c>
      <c r="CJW63" s="44">
        <f t="shared" si="154"/>
        <v>0</v>
      </c>
      <c r="CJX63" s="44">
        <f t="shared" si="154"/>
        <v>0</v>
      </c>
      <c r="CJY63" s="44">
        <f t="shared" si="154"/>
        <v>0</v>
      </c>
      <c r="CJZ63" s="44">
        <f t="shared" si="154"/>
        <v>0</v>
      </c>
      <c r="CKA63" s="44">
        <f t="shared" si="154"/>
        <v>0</v>
      </c>
      <c r="CKB63" s="44">
        <f t="shared" si="154"/>
        <v>0</v>
      </c>
      <c r="CKC63" s="44">
        <f t="shared" si="154"/>
        <v>0</v>
      </c>
      <c r="CKD63" s="44">
        <f t="shared" si="154"/>
        <v>0</v>
      </c>
      <c r="CKE63" s="44">
        <f t="shared" si="154"/>
        <v>0</v>
      </c>
      <c r="CKF63" s="44">
        <f t="shared" si="154"/>
        <v>0</v>
      </c>
      <c r="CKG63" s="44">
        <f t="shared" si="154"/>
        <v>0</v>
      </c>
      <c r="CKH63" s="44">
        <f t="shared" si="154"/>
        <v>0</v>
      </c>
      <c r="CKI63" s="44">
        <f t="shared" si="154"/>
        <v>0</v>
      </c>
      <c r="CKJ63" s="44">
        <f t="shared" si="154"/>
        <v>0</v>
      </c>
      <c r="CKK63" s="44">
        <f t="shared" si="154"/>
        <v>0</v>
      </c>
      <c r="CKL63" s="44">
        <f t="shared" ref="CKL63:CMW63" si="155">SUM(CKL56:CKL57)</f>
        <v>0</v>
      </c>
      <c r="CKM63" s="44">
        <f t="shared" si="155"/>
        <v>0</v>
      </c>
      <c r="CKN63" s="44">
        <f t="shared" si="155"/>
        <v>0</v>
      </c>
      <c r="CKO63" s="44">
        <f t="shared" si="155"/>
        <v>0</v>
      </c>
      <c r="CKP63" s="44">
        <f t="shared" si="155"/>
        <v>0</v>
      </c>
      <c r="CKQ63" s="44">
        <f t="shared" si="155"/>
        <v>0</v>
      </c>
      <c r="CKR63" s="44">
        <f t="shared" si="155"/>
        <v>0</v>
      </c>
      <c r="CKS63" s="44">
        <f t="shared" si="155"/>
        <v>0</v>
      </c>
      <c r="CKT63" s="44">
        <f t="shared" si="155"/>
        <v>0</v>
      </c>
      <c r="CKU63" s="44">
        <f t="shared" si="155"/>
        <v>0</v>
      </c>
      <c r="CKV63" s="44">
        <f t="shared" si="155"/>
        <v>0</v>
      </c>
      <c r="CKW63" s="44">
        <f t="shared" si="155"/>
        <v>0</v>
      </c>
      <c r="CKX63" s="44">
        <f t="shared" si="155"/>
        <v>0</v>
      </c>
      <c r="CKY63" s="44">
        <f t="shared" si="155"/>
        <v>0</v>
      </c>
      <c r="CKZ63" s="44">
        <f t="shared" si="155"/>
        <v>0</v>
      </c>
      <c r="CLA63" s="44">
        <f t="shared" si="155"/>
        <v>0</v>
      </c>
      <c r="CLB63" s="44">
        <f t="shared" si="155"/>
        <v>0</v>
      </c>
      <c r="CLC63" s="44">
        <f t="shared" si="155"/>
        <v>0</v>
      </c>
      <c r="CLD63" s="44">
        <f t="shared" si="155"/>
        <v>0</v>
      </c>
      <c r="CLE63" s="44">
        <f t="shared" si="155"/>
        <v>0</v>
      </c>
      <c r="CLF63" s="44">
        <f t="shared" si="155"/>
        <v>0</v>
      </c>
      <c r="CLG63" s="44">
        <f t="shared" si="155"/>
        <v>0</v>
      </c>
      <c r="CLH63" s="44">
        <f t="shared" si="155"/>
        <v>0</v>
      </c>
      <c r="CLI63" s="44">
        <f t="shared" si="155"/>
        <v>0</v>
      </c>
      <c r="CLJ63" s="44">
        <f t="shared" si="155"/>
        <v>0</v>
      </c>
      <c r="CLK63" s="44">
        <f t="shared" si="155"/>
        <v>0</v>
      </c>
      <c r="CLL63" s="44">
        <f t="shared" si="155"/>
        <v>0</v>
      </c>
      <c r="CLM63" s="44">
        <f t="shared" si="155"/>
        <v>0</v>
      </c>
      <c r="CLN63" s="44">
        <f t="shared" si="155"/>
        <v>0</v>
      </c>
      <c r="CLO63" s="44">
        <f t="shared" si="155"/>
        <v>0</v>
      </c>
      <c r="CLP63" s="44">
        <f t="shared" si="155"/>
        <v>0</v>
      </c>
      <c r="CLQ63" s="44">
        <f t="shared" si="155"/>
        <v>0</v>
      </c>
      <c r="CLR63" s="44">
        <f t="shared" si="155"/>
        <v>0</v>
      </c>
      <c r="CLS63" s="44">
        <f t="shared" si="155"/>
        <v>0</v>
      </c>
      <c r="CLT63" s="44">
        <f t="shared" si="155"/>
        <v>0</v>
      </c>
      <c r="CLU63" s="44">
        <f t="shared" si="155"/>
        <v>0</v>
      </c>
      <c r="CLV63" s="44">
        <f t="shared" si="155"/>
        <v>0</v>
      </c>
      <c r="CLW63" s="44">
        <f t="shared" si="155"/>
        <v>0</v>
      </c>
      <c r="CLX63" s="44">
        <f t="shared" si="155"/>
        <v>0</v>
      </c>
      <c r="CLY63" s="44">
        <f t="shared" si="155"/>
        <v>0</v>
      </c>
      <c r="CLZ63" s="44">
        <f t="shared" si="155"/>
        <v>0</v>
      </c>
      <c r="CMA63" s="44">
        <f t="shared" si="155"/>
        <v>0</v>
      </c>
      <c r="CMB63" s="44">
        <f t="shared" si="155"/>
        <v>0</v>
      </c>
      <c r="CMC63" s="44">
        <f t="shared" si="155"/>
        <v>0</v>
      </c>
      <c r="CMD63" s="44">
        <f t="shared" si="155"/>
        <v>0</v>
      </c>
      <c r="CME63" s="44">
        <f t="shared" si="155"/>
        <v>0</v>
      </c>
      <c r="CMF63" s="44">
        <f t="shared" si="155"/>
        <v>0</v>
      </c>
      <c r="CMG63" s="44">
        <f t="shared" si="155"/>
        <v>0</v>
      </c>
      <c r="CMH63" s="44">
        <f t="shared" si="155"/>
        <v>0</v>
      </c>
      <c r="CMI63" s="44">
        <f t="shared" si="155"/>
        <v>0</v>
      </c>
      <c r="CMJ63" s="44">
        <f t="shared" si="155"/>
        <v>0</v>
      </c>
      <c r="CMK63" s="44">
        <f t="shared" si="155"/>
        <v>0</v>
      </c>
      <c r="CML63" s="44">
        <f t="shared" si="155"/>
        <v>0</v>
      </c>
      <c r="CMM63" s="44">
        <f t="shared" si="155"/>
        <v>0</v>
      </c>
      <c r="CMN63" s="44">
        <f t="shared" si="155"/>
        <v>0</v>
      </c>
      <c r="CMO63" s="44">
        <f t="shared" si="155"/>
        <v>0</v>
      </c>
      <c r="CMP63" s="44">
        <f t="shared" si="155"/>
        <v>0</v>
      </c>
      <c r="CMQ63" s="44">
        <f t="shared" si="155"/>
        <v>0</v>
      </c>
      <c r="CMR63" s="44">
        <f t="shared" si="155"/>
        <v>0</v>
      </c>
      <c r="CMS63" s="44">
        <f t="shared" si="155"/>
        <v>0</v>
      </c>
      <c r="CMT63" s="44">
        <f t="shared" si="155"/>
        <v>0</v>
      </c>
      <c r="CMU63" s="44">
        <f t="shared" si="155"/>
        <v>0</v>
      </c>
      <c r="CMV63" s="44">
        <f t="shared" si="155"/>
        <v>0</v>
      </c>
      <c r="CMW63" s="44">
        <f t="shared" si="155"/>
        <v>0</v>
      </c>
      <c r="CMX63" s="44">
        <f t="shared" ref="CMX63:CPI63" si="156">SUM(CMX56:CMX57)</f>
        <v>0</v>
      </c>
      <c r="CMY63" s="44">
        <f t="shared" si="156"/>
        <v>0</v>
      </c>
      <c r="CMZ63" s="44">
        <f t="shared" si="156"/>
        <v>0</v>
      </c>
      <c r="CNA63" s="44">
        <f t="shared" si="156"/>
        <v>0</v>
      </c>
      <c r="CNB63" s="44">
        <f t="shared" si="156"/>
        <v>0</v>
      </c>
      <c r="CNC63" s="44">
        <f t="shared" si="156"/>
        <v>0</v>
      </c>
      <c r="CND63" s="44">
        <f t="shared" si="156"/>
        <v>0</v>
      </c>
      <c r="CNE63" s="44">
        <f t="shared" si="156"/>
        <v>0</v>
      </c>
      <c r="CNF63" s="44">
        <f t="shared" si="156"/>
        <v>0</v>
      </c>
      <c r="CNG63" s="44">
        <f t="shared" si="156"/>
        <v>0</v>
      </c>
      <c r="CNH63" s="44">
        <f t="shared" si="156"/>
        <v>0</v>
      </c>
      <c r="CNI63" s="44">
        <f t="shared" si="156"/>
        <v>0</v>
      </c>
      <c r="CNJ63" s="44">
        <f t="shared" si="156"/>
        <v>0</v>
      </c>
      <c r="CNK63" s="44">
        <f t="shared" si="156"/>
        <v>0</v>
      </c>
      <c r="CNL63" s="44">
        <f t="shared" si="156"/>
        <v>0</v>
      </c>
      <c r="CNM63" s="44">
        <f t="shared" si="156"/>
        <v>0</v>
      </c>
      <c r="CNN63" s="44">
        <f t="shared" si="156"/>
        <v>0</v>
      </c>
      <c r="CNO63" s="44">
        <f t="shared" si="156"/>
        <v>0</v>
      </c>
      <c r="CNP63" s="44">
        <f t="shared" si="156"/>
        <v>0</v>
      </c>
      <c r="CNQ63" s="44">
        <f t="shared" si="156"/>
        <v>0</v>
      </c>
      <c r="CNR63" s="44">
        <f t="shared" si="156"/>
        <v>0</v>
      </c>
      <c r="CNS63" s="44">
        <f t="shared" si="156"/>
        <v>0</v>
      </c>
      <c r="CNT63" s="44">
        <f t="shared" si="156"/>
        <v>0</v>
      </c>
      <c r="CNU63" s="44">
        <f t="shared" si="156"/>
        <v>0</v>
      </c>
      <c r="CNV63" s="44">
        <f t="shared" si="156"/>
        <v>0</v>
      </c>
      <c r="CNW63" s="44">
        <f t="shared" si="156"/>
        <v>0</v>
      </c>
      <c r="CNX63" s="44">
        <f t="shared" si="156"/>
        <v>0</v>
      </c>
      <c r="CNY63" s="44">
        <f t="shared" si="156"/>
        <v>0</v>
      </c>
      <c r="CNZ63" s="44">
        <f t="shared" si="156"/>
        <v>0</v>
      </c>
      <c r="COA63" s="44">
        <f t="shared" si="156"/>
        <v>0</v>
      </c>
      <c r="COB63" s="44">
        <f t="shared" si="156"/>
        <v>0</v>
      </c>
      <c r="COC63" s="44">
        <f t="shared" si="156"/>
        <v>0</v>
      </c>
      <c r="COD63" s="44">
        <f t="shared" si="156"/>
        <v>0</v>
      </c>
      <c r="COE63" s="44">
        <f t="shared" si="156"/>
        <v>0</v>
      </c>
      <c r="COF63" s="44">
        <f t="shared" si="156"/>
        <v>0</v>
      </c>
      <c r="COG63" s="44">
        <f t="shared" si="156"/>
        <v>0</v>
      </c>
      <c r="COH63" s="44">
        <f t="shared" si="156"/>
        <v>0</v>
      </c>
      <c r="COI63" s="44">
        <f t="shared" si="156"/>
        <v>0</v>
      </c>
      <c r="COJ63" s="44">
        <f t="shared" si="156"/>
        <v>0</v>
      </c>
      <c r="COK63" s="44">
        <f t="shared" si="156"/>
        <v>0</v>
      </c>
      <c r="COL63" s="44">
        <f t="shared" si="156"/>
        <v>0</v>
      </c>
      <c r="COM63" s="44">
        <f t="shared" si="156"/>
        <v>0</v>
      </c>
      <c r="CON63" s="44">
        <f t="shared" si="156"/>
        <v>0</v>
      </c>
      <c r="COO63" s="44">
        <f t="shared" si="156"/>
        <v>0</v>
      </c>
      <c r="COP63" s="44">
        <f t="shared" si="156"/>
        <v>0</v>
      </c>
      <c r="COQ63" s="44">
        <f t="shared" si="156"/>
        <v>0</v>
      </c>
      <c r="COR63" s="44">
        <f t="shared" si="156"/>
        <v>0</v>
      </c>
      <c r="COS63" s="44">
        <f t="shared" si="156"/>
        <v>0</v>
      </c>
      <c r="COT63" s="44">
        <f t="shared" si="156"/>
        <v>0</v>
      </c>
      <c r="COU63" s="44">
        <f t="shared" si="156"/>
        <v>0</v>
      </c>
      <c r="COV63" s="44">
        <f t="shared" si="156"/>
        <v>0</v>
      </c>
      <c r="COW63" s="44">
        <f t="shared" si="156"/>
        <v>0</v>
      </c>
      <c r="COX63" s="44">
        <f t="shared" si="156"/>
        <v>0</v>
      </c>
      <c r="COY63" s="44">
        <f t="shared" si="156"/>
        <v>0</v>
      </c>
      <c r="COZ63" s="44">
        <f t="shared" si="156"/>
        <v>0</v>
      </c>
      <c r="CPA63" s="44">
        <f t="shared" si="156"/>
        <v>0</v>
      </c>
      <c r="CPB63" s="44">
        <f t="shared" si="156"/>
        <v>0</v>
      </c>
      <c r="CPC63" s="44">
        <f t="shared" si="156"/>
        <v>0</v>
      </c>
      <c r="CPD63" s="44">
        <f t="shared" si="156"/>
        <v>0</v>
      </c>
      <c r="CPE63" s="44">
        <f t="shared" si="156"/>
        <v>0</v>
      </c>
      <c r="CPF63" s="44">
        <f t="shared" si="156"/>
        <v>0</v>
      </c>
      <c r="CPG63" s="44">
        <f t="shared" si="156"/>
        <v>0</v>
      </c>
      <c r="CPH63" s="44">
        <f t="shared" si="156"/>
        <v>0</v>
      </c>
      <c r="CPI63" s="44">
        <f t="shared" si="156"/>
        <v>0</v>
      </c>
      <c r="CPJ63" s="44">
        <f t="shared" ref="CPJ63:CRU63" si="157">SUM(CPJ56:CPJ57)</f>
        <v>0</v>
      </c>
      <c r="CPK63" s="44">
        <f t="shared" si="157"/>
        <v>0</v>
      </c>
      <c r="CPL63" s="44">
        <f t="shared" si="157"/>
        <v>0</v>
      </c>
      <c r="CPM63" s="44">
        <f t="shared" si="157"/>
        <v>0</v>
      </c>
      <c r="CPN63" s="44">
        <f t="shared" si="157"/>
        <v>0</v>
      </c>
      <c r="CPO63" s="44">
        <f t="shared" si="157"/>
        <v>0</v>
      </c>
      <c r="CPP63" s="44">
        <f t="shared" si="157"/>
        <v>0</v>
      </c>
      <c r="CPQ63" s="44">
        <f t="shared" si="157"/>
        <v>0</v>
      </c>
      <c r="CPR63" s="44">
        <f t="shared" si="157"/>
        <v>0</v>
      </c>
      <c r="CPS63" s="44">
        <f t="shared" si="157"/>
        <v>0</v>
      </c>
      <c r="CPT63" s="44">
        <f t="shared" si="157"/>
        <v>0</v>
      </c>
      <c r="CPU63" s="44">
        <f t="shared" si="157"/>
        <v>0</v>
      </c>
      <c r="CPV63" s="44">
        <f t="shared" si="157"/>
        <v>0</v>
      </c>
      <c r="CPW63" s="44">
        <f t="shared" si="157"/>
        <v>0</v>
      </c>
      <c r="CPX63" s="44">
        <f t="shared" si="157"/>
        <v>0</v>
      </c>
      <c r="CPY63" s="44">
        <f t="shared" si="157"/>
        <v>0</v>
      </c>
      <c r="CPZ63" s="44">
        <f t="shared" si="157"/>
        <v>0</v>
      </c>
      <c r="CQA63" s="44">
        <f t="shared" si="157"/>
        <v>0</v>
      </c>
      <c r="CQB63" s="44">
        <f t="shared" si="157"/>
        <v>0</v>
      </c>
      <c r="CQC63" s="44">
        <f t="shared" si="157"/>
        <v>0</v>
      </c>
      <c r="CQD63" s="44">
        <f t="shared" si="157"/>
        <v>0</v>
      </c>
      <c r="CQE63" s="44">
        <f t="shared" si="157"/>
        <v>0</v>
      </c>
      <c r="CQF63" s="44">
        <f t="shared" si="157"/>
        <v>0</v>
      </c>
      <c r="CQG63" s="44">
        <f t="shared" si="157"/>
        <v>0</v>
      </c>
      <c r="CQH63" s="44">
        <f t="shared" si="157"/>
        <v>0</v>
      </c>
      <c r="CQI63" s="44">
        <f t="shared" si="157"/>
        <v>0</v>
      </c>
      <c r="CQJ63" s="44">
        <f t="shared" si="157"/>
        <v>0</v>
      </c>
      <c r="CQK63" s="44">
        <f t="shared" si="157"/>
        <v>0</v>
      </c>
      <c r="CQL63" s="44">
        <f t="shared" si="157"/>
        <v>0</v>
      </c>
      <c r="CQM63" s="44">
        <f t="shared" si="157"/>
        <v>0</v>
      </c>
      <c r="CQN63" s="44">
        <f t="shared" si="157"/>
        <v>0</v>
      </c>
      <c r="CQO63" s="44">
        <f t="shared" si="157"/>
        <v>0</v>
      </c>
      <c r="CQP63" s="44">
        <f t="shared" si="157"/>
        <v>0</v>
      </c>
      <c r="CQQ63" s="44">
        <f t="shared" si="157"/>
        <v>0</v>
      </c>
      <c r="CQR63" s="44">
        <f t="shared" si="157"/>
        <v>0</v>
      </c>
      <c r="CQS63" s="44">
        <f t="shared" si="157"/>
        <v>0</v>
      </c>
      <c r="CQT63" s="44">
        <f t="shared" si="157"/>
        <v>0</v>
      </c>
      <c r="CQU63" s="44">
        <f t="shared" si="157"/>
        <v>0</v>
      </c>
      <c r="CQV63" s="44">
        <f t="shared" si="157"/>
        <v>0</v>
      </c>
      <c r="CQW63" s="44">
        <f t="shared" si="157"/>
        <v>0</v>
      </c>
      <c r="CQX63" s="44">
        <f t="shared" si="157"/>
        <v>0</v>
      </c>
      <c r="CQY63" s="44">
        <f t="shared" si="157"/>
        <v>0</v>
      </c>
      <c r="CQZ63" s="44">
        <f t="shared" si="157"/>
        <v>0</v>
      </c>
      <c r="CRA63" s="44">
        <f t="shared" si="157"/>
        <v>0</v>
      </c>
      <c r="CRB63" s="44">
        <f t="shared" si="157"/>
        <v>0</v>
      </c>
      <c r="CRC63" s="44">
        <f t="shared" si="157"/>
        <v>0</v>
      </c>
      <c r="CRD63" s="44">
        <f t="shared" si="157"/>
        <v>0</v>
      </c>
      <c r="CRE63" s="44">
        <f t="shared" si="157"/>
        <v>0</v>
      </c>
      <c r="CRF63" s="44">
        <f t="shared" si="157"/>
        <v>0</v>
      </c>
      <c r="CRG63" s="44">
        <f t="shared" si="157"/>
        <v>0</v>
      </c>
      <c r="CRH63" s="44">
        <f t="shared" si="157"/>
        <v>0</v>
      </c>
      <c r="CRI63" s="44">
        <f t="shared" si="157"/>
        <v>0</v>
      </c>
      <c r="CRJ63" s="44">
        <f t="shared" si="157"/>
        <v>0</v>
      </c>
      <c r="CRK63" s="44">
        <f t="shared" si="157"/>
        <v>0</v>
      </c>
      <c r="CRL63" s="44">
        <f t="shared" si="157"/>
        <v>0</v>
      </c>
      <c r="CRM63" s="44">
        <f t="shared" si="157"/>
        <v>0</v>
      </c>
      <c r="CRN63" s="44">
        <f t="shared" si="157"/>
        <v>0</v>
      </c>
      <c r="CRO63" s="44">
        <f t="shared" si="157"/>
        <v>0</v>
      </c>
      <c r="CRP63" s="44">
        <f t="shared" si="157"/>
        <v>0</v>
      </c>
      <c r="CRQ63" s="44">
        <f t="shared" si="157"/>
        <v>0</v>
      </c>
      <c r="CRR63" s="44">
        <f t="shared" si="157"/>
        <v>0</v>
      </c>
      <c r="CRS63" s="44">
        <f t="shared" si="157"/>
        <v>0</v>
      </c>
      <c r="CRT63" s="44">
        <f t="shared" si="157"/>
        <v>0</v>
      </c>
      <c r="CRU63" s="44">
        <f t="shared" si="157"/>
        <v>0</v>
      </c>
      <c r="CRV63" s="44">
        <f t="shared" ref="CRV63:CUG63" si="158">SUM(CRV56:CRV57)</f>
        <v>0</v>
      </c>
      <c r="CRW63" s="44">
        <f t="shared" si="158"/>
        <v>0</v>
      </c>
      <c r="CRX63" s="44">
        <f t="shared" si="158"/>
        <v>0</v>
      </c>
      <c r="CRY63" s="44">
        <f t="shared" si="158"/>
        <v>0</v>
      </c>
      <c r="CRZ63" s="44">
        <f t="shared" si="158"/>
        <v>0</v>
      </c>
      <c r="CSA63" s="44">
        <f t="shared" si="158"/>
        <v>0</v>
      </c>
      <c r="CSB63" s="44">
        <f t="shared" si="158"/>
        <v>0</v>
      </c>
      <c r="CSC63" s="44">
        <f t="shared" si="158"/>
        <v>0</v>
      </c>
      <c r="CSD63" s="44">
        <f t="shared" si="158"/>
        <v>0</v>
      </c>
      <c r="CSE63" s="44">
        <f t="shared" si="158"/>
        <v>0</v>
      </c>
      <c r="CSF63" s="44">
        <f t="shared" si="158"/>
        <v>0</v>
      </c>
      <c r="CSG63" s="44">
        <f t="shared" si="158"/>
        <v>0</v>
      </c>
      <c r="CSH63" s="44">
        <f t="shared" si="158"/>
        <v>0</v>
      </c>
      <c r="CSI63" s="44">
        <f t="shared" si="158"/>
        <v>0</v>
      </c>
      <c r="CSJ63" s="44">
        <f t="shared" si="158"/>
        <v>0</v>
      </c>
      <c r="CSK63" s="44">
        <f t="shared" si="158"/>
        <v>0</v>
      </c>
      <c r="CSL63" s="44">
        <f t="shared" si="158"/>
        <v>0</v>
      </c>
      <c r="CSM63" s="44">
        <f t="shared" si="158"/>
        <v>0</v>
      </c>
      <c r="CSN63" s="44">
        <f t="shared" si="158"/>
        <v>0</v>
      </c>
      <c r="CSO63" s="44">
        <f t="shared" si="158"/>
        <v>0</v>
      </c>
      <c r="CSP63" s="44">
        <f t="shared" si="158"/>
        <v>0</v>
      </c>
      <c r="CSQ63" s="44">
        <f t="shared" si="158"/>
        <v>0</v>
      </c>
      <c r="CSR63" s="44">
        <f t="shared" si="158"/>
        <v>0</v>
      </c>
      <c r="CSS63" s="44">
        <f t="shared" si="158"/>
        <v>0</v>
      </c>
      <c r="CST63" s="44">
        <f t="shared" si="158"/>
        <v>0</v>
      </c>
      <c r="CSU63" s="44">
        <f t="shared" si="158"/>
        <v>0</v>
      </c>
      <c r="CSV63" s="44">
        <f t="shared" si="158"/>
        <v>0</v>
      </c>
      <c r="CSW63" s="44">
        <f t="shared" si="158"/>
        <v>0</v>
      </c>
      <c r="CSX63" s="44">
        <f t="shared" si="158"/>
        <v>0</v>
      </c>
      <c r="CSY63" s="44">
        <f t="shared" si="158"/>
        <v>0</v>
      </c>
      <c r="CSZ63" s="44">
        <f t="shared" si="158"/>
        <v>0</v>
      </c>
      <c r="CTA63" s="44">
        <f t="shared" si="158"/>
        <v>0</v>
      </c>
      <c r="CTB63" s="44">
        <f t="shared" si="158"/>
        <v>0</v>
      </c>
      <c r="CTC63" s="44">
        <f t="shared" si="158"/>
        <v>0</v>
      </c>
      <c r="CTD63" s="44">
        <f t="shared" si="158"/>
        <v>0</v>
      </c>
      <c r="CTE63" s="44">
        <f t="shared" si="158"/>
        <v>0</v>
      </c>
      <c r="CTF63" s="44">
        <f t="shared" si="158"/>
        <v>0</v>
      </c>
      <c r="CTG63" s="44">
        <f t="shared" si="158"/>
        <v>0</v>
      </c>
      <c r="CTH63" s="44">
        <f t="shared" si="158"/>
        <v>0</v>
      </c>
      <c r="CTI63" s="44">
        <f t="shared" si="158"/>
        <v>0</v>
      </c>
      <c r="CTJ63" s="44">
        <f t="shared" si="158"/>
        <v>0</v>
      </c>
      <c r="CTK63" s="44">
        <f t="shared" si="158"/>
        <v>0</v>
      </c>
      <c r="CTL63" s="44">
        <f t="shared" si="158"/>
        <v>0</v>
      </c>
      <c r="CTM63" s="44">
        <f t="shared" si="158"/>
        <v>0</v>
      </c>
      <c r="CTN63" s="44">
        <f t="shared" si="158"/>
        <v>0</v>
      </c>
      <c r="CTO63" s="44">
        <f t="shared" si="158"/>
        <v>0</v>
      </c>
      <c r="CTP63" s="44">
        <f t="shared" si="158"/>
        <v>0</v>
      </c>
      <c r="CTQ63" s="44">
        <f t="shared" si="158"/>
        <v>0</v>
      </c>
      <c r="CTR63" s="44">
        <f t="shared" si="158"/>
        <v>0</v>
      </c>
      <c r="CTS63" s="44">
        <f t="shared" si="158"/>
        <v>0</v>
      </c>
      <c r="CTT63" s="44">
        <f t="shared" si="158"/>
        <v>0</v>
      </c>
      <c r="CTU63" s="44">
        <f t="shared" si="158"/>
        <v>0</v>
      </c>
      <c r="CTV63" s="44">
        <f t="shared" si="158"/>
        <v>0</v>
      </c>
      <c r="CTW63" s="44">
        <f t="shared" si="158"/>
        <v>0</v>
      </c>
      <c r="CTX63" s="44">
        <f t="shared" si="158"/>
        <v>0</v>
      </c>
      <c r="CTY63" s="44">
        <f t="shared" si="158"/>
        <v>0</v>
      </c>
      <c r="CTZ63" s="44">
        <f t="shared" si="158"/>
        <v>0</v>
      </c>
      <c r="CUA63" s="44">
        <f t="shared" si="158"/>
        <v>0</v>
      </c>
      <c r="CUB63" s="44">
        <f t="shared" si="158"/>
        <v>0</v>
      </c>
      <c r="CUC63" s="44">
        <f t="shared" si="158"/>
        <v>0</v>
      </c>
      <c r="CUD63" s="44">
        <f t="shared" si="158"/>
        <v>0</v>
      </c>
      <c r="CUE63" s="44">
        <f t="shared" si="158"/>
        <v>0</v>
      </c>
      <c r="CUF63" s="44">
        <f t="shared" si="158"/>
        <v>0</v>
      </c>
      <c r="CUG63" s="44">
        <f t="shared" si="158"/>
        <v>0</v>
      </c>
      <c r="CUH63" s="44">
        <f t="shared" ref="CUH63:CWS63" si="159">SUM(CUH56:CUH57)</f>
        <v>0</v>
      </c>
      <c r="CUI63" s="44">
        <f t="shared" si="159"/>
        <v>0</v>
      </c>
      <c r="CUJ63" s="44">
        <f t="shared" si="159"/>
        <v>0</v>
      </c>
      <c r="CUK63" s="44">
        <f t="shared" si="159"/>
        <v>0</v>
      </c>
      <c r="CUL63" s="44">
        <f t="shared" si="159"/>
        <v>0</v>
      </c>
      <c r="CUM63" s="44">
        <f t="shared" si="159"/>
        <v>0</v>
      </c>
      <c r="CUN63" s="44">
        <f t="shared" si="159"/>
        <v>0</v>
      </c>
      <c r="CUO63" s="44">
        <f t="shared" si="159"/>
        <v>0</v>
      </c>
      <c r="CUP63" s="44">
        <f t="shared" si="159"/>
        <v>0</v>
      </c>
      <c r="CUQ63" s="44">
        <f t="shared" si="159"/>
        <v>0</v>
      </c>
      <c r="CUR63" s="44">
        <f t="shared" si="159"/>
        <v>0</v>
      </c>
      <c r="CUS63" s="44">
        <f t="shared" si="159"/>
        <v>0</v>
      </c>
      <c r="CUT63" s="44">
        <f t="shared" si="159"/>
        <v>0</v>
      </c>
      <c r="CUU63" s="44">
        <f t="shared" si="159"/>
        <v>0</v>
      </c>
      <c r="CUV63" s="44">
        <f t="shared" si="159"/>
        <v>0</v>
      </c>
      <c r="CUW63" s="44">
        <f t="shared" si="159"/>
        <v>0</v>
      </c>
      <c r="CUX63" s="44">
        <f t="shared" si="159"/>
        <v>0</v>
      </c>
      <c r="CUY63" s="44">
        <f t="shared" si="159"/>
        <v>0</v>
      </c>
      <c r="CUZ63" s="44">
        <f t="shared" si="159"/>
        <v>0</v>
      </c>
      <c r="CVA63" s="44">
        <f t="shared" si="159"/>
        <v>0</v>
      </c>
      <c r="CVB63" s="44">
        <f t="shared" si="159"/>
        <v>0</v>
      </c>
      <c r="CVC63" s="44">
        <f t="shared" si="159"/>
        <v>0</v>
      </c>
      <c r="CVD63" s="44">
        <f t="shared" si="159"/>
        <v>0</v>
      </c>
      <c r="CVE63" s="44">
        <f t="shared" si="159"/>
        <v>0</v>
      </c>
      <c r="CVF63" s="44">
        <f t="shared" si="159"/>
        <v>0</v>
      </c>
      <c r="CVG63" s="44">
        <f t="shared" si="159"/>
        <v>0</v>
      </c>
      <c r="CVH63" s="44">
        <f t="shared" si="159"/>
        <v>0</v>
      </c>
      <c r="CVI63" s="44">
        <f t="shared" si="159"/>
        <v>0</v>
      </c>
      <c r="CVJ63" s="44">
        <f t="shared" si="159"/>
        <v>0</v>
      </c>
      <c r="CVK63" s="44">
        <f t="shared" si="159"/>
        <v>0</v>
      </c>
      <c r="CVL63" s="44">
        <f t="shared" si="159"/>
        <v>0</v>
      </c>
      <c r="CVM63" s="44">
        <f t="shared" si="159"/>
        <v>0</v>
      </c>
      <c r="CVN63" s="44">
        <f t="shared" si="159"/>
        <v>0</v>
      </c>
      <c r="CVO63" s="44">
        <f t="shared" si="159"/>
        <v>0</v>
      </c>
      <c r="CVP63" s="44">
        <f t="shared" si="159"/>
        <v>0</v>
      </c>
      <c r="CVQ63" s="44">
        <f t="shared" si="159"/>
        <v>0</v>
      </c>
      <c r="CVR63" s="44">
        <f t="shared" si="159"/>
        <v>0</v>
      </c>
      <c r="CVS63" s="44">
        <f t="shared" si="159"/>
        <v>0</v>
      </c>
      <c r="CVT63" s="44">
        <f t="shared" si="159"/>
        <v>0</v>
      </c>
      <c r="CVU63" s="44">
        <f t="shared" si="159"/>
        <v>0</v>
      </c>
      <c r="CVV63" s="44">
        <f t="shared" si="159"/>
        <v>0</v>
      </c>
      <c r="CVW63" s="44">
        <f t="shared" si="159"/>
        <v>0</v>
      </c>
      <c r="CVX63" s="44">
        <f t="shared" si="159"/>
        <v>0</v>
      </c>
      <c r="CVY63" s="44">
        <f t="shared" si="159"/>
        <v>0</v>
      </c>
      <c r="CVZ63" s="44">
        <f t="shared" si="159"/>
        <v>0</v>
      </c>
      <c r="CWA63" s="44">
        <f t="shared" si="159"/>
        <v>0</v>
      </c>
      <c r="CWB63" s="44">
        <f t="shared" si="159"/>
        <v>0</v>
      </c>
      <c r="CWC63" s="44">
        <f t="shared" si="159"/>
        <v>0</v>
      </c>
      <c r="CWD63" s="44">
        <f t="shared" si="159"/>
        <v>0</v>
      </c>
      <c r="CWE63" s="44">
        <f t="shared" si="159"/>
        <v>0</v>
      </c>
      <c r="CWF63" s="44">
        <f t="shared" si="159"/>
        <v>0</v>
      </c>
      <c r="CWG63" s="44">
        <f t="shared" si="159"/>
        <v>0</v>
      </c>
      <c r="CWH63" s="44">
        <f t="shared" si="159"/>
        <v>0</v>
      </c>
      <c r="CWI63" s="44">
        <f t="shared" si="159"/>
        <v>0</v>
      </c>
      <c r="CWJ63" s="44">
        <f t="shared" si="159"/>
        <v>0</v>
      </c>
      <c r="CWK63" s="44">
        <f t="shared" si="159"/>
        <v>0</v>
      </c>
      <c r="CWL63" s="44">
        <f t="shared" si="159"/>
        <v>0</v>
      </c>
      <c r="CWM63" s="44">
        <f t="shared" si="159"/>
        <v>0</v>
      </c>
      <c r="CWN63" s="44">
        <f t="shared" si="159"/>
        <v>0</v>
      </c>
      <c r="CWO63" s="44">
        <f t="shared" si="159"/>
        <v>0</v>
      </c>
      <c r="CWP63" s="44">
        <f t="shared" si="159"/>
        <v>0</v>
      </c>
      <c r="CWQ63" s="44">
        <f t="shared" si="159"/>
        <v>0</v>
      </c>
      <c r="CWR63" s="44">
        <f t="shared" si="159"/>
        <v>0</v>
      </c>
      <c r="CWS63" s="44">
        <f t="shared" si="159"/>
        <v>0</v>
      </c>
      <c r="CWT63" s="44">
        <f t="shared" ref="CWT63:CZE63" si="160">SUM(CWT56:CWT57)</f>
        <v>0</v>
      </c>
      <c r="CWU63" s="44">
        <f t="shared" si="160"/>
        <v>0</v>
      </c>
      <c r="CWV63" s="44">
        <f t="shared" si="160"/>
        <v>0</v>
      </c>
      <c r="CWW63" s="44">
        <f t="shared" si="160"/>
        <v>0</v>
      </c>
      <c r="CWX63" s="44">
        <f t="shared" si="160"/>
        <v>0</v>
      </c>
      <c r="CWY63" s="44">
        <f t="shared" si="160"/>
        <v>0</v>
      </c>
      <c r="CWZ63" s="44">
        <f t="shared" si="160"/>
        <v>0</v>
      </c>
      <c r="CXA63" s="44">
        <f t="shared" si="160"/>
        <v>0</v>
      </c>
      <c r="CXB63" s="44">
        <f t="shared" si="160"/>
        <v>0</v>
      </c>
      <c r="CXC63" s="44">
        <f t="shared" si="160"/>
        <v>0</v>
      </c>
      <c r="CXD63" s="44">
        <f t="shared" si="160"/>
        <v>0</v>
      </c>
      <c r="CXE63" s="44">
        <f t="shared" si="160"/>
        <v>0</v>
      </c>
      <c r="CXF63" s="44">
        <f t="shared" si="160"/>
        <v>0</v>
      </c>
      <c r="CXG63" s="44">
        <f t="shared" si="160"/>
        <v>0</v>
      </c>
      <c r="CXH63" s="44">
        <f t="shared" si="160"/>
        <v>0</v>
      </c>
      <c r="CXI63" s="44">
        <f t="shared" si="160"/>
        <v>0</v>
      </c>
      <c r="CXJ63" s="44">
        <f t="shared" si="160"/>
        <v>0</v>
      </c>
      <c r="CXK63" s="44">
        <f t="shared" si="160"/>
        <v>0</v>
      </c>
      <c r="CXL63" s="44">
        <f t="shared" si="160"/>
        <v>0</v>
      </c>
      <c r="CXM63" s="44">
        <f t="shared" si="160"/>
        <v>0</v>
      </c>
      <c r="CXN63" s="44">
        <f t="shared" si="160"/>
        <v>0</v>
      </c>
      <c r="CXO63" s="44">
        <f t="shared" si="160"/>
        <v>0</v>
      </c>
      <c r="CXP63" s="44">
        <f t="shared" si="160"/>
        <v>0</v>
      </c>
      <c r="CXQ63" s="44">
        <f t="shared" si="160"/>
        <v>0</v>
      </c>
      <c r="CXR63" s="44">
        <f t="shared" si="160"/>
        <v>0</v>
      </c>
      <c r="CXS63" s="44">
        <f t="shared" si="160"/>
        <v>0</v>
      </c>
      <c r="CXT63" s="44">
        <f t="shared" si="160"/>
        <v>0</v>
      </c>
      <c r="CXU63" s="44">
        <f t="shared" si="160"/>
        <v>0</v>
      </c>
      <c r="CXV63" s="44">
        <f t="shared" si="160"/>
        <v>0</v>
      </c>
      <c r="CXW63" s="44">
        <f t="shared" si="160"/>
        <v>0</v>
      </c>
      <c r="CXX63" s="44">
        <f t="shared" si="160"/>
        <v>0</v>
      </c>
      <c r="CXY63" s="44">
        <f t="shared" si="160"/>
        <v>0</v>
      </c>
      <c r="CXZ63" s="44">
        <f t="shared" si="160"/>
        <v>0</v>
      </c>
      <c r="CYA63" s="44">
        <f t="shared" si="160"/>
        <v>0</v>
      </c>
      <c r="CYB63" s="44">
        <f t="shared" si="160"/>
        <v>0</v>
      </c>
      <c r="CYC63" s="44">
        <f t="shared" si="160"/>
        <v>0</v>
      </c>
      <c r="CYD63" s="44">
        <f t="shared" si="160"/>
        <v>0</v>
      </c>
      <c r="CYE63" s="44">
        <f t="shared" si="160"/>
        <v>0</v>
      </c>
      <c r="CYF63" s="44">
        <f t="shared" si="160"/>
        <v>0</v>
      </c>
      <c r="CYG63" s="44">
        <f t="shared" si="160"/>
        <v>0</v>
      </c>
      <c r="CYH63" s="44">
        <f t="shared" si="160"/>
        <v>0</v>
      </c>
      <c r="CYI63" s="44">
        <f t="shared" si="160"/>
        <v>0</v>
      </c>
      <c r="CYJ63" s="44">
        <f t="shared" si="160"/>
        <v>0</v>
      </c>
      <c r="CYK63" s="44">
        <f t="shared" si="160"/>
        <v>0</v>
      </c>
      <c r="CYL63" s="44">
        <f t="shared" si="160"/>
        <v>0</v>
      </c>
      <c r="CYM63" s="44">
        <f t="shared" si="160"/>
        <v>0</v>
      </c>
      <c r="CYN63" s="44">
        <f t="shared" si="160"/>
        <v>0</v>
      </c>
      <c r="CYO63" s="44">
        <f t="shared" si="160"/>
        <v>0</v>
      </c>
      <c r="CYP63" s="44">
        <f t="shared" si="160"/>
        <v>0</v>
      </c>
      <c r="CYQ63" s="44">
        <f t="shared" si="160"/>
        <v>0</v>
      </c>
      <c r="CYR63" s="44">
        <f t="shared" si="160"/>
        <v>0</v>
      </c>
      <c r="CYS63" s="44">
        <f t="shared" si="160"/>
        <v>0</v>
      </c>
      <c r="CYT63" s="44">
        <f t="shared" si="160"/>
        <v>0</v>
      </c>
      <c r="CYU63" s="44">
        <f t="shared" si="160"/>
        <v>0</v>
      </c>
      <c r="CYV63" s="44">
        <f t="shared" si="160"/>
        <v>0</v>
      </c>
      <c r="CYW63" s="44">
        <f t="shared" si="160"/>
        <v>0</v>
      </c>
      <c r="CYX63" s="44">
        <f t="shared" si="160"/>
        <v>0</v>
      </c>
      <c r="CYY63" s="44">
        <f t="shared" si="160"/>
        <v>0</v>
      </c>
      <c r="CYZ63" s="44">
        <f t="shared" si="160"/>
        <v>0</v>
      </c>
      <c r="CZA63" s="44">
        <f t="shared" si="160"/>
        <v>0</v>
      </c>
      <c r="CZB63" s="44">
        <f t="shared" si="160"/>
        <v>0</v>
      </c>
      <c r="CZC63" s="44">
        <f t="shared" si="160"/>
        <v>0</v>
      </c>
      <c r="CZD63" s="44">
        <f t="shared" si="160"/>
        <v>0</v>
      </c>
      <c r="CZE63" s="44">
        <f t="shared" si="160"/>
        <v>0</v>
      </c>
      <c r="CZF63" s="44">
        <f t="shared" ref="CZF63:DBQ63" si="161">SUM(CZF56:CZF57)</f>
        <v>0</v>
      </c>
      <c r="CZG63" s="44">
        <f t="shared" si="161"/>
        <v>0</v>
      </c>
      <c r="CZH63" s="44">
        <f t="shared" si="161"/>
        <v>0</v>
      </c>
      <c r="CZI63" s="44">
        <f t="shared" si="161"/>
        <v>0</v>
      </c>
      <c r="CZJ63" s="44">
        <f t="shared" si="161"/>
        <v>0</v>
      </c>
      <c r="CZK63" s="44">
        <f t="shared" si="161"/>
        <v>0</v>
      </c>
      <c r="CZL63" s="44">
        <f t="shared" si="161"/>
        <v>0</v>
      </c>
      <c r="CZM63" s="44">
        <f t="shared" si="161"/>
        <v>0</v>
      </c>
      <c r="CZN63" s="44">
        <f t="shared" si="161"/>
        <v>0</v>
      </c>
      <c r="CZO63" s="44">
        <f t="shared" si="161"/>
        <v>0</v>
      </c>
      <c r="CZP63" s="44">
        <f t="shared" si="161"/>
        <v>0</v>
      </c>
      <c r="CZQ63" s="44">
        <f t="shared" si="161"/>
        <v>0</v>
      </c>
      <c r="CZR63" s="44">
        <f t="shared" si="161"/>
        <v>0</v>
      </c>
      <c r="CZS63" s="44">
        <f t="shared" si="161"/>
        <v>0</v>
      </c>
      <c r="CZT63" s="44">
        <f t="shared" si="161"/>
        <v>0</v>
      </c>
      <c r="CZU63" s="44">
        <f t="shared" si="161"/>
        <v>0</v>
      </c>
      <c r="CZV63" s="44">
        <f t="shared" si="161"/>
        <v>0</v>
      </c>
      <c r="CZW63" s="44">
        <f t="shared" si="161"/>
        <v>0</v>
      </c>
      <c r="CZX63" s="44">
        <f t="shared" si="161"/>
        <v>0</v>
      </c>
      <c r="CZY63" s="44">
        <f t="shared" si="161"/>
        <v>0</v>
      </c>
      <c r="CZZ63" s="44">
        <f t="shared" si="161"/>
        <v>0</v>
      </c>
      <c r="DAA63" s="44">
        <f t="shared" si="161"/>
        <v>0</v>
      </c>
      <c r="DAB63" s="44">
        <f t="shared" si="161"/>
        <v>0</v>
      </c>
      <c r="DAC63" s="44">
        <f t="shared" si="161"/>
        <v>0</v>
      </c>
      <c r="DAD63" s="44">
        <f t="shared" si="161"/>
        <v>0</v>
      </c>
      <c r="DAE63" s="44">
        <f t="shared" si="161"/>
        <v>0</v>
      </c>
      <c r="DAF63" s="44">
        <f t="shared" si="161"/>
        <v>0</v>
      </c>
      <c r="DAG63" s="44">
        <f t="shared" si="161"/>
        <v>0</v>
      </c>
      <c r="DAH63" s="44">
        <f t="shared" si="161"/>
        <v>0</v>
      </c>
      <c r="DAI63" s="44">
        <f t="shared" si="161"/>
        <v>0</v>
      </c>
      <c r="DAJ63" s="44">
        <f t="shared" si="161"/>
        <v>0</v>
      </c>
      <c r="DAK63" s="44">
        <f t="shared" si="161"/>
        <v>0</v>
      </c>
      <c r="DAL63" s="44">
        <f t="shared" si="161"/>
        <v>0</v>
      </c>
      <c r="DAM63" s="44">
        <f t="shared" si="161"/>
        <v>0</v>
      </c>
      <c r="DAN63" s="44">
        <f t="shared" si="161"/>
        <v>0</v>
      </c>
      <c r="DAO63" s="44">
        <f t="shared" si="161"/>
        <v>0</v>
      </c>
      <c r="DAP63" s="44">
        <f t="shared" si="161"/>
        <v>0</v>
      </c>
      <c r="DAQ63" s="44">
        <f t="shared" si="161"/>
        <v>0</v>
      </c>
      <c r="DAR63" s="44">
        <f t="shared" si="161"/>
        <v>0</v>
      </c>
      <c r="DAS63" s="44">
        <f t="shared" si="161"/>
        <v>0</v>
      </c>
      <c r="DAT63" s="44">
        <f t="shared" si="161"/>
        <v>0</v>
      </c>
      <c r="DAU63" s="44">
        <f t="shared" si="161"/>
        <v>0</v>
      </c>
      <c r="DAV63" s="44">
        <f t="shared" si="161"/>
        <v>0</v>
      </c>
      <c r="DAW63" s="44">
        <f t="shared" si="161"/>
        <v>0</v>
      </c>
      <c r="DAX63" s="44">
        <f t="shared" si="161"/>
        <v>0</v>
      </c>
      <c r="DAY63" s="44">
        <f t="shared" si="161"/>
        <v>0</v>
      </c>
      <c r="DAZ63" s="44">
        <f t="shared" si="161"/>
        <v>0</v>
      </c>
      <c r="DBA63" s="44">
        <f t="shared" si="161"/>
        <v>0</v>
      </c>
      <c r="DBB63" s="44">
        <f t="shared" si="161"/>
        <v>0</v>
      </c>
      <c r="DBC63" s="44">
        <f t="shared" si="161"/>
        <v>0</v>
      </c>
      <c r="DBD63" s="44">
        <f t="shared" si="161"/>
        <v>0</v>
      </c>
      <c r="DBE63" s="44">
        <f t="shared" si="161"/>
        <v>0</v>
      </c>
      <c r="DBF63" s="44">
        <f t="shared" si="161"/>
        <v>0</v>
      </c>
      <c r="DBG63" s="44">
        <f t="shared" si="161"/>
        <v>0</v>
      </c>
      <c r="DBH63" s="44">
        <f t="shared" si="161"/>
        <v>0</v>
      </c>
      <c r="DBI63" s="44">
        <f t="shared" si="161"/>
        <v>0</v>
      </c>
      <c r="DBJ63" s="44">
        <f t="shared" si="161"/>
        <v>0</v>
      </c>
      <c r="DBK63" s="44">
        <f t="shared" si="161"/>
        <v>0</v>
      </c>
      <c r="DBL63" s="44">
        <f t="shared" si="161"/>
        <v>0</v>
      </c>
      <c r="DBM63" s="44">
        <f t="shared" si="161"/>
        <v>0</v>
      </c>
      <c r="DBN63" s="44">
        <f t="shared" si="161"/>
        <v>0</v>
      </c>
      <c r="DBO63" s="44">
        <f t="shared" si="161"/>
        <v>0</v>
      </c>
      <c r="DBP63" s="44">
        <f t="shared" si="161"/>
        <v>0</v>
      </c>
      <c r="DBQ63" s="44">
        <f t="shared" si="161"/>
        <v>0</v>
      </c>
      <c r="DBR63" s="44">
        <f t="shared" ref="DBR63:DEC63" si="162">SUM(DBR56:DBR57)</f>
        <v>0</v>
      </c>
      <c r="DBS63" s="44">
        <f t="shared" si="162"/>
        <v>0</v>
      </c>
      <c r="DBT63" s="44">
        <f t="shared" si="162"/>
        <v>0</v>
      </c>
      <c r="DBU63" s="44">
        <f t="shared" si="162"/>
        <v>0</v>
      </c>
      <c r="DBV63" s="44">
        <f t="shared" si="162"/>
        <v>0</v>
      </c>
      <c r="DBW63" s="44">
        <f t="shared" si="162"/>
        <v>0</v>
      </c>
      <c r="DBX63" s="44">
        <f t="shared" si="162"/>
        <v>0</v>
      </c>
      <c r="DBY63" s="44">
        <f t="shared" si="162"/>
        <v>0</v>
      </c>
      <c r="DBZ63" s="44">
        <f t="shared" si="162"/>
        <v>0</v>
      </c>
      <c r="DCA63" s="44">
        <f t="shared" si="162"/>
        <v>0</v>
      </c>
      <c r="DCB63" s="44">
        <f t="shared" si="162"/>
        <v>0</v>
      </c>
      <c r="DCC63" s="44">
        <f t="shared" si="162"/>
        <v>0</v>
      </c>
      <c r="DCD63" s="44">
        <f t="shared" si="162"/>
        <v>0</v>
      </c>
      <c r="DCE63" s="44">
        <f t="shared" si="162"/>
        <v>0</v>
      </c>
      <c r="DCF63" s="44">
        <f t="shared" si="162"/>
        <v>0</v>
      </c>
      <c r="DCG63" s="44">
        <f t="shared" si="162"/>
        <v>0</v>
      </c>
      <c r="DCH63" s="44">
        <f t="shared" si="162"/>
        <v>0</v>
      </c>
      <c r="DCI63" s="44">
        <f t="shared" si="162"/>
        <v>0</v>
      </c>
      <c r="DCJ63" s="44">
        <f t="shared" si="162"/>
        <v>0</v>
      </c>
      <c r="DCK63" s="44">
        <f t="shared" si="162"/>
        <v>0</v>
      </c>
      <c r="DCL63" s="44">
        <f t="shared" si="162"/>
        <v>0</v>
      </c>
      <c r="DCM63" s="44">
        <f t="shared" si="162"/>
        <v>0</v>
      </c>
      <c r="DCN63" s="44">
        <f t="shared" si="162"/>
        <v>0</v>
      </c>
      <c r="DCO63" s="44">
        <f t="shared" si="162"/>
        <v>0</v>
      </c>
      <c r="DCP63" s="44">
        <f t="shared" si="162"/>
        <v>0</v>
      </c>
      <c r="DCQ63" s="44">
        <f t="shared" si="162"/>
        <v>0</v>
      </c>
      <c r="DCR63" s="44">
        <f t="shared" si="162"/>
        <v>0</v>
      </c>
      <c r="DCS63" s="44">
        <f t="shared" si="162"/>
        <v>0</v>
      </c>
      <c r="DCT63" s="44">
        <f t="shared" si="162"/>
        <v>0</v>
      </c>
      <c r="DCU63" s="44">
        <f t="shared" si="162"/>
        <v>0</v>
      </c>
      <c r="DCV63" s="44">
        <f t="shared" si="162"/>
        <v>0</v>
      </c>
      <c r="DCW63" s="44">
        <f t="shared" si="162"/>
        <v>0</v>
      </c>
      <c r="DCX63" s="44">
        <f t="shared" si="162"/>
        <v>0</v>
      </c>
      <c r="DCY63" s="44">
        <f t="shared" si="162"/>
        <v>0</v>
      </c>
      <c r="DCZ63" s="44">
        <f t="shared" si="162"/>
        <v>0</v>
      </c>
      <c r="DDA63" s="44">
        <f t="shared" si="162"/>
        <v>0</v>
      </c>
      <c r="DDB63" s="44">
        <f t="shared" si="162"/>
        <v>0</v>
      </c>
      <c r="DDC63" s="44">
        <f t="shared" si="162"/>
        <v>0</v>
      </c>
      <c r="DDD63" s="44">
        <f t="shared" si="162"/>
        <v>0</v>
      </c>
      <c r="DDE63" s="44">
        <f t="shared" si="162"/>
        <v>0</v>
      </c>
      <c r="DDF63" s="44">
        <f t="shared" si="162"/>
        <v>0</v>
      </c>
      <c r="DDG63" s="44">
        <f t="shared" si="162"/>
        <v>0</v>
      </c>
      <c r="DDH63" s="44">
        <f t="shared" si="162"/>
        <v>0</v>
      </c>
      <c r="DDI63" s="44">
        <f t="shared" si="162"/>
        <v>0</v>
      </c>
      <c r="DDJ63" s="44">
        <f t="shared" si="162"/>
        <v>0</v>
      </c>
      <c r="DDK63" s="44">
        <f t="shared" si="162"/>
        <v>0</v>
      </c>
      <c r="DDL63" s="44">
        <f t="shared" si="162"/>
        <v>0</v>
      </c>
      <c r="DDM63" s="44">
        <f t="shared" si="162"/>
        <v>0</v>
      </c>
      <c r="DDN63" s="44">
        <f t="shared" si="162"/>
        <v>0</v>
      </c>
      <c r="DDO63" s="44">
        <f t="shared" si="162"/>
        <v>0</v>
      </c>
      <c r="DDP63" s="44">
        <f t="shared" si="162"/>
        <v>0</v>
      </c>
      <c r="DDQ63" s="44">
        <f t="shared" si="162"/>
        <v>0</v>
      </c>
      <c r="DDR63" s="44">
        <f t="shared" si="162"/>
        <v>0</v>
      </c>
      <c r="DDS63" s="44">
        <f t="shared" si="162"/>
        <v>0</v>
      </c>
      <c r="DDT63" s="44">
        <f t="shared" si="162"/>
        <v>0</v>
      </c>
      <c r="DDU63" s="44">
        <f t="shared" si="162"/>
        <v>0</v>
      </c>
      <c r="DDV63" s="44">
        <f t="shared" si="162"/>
        <v>0</v>
      </c>
      <c r="DDW63" s="44">
        <f t="shared" si="162"/>
        <v>0</v>
      </c>
      <c r="DDX63" s="44">
        <f t="shared" si="162"/>
        <v>0</v>
      </c>
      <c r="DDY63" s="44">
        <f t="shared" si="162"/>
        <v>0</v>
      </c>
      <c r="DDZ63" s="44">
        <f t="shared" si="162"/>
        <v>0</v>
      </c>
      <c r="DEA63" s="44">
        <f t="shared" si="162"/>
        <v>0</v>
      </c>
      <c r="DEB63" s="44">
        <f t="shared" si="162"/>
        <v>0</v>
      </c>
      <c r="DEC63" s="44">
        <f t="shared" si="162"/>
        <v>0</v>
      </c>
      <c r="DED63" s="44">
        <f t="shared" ref="DED63:DGO63" si="163">SUM(DED56:DED57)</f>
        <v>0</v>
      </c>
      <c r="DEE63" s="44">
        <f t="shared" si="163"/>
        <v>0</v>
      </c>
      <c r="DEF63" s="44">
        <f t="shared" si="163"/>
        <v>0</v>
      </c>
      <c r="DEG63" s="44">
        <f t="shared" si="163"/>
        <v>0</v>
      </c>
      <c r="DEH63" s="44">
        <f t="shared" si="163"/>
        <v>0</v>
      </c>
      <c r="DEI63" s="44">
        <f t="shared" si="163"/>
        <v>0</v>
      </c>
      <c r="DEJ63" s="44">
        <f t="shared" si="163"/>
        <v>0</v>
      </c>
      <c r="DEK63" s="44">
        <f t="shared" si="163"/>
        <v>0</v>
      </c>
      <c r="DEL63" s="44">
        <f t="shared" si="163"/>
        <v>0</v>
      </c>
      <c r="DEM63" s="44">
        <f t="shared" si="163"/>
        <v>0</v>
      </c>
      <c r="DEN63" s="44">
        <f t="shared" si="163"/>
        <v>0</v>
      </c>
      <c r="DEO63" s="44">
        <f t="shared" si="163"/>
        <v>0</v>
      </c>
      <c r="DEP63" s="44">
        <f t="shared" si="163"/>
        <v>0</v>
      </c>
      <c r="DEQ63" s="44">
        <f t="shared" si="163"/>
        <v>0</v>
      </c>
      <c r="DER63" s="44">
        <f t="shared" si="163"/>
        <v>0</v>
      </c>
      <c r="DES63" s="44">
        <f t="shared" si="163"/>
        <v>0</v>
      </c>
      <c r="DET63" s="44">
        <f t="shared" si="163"/>
        <v>0</v>
      </c>
      <c r="DEU63" s="44">
        <f t="shared" si="163"/>
        <v>0</v>
      </c>
      <c r="DEV63" s="44">
        <f t="shared" si="163"/>
        <v>0</v>
      </c>
      <c r="DEW63" s="44">
        <f t="shared" si="163"/>
        <v>0</v>
      </c>
      <c r="DEX63" s="44">
        <f t="shared" si="163"/>
        <v>0</v>
      </c>
      <c r="DEY63" s="44">
        <f t="shared" si="163"/>
        <v>0</v>
      </c>
      <c r="DEZ63" s="44">
        <f t="shared" si="163"/>
        <v>0</v>
      </c>
      <c r="DFA63" s="44">
        <f t="shared" si="163"/>
        <v>0</v>
      </c>
      <c r="DFB63" s="44">
        <f t="shared" si="163"/>
        <v>0</v>
      </c>
      <c r="DFC63" s="44">
        <f t="shared" si="163"/>
        <v>0</v>
      </c>
      <c r="DFD63" s="44">
        <f t="shared" si="163"/>
        <v>0</v>
      </c>
      <c r="DFE63" s="44">
        <f t="shared" si="163"/>
        <v>0</v>
      </c>
      <c r="DFF63" s="44">
        <f t="shared" si="163"/>
        <v>0</v>
      </c>
      <c r="DFG63" s="44">
        <f t="shared" si="163"/>
        <v>0</v>
      </c>
      <c r="DFH63" s="44">
        <f t="shared" si="163"/>
        <v>0</v>
      </c>
      <c r="DFI63" s="44">
        <f t="shared" si="163"/>
        <v>0</v>
      </c>
      <c r="DFJ63" s="44">
        <f t="shared" si="163"/>
        <v>0</v>
      </c>
      <c r="DFK63" s="44">
        <f t="shared" si="163"/>
        <v>0</v>
      </c>
      <c r="DFL63" s="44">
        <f t="shared" si="163"/>
        <v>0</v>
      </c>
      <c r="DFM63" s="44">
        <f t="shared" si="163"/>
        <v>0</v>
      </c>
      <c r="DFN63" s="44">
        <f t="shared" si="163"/>
        <v>0</v>
      </c>
      <c r="DFO63" s="44">
        <f t="shared" si="163"/>
        <v>0</v>
      </c>
      <c r="DFP63" s="44">
        <f t="shared" si="163"/>
        <v>0</v>
      </c>
      <c r="DFQ63" s="44">
        <f t="shared" si="163"/>
        <v>0</v>
      </c>
      <c r="DFR63" s="44">
        <f t="shared" si="163"/>
        <v>0</v>
      </c>
      <c r="DFS63" s="44">
        <f t="shared" si="163"/>
        <v>0</v>
      </c>
      <c r="DFT63" s="44">
        <f t="shared" si="163"/>
        <v>0</v>
      </c>
      <c r="DFU63" s="44">
        <f t="shared" si="163"/>
        <v>0</v>
      </c>
      <c r="DFV63" s="44">
        <f t="shared" si="163"/>
        <v>0</v>
      </c>
      <c r="DFW63" s="44">
        <f t="shared" si="163"/>
        <v>0</v>
      </c>
      <c r="DFX63" s="44">
        <f t="shared" si="163"/>
        <v>0</v>
      </c>
      <c r="DFY63" s="44">
        <f t="shared" si="163"/>
        <v>0</v>
      </c>
      <c r="DFZ63" s="44">
        <f t="shared" si="163"/>
        <v>0</v>
      </c>
      <c r="DGA63" s="44">
        <f t="shared" si="163"/>
        <v>0</v>
      </c>
      <c r="DGB63" s="44">
        <f t="shared" si="163"/>
        <v>0</v>
      </c>
      <c r="DGC63" s="44">
        <f t="shared" si="163"/>
        <v>0</v>
      </c>
      <c r="DGD63" s="44">
        <f t="shared" si="163"/>
        <v>0</v>
      </c>
      <c r="DGE63" s="44">
        <f t="shared" si="163"/>
        <v>0</v>
      </c>
      <c r="DGF63" s="44">
        <f t="shared" si="163"/>
        <v>0</v>
      </c>
      <c r="DGG63" s="44">
        <f t="shared" si="163"/>
        <v>0</v>
      </c>
      <c r="DGH63" s="44">
        <f t="shared" si="163"/>
        <v>0</v>
      </c>
      <c r="DGI63" s="44">
        <f t="shared" si="163"/>
        <v>0</v>
      </c>
      <c r="DGJ63" s="44">
        <f t="shared" si="163"/>
        <v>0</v>
      </c>
      <c r="DGK63" s="44">
        <f t="shared" si="163"/>
        <v>0</v>
      </c>
      <c r="DGL63" s="44">
        <f t="shared" si="163"/>
        <v>0</v>
      </c>
      <c r="DGM63" s="44">
        <f t="shared" si="163"/>
        <v>0</v>
      </c>
      <c r="DGN63" s="44">
        <f t="shared" si="163"/>
        <v>0</v>
      </c>
      <c r="DGO63" s="44">
        <f t="shared" si="163"/>
        <v>0</v>
      </c>
      <c r="DGP63" s="44">
        <f t="shared" ref="DGP63:DJA63" si="164">SUM(DGP56:DGP57)</f>
        <v>0</v>
      </c>
      <c r="DGQ63" s="44">
        <f t="shared" si="164"/>
        <v>0</v>
      </c>
      <c r="DGR63" s="44">
        <f t="shared" si="164"/>
        <v>0</v>
      </c>
      <c r="DGS63" s="44">
        <f t="shared" si="164"/>
        <v>0</v>
      </c>
      <c r="DGT63" s="44">
        <f t="shared" si="164"/>
        <v>0</v>
      </c>
      <c r="DGU63" s="44">
        <f t="shared" si="164"/>
        <v>0</v>
      </c>
      <c r="DGV63" s="44">
        <f t="shared" si="164"/>
        <v>0</v>
      </c>
      <c r="DGW63" s="44">
        <f t="shared" si="164"/>
        <v>0</v>
      </c>
      <c r="DGX63" s="44">
        <f t="shared" si="164"/>
        <v>0</v>
      </c>
      <c r="DGY63" s="44">
        <f t="shared" si="164"/>
        <v>0</v>
      </c>
      <c r="DGZ63" s="44">
        <f t="shared" si="164"/>
        <v>0</v>
      </c>
      <c r="DHA63" s="44">
        <f t="shared" si="164"/>
        <v>0</v>
      </c>
      <c r="DHB63" s="44">
        <f t="shared" si="164"/>
        <v>0</v>
      </c>
      <c r="DHC63" s="44">
        <f t="shared" si="164"/>
        <v>0</v>
      </c>
      <c r="DHD63" s="44">
        <f t="shared" si="164"/>
        <v>0</v>
      </c>
      <c r="DHE63" s="44">
        <f t="shared" si="164"/>
        <v>0</v>
      </c>
      <c r="DHF63" s="44">
        <f t="shared" si="164"/>
        <v>0</v>
      </c>
      <c r="DHG63" s="44">
        <f t="shared" si="164"/>
        <v>0</v>
      </c>
      <c r="DHH63" s="44">
        <f t="shared" si="164"/>
        <v>0</v>
      </c>
      <c r="DHI63" s="44">
        <f t="shared" si="164"/>
        <v>0</v>
      </c>
      <c r="DHJ63" s="44">
        <f t="shared" si="164"/>
        <v>0</v>
      </c>
      <c r="DHK63" s="44">
        <f t="shared" si="164"/>
        <v>0</v>
      </c>
      <c r="DHL63" s="44">
        <f t="shared" si="164"/>
        <v>0</v>
      </c>
      <c r="DHM63" s="44">
        <f t="shared" si="164"/>
        <v>0</v>
      </c>
      <c r="DHN63" s="44">
        <f t="shared" si="164"/>
        <v>0</v>
      </c>
      <c r="DHO63" s="44">
        <f t="shared" si="164"/>
        <v>0</v>
      </c>
      <c r="DHP63" s="44">
        <f t="shared" si="164"/>
        <v>0</v>
      </c>
      <c r="DHQ63" s="44">
        <f t="shared" si="164"/>
        <v>0</v>
      </c>
      <c r="DHR63" s="44">
        <f t="shared" si="164"/>
        <v>0</v>
      </c>
      <c r="DHS63" s="44">
        <f t="shared" si="164"/>
        <v>0</v>
      </c>
      <c r="DHT63" s="44">
        <f t="shared" si="164"/>
        <v>0</v>
      </c>
      <c r="DHU63" s="44">
        <f t="shared" si="164"/>
        <v>0</v>
      </c>
      <c r="DHV63" s="44">
        <f t="shared" si="164"/>
        <v>0</v>
      </c>
      <c r="DHW63" s="44">
        <f t="shared" si="164"/>
        <v>0</v>
      </c>
      <c r="DHX63" s="44">
        <f t="shared" si="164"/>
        <v>0</v>
      </c>
      <c r="DHY63" s="44">
        <f t="shared" si="164"/>
        <v>0</v>
      </c>
      <c r="DHZ63" s="44">
        <f t="shared" si="164"/>
        <v>0</v>
      </c>
      <c r="DIA63" s="44">
        <f t="shared" si="164"/>
        <v>0</v>
      </c>
      <c r="DIB63" s="44">
        <f t="shared" si="164"/>
        <v>0</v>
      </c>
      <c r="DIC63" s="44">
        <f t="shared" si="164"/>
        <v>0</v>
      </c>
      <c r="DID63" s="44">
        <f t="shared" si="164"/>
        <v>0</v>
      </c>
      <c r="DIE63" s="44">
        <f t="shared" si="164"/>
        <v>0</v>
      </c>
      <c r="DIF63" s="44">
        <f t="shared" si="164"/>
        <v>0</v>
      </c>
      <c r="DIG63" s="44">
        <f t="shared" si="164"/>
        <v>0</v>
      </c>
      <c r="DIH63" s="44">
        <f t="shared" si="164"/>
        <v>0</v>
      </c>
      <c r="DII63" s="44">
        <f t="shared" si="164"/>
        <v>0</v>
      </c>
      <c r="DIJ63" s="44">
        <f t="shared" si="164"/>
        <v>0</v>
      </c>
      <c r="DIK63" s="44">
        <f t="shared" si="164"/>
        <v>0</v>
      </c>
      <c r="DIL63" s="44">
        <f t="shared" si="164"/>
        <v>0</v>
      </c>
      <c r="DIM63" s="44">
        <f t="shared" si="164"/>
        <v>0</v>
      </c>
      <c r="DIN63" s="44">
        <f t="shared" si="164"/>
        <v>0</v>
      </c>
      <c r="DIO63" s="44">
        <f t="shared" si="164"/>
        <v>0</v>
      </c>
      <c r="DIP63" s="44">
        <f t="shared" si="164"/>
        <v>0</v>
      </c>
      <c r="DIQ63" s="44">
        <f t="shared" si="164"/>
        <v>0</v>
      </c>
      <c r="DIR63" s="44">
        <f t="shared" si="164"/>
        <v>0</v>
      </c>
      <c r="DIS63" s="44">
        <f t="shared" si="164"/>
        <v>0</v>
      </c>
      <c r="DIT63" s="44">
        <f t="shared" si="164"/>
        <v>0</v>
      </c>
      <c r="DIU63" s="44">
        <f t="shared" si="164"/>
        <v>0</v>
      </c>
      <c r="DIV63" s="44">
        <f t="shared" si="164"/>
        <v>0</v>
      </c>
      <c r="DIW63" s="44">
        <f t="shared" si="164"/>
        <v>0</v>
      </c>
      <c r="DIX63" s="44">
        <f t="shared" si="164"/>
        <v>0</v>
      </c>
      <c r="DIY63" s="44">
        <f t="shared" si="164"/>
        <v>0</v>
      </c>
      <c r="DIZ63" s="44">
        <f t="shared" si="164"/>
        <v>0</v>
      </c>
      <c r="DJA63" s="44">
        <f t="shared" si="164"/>
        <v>0</v>
      </c>
      <c r="DJB63" s="44">
        <f t="shared" ref="DJB63:DLM63" si="165">SUM(DJB56:DJB57)</f>
        <v>0</v>
      </c>
      <c r="DJC63" s="44">
        <f t="shared" si="165"/>
        <v>0</v>
      </c>
      <c r="DJD63" s="44">
        <f t="shared" si="165"/>
        <v>0</v>
      </c>
      <c r="DJE63" s="44">
        <f t="shared" si="165"/>
        <v>0</v>
      </c>
      <c r="DJF63" s="44">
        <f t="shared" si="165"/>
        <v>0</v>
      </c>
      <c r="DJG63" s="44">
        <f t="shared" si="165"/>
        <v>0</v>
      </c>
      <c r="DJH63" s="44">
        <f t="shared" si="165"/>
        <v>0</v>
      </c>
      <c r="DJI63" s="44">
        <f t="shared" si="165"/>
        <v>0</v>
      </c>
      <c r="DJJ63" s="44">
        <f t="shared" si="165"/>
        <v>0</v>
      </c>
      <c r="DJK63" s="44">
        <f t="shared" si="165"/>
        <v>0</v>
      </c>
      <c r="DJL63" s="44">
        <f t="shared" si="165"/>
        <v>0</v>
      </c>
      <c r="DJM63" s="44">
        <f t="shared" si="165"/>
        <v>0</v>
      </c>
      <c r="DJN63" s="44">
        <f t="shared" si="165"/>
        <v>0</v>
      </c>
      <c r="DJO63" s="44">
        <f t="shared" si="165"/>
        <v>0</v>
      </c>
      <c r="DJP63" s="44">
        <f t="shared" si="165"/>
        <v>0</v>
      </c>
      <c r="DJQ63" s="44">
        <f t="shared" si="165"/>
        <v>0</v>
      </c>
      <c r="DJR63" s="44">
        <f t="shared" si="165"/>
        <v>0</v>
      </c>
      <c r="DJS63" s="44">
        <f t="shared" si="165"/>
        <v>0</v>
      </c>
      <c r="DJT63" s="44">
        <f t="shared" si="165"/>
        <v>0</v>
      </c>
      <c r="DJU63" s="44">
        <f t="shared" si="165"/>
        <v>0</v>
      </c>
      <c r="DJV63" s="44">
        <f t="shared" si="165"/>
        <v>0</v>
      </c>
      <c r="DJW63" s="44">
        <f t="shared" si="165"/>
        <v>0</v>
      </c>
      <c r="DJX63" s="44">
        <f t="shared" si="165"/>
        <v>0</v>
      </c>
      <c r="DJY63" s="44">
        <f t="shared" si="165"/>
        <v>0</v>
      </c>
      <c r="DJZ63" s="44">
        <f t="shared" si="165"/>
        <v>0</v>
      </c>
      <c r="DKA63" s="44">
        <f t="shared" si="165"/>
        <v>0</v>
      </c>
      <c r="DKB63" s="44">
        <f t="shared" si="165"/>
        <v>0</v>
      </c>
      <c r="DKC63" s="44">
        <f t="shared" si="165"/>
        <v>0</v>
      </c>
      <c r="DKD63" s="44">
        <f t="shared" si="165"/>
        <v>0</v>
      </c>
      <c r="DKE63" s="44">
        <f t="shared" si="165"/>
        <v>0</v>
      </c>
      <c r="DKF63" s="44">
        <f t="shared" si="165"/>
        <v>0</v>
      </c>
      <c r="DKG63" s="44">
        <f t="shared" si="165"/>
        <v>0</v>
      </c>
      <c r="DKH63" s="44">
        <f t="shared" si="165"/>
        <v>0</v>
      </c>
      <c r="DKI63" s="44">
        <f t="shared" si="165"/>
        <v>0</v>
      </c>
      <c r="DKJ63" s="44">
        <f t="shared" si="165"/>
        <v>0</v>
      </c>
      <c r="DKK63" s="44">
        <f t="shared" si="165"/>
        <v>0</v>
      </c>
      <c r="DKL63" s="44">
        <f t="shared" si="165"/>
        <v>0</v>
      </c>
      <c r="DKM63" s="44">
        <f t="shared" si="165"/>
        <v>0</v>
      </c>
      <c r="DKN63" s="44">
        <f t="shared" si="165"/>
        <v>0</v>
      </c>
      <c r="DKO63" s="44">
        <f t="shared" si="165"/>
        <v>0</v>
      </c>
      <c r="DKP63" s="44">
        <f t="shared" si="165"/>
        <v>0</v>
      </c>
      <c r="DKQ63" s="44">
        <f t="shared" si="165"/>
        <v>0</v>
      </c>
      <c r="DKR63" s="44">
        <f t="shared" si="165"/>
        <v>0</v>
      </c>
      <c r="DKS63" s="44">
        <f t="shared" si="165"/>
        <v>0</v>
      </c>
      <c r="DKT63" s="44">
        <f t="shared" si="165"/>
        <v>0</v>
      </c>
      <c r="DKU63" s="44">
        <f t="shared" si="165"/>
        <v>0</v>
      </c>
      <c r="DKV63" s="44">
        <f t="shared" si="165"/>
        <v>0</v>
      </c>
      <c r="DKW63" s="44">
        <f t="shared" si="165"/>
        <v>0</v>
      </c>
      <c r="DKX63" s="44">
        <f t="shared" si="165"/>
        <v>0</v>
      </c>
      <c r="DKY63" s="44">
        <f t="shared" si="165"/>
        <v>0</v>
      </c>
      <c r="DKZ63" s="44">
        <f t="shared" si="165"/>
        <v>0</v>
      </c>
      <c r="DLA63" s="44">
        <f t="shared" si="165"/>
        <v>0</v>
      </c>
      <c r="DLB63" s="44">
        <f t="shared" si="165"/>
        <v>0</v>
      </c>
      <c r="DLC63" s="44">
        <f t="shared" si="165"/>
        <v>0</v>
      </c>
      <c r="DLD63" s="44">
        <f t="shared" si="165"/>
        <v>0</v>
      </c>
      <c r="DLE63" s="44">
        <f t="shared" si="165"/>
        <v>0</v>
      </c>
      <c r="DLF63" s="44">
        <f t="shared" si="165"/>
        <v>0</v>
      </c>
      <c r="DLG63" s="44">
        <f t="shared" si="165"/>
        <v>0</v>
      </c>
      <c r="DLH63" s="44">
        <f t="shared" si="165"/>
        <v>0</v>
      </c>
      <c r="DLI63" s="44">
        <f t="shared" si="165"/>
        <v>0</v>
      </c>
      <c r="DLJ63" s="44">
        <f t="shared" si="165"/>
        <v>0</v>
      </c>
      <c r="DLK63" s="44">
        <f t="shared" si="165"/>
        <v>0</v>
      </c>
      <c r="DLL63" s="44">
        <f t="shared" si="165"/>
        <v>0</v>
      </c>
      <c r="DLM63" s="44">
        <f t="shared" si="165"/>
        <v>0</v>
      </c>
      <c r="DLN63" s="44">
        <f t="shared" ref="DLN63:DNY63" si="166">SUM(DLN56:DLN57)</f>
        <v>0</v>
      </c>
      <c r="DLO63" s="44">
        <f t="shared" si="166"/>
        <v>0</v>
      </c>
      <c r="DLP63" s="44">
        <f t="shared" si="166"/>
        <v>0</v>
      </c>
      <c r="DLQ63" s="44">
        <f t="shared" si="166"/>
        <v>0</v>
      </c>
      <c r="DLR63" s="44">
        <f t="shared" si="166"/>
        <v>0</v>
      </c>
      <c r="DLS63" s="44">
        <f t="shared" si="166"/>
        <v>0</v>
      </c>
      <c r="DLT63" s="44">
        <f t="shared" si="166"/>
        <v>0</v>
      </c>
      <c r="DLU63" s="44">
        <f t="shared" si="166"/>
        <v>0</v>
      </c>
      <c r="DLV63" s="44">
        <f t="shared" si="166"/>
        <v>0</v>
      </c>
      <c r="DLW63" s="44">
        <f t="shared" si="166"/>
        <v>0</v>
      </c>
      <c r="DLX63" s="44">
        <f t="shared" si="166"/>
        <v>0</v>
      </c>
      <c r="DLY63" s="44">
        <f t="shared" si="166"/>
        <v>0</v>
      </c>
      <c r="DLZ63" s="44">
        <f t="shared" si="166"/>
        <v>0</v>
      </c>
      <c r="DMA63" s="44">
        <f t="shared" si="166"/>
        <v>0</v>
      </c>
      <c r="DMB63" s="44">
        <f t="shared" si="166"/>
        <v>0</v>
      </c>
      <c r="DMC63" s="44">
        <f t="shared" si="166"/>
        <v>0</v>
      </c>
      <c r="DMD63" s="44">
        <f t="shared" si="166"/>
        <v>0</v>
      </c>
      <c r="DME63" s="44">
        <f t="shared" si="166"/>
        <v>0</v>
      </c>
      <c r="DMF63" s="44">
        <f t="shared" si="166"/>
        <v>0</v>
      </c>
      <c r="DMG63" s="44">
        <f t="shared" si="166"/>
        <v>0</v>
      </c>
      <c r="DMH63" s="44">
        <f t="shared" si="166"/>
        <v>0</v>
      </c>
      <c r="DMI63" s="44">
        <f t="shared" si="166"/>
        <v>0</v>
      </c>
      <c r="DMJ63" s="44">
        <f t="shared" si="166"/>
        <v>0</v>
      </c>
      <c r="DMK63" s="44">
        <f t="shared" si="166"/>
        <v>0</v>
      </c>
      <c r="DML63" s="44">
        <f t="shared" si="166"/>
        <v>0</v>
      </c>
      <c r="DMM63" s="44">
        <f t="shared" si="166"/>
        <v>0</v>
      </c>
      <c r="DMN63" s="44">
        <f t="shared" si="166"/>
        <v>0</v>
      </c>
      <c r="DMO63" s="44">
        <f t="shared" si="166"/>
        <v>0</v>
      </c>
      <c r="DMP63" s="44">
        <f t="shared" si="166"/>
        <v>0</v>
      </c>
      <c r="DMQ63" s="44">
        <f t="shared" si="166"/>
        <v>0</v>
      </c>
      <c r="DMR63" s="44">
        <f t="shared" si="166"/>
        <v>0</v>
      </c>
      <c r="DMS63" s="44">
        <f t="shared" si="166"/>
        <v>0</v>
      </c>
      <c r="DMT63" s="44">
        <f t="shared" si="166"/>
        <v>0</v>
      </c>
      <c r="DMU63" s="44">
        <f t="shared" si="166"/>
        <v>0</v>
      </c>
      <c r="DMV63" s="44">
        <f t="shared" si="166"/>
        <v>0</v>
      </c>
      <c r="DMW63" s="44">
        <f t="shared" si="166"/>
        <v>0</v>
      </c>
      <c r="DMX63" s="44">
        <f t="shared" si="166"/>
        <v>0</v>
      </c>
      <c r="DMY63" s="44">
        <f t="shared" si="166"/>
        <v>0</v>
      </c>
      <c r="DMZ63" s="44">
        <f t="shared" si="166"/>
        <v>0</v>
      </c>
      <c r="DNA63" s="44">
        <f t="shared" si="166"/>
        <v>0</v>
      </c>
      <c r="DNB63" s="44">
        <f t="shared" si="166"/>
        <v>0</v>
      </c>
      <c r="DNC63" s="44">
        <f t="shared" si="166"/>
        <v>0</v>
      </c>
      <c r="DND63" s="44">
        <f t="shared" si="166"/>
        <v>0</v>
      </c>
      <c r="DNE63" s="44">
        <f t="shared" si="166"/>
        <v>0</v>
      </c>
      <c r="DNF63" s="44">
        <f t="shared" si="166"/>
        <v>0</v>
      </c>
      <c r="DNG63" s="44">
        <f t="shared" si="166"/>
        <v>0</v>
      </c>
      <c r="DNH63" s="44">
        <f t="shared" si="166"/>
        <v>0</v>
      </c>
      <c r="DNI63" s="44">
        <f t="shared" si="166"/>
        <v>0</v>
      </c>
      <c r="DNJ63" s="44">
        <f t="shared" si="166"/>
        <v>0</v>
      </c>
      <c r="DNK63" s="44">
        <f t="shared" si="166"/>
        <v>0</v>
      </c>
      <c r="DNL63" s="44">
        <f t="shared" si="166"/>
        <v>0</v>
      </c>
      <c r="DNM63" s="44">
        <f t="shared" si="166"/>
        <v>0</v>
      </c>
      <c r="DNN63" s="44">
        <f t="shared" si="166"/>
        <v>0</v>
      </c>
      <c r="DNO63" s="44">
        <f t="shared" si="166"/>
        <v>0</v>
      </c>
      <c r="DNP63" s="44">
        <f t="shared" si="166"/>
        <v>0</v>
      </c>
      <c r="DNQ63" s="44">
        <f t="shared" si="166"/>
        <v>0</v>
      </c>
      <c r="DNR63" s="44">
        <f t="shared" si="166"/>
        <v>0</v>
      </c>
      <c r="DNS63" s="44">
        <f t="shared" si="166"/>
        <v>0</v>
      </c>
      <c r="DNT63" s="44">
        <f t="shared" si="166"/>
        <v>0</v>
      </c>
      <c r="DNU63" s="44">
        <f t="shared" si="166"/>
        <v>0</v>
      </c>
      <c r="DNV63" s="44">
        <f t="shared" si="166"/>
        <v>0</v>
      </c>
      <c r="DNW63" s="44">
        <f t="shared" si="166"/>
        <v>0</v>
      </c>
      <c r="DNX63" s="44">
        <f t="shared" si="166"/>
        <v>0</v>
      </c>
      <c r="DNY63" s="44">
        <f t="shared" si="166"/>
        <v>0</v>
      </c>
      <c r="DNZ63" s="44">
        <f t="shared" ref="DNZ63:DQK63" si="167">SUM(DNZ56:DNZ57)</f>
        <v>0</v>
      </c>
      <c r="DOA63" s="44">
        <f t="shared" si="167"/>
        <v>0</v>
      </c>
      <c r="DOB63" s="44">
        <f t="shared" si="167"/>
        <v>0</v>
      </c>
      <c r="DOC63" s="44">
        <f t="shared" si="167"/>
        <v>0</v>
      </c>
      <c r="DOD63" s="44">
        <f t="shared" si="167"/>
        <v>0</v>
      </c>
      <c r="DOE63" s="44">
        <f t="shared" si="167"/>
        <v>0</v>
      </c>
      <c r="DOF63" s="44">
        <f t="shared" si="167"/>
        <v>0</v>
      </c>
      <c r="DOG63" s="44">
        <f t="shared" si="167"/>
        <v>0</v>
      </c>
      <c r="DOH63" s="44">
        <f t="shared" si="167"/>
        <v>0</v>
      </c>
      <c r="DOI63" s="44">
        <f t="shared" si="167"/>
        <v>0</v>
      </c>
      <c r="DOJ63" s="44">
        <f t="shared" si="167"/>
        <v>0</v>
      </c>
      <c r="DOK63" s="44">
        <f t="shared" si="167"/>
        <v>0</v>
      </c>
      <c r="DOL63" s="44">
        <f t="shared" si="167"/>
        <v>0</v>
      </c>
      <c r="DOM63" s="44">
        <f t="shared" si="167"/>
        <v>0</v>
      </c>
      <c r="DON63" s="44">
        <f t="shared" si="167"/>
        <v>0</v>
      </c>
      <c r="DOO63" s="44">
        <f t="shared" si="167"/>
        <v>0</v>
      </c>
      <c r="DOP63" s="44">
        <f t="shared" si="167"/>
        <v>0</v>
      </c>
      <c r="DOQ63" s="44">
        <f t="shared" si="167"/>
        <v>0</v>
      </c>
      <c r="DOR63" s="44">
        <f t="shared" si="167"/>
        <v>0</v>
      </c>
      <c r="DOS63" s="44">
        <f t="shared" si="167"/>
        <v>0</v>
      </c>
      <c r="DOT63" s="44">
        <f t="shared" si="167"/>
        <v>0</v>
      </c>
      <c r="DOU63" s="44">
        <f t="shared" si="167"/>
        <v>0</v>
      </c>
      <c r="DOV63" s="44">
        <f t="shared" si="167"/>
        <v>0</v>
      </c>
      <c r="DOW63" s="44">
        <f t="shared" si="167"/>
        <v>0</v>
      </c>
      <c r="DOX63" s="44">
        <f t="shared" si="167"/>
        <v>0</v>
      </c>
      <c r="DOY63" s="44">
        <f t="shared" si="167"/>
        <v>0</v>
      </c>
      <c r="DOZ63" s="44">
        <f t="shared" si="167"/>
        <v>0</v>
      </c>
      <c r="DPA63" s="44">
        <f t="shared" si="167"/>
        <v>0</v>
      </c>
      <c r="DPB63" s="44">
        <f t="shared" si="167"/>
        <v>0</v>
      </c>
      <c r="DPC63" s="44">
        <f t="shared" si="167"/>
        <v>0</v>
      </c>
      <c r="DPD63" s="44">
        <f t="shared" si="167"/>
        <v>0</v>
      </c>
      <c r="DPE63" s="44">
        <f t="shared" si="167"/>
        <v>0</v>
      </c>
      <c r="DPF63" s="44">
        <f t="shared" si="167"/>
        <v>0</v>
      </c>
      <c r="DPG63" s="44">
        <f t="shared" si="167"/>
        <v>0</v>
      </c>
      <c r="DPH63" s="44">
        <f t="shared" si="167"/>
        <v>0</v>
      </c>
      <c r="DPI63" s="44">
        <f t="shared" si="167"/>
        <v>0</v>
      </c>
      <c r="DPJ63" s="44">
        <f t="shared" si="167"/>
        <v>0</v>
      </c>
      <c r="DPK63" s="44">
        <f t="shared" si="167"/>
        <v>0</v>
      </c>
      <c r="DPL63" s="44">
        <f t="shared" si="167"/>
        <v>0</v>
      </c>
      <c r="DPM63" s="44">
        <f t="shared" si="167"/>
        <v>0</v>
      </c>
      <c r="DPN63" s="44">
        <f t="shared" si="167"/>
        <v>0</v>
      </c>
      <c r="DPO63" s="44">
        <f t="shared" si="167"/>
        <v>0</v>
      </c>
      <c r="DPP63" s="44">
        <f t="shared" si="167"/>
        <v>0</v>
      </c>
      <c r="DPQ63" s="44">
        <f t="shared" si="167"/>
        <v>0</v>
      </c>
      <c r="DPR63" s="44">
        <f t="shared" si="167"/>
        <v>0</v>
      </c>
      <c r="DPS63" s="44">
        <f t="shared" si="167"/>
        <v>0</v>
      </c>
      <c r="DPT63" s="44">
        <f t="shared" si="167"/>
        <v>0</v>
      </c>
      <c r="DPU63" s="44">
        <f t="shared" si="167"/>
        <v>0</v>
      </c>
      <c r="DPV63" s="44">
        <f t="shared" si="167"/>
        <v>0</v>
      </c>
      <c r="DPW63" s="44">
        <f t="shared" si="167"/>
        <v>0</v>
      </c>
      <c r="DPX63" s="44">
        <f t="shared" si="167"/>
        <v>0</v>
      </c>
      <c r="DPY63" s="44">
        <f t="shared" si="167"/>
        <v>0</v>
      </c>
      <c r="DPZ63" s="44">
        <f t="shared" si="167"/>
        <v>0</v>
      </c>
      <c r="DQA63" s="44">
        <f t="shared" si="167"/>
        <v>0</v>
      </c>
      <c r="DQB63" s="44">
        <f t="shared" si="167"/>
        <v>0</v>
      </c>
      <c r="DQC63" s="44">
        <f t="shared" si="167"/>
        <v>0</v>
      </c>
      <c r="DQD63" s="44">
        <f t="shared" si="167"/>
        <v>0</v>
      </c>
      <c r="DQE63" s="44">
        <f t="shared" si="167"/>
        <v>0</v>
      </c>
      <c r="DQF63" s="44">
        <f t="shared" si="167"/>
        <v>0</v>
      </c>
      <c r="DQG63" s="44">
        <f t="shared" si="167"/>
        <v>0</v>
      </c>
      <c r="DQH63" s="44">
        <f t="shared" si="167"/>
        <v>0</v>
      </c>
      <c r="DQI63" s="44">
        <f t="shared" si="167"/>
        <v>0</v>
      </c>
      <c r="DQJ63" s="44">
        <f t="shared" si="167"/>
        <v>0</v>
      </c>
      <c r="DQK63" s="44">
        <f t="shared" si="167"/>
        <v>0</v>
      </c>
      <c r="DQL63" s="44">
        <f t="shared" ref="DQL63:DSW63" si="168">SUM(DQL56:DQL57)</f>
        <v>0</v>
      </c>
      <c r="DQM63" s="44">
        <f t="shared" si="168"/>
        <v>0</v>
      </c>
      <c r="DQN63" s="44">
        <f t="shared" si="168"/>
        <v>0</v>
      </c>
      <c r="DQO63" s="44">
        <f t="shared" si="168"/>
        <v>0</v>
      </c>
      <c r="DQP63" s="44">
        <f t="shared" si="168"/>
        <v>0</v>
      </c>
      <c r="DQQ63" s="44">
        <f t="shared" si="168"/>
        <v>0</v>
      </c>
      <c r="DQR63" s="44">
        <f t="shared" si="168"/>
        <v>0</v>
      </c>
      <c r="DQS63" s="44">
        <f t="shared" si="168"/>
        <v>0</v>
      </c>
      <c r="DQT63" s="44">
        <f t="shared" si="168"/>
        <v>0</v>
      </c>
      <c r="DQU63" s="44">
        <f t="shared" si="168"/>
        <v>0</v>
      </c>
      <c r="DQV63" s="44">
        <f t="shared" si="168"/>
        <v>0</v>
      </c>
      <c r="DQW63" s="44">
        <f t="shared" si="168"/>
        <v>0</v>
      </c>
      <c r="DQX63" s="44">
        <f t="shared" si="168"/>
        <v>0</v>
      </c>
      <c r="DQY63" s="44">
        <f t="shared" si="168"/>
        <v>0</v>
      </c>
      <c r="DQZ63" s="44">
        <f t="shared" si="168"/>
        <v>0</v>
      </c>
      <c r="DRA63" s="44">
        <f t="shared" si="168"/>
        <v>0</v>
      </c>
      <c r="DRB63" s="44">
        <f t="shared" si="168"/>
        <v>0</v>
      </c>
      <c r="DRC63" s="44">
        <f t="shared" si="168"/>
        <v>0</v>
      </c>
      <c r="DRD63" s="44">
        <f t="shared" si="168"/>
        <v>0</v>
      </c>
      <c r="DRE63" s="44">
        <f t="shared" si="168"/>
        <v>0</v>
      </c>
      <c r="DRF63" s="44">
        <f t="shared" si="168"/>
        <v>0</v>
      </c>
      <c r="DRG63" s="44">
        <f t="shared" si="168"/>
        <v>0</v>
      </c>
      <c r="DRH63" s="44">
        <f t="shared" si="168"/>
        <v>0</v>
      </c>
      <c r="DRI63" s="44">
        <f t="shared" si="168"/>
        <v>0</v>
      </c>
      <c r="DRJ63" s="44">
        <f t="shared" si="168"/>
        <v>0</v>
      </c>
      <c r="DRK63" s="44">
        <f t="shared" si="168"/>
        <v>0</v>
      </c>
      <c r="DRL63" s="44">
        <f t="shared" si="168"/>
        <v>0</v>
      </c>
      <c r="DRM63" s="44">
        <f t="shared" si="168"/>
        <v>0</v>
      </c>
      <c r="DRN63" s="44">
        <f t="shared" si="168"/>
        <v>0</v>
      </c>
      <c r="DRO63" s="44">
        <f t="shared" si="168"/>
        <v>0</v>
      </c>
      <c r="DRP63" s="44">
        <f t="shared" si="168"/>
        <v>0</v>
      </c>
      <c r="DRQ63" s="44">
        <f t="shared" si="168"/>
        <v>0</v>
      </c>
      <c r="DRR63" s="44">
        <f t="shared" si="168"/>
        <v>0</v>
      </c>
      <c r="DRS63" s="44">
        <f t="shared" si="168"/>
        <v>0</v>
      </c>
      <c r="DRT63" s="44">
        <f t="shared" si="168"/>
        <v>0</v>
      </c>
      <c r="DRU63" s="44">
        <f t="shared" si="168"/>
        <v>0</v>
      </c>
      <c r="DRV63" s="44">
        <f t="shared" si="168"/>
        <v>0</v>
      </c>
      <c r="DRW63" s="44">
        <f t="shared" si="168"/>
        <v>0</v>
      </c>
      <c r="DRX63" s="44">
        <f t="shared" si="168"/>
        <v>0</v>
      </c>
      <c r="DRY63" s="44">
        <f t="shared" si="168"/>
        <v>0</v>
      </c>
      <c r="DRZ63" s="44">
        <f t="shared" si="168"/>
        <v>0</v>
      </c>
      <c r="DSA63" s="44">
        <f t="shared" si="168"/>
        <v>0</v>
      </c>
      <c r="DSB63" s="44">
        <f t="shared" si="168"/>
        <v>0</v>
      </c>
      <c r="DSC63" s="44">
        <f t="shared" si="168"/>
        <v>0</v>
      </c>
      <c r="DSD63" s="44">
        <f t="shared" si="168"/>
        <v>0</v>
      </c>
      <c r="DSE63" s="44">
        <f t="shared" si="168"/>
        <v>0</v>
      </c>
      <c r="DSF63" s="44">
        <f t="shared" si="168"/>
        <v>0</v>
      </c>
      <c r="DSG63" s="44">
        <f t="shared" si="168"/>
        <v>0</v>
      </c>
      <c r="DSH63" s="44">
        <f t="shared" si="168"/>
        <v>0</v>
      </c>
      <c r="DSI63" s="44">
        <f t="shared" si="168"/>
        <v>0</v>
      </c>
      <c r="DSJ63" s="44">
        <f t="shared" si="168"/>
        <v>0</v>
      </c>
      <c r="DSK63" s="44">
        <f t="shared" si="168"/>
        <v>0</v>
      </c>
      <c r="DSL63" s="44">
        <f t="shared" si="168"/>
        <v>0</v>
      </c>
      <c r="DSM63" s="44">
        <f t="shared" si="168"/>
        <v>0</v>
      </c>
      <c r="DSN63" s="44">
        <f t="shared" si="168"/>
        <v>0</v>
      </c>
      <c r="DSO63" s="44">
        <f t="shared" si="168"/>
        <v>0</v>
      </c>
      <c r="DSP63" s="44">
        <f t="shared" si="168"/>
        <v>0</v>
      </c>
      <c r="DSQ63" s="44">
        <f t="shared" si="168"/>
        <v>0</v>
      </c>
      <c r="DSR63" s="44">
        <f t="shared" si="168"/>
        <v>0</v>
      </c>
      <c r="DSS63" s="44">
        <f t="shared" si="168"/>
        <v>0</v>
      </c>
      <c r="DST63" s="44">
        <f t="shared" si="168"/>
        <v>0</v>
      </c>
      <c r="DSU63" s="44">
        <f t="shared" si="168"/>
        <v>0</v>
      </c>
      <c r="DSV63" s="44">
        <f t="shared" si="168"/>
        <v>0</v>
      </c>
      <c r="DSW63" s="44">
        <f t="shared" si="168"/>
        <v>0</v>
      </c>
      <c r="DSX63" s="44">
        <f t="shared" ref="DSX63:DVI63" si="169">SUM(DSX56:DSX57)</f>
        <v>0</v>
      </c>
      <c r="DSY63" s="44">
        <f t="shared" si="169"/>
        <v>0</v>
      </c>
      <c r="DSZ63" s="44">
        <f t="shared" si="169"/>
        <v>0</v>
      </c>
      <c r="DTA63" s="44">
        <f t="shared" si="169"/>
        <v>0</v>
      </c>
      <c r="DTB63" s="44">
        <f t="shared" si="169"/>
        <v>0</v>
      </c>
      <c r="DTC63" s="44">
        <f t="shared" si="169"/>
        <v>0</v>
      </c>
      <c r="DTD63" s="44">
        <f t="shared" si="169"/>
        <v>0</v>
      </c>
      <c r="DTE63" s="44">
        <f t="shared" si="169"/>
        <v>0</v>
      </c>
      <c r="DTF63" s="44">
        <f t="shared" si="169"/>
        <v>0</v>
      </c>
      <c r="DTG63" s="44">
        <f t="shared" si="169"/>
        <v>0</v>
      </c>
      <c r="DTH63" s="44">
        <f t="shared" si="169"/>
        <v>0</v>
      </c>
      <c r="DTI63" s="44">
        <f t="shared" si="169"/>
        <v>0</v>
      </c>
      <c r="DTJ63" s="44">
        <f t="shared" si="169"/>
        <v>0</v>
      </c>
      <c r="DTK63" s="44">
        <f t="shared" si="169"/>
        <v>0</v>
      </c>
      <c r="DTL63" s="44">
        <f t="shared" si="169"/>
        <v>0</v>
      </c>
      <c r="DTM63" s="44">
        <f t="shared" si="169"/>
        <v>0</v>
      </c>
      <c r="DTN63" s="44">
        <f t="shared" si="169"/>
        <v>0</v>
      </c>
      <c r="DTO63" s="44">
        <f t="shared" si="169"/>
        <v>0</v>
      </c>
      <c r="DTP63" s="44">
        <f t="shared" si="169"/>
        <v>0</v>
      </c>
      <c r="DTQ63" s="44">
        <f t="shared" si="169"/>
        <v>0</v>
      </c>
      <c r="DTR63" s="44">
        <f t="shared" si="169"/>
        <v>0</v>
      </c>
      <c r="DTS63" s="44">
        <f t="shared" si="169"/>
        <v>0</v>
      </c>
      <c r="DTT63" s="44">
        <f t="shared" si="169"/>
        <v>0</v>
      </c>
      <c r="DTU63" s="44">
        <f t="shared" si="169"/>
        <v>0</v>
      </c>
      <c r="DTV63" s="44">
        <f t="shared" si="169"/>
        <v>0</v>
      </c>
      <c r="DTW63" s="44">
        <f t="shared" si="169"/>
        <v>0</v>
      </c>
      <c r="DTX63" s="44">
        <f t="shared" si="169"/>
        <v>0</v>
      </c>
      <c r="DTY63" s="44">
        <f t="shared" si="169"/>
        <v>0</v>
      </c>
      <c r="DTZ63" s="44">
        <f t="shared" si="169"/>
        <v>0</v>
      </c>
      <c r="DUA63" s="44">
        <f t="shared" si="169"/>
        <v>0</v>
      </c>
      <c r="DUB63" s="44">
        <f t="shared" si="169"/>
        <v>0</v>
      </c>
      <c r="DUC63" s="44">
        <f t="shared" si="169"/>
        <v>0</v>
      </c>
      <c r="DUD63" s="44">
        <f t="shared" si="169"/>
        <v>0</v>
      </c>
      <c r="DUE63" s="44">
        <f t="shared" si="169"/>
        <v>0</v>
      </c>
      <c r="DUF63" s="44">
        <f t="shared" si="169"/>
        <v>0</v>
      </c>
      <c r="DUG63" s="44">
        <f t="shared" si="169"/>
        <v>0</v>
      </c>
      <c r="DUH63" s="44">
        <f t="shared" si="169"/>
        <v>0</v>
      </c>
      <c r="DUI63" s="44">
        <f t="shared" si="169"/>
        <v>0</v>
      </c>
      <c r="DUJ63" s="44">
        <f t="shared" si="169"/>
        <v>0</v>
      </c>
      <c r="DUK63" s="44">
        <f t="shared" si="169"/>
        <v>0</v>
      </c>
      <c r="DUL63" s="44">
        <f t="shared" si="169"/>
        <v>0</v>
      </c>
      <c r="DUM63" s="44">
        <f t="shared" si="169"/>
        <v>0</v>
      </c>
      <c r="DUN63" s="44">
        <f t="shared" si="169"/>
        <v>0</v>
      </c>
      <c r="DUO63" s="44">
        <f t="shared" si="169"/>
        <v>0</v>
      </c>
      <c r="DUP63" s="44">
        <f t="shared" si="169"/>
        <v>0</v>
      </c>
      <c r="DUQ63" s="44">
        <f t="shared" si="169"/>
        <v>0</v>
      </c>
      <c r="DUR63" s="44">
        <f t="shared" si="169"/>
        <v>0</v>
      </c>
      <c r="DUS63" s="44">
        <f t="shared" si="169"/>
        <v>0</v>
      </c>
      <c r="DUT63" s="44">
        <f t="shared" si="169"/>
        <v>0</v>
      </c>
      <c r="DUU63" s="44">
        <f t="shared" si="169"/>
        <v>0</v>
      </c>
      <c r="DUV63" s="44">
        <f t="shared" si="169"/>
        <v>0</v>
      </c>
      <c r="DUW63" s="44">
        <f t="shared" si="169"/>
        <v>0</v>
      </c>
      <c r="DUX63" s="44">
        <f t="shared" si="169"/>
        <v>0</v>
      </c>
      <c r="DUY63" s="44">
        <f t="shared" si="169"/>
        <v>0</v>
      </c>
      <c r="DUZ63" s="44">
        <f t="shared" si="169"/>
        <v>0</v>
      </c>
      <c r="DVA63" s="44">
        <f t="shared" si="169"/>
        <v>0</v>
      </c>
      <c r="DVB63" s="44">
        <f t="shared" si="169"/>
        <v>0</v>
      </c>
      <c r="DVC63" s="44">
        <f t="shared" si="169"/>
        <v>0</v>
      </c>
      <c r="DVD63" s="44">
        <f t="shared" si="169"/>
        <v>0</v>
      </c>
      <c r="DVE63" s="44">
        <f t="shared" si="169"/>
        <v>0</v>
      </c>
      <c r="DVF63" s="44">
        <f t="shared" si="169"/>
        <v>0</v>
      </c>
      <c r="DVG63" s="44">
        <f t="shared" si="169"/>
        <v>0</v>
      </c>
      <c r="DVH63" s="44">
        <f t="shared" si="169"/>
        <v>0</v>
      </c>
      <c r="DVI63" s="44">
        <f t="shared" si="169"/>
        <v>0</v>
      </c>
      <c r="DVJ63" s="44">
        <f t="shared" ref="DVJ63:DXU63" si="170">SUM(DVJ56:DVJ57)</f>
        <v>0</v>
      </c>
      <c r="DVK63" s="44">
        <f t="shared" si="170"/>
        <v>0</v>
      </c>
      <c r="DVL63" s="44">
        <f t="shared" si="170"/>
        <v>0</v>
      </c>
      <c r="DVM63" s="44">
        <f t="shared" si="170"/>
        <v>0</v>
      </c>
      <c r="DVN63" s="44">
        <f t="shared" si="170"/>
        <v>0</v>
      </c>
      <c r="DVO63" s="44">
        <f t="shared" si="170"/>
        <v>0</v>
      </c>
      <c r="DVP63" s="44">
        <f t="shared" si="170"/>
        <v>0</v>
      </c>
      <c r="DVQ63" s="44">
        <f t="shared" si="170"/>
        <v>0</v>
      </c>
      <c r="DVR63" s="44">
        <f t="shared" si="170"/>
        <v>0</v>
      </c>
      <c r="DVS63" s="44">
        <f t="shared" si="170"/>
        <v>0</v>
      </c>
      <c r="DVT63" s="44">
        <f t="shared" si="170"/>
        <v>0</v>
      </c>
      <c r="DVU63" s="44">
        <f t="shared" si="170"/>
        <v>0</v>
      </c>
      <c r="DVV63" s="44">
        <f t="shared" si="170"/>
        <v>0</v>
      </c>
      <c r="DVW63" s="44">
        <f t="shared" si="170"/>
        <v>0</v>
      </c>
      <c r="DVX63" s="44">
        <f t="shared" si="170"/>
        <v>0</v>
      </c>
      <c r="DVY63" s="44">
        <f t="shared" si="170"/>
        <v>0</v>
      </c>
      <c r="DVZ63" s="44">
        <f t="shared" si="170"/>
        <v>0</v>
      </c>
      <c r="DWA63" s="44">
        <f t="shared" si="170"/>
        <v>0</v>
      </c>
      <c r="DWB63" s="44">
        <f t="shared" si="170"/>
        <v>0</v>
      </c>
      <c r="DWC63" s="44">
        <f t="shared" si="170"/>
        <v>0</v>
      </c>
      <c r="DWD63" s="44">
        <f t="shared" si="170"/>
        <v>0</v>
      </c>
      <c r="DWE63" s="44">
        <f t="shared" si="170"/>
        <v>0</v>
      </c>
      <c r="DWF63" s="44">
        <f t="shared" si="170"/>
        <v>0</v>
      </c>
      <c r="DWG63" s="44">
        <f t="shared" si="170"/>
        <v>0</v>
      </c>
      <c r="DWH63" s="44">
        <f t="shared" si="170"/>
        <v>0</v>
      </c>
      <c r="DWI63" s="44">
        <f t="shared" si="170"/>
        <v>0</v>
      </c>
      <c r="DWJ63" s="44">
        <f t="shared" si="170"/>
        <v>0</v>
      </c>
      <c r="DWK63" s="44">
        <f t="shared" si="170"/>
        <v>0</v>
      </c>
      <c r="DWL63" s="44">
        <f t="shared" si="170"/>
        <v>0</v>
      </c>
      <c r="DWM63" s="44">
        <f t="shared" si="170"/>
        <v>0</v>
      </c>
      <c r="DWN63" s="44">
        <f t="shared" si="170"/>
        <v>0</v>
      </c>
      <c r="DWO63" s="44">
        <f t="shared" si="170"/>
        <v>0</v>
      </c>
      <c r="DWP63" s="44">
        <f t="shared" si="170"/>
        <v>0</v>
      </c>
      <c r="DWQ63" s="44">
        <f t="shared" si="170"/>
        <v>0</v>
      </c>
      <c r="DWR63" s="44">
        <f t="shared" si="170"/>
        <v>0</v>
      </c>
      <c r="DWS63" s="44">
        <f t="shared" si="170"/>
        <v>0</v>
      </c>
      <c r="DWT63" s="44">
        <f t="shared" si="170"/>
        <v>0</v>
      </c>
      <c r="DWU63" s="44">
        <f t="shared" si="170"/>
        <v>0</v>
      </c>
      <c r="DWV63" s="44">
        <f t="shared" si="170"/>
        <v>0</v>
      </c>
      <c r="DWW63" s="44">
        <f t="shared" si="170"/>
        <v>0</v>
      </c>
      <c r="DWX63" s="44">
        <f t="shared" si="170"/>
        <v>0</v>
      </c>
      <c r="DWY63" s="44">
        <f t="shared" si="170"/>
        <v>0</v>
      </c>
      <c r="DWZ63" s="44">
        <f t="shared" si="170"/>
        <v>0</v>
      </c>
      <c r="DXA63" s="44">
        <f t="shared" si="170"/>
        <v>0</v>
      </c>
      <c r="DXB63" s="44">
        <f t="shared" si="170"/>
        <v>0</v>
      </c>
      <c r="DXC63" s="44">
        <f t="shared" si="170"/>
        <v>0</v>
      </c>
      <c r="DXD63" s="44">
        <f t="shared" si="170"/>
        <v>0</v>
      </c>
      <c r="DXE63" s="44">
        <f t="shared" si="170"/>
        <v>0</v>
      </c>
      <c r="DXF63" s="44">
        <f t="shared" si="170"/>
        <v>0</v>
      </c>
      <c r="DXG63" s="44">
        <f t="shared" si="170"/>
        <v>0</v>
      </c>
      <c r="DXH63" s="44">
        <f t="shared" si="170"/>
        <v>0</v>
      </c>
      <c r="DXI63" s="44">
        <f t="shared" si="170"/>
        <v>0</v>
      </c>
      <c r="DXJ63" s="44">
        <f t="shared" si="170"/>
        <v>0</v>
      </c>
      <c r="DXK63" s="44">
        <f t="shared" si="170"/>
        <v>0</v>
      </c>
      <c r="DXL63" s="44">
        <f t="shared" si="170"/>
        <v>0</v>
      </c>
      <c r="DXM63" s="44">
        <f t="shared" si="170"/>
        <v>0</v>
      </c>
      <c r="DXN63" s="44">
        <f t="shared" si="170"/>
        <v>0</v>
      </c>
      <c r="DXO63" s="44">
        <f t="shared" si="170"/>
        <v>0</v>
      </c>
      <c r="DXP63" s="44">
        <f t="shared" si="170"/>
        <v>0</v>
      </c>
      <c r="DXQ63" s="44">
        <f t="shared" si="170"/>
        <v>0</v>
      </c>
      <c r="DXR63" s="44">
        <f t="shared" si="170"/>
        <v>0</v>
      </c>
      <c r="DXS63" s="44">
        <f t="shared" si="170"/>
        <v>0</v>
      </c>
      <c r="DXT63" s="44">
        <f t="shared" si="170"/>
        <v>0</v>
      </c>
      <c r="DXU63" s="44">
        <f t="shared" si="170"/>
        <v>0</v>
      </c>
      <c r="DXV63" s="44">
        <f t="shared" ref="DXV63:EAG63" si="171">SUM(DXV56:DXV57)</f>
        <v>0</v>
      </c>
      <c r="DXW63" s="44">
        <f t="shared" si="171"/>
        <v>0</v>
      </c>
      <c r="DXX63" s="44">
        <f t="shared" si="171"/>
        <v>0</v>
      </c>
      <c r="DXY63" s="44">
        <f t="shared" si="171"/>
        <v>0</v>
      </c>
      <c r="DXZ63" s="44">
        <f t="shared" si="171"/>
        <v>0</v>
      </c>
      <c r="DYA63" s="44">
        <f t="shared" si="171"/>
        <v>0</v>
      </c>
      <c r="DYB63" s="44">
        <f t="shared" si="171"/>
        <v>0</v>
      </c>
      <c r="DYC63" s="44">
        <f t="shared" si="171"/>
        <v>0</v>
      </c>
      <c r="DYD63" s="44">
        <f t="shared" si="171"/>
        <v>0</v>
      </c>
      <c r="DYE63" s="44">
        <f t="shared" si="171"/>
        <v>0</v>
      </c>
      <c r="DYF63" s="44">
        <f t="shared" si="171"/>
        <v>0</v>
      </c>
      <c r="DYG63" s="44">
        <f t="shared" si="171"/>
        <v>0</v>
      </c>
      <c r="DYH63" s="44">
        <f t="shared" si="171"/>
        <v>0</v>
      </c>
      <c r="DYI63" s="44">
        <f t="shared" si="171"/>
        <v>0</v>
      </c>
      <c r="DYJ63" s="44">
        <f t="shared" si="171"/>
        <v>0</v>
      </c>
      <c r="DYK63" s="44">
        <f t="shared" si="171"/>
        <v>0</v>
      </c>
      <c r="DYL63" s="44">
        <f t="shared" si="171"/>
        <v>0</v>
      </c>
      <c r="DYM63" s="44">
        <f t="shared" si="171"/>
        <v>0</v>
      </c>
      <c r="DYN63" s="44">
        <f t="shared" si="171"/>
        <v>0</v>
      </c>
      <c r="DYO63" s="44">
        <f t="shared" si="171"/>
        <v>0</v>
      </c>
      <c r="DYP63" s="44">
        <f t="shared" si="171"/>
        <v>0</v>
      </c>
      <c r="DYQ63" s="44">
        <f t="shared" si="171"/>
        <v>0</v>
      </c>
      <c r="DYR63" s="44">
        <f t="shared" si="171"/>
        <v>0</v>
      </c>
      <c r="DYS63" s="44">
        <f t="shared" si="171"/>
        <v>0</v>
      </c>
      <c r="DYT63" s="44">
        <f t="shared" si="171"/>
        <v>0</v>
      </c>
      <c r="DYU63" s="44">
        <f t="shared" si="171"/>
        <v>0</v>
      </c>
      <c r="DYV63" s="44">
        <f t="shared" si="171"/>
        <v>0</v>
      </c>
      <c r="DYW63" s="44">
        <f t="shared" si="171"/>
        <v>0</v>
      </c>
      <c r="DYX63" s="44">
        <f t="shared" si="171"/>
        <v>0</v>
      </c>
      <c r="DYY63" s="44">
        <f t="shared" si="171"/>
        <v>0</v>
      </c>
      <c r="DYZ63" s="44">
        <f t="shared" si="171"/>
        <v>0</v>
      </c>
      <c r="DZA63" s="44">
        <f t="shared" si="171"/>
        <v>0</v>
      </c>
      <c r="DZB63" s="44">
        <f t="shared" si="171"/>
        <v>0</v>
      </c>
      <c r="DZC63" s="44">
        <f t="shared" si="171"/>
        <v>0</v>
      </c>
      <c r="DZD63" s="44">
        <f t="shared" si="171"/>
        <v>0</v>
      </c>
      <c r="DZE63" s="44">
        <f t="shared" si="171"/>
        <v>0</v>
      </c>
      <c r="DZF63" s="44">
        <f t="shared" si="171"/>
        <v>0</v>
      </c>
      <c r="DZG63" s="44">
        <f t="shared" si="171"/>
        <v>0</v>
      </c>
      <c r="DZH63" s="44">
        <f t="shared" si="171"/>
        <v>0</v>
      </c>
      <c r="DZI63" s="44">
        <f t="shared" si="171"/>
        <v>0</v>
      </c>
      <c r="DZJ63" s="44">
        <f t="shared" si="171"/>
        <v>0</v>
      </c>
      <c r="DZK63" s="44">
        <f t="shared" si="171"/>
        <v>0</v>
      </c>
      <c r="DZL63" s="44">
        <f t="shared" si="171"/>
        <v>0</v>
      </c>
      <c r="DZM63" s="44">
        <f t="shared" si="171"/>
        <v>0</v>
      </c>
      <c r="DZN63" s="44">
        <f t="shared" si="171"/>
        <v>0</v>
      </c>
      <c r="DZO63" s="44">
        <f t="shared" si="171"/>
        <v>0</v>
      </c>
      <c r="DZP63" s="44">
        <f t="shared" si="171"/>
        <v>0</v>
      </c>
      <c r="DZQ63" s="44">
        <f t="shared" si="171"/>
        <v>0</v>
      </c>
      <c r="DZR63" s="44">
        <f t="shared" si="171"/>
        <v>0</v>
      </c>
      <c r="DZS63" s="44">
        <f t="shared" si="171"/>
        <v>0</v>
      </c>
      <c r="DZT63" s="44">
        <f t="shared" si="171"/>
        <v>0</v>
      </c>
      <c r="DZU63" s="44">
        <f t="shared" si="171"/>
        <v>0</v>
      </c>
      <c r="DZV63" s="44">
        <f t="shared" si="171"/>
        <v>0</v>
      </c>
      <c r="DZW63" s="44">
        <f t="shared" si="171"/>
        <v>0</v>
      </c>
      <c r="DZX63" s="44">
        <f t="shared" si="171"/>
        <v>0</v>
      </c>
      <c r="DZY63" s="44">
        <f t="shared" si="171"/>
        <v>0</v>
      </c>
      <c r="DZZ63" s="44">
        <f t="shared" si="171"/>
        <v>0</v>
      </c>
      <c r="EAA63" s="44">
        <f t="shared" si="171"/>
        <v>0</v>
      </c>
      <c r="EAB63" s="44">
        <f t="shared" si="171"/>
        <v>0</v>
      </c>
      <c r="EAC63" s="44">
        <f t="shared" si="171"/>
        <v>0</v>
      </c>
      <c r="EAD63" s="44">
        <f t="shared" si="171"/>
        <v>0</v>
      </c>
      <c r="EAE63" s="44">
        <f t="shared" si="171"/>
        <v>0</v>
      </c>
      <c r="EAF63" s="44">
        <f t="shared" si="171"/>
        <v>0</v>
      </c>
      <c r="EAG63" s="44">
        <f t="shared" si="171"/>
        <v>0</v>
      </c>
      <c r="EAH63" s="44">
        <f t="shared" ref="EAH63:ECS63" si="172">SUM(EAH56:EAH57)</f>
        <v>0</v>
      </c>
      <c r="EAI63" s="44">
        <f t="shared" si="172"/>
        <v>0</v>
      </c>
      <c r="EAJ63" s="44">
        <f t="shared" si="172"/>
        <v>0</v>
      </c>
      <c r="EAK63" s="44">
        <f t="shared" si="172"/>
        <v>0</v>
      </c>
      <c r="EAL63" s="44">
        <f t="shared" si="172"/>
        <v>0</v>
      </c>
      <c r="EAM63" s="44">
        <f t="shared" si="172"/>
        <v>0</v>
      </c>
      <c r="EAN63" s="44">
        <f t="shared" si="172"/>
        <v>0</v>
      </c>
      <c r="EAO63" s="44">
        <f t="shared" si="172"/>
        <v>0</v>
      </c>
      <c r="EAP63" s="44">
        <f t="shared" si="172"/>
        <v>0</v>
      </c>
      <c r="EAQ63" s="44">
        <f t="shared" si="172"/>
        <v>0</v>
      </c>
      <c r="EAR63" s="44">
        <f t="shared" si="172"/>
        <v>0</v>
      </c>
      <c r="EAS63" s="44">
        <f t="shared" si="172"/>
        <v>0</v>
      </c>
      <c r="EAT63" s="44">
        <f t="shared" si="172"/>
        <v>0</v>
      </c>
      <c r="EAU63" s="44">
        <f t="shared" si="172"/>
        <v>0</v>
      </c>
      <c r="EAV63" s="44">
        <f t="shared" si="172"/>
        <v>0</v>
      </c>
      <c r="EAW63" s="44">
        <f t="shared" si="172"/>
        <v>0</v>
      </c>
      <c r="EAX63" s="44">
        <f t="shared" si="172"/>
        <v>0</v>
      </c>
      <c r="EAY63" s="44">
        <f t="shared" si="172"/>
        <v>0</v>
      </c>
      <c r="EAZ63" s="44">
        <f t="shared" si="172"/>
        <v>0</v>
      </c>
      <c r="EBA63" s="44">
        <f t="shared" si="172"/>
        <v>0</v>
      </c>
      <c r="EBB63" s="44">
        <f t="shared" si="172"/>
        <v>0</v>
      </c>
      <c r="EBC63" s="44">
        <f t="shared" si="172"/>
        <v>0</v>
      </c>
      <c r="EBD63" s="44">
        <f t="shared" si="172"/>
        <v>0</v>
      </c>
      <c r="EBE63" s="44">
        <f t="shared" si="172"/>
        <v>0</v>
      </c>
      <c r="EBF63" s="44">
        <f t="shared" si="172"/>
        <v>0</v>
      </c>
      <c r="EBG63" s="44">
        <f t="shared" si="172"/>
        <v>0</v>
      </c>
      <c r="EBH63" s="44">
        <f t="shared" si="172"/>
        <v>0</v>
      </c>
      <c r="EBI63" s="44">
        <f t="shared" si="172"/>
        <v>0</v>
      </c>
      <c r="EBJ63" s="44">
        <f t="shared" si="172"/>
        <v>0</v>
      </c>
      <c r="EBK63" s="44">
        <f t="shared" si="172"/>
        <v>0</v>
      </c>
      <c r="EBL63" s="44">
        <f t="shared" si="172"/>
        <v>0</v>
      </c>
      <c r="EBM63" s="44">
        <f t="shared" si="172"/>
        <v>0</v>
      </c>
      <c r="EBN63" s="44">
        <f t="shared" si="172"/>
        <v>0</v>
      </c>
      <c r="EBO63" s="44">
        <f t="shared" si="172"/>
        <v>0</v>
      </c>
      <c r="EBP63" s="44">
        <f t="shared" si="172"/>
        <v>0</v>
      </c>
      <c r="EBQ63" s="44">
        <f t="shared" si="172"/>
        <v>0</v>
      </c>
      <c r="EBR63" s="44">
        <f t="shared" si="172"/>
        <v>0</v>
      </c>
      <c r="EBS63" s="44">
        <f t="shared" si="172"/>
        <v>0</v>
      </c>
      <c r="EBT63" s="44">
        <f t="shared" si="172"/>
        <v>0</v>
      </c>
      <c r="EBU63" s="44">
        <f t="shared" si="172"/>
        <v>0</v>
      </c>
      <c r="EBV63" s="44">
        <f t="shared" si="172"/>
        <v>0</v>
      </c>
      <c r="EBW63" s="44">
        <f t="shared" si="172"/>
        <v>0</v>
      </c>
      <c r="EBX63" s="44">
        <f t="shared" si="172"/>
        <v>0</v>
      </c>
      <c r="EBY63" s="44">
        <f t="shared" si="172"/>
        <v>0</v>
      </c>
      <c r="EBZ63" s="44">
        <f t="shared" si="172"/>
        <v>0</v>
      </c>
      <c r="ECA63" s="44">
        <f t="shared" si="172"/>
        <v>0</v>
      </c>
      <c r="ECB63" s="44">
        <f t="shared" si="172"/>
        <v>0</v>
      </c>
      <c r="ECC63" s="44">
        <f t="shared" si="172"/>
        <v>0</v>
      </c>
      <c r="ECD63" s="44">
        <f t="shared" si="172"/>
        <v>0</v>
      </c>
      <c r="ECE63" s="44">
        <f t="shared" si="172"/>
        <v>0</v>
      </c>
      <c r="ECF63" s="44">
        <f t="shared" si="172"/>
        <v>0</v>
      </c>
      <c r="ECG63" s="44">
        <f t="shared" si="172"/>
        <v>0</v>
      </c>
      <c r="ECH63" s="44">
        <f t="shared" si="172"/>
        <v>0</v>
      </c>
      <c r="ECI63" s="44">
        <f t="shared" si="172"/>
        <v>0</v>
      </c>
      <c r="ECJ63" s="44">
        <f t="shared" si="172"/>
        <v>0</v>
      </c>
      <c r="ECK63" s="44">
        <f t="shared" si="172"/>
        <v>0</v>
      </c>
      <c r="ECL63" s="44">
        <f t="shared" si="172"/>
        <v>0</v>
      </c>
      <c r="ECM63" s="44">
        <f t="shared" si="172"/>
        <v>0</v>
      </c>
      <c r="ECN63" s="44">
        <f t="shared" si="172"/>
        <v>0</v>
      </c>
      <c r="ECO63" s="44">
        <f t="shared" si="172"/>
        <v>0</v>
      </c>
      <c r="ECP63" s="44">
        <f t="shared" si="172"/>
        <v>0</v>
      </c>
      <c r="ECQ63" s="44">
        <f t="shared" si="172"/>
        <v>0</v>
      </c>
      <c r="ECR63" s="44">
        <f t="shared" si="172"/>
        <v>0</v>
      </c>
      <c r="ECS63" s="44">
        <f t="shared" si="172"/>
        <v>0</v>
      </c>
      <c r="ECT63" s="44">
        <f t="shared" ref="ECT63:EFE63" si="173">SUM(ECT56:ECT57)</f>
        <v>0</v>
      </c>
      <c r="ECU63" s="44">
        <f t="shared" si="173"/>
        <v>0</v>
      </c>
      <c r="ECV63" s="44">
        <f t="shared" si="173"/>
        <v>0</v>
      </c>
      <c r="ECW63" s="44">
        <f t="shared" si="173"/>
        <v>0</v>
      </c>
      <c r="ECX63" s="44">
        <f t="shared" si="173"/>
        <v>0</v>
      </c>
      <c r="ECY63" s="44">
        <f t="shared" si="173"/>
        <v>0</v>
      </c>
      <c r="ECZ63" s="44">
        <f t="shared" si="173"/>
        <v>0</v>
      </c>
      <c r="EDA63" s="44">
        <f t="shared" si="173"/>
        <v>0</v>
      </c>
      <c r="EDB63" s="44">
        <f t="shared" si="173"/>
        <v>0</v>
      </c>
      <c r="EDC63" s="44">
        <f t="shared" si="173"/>
        <v>0</v>
      </c>
      <c r="EDD63" s="44">
        <f t="shared" si="173"/>
        <v>0</v>
      </c>
      <c r="EDE63" s="44">
        <f t="shared" si="173"/>
        <v>0</v>
      </c>
      <c r="EDF63" s="44">
        <f t="shared" si="173"/>
        <v>0</v>
      </c>
      <c r="EDG63" s="44">
        <f t="shared" si="173"/>
        <v>0</v>
      </c>
      <c r="EDH63" s="44">
        <f t="shared" si="173"/>
        <v>0</v>
      </c>
      <c r="EDI63" s="44">
        <f t="shared" si="173"/>
        <v>0</v>
      </c>
      <c r="EDJ63" s="44">
        <f t="shared" si="173"/>
        <v>0</v>
      </c>
      <c r="EDK63" s="44">
        <f t="shared" si="173"/>
        <v>0</v>
      </c>
      <c r="EDL63" s="44">
        <f t="shared" si="173"/>
        <v>0</v>
      </c>
      <c r="EDM63" s="44">
        <f t="shared" si="173"/>
        <v>0</v>
      </c>
      <c r="EDN63" s="44">
        <f t="shared" si="173"/>
        <v>0</v>
      </c>
      <c r="EDO63" s="44">
        <f t="shared" si="173"/>
        <v>0</v>
      </c>
      <c r="EDP63" s="44">
        <f t="shared" si="173"/>
        <v>0</v>
      </c>
      <c r="EDQ63" s="44">
        <f t="shared" si="173"/>
        <v>0</v>
      </c>
      <c r="EDR63" s="44">
        <f t="shared" si="173"/>
        <v>0</v>
      </c>
      <c r="EDS63" s="44">
        <f t="shared" si="173"/>
        <v>0</v>
      </c>
      <c r="EDT63" s="44">
        <f t="shared" si="173"/>
        <v>0</v>
      </c>
      <c r="EDU63" s="44">
        <f t="shared" si="173"/>
        <v>0</v>
      </c>
      <c r="EDV63" s="44">
        <f t="shared" si="173"/>
        <v>0</v>
      </c>
      <c r="EDW63" s="44">
        <f t="shared" si="173"/>
        <v>0</v>
      </c>
      <c r="EDX63" s="44">
        <f t="shared" si="173"/>
        <v>0</v>
      </c>
      <c r="EDY63" s="44">
        <f t="shared" si="173"/>
        <v>0</v>
      </c>
      <c r="EDZ63" s="44">
        <f t="shared" si="173"/>
        <v>0</v>
      </c>
      <c r="EEA63" s="44">
        <f t="shared" si="173"/>
        <v>0</v>
      </c>
      <c r="EEB63" s="44">
        <f t="shared" si="173"/>
        <v>0</v>
      </c>
      <c r="EEC63" s="44">
        <f t="shared" si="173"/>
        <v>0</v>
      </c>
      <c r="EED63" s="44">
        <f t="shared" si="173"/>
        <v>0</v>
      </c>
      <c r="EEE63" s="44">
        <f t="shared" si="173"/>
        <v>0</v>
      </c>
      <c r="EEF63" s="44">
        <f t="shared" si="173"/>
        <v>0</v>
      </c>
      <c r="EEG63" s="44">
        <f t="shared" si="173"/>
        <v>0</v>
      </c>
      <c r="EEH63" s="44">
        <f t="shared" si="173"/>
        <v>0</v>
      </c>
      <c r="EEI63" s="44">
        <f t="shared" si="173"/>
        <v>0</v>
      </c>
      <c r="EEJ63" s="44">
        <f t="shared" si="173"/>
        <v>0</v>
      </c>
      <c r="EEK63" s="44">
        <f t="shared" si="173"/>
        <v>0</v>
      </c>
      <c r="EEL63" s="44">
        <f t="shared" si="173"/>
        <v>0</v>
      </c>
      <c r="EEM63" s="44">
        <f t="shared" si="173"/>
        <v>0</v>
      </c>
      <c r="EEN63" s="44">
        <f t="shared" si="173"/>
        <v>0</v>
      </c>
      <c r="EEO63" s="44">
        <f t="shared" si="173"/>
        <v>0</v>
      </c>
      <c r="EEP63" s="44">
        <f t="shared" si="173"/>
        <v>0</v>
      </c>
      <c r="EEQ63" s="44">
        <f t="shared" si="173"/>
        <v>0</v>
      </c>
      <c r="EER63" s="44">
        <f t="shared" si="173"/>
        <v>0</v>
      </c>
      <c r="EES63" s="44">
        <f t="shared" si="173"/>
        <v>0</v>
      </c>
      <c r="EET63" s="44">
        <f t="shared" si="173"/>
        <v>0</v>
      </c>
      <c r="EEU63" s="44">
        <f t="shared" si="173"/>
        <v>0</v>
      </c>
      <c r="EEV63" s="44">
        <f t="shared" si="173"/>
        <v>0</v>
      </c>
      <c r="EEW63" s="44">
        <f t="shared" si="173"/>
        <v>0</v>
      </c>
      <c r="EEX63" s="44">
        <f t="shared" si="173"/>
        <v>0</v>
      </c>
      <c r="EEY63" s="44">
        <f t="shared" si="173"/>
        <v>0</v>
      </c>
      <c r="EEZ63" s="44">
        <f t="shared" si="173"/>
        <v>0</v>
      </c>
      <c r="EFA63" s="44">
        <f t="shared" si="173"/>
        <v>0</v>
      </c>
      <c r="EFB63" s="44">
        <f t="shared" si="173"/>
        <v>0</v>
      </c>
      <c r="EFC63" s="44">
        <f t="shared" si="173"/>
        <v>0</v>
      </c>
      <c r="EFD63" s="44">
        <f t="shared" si="173"/>
        <v>0</v>
      </c>
      <c r="EFE63" s="44">
        <f t="shared" si="173"/>
        <v>0</v>
      </c>
      <c r="EFF63" s="44">
        <f t="shared" ref="EFF63:EHQ63" si="174">SUM(EFF56:EFF57)</f>
        <v>0</v>
      </c>
      <c r="EFG63" s="44">
        <f t="shared" si="174"/>
        <v>0</v>
      </c>
      <c r="EFH63" s="44">
        <f t="shared" si="174"/>
        <v>0</v>
      </c>
      <c r="EFI63" s="44">
        <f t="shared" si="174"/>
        <v>0</v>
      </c>
      <c r="EFJ63" s="44">
        <f t="shared" si="174"/>
        <v>0</v>
      </c>
      <c r="EFK63" s="44">
        <f t="shared" si="174"/>
        <v>0</v>
      </c>
      <c r="EFL63" s="44">
        <f t="shared" si="174"/>
        <v>0</v>
      </c>
      <c r="EFM63" s="44">
        <f t="shared" si="174"/>
        <v>0</v>
      </c>
      <c r="EFN63" s="44">
        <f t="shared" si="174"/>
        <v>0</v>
      </c>
      <c r="EFO63" s="44">
        <f t="shared" si="174"/>
        <v>0</v>
      </c>
      <c r="EFP63" s="44">
        <f t="shared" si="174"/>
        <v>0</v>
      </c>
      <c r="EFQ63" s="44">
        <f t="shared" si="174"/>
        <v>0</v>
      </c>
      <c r="EFR63" s="44">
        <f t="shared" si="174"/>
        <v>0</v>
      </c>
      <c r="EFS63" s="44">
        <f t="shared" si="174"/>
        <v>0</v>
      </c>
      <c r="EFT63" s="44">
        <f t="shared" si="174"/>
        <v>0</v>
      </c>
      <c r="EFU63" s="44">
        <f t="shared" si="174"/>
        <v>0</v>
      </c>
      <c r="EFV63" s="44">
        <f t="shared" si="174"/>
        <v>0</v>
      </c>
      <c r="EFW63" s="44">
        <f t="shared" si="174"/>
        <v>0</v>
      </c>
      <c r="EFX63" s="44">
        <f t="shared" si="174"/>
        <v>0</v>
      </c>
      <c r="EFY63" s="44">
        <f t="shared" si="174"/>
        <v>0</v>
      </c>
      <c r="EFZ63" s="44">
        <f t="shared" si="174"/>
        <v>0</v>
      </c>
      <c r="EGA63" s="44">
        <f t="shared" si="174"/>
        <v>0</v>
      </c>
      <c r="EGB63" s="44">
        <f t="shared" si="174"/>
        <v>0</v>
      </c>
      <c r="EGC63" s="44">
        <f t="shared" si="174"/>
        <v>0</v>
      </c>
      <c r="EGD63" s="44">
        <f t="shared" si="174"/>
        <v>0</v>
      </c>
      <c r="EGE63" s="44">
        <f t="shared" si="174"/>
        <v>0</v>
      </c>
      <c r="EGF63" s="44">
        <f t="shared" si="174"/>
        <v>0</v>
      </c>
      <c r="EGG63" s="44">
        <f t="shared" si="174"/>
        <v>0</v>
      </c>
      <c r="EGH63" s="44">
        <f t="shared" si="174"/>
        <v>0</v>
      </c>
      <c r="EGI63" s="44">
        <f t="shared" si="174"/>
        <v>0</v>
      </c>
      <c r="EGJ63" s="44">
        <f t="shared" si="174"/>
        <v>0</v>
      </c>
      <c r="EGK63" s="44">
        <f t="shared" si="174"/>
        <v>0</v>
      </c>
      <c r="EGL63" s="44">
        <f t="shared" si="174"/>
        <v>0</v>
      </c>
      <c r="EGM63" s="44">
        <f t="shared" si="174"/>
        <v>0</v>
      </c>
      <c r="EGN63" s="44">
        <f t="shared" si="174"/>
        <v>0</v>
      </c>
      <c r="EGO63" s="44">
        <f t="shared" si="174"/>
        <v>0</v>
      </c>
      <c r="EGP63" s="44">
        <f t="shared" si="174"/>
        <v>0</v>
      </c>
      <c r="EGQ63" s="44">
        <f t="shared" si="174"/>
        <v>0</v>
      </c>
      <c r="EGR63" s="44">
        <f t="shared" si="174"/>
        <v>0</v>
      </c>
      <c r="EGS63" s="44">
        <f t="shared" si="174"/>
        <v>0</v>
      </c>
      <c r="EGT63" s="44">
        <f t="shared" si="174"/>
        <v>0</v>
      </c>
      <c r="EGU63" s="44">
        <f t="shared" si="174"/>
        <v>0</v>
      </c>
      <c r="EGV63" s="44">
        <f t="shared" si="174"/>
        <v>0</v>
      </c>
      <c r="EGW63" s="44">
        <f t="shared" si="174"/>
        <v>0</v>
      </c>
      <c r="EGX63" s="44">
        <f t="shared" si="174"/>
        <v>0</v>
      </c>
      <c r="EGY63" s="44">
        <f t="shared" si="174"/>
        <v>0</v>
      </c>
      <c r="EGZ63" s="44">
        <f t="shared" si="174"/>
        <v>0</v>
      </c>
      <c r="EHA63" s="44">
        <f t="shared" si="174"/>
        <v>0</v>
      </c>
      <c r="EHB63" s="44">
        <f t="shared" si="174"/>
        <v>0</v>
      </c>
      <c r="EHC63" s="44">
        <f t="shared" si="174"/>
        <v>0</v>
      </c>
      <c r="EHD63" s="44">
        <f t="shared" si="174"/>
        <v>0</v>
      </c>
      <c r="EHE63" s="44">
        <f t="shared" si="174"/>
        <v>0</v>
      </c>
      <c r="EHF63" s="44">
        <f t="shared" si="174"/>
        <v>0</v>
      </c>
      <c r="EHG63" s="44">
        <f t="shared" si="174"/>
        <v>0</v>
      </c>
      <c r="EHH63" s="44">
        <f t="shared" si="174"/>
        <v>0</v>
      </c>
      <c r="EHI63" s="44">
        <f t="shared" si="174"/>
        <v>0</v>
      </c>
      <c r="EHJ63" s="44">
        <f t="shared" si="174"/>
        <v>0</v>
      </c>
      <c r="EHK63" s="44">
        <f t="shared" si="174"/>
        <v>0</v>
      </c>
      <c r="EHL63" s="44">
        <f t="shared" si="174"/>
        <v>0</v>
      </c>
      <c r="EHM63" s="44">
        <f t="shared" si="174"/>
        <v>0</v>
      </c>
      <c r="EHN63" s="44">
        <f t="shared" si="174"/>
        <v>0</v>
      </c>
      <c r="EHO63" s="44">
        <f t="shared" si="174"/>
        <v>0</v>
      </c>
      <c r="EHP63" s="44">
        <f t="shared" si="174"/>
        <v>0</v>
      </c>
      <c r="EHQ63" s="44">
        <f t="shared" si="174"/>
        <v>0</v>
      </c>
      <c r="EHR63" s="44">
        <f t="shared" ref="EHR63:EKC63" si="175">SUM(EHR56:EHR57)</f>
        <v>0</v>
      </c>
      <c r="EHS63" s="44">
        <f t="shared" si="175"/>
        <v>0</v>
      </c>
      <c r="EHT63" s="44">
        <f t="shared" si="175"/>
        <v>0</v>
      </c>
      <c r="EHU63" s="44">
        <f t="shared" si="175"/>
        <v>0</v>
      </c>
      <c r="EHV63" s="44">
        <f t="shared" si="175"/>
        <v>0</v>
      </c>
      <c r="EHW63" s="44">
        <f t="shared" si="175"/>
        <v>0</v>
      </c>
      <c r="EHX63" s="44">
        <f t="shared" si="175"/>
        <v>0</v>
      </c>
      <c r="EHY63" s="44">
        <f t="shared" si="175"/>
        <v>0</v>
      </c>
      <c r="EHZ63" s="44">
        <f t="shared" si="175"/>
        <v>0</v>
      </c>
      <c r="EIA63" s="44">
        <f t="shared" si="175"/>
        <v>0</v>
      </c>
      <c r="EIB63" s="44">
        <f t="shared" si="175"/>
        <v>0</v>
      </c>
      <c r="EIC63" s="44">
        <f t="shared" si="175"/>
        <v>0</v>
      </c>
      <c r="EID63" s="44">
        <f t="shared" si="175"/>
        <v>0</v>
      </c>
      <c r="EIE63" s="44">
        <f t="shared" si="175"/>
        <v>0</v>
      </c>
      <c r="EIF63" s="44">
        <f t="shared" si="175"/>
        <v>0</v>
      </c>
      <c r="EIG63" s="44">
        <f t="shared" si="175"/>
        <v>0</v>
      </c>
      <c r="EIH63" s="44">
        <f t="shared" si="175"/>
        <v>0</v>
      </c>
      <c r="EII63" s="44">
        <f t="shared" si="175"/>
        <v>0</v>
      </c>
      <c r="EIJ63" s="44">
        <f t="shared" si="175"/>
        <v>0</v>
      </c>
      <c r="EIK63" s="44">
        <f t="shared" si="175"/>
        <v>0</v>
      </c>
      <c r="EIL63" s="44">
        <f t="shared" si="175"/>
        <v>0</v>
      </c>
      <c r="EIM63" s="44">
        <f t="shared" si="175"/>
        <v>0</v>
      </c>
      <c r="EIN63" s="44">
        <f t="shared" si="175"/>
        <v>0</v>
      </c>
      <c r="EIO63" s="44">
        <f t="shared" si="175"/>
        <v>0</v>
      </c>
      <c r="EIP63" s="44">
        <f t="shared" si="175"/>
        <v>0</v>
      </c>
      <c r="EIQ63" s="44">
        <f t="shared" si="175"/>
        <v>0</v>
      </c>
      <c r="EIR63" s="44">
        <f t="shared" si="175"/>
        <v>0</v>
      </c>
      <c r="EIS63" s="44">
        <f t="shared" si="175"/>
        <v>0</v>
      </c>
      <c r="EIT63" s="44">
        <f t="shared" si="175"/>
        <v>0</v>
      </c>
      <c r="EIU63" s="44">
        <f t="shared" si="175"/>
        <v>0</v>
      </c>
      <c r="EIV63" s="44">
        <f t="shared" si="175"/>
        <v>0</v>
      </c>
      <c r="EIW63" s="44">
        <f t="shared" si="175"/>
        <v>0</v>
      </c>
      <c r="EIX63" s="44">
        <f t="shared" si="175"/>
        <v>0</v>
      </c>
      <c r="EIY63" s="44">
        <f t="shared" si="175"/>
        <v>0</v>
      </c>
      <c r="EIZ63" s="44">
        <f t="shared" si="175"/>
        <v>0</v>
      </c>
      <c r="EJA63" s="44">
        <f t="shared" si="175"/>
        <v>0</v>
      </c>
      <c r="EJB63" s="44">
        <f t="shared" si="175"/>
        <v>0</v>
      </c>
      <c r="EJC63" s="44">
        <f t="shared" si="175"/>
        <v>0</v>
      </c>
      <c r="EJD63" s="44">
        <f t="shared" si="175"/>
        <v>0</v>
      </c>
      <c r="EJE63" s="44">
        <f t="shared" si="175"/>
        <v>0</v>
      </c>
      <c r="EJF63" s="44">
        <f t="shared" si="175"/>
        <v>0</v>
      </c>
      <c r="EJG63" s="44">
        <f t="shared" si="175"/>
        <v>0</v>
      </c>
      <c r="EJH63" s="44">
        <f t="shared" si="175"/>
        <v>0</v>
      </c>
      <c r="EJI63" s="44">
        <f t="shared" si="175"/>
        <v>0</v>
      </c>
      <c r="EJJ63" s="44">
        <f t="shared" si="175"/>
        <v>0</v>
      </c>
      <c r="EJK63" s="44">
        <f t="shared" si="175"/>
        <v>0</v>
      </c>
      <c r="EJL63" s="44">
        <f t="shared" si="175"/>
        <v>0</v>
      </c>
      <c r="EJM63" s="44">
        <f t="shared" si="175"/>
        <v>0</v>
      </c>
      <c r="EJN63" s="44">
        <f t="shared" si="175"/>
        <v>0</v>
      </c>
      <c r="EJO63" s="44">
        <f t="shared" si="175"/>
        <v>0</v>
      </c>
      <c r="EJP63" s="44">
        <f t="shared" si="175"/>
        <v>0</v>
      </c>
      <c r="EJQ63" s="44">
        <f t="shared" si="175"/>
        <v>0</v>
      </c>
      <c r="EJR63" s="44">
        <f t="shared" si="175"/>
        <v>0</v>
      </c>
      <c r="EJS63" s="44">
        <f t="shared" si="175"/>
        <v>0</v>
      </c>
      <c r="EJT63" s="44">
        <f t="shared" si="175"/>
        <v>0</v>
      </c>
      <c r="EJU63" s="44">
        <f t="shared" si="175"/>
        <v>0</v>
      </c>
      <c r="EJV63" s="44">
        <f t="shared" si="175"/>
        <v>0</v>
      </c>
      <c r="EJW63" s="44">
        <f t="shared" si="175"/>
        <v>0</v>
      </c>
      <c r="EJX63" s="44">
        <f t="shared" si="175"/>
        <v>0</v>
      </c>
      <c r="EJY63" s="44">
        <f t="shared" si="175"/>
        <v>0</v>
      </c>
      <c r="EJZ63" s="44">
        <f t="shared" si="175"/>
        <v>0</v>
      </c>
      <c r="EKA63" s="44">
        <f t="shared" si="175"/>
        <v>0</v>
      </c>
      <c r="EKB63" s="44">
        <f t="shared" si="175"/>
        <v>0</v>
      </c>
      <c r="EKC63" s="44">
        <f t="shared" si="175"/>
        <v>0</v>
      </c>
      <c r="EKD63" s="44">
        <f t="shared" ref="EKD63:EMO63" si="176">SUM(EKD56:EKD57)</f>
        <v>0</v>
      </c>
      <c r="EKE63" s="44">
        <f t="shared" si="176"/>
        <v>0</v>
      </c>
      <c r="EKF63" s="44">
        <f t="shared" si="176"/>
        <v>0</v>
      </c>
      <c r="EKG63" s="44">
        <f t="shared" si="176"/>
        <v>0</v>
      </c>
      <c r="EKH63" s="44">
        <f t="shared" si="176"/>
        <v>0</v>
      </c>
      <c r="EKI63" s="44">
        <f t="shared" si="176"/>
        <v>0</v>
      </c>
      <c r="EKJ63" s="44">
        <f t="shared" si="176"/>
        <v>0</v>
      </c>
      <c r="EKK63" s="44">
        <f t="shared" si="176"/>
        <v>0</v>
      </c>
      <c r="EKL63" s="44">
        <f t="shared" si="176"/>
        <v>0</v>
      </c>
      <c r="EKM63" s="44">
        <f t="shared" si="176"/>
        <v>0</v>
      </c>
      <c r="EKN63" s="44">
        <f t="shared" si="176"/>
        <v>0</v>
      </c>
      <c r="EKO63" s="44">
        <f t="shared" si="176"/>
        <v>0</v>
      </c>
      <c r="EKP63" s="44">
        <f t="shared" si="176"/>
        <v>0</v>
      </c>
      <c r="EKQ63" s="44">
        <f t="shared" si="176"/>
        <v>0</v>
      </c>
      <c r="EKR63" s="44">
        <f t="shared" si="176"/>
        <v>0</v>
      </c>
      <c r="EKS63" s="44">
        <f t="shared" si="176"/>
        <v>0</v>
      </c>
      <c r="EKT63" s="44">
        <f t="shared" si="176"/>
        <v>0</v>
      </c>
      <c r="EKU63" s="44">
        <f t="shared" si="176"/>
        <v>0</v>
      </c>
      <c r="EKV63" s="44">
        <f t="shared" si="176"/>
        <v>0</v>
      </c>
      <c r="EKW63" s="44">
        <f t="shared" si="176"/>
        <v>0</v>
      </c>
      <c r="EKX63" s="44">
        <f t="shared" si="176"/>
        <v>0</v>
      </c>
      <c r="EKY63" s="44">
        <f t="shared" si="176"/>
        <v>0</v>
      </c>
      <c r="EKZ63" s="44">
        <f t="shared" si="176"/>
        <v>0</v>
      </c>
      <c r="ELA63" s="44">
        <f t="shared" si="176"/>
        <v>0</v>
      </c>
      <c r="ELB63" s="44">
        <f t="shared" si="176"/>
        <v>0</v>
      </c>
      <c r="ELC63" s="44">
        <f t="shared" si="176"/>
        <v>0</v>
      </c>
      <c r="ELD63" s="44">
        <f t="shared" si="176"/>
        <v>0</v>
      </c>
      <c r="ELE63" s="44">
        <f t="shared" si="176"/>
        <v>0</v>
      </c>
      <c r="ELF63" s="44">
        <f t="shared" si="176"/>
        <v>0</v>
      </c>
      <c r="ELG63" s="44">
        <f t="shared" si="176"/>
        <v>0</v>
      </c>
      <c r="ELH63" s="44">
        <f t="shared" si="176"/>
        <v>0</v>
      </c>
      <c r="ELI63" s="44">
        <f t="shared" si="176"/>
        <v>0</v>
      </c>
      <c r="ELJ63" s="44">
        <f t="shared" si="176"/>
        <v>0</v>
      </c>
      <c r="ELK63" s="44">
        <f t="shared" si="176"/>
        <v>0</v>
      </c>
      <c r="ELL63" s="44">
        <f t="shared" si="176"/>
        <v>0</v>
      </c>
      <c r="ELM63" s="44">
        <f t="shared" si="176"/>
        <v>0</v>
      </c>
      <c r="ELN63" s="44">
        <f t="shared" si="176"/>
        <v>0</v>
      </c>
      <c r="ELO63" s="44">
        <f t="shared" si="176"/>
        <v>0</v>
      </c>
      <c r="ELP63" s="44">
        <f t="shared" si="176"/>
        <v>0</v>
      </c>
      <c r="ELQ63" s="44">
        <f t="shared" si="176"/>
        <v>0</v>
      </c>
      <c r="ELR63" s="44">
        <f t="shared" si="176"/>
        <v>0</v>
      </c>
      <c r="ELS63" s="44">
        <f t="shared" si="176"/>
        <v>0</v>
      </c>
      <c r="ELT63" s="44">
        <f t="shared" si="176"/>
        <v>0</v>
      </c>
      <c r="ELU63" s="44">
        <f t="shared" si="176"/>
        <v>0</v>
      </c>
      <c r="ELV63" s="44">
        <f t="shared" si="176"/>
        <v>0</v>
      </c>
      <c r="ELW63" s="44">
        <f t="shared" si="176"/>
        <v>0</v>
      </c>
      <c r="ELX63" s="44">
        <f t="shared" si="176"/>
        <v>0</v>
      </c>
      <c r="ELY63" s="44">
        <f t="shared" si="176"/>
        <v>0</v>
      </c>
      <c r="ELZ63" s="44">
        <f t="shared" si="176"/>
        <v>0</v>
      </c>
      <c r="EMA63" s="44">
        <f t="shared" si="176"/>
        <v>0</v>
      </c>
      <c r="EMB63" s="44">
        <f t="shared" si="176"/>
        <v>0</v>
      </c>
      <c r="EMC63" s="44">
        <f t="shared" si="176"/>
        <v>0</v>
      </c>
      <c r="EMD63" s="44">
        <f t="shared" si="176"/>
        <v>0</v>
      </c>
      <c r="EME63" s="44">
        <f t="shared" si="176"/>
        <v>0</v>
      </c>
      <c r="EMF63" s="44">
        <f t="shared" si="176"/>
        <v>0</v>
      </c>
      <c r="EMG63" s="44">
        <f t="shared" si="176"/>
        <v>0</v>
      </c>
      <c r="EMH63" s="44">
        <f t="shared" si="176"/>
        <v>0</v>
      </c>
      <c r="EMI63" s="44">
        <f t="shared" si="176"/>
        <v>0</v>
      </c>
      <c r="EMJ63" s="44">
        <f t="shared" si="176"/>
        <v>0</v>
      </c>
      <c r="EMK63" s="44">
        <f t="shared" si="176"/>
        <v>0</v>
      </c>
      <c r="EML63" s="44">
        <f t="shared" si="176"/>
        <v>0</v>
      </c>
      <c r="EMM63" s="44">
        <f t="shared" si="176"/>
        <v>0</v>
      </c>
      <c r="EMN63" s="44">
        <f t="shared" si="176"/>
        <v>0</v>
      </c>
      <c r="EMO63" s="44">
        <f t="shared" si="176"/>
        <v>0</v>
      </c>
      <c r="EMP63" s="44">
        <f t="shared" ref="EMP63:EPA63" si="177">SUM(EMP56:EMP57)</f>
        <v>0</v>
      </c>
      <c r="EMQ63" s="44">
        <f t="shared" si="177"/>
        <v>0</v>
      </c>
      <c r="EMR63" s="44">
        <f t="shared" si="177"/>
        <v>0</v>
      </c>
      <c r="EMS63" s="44">
        <f t="shared" si="177"/>
        <v>0</v>
      </c>
      <c r="EMT63" s="44">
        <f t="shared" si="177"/>
        <v>0</v>
      </c>
      <c r="EMU63" s="44">
        <f t="shared" si="177"/>
        <v>0</v>
      </c>
      <c r="EMV63" s="44">
        <f t="shared" si="177"/>
        <v>0</v>
      </c>
      <c r="EMW63" s="44">
        <f t="shared" si="177"/>
        <v>0</v>
      </c>
      <c r="EMX63" s="44">
        <f t="shared" si="177"/>
        <v>0</v>
      </c>
      <c r="EMY63" s="44">
        <f t="shared" si="177"/>
        <v>0</v>
      </c>
      <c r="EMZ63" s="44">
        <f t="shared" si="177"/>
        <v>0</v>
      </c>
      <c r="ENA63" s="44">
        <f t="shared" si="177"/>
        <v>0</v>
      </c>
      <c r="ENB63" s="44">
        <f t="shared" si="177"/>
        <v>0</v>
      </c>
      <c r="ENC63" s="44">
        <f t="shared" si="177"/>
        <v>0</v>
      </c>
      <c r="END63" s="44">
        <f t="shared" si="177"/>
        <v>0</v>
      </c>
      <c r="ENE63" s="44">
        <f t="shared" si="177"/>
        <v>0</v>
      </c>
      <c r="ENF63" s="44">
        <f t="shared" si="177"/>
        <v>0</v>
      </c>
      <c r="ENG63" s="44">
        <f t="shared" si="177"/>
        <v>0</v>
      </c>
      <c r="ENH63" s="44">
        <f t="shared" si="177"/>
        <v>0</v>
      </c>
      <c r="ENI63" s="44">
        <f t="shared" si="177"/>
        <v>0</v>
      </c>
      <c r="ENJ63" s="44">
        <f t="shared" si="177"/>
        <v>0</v>
      </c>
      <c r="ENK63" s="44">
        <f t="shared" si="177"/>
        <v>0</v>
      </c>
      <c r="ENL63" s="44">
        <f t="shared" si="177"/>
        <v>0</v>
      </c>
      <c r="ENM63" s="44">
        <f t="shared" si="177"/>
        <v>0</v>
      </c>
      <c r="ENN63" s="44">
        <f t="shared" si="177"/>
        <v>0</v>
      </c>
      <c r="ENO63" s="44">
        <f t="shared" si="177"/>
        <v>0</v>
      </c>
      <c r="ENP63" s="44">
        <f t="shared" si="177"/>
        <v>0</v>
      </c>
      <c r="ENQ63" s="44">
        <f t="shared" si="177"/>
        <v>0</v>
      </c>
      <c r="ENR63" s="44">
        <f t="shared" si="177"/>
        <v>0</v>
      </c>
      <c r="ENS63" s="44">
        <f t="shared" si="177"/>
        <v>0</v>
      </c>
      <c r="ENT63" s="44">
        <f t="shared" si="177"/>
        <v>0</v>
      </c>
      <c r="ENU63" s="44">
        <f t="shared" si="177"/>
        <v>0</v>
      </c>
      <c r="ENV63" s="44">
        <f t="shared" si="177"/>
        <v>0</v>
      </c>
      <c r="ENW63" s="44">
        <f t="shared" si="177"/>
        <v>0</v>
      </c>
      <c r="ENX63" s="44">
        <f t="shared" si="177"/>
        <v>0</v>
      </c>
      <c r="ENY63" s="44">
        <f t="shared" si="177"/>
        <v>0</v>
      </c>
      <c r="ENZ63" s="44">
        <f t="shared" si="177"/>
        <v>0</v>
      </c>
      <c r="EOA63" s="44">
        <f t="shared" si="177"/>
        <v>0</v>
      </c>
      <c r="EOB63" s="44">
        <f t="shared" si="177"/>
        <v>0</v>
      </c>
      <c r="EOC63" s="44">
        <f t="shared" si="177"/>
        <v>0</v>
      </c>
      <c r="EOD63" s="44">
        <f t="shared" si="177"/>
        <v>0</v>
      </c>
      <c r="EOE63" s="44">
        <f t="shared" si="177"/>
        <v>0</v>
      </c>
      <c r="EOF63" s="44">
        <f t="shared" si="177"/>
        <v>0</v>
      </c>
      <c r="EOG63" s="44">
        <f t="shared" si="177"/>
        <v>0</v>
      </c>
      <c r="EOH63" s="44">
        <f t="shared" si="177"/>
        <v>0</v>
      </c>
      <c r="EOI63" s="44">
        <f t="shared" si="177"/>
        <v>0</v>
      </c>
      <c r="EOJ63" s="44">
        <f t="shared" si="177"/>
        <v>0</v>
      </c>
      <c r="EOK63" s="44">
        <f t="shared" si="177"/>
        <v>0</v>
      </c>
      <c r="EOL63" s="44">
        <f t="shared" si="177"/>
        <v>0</v>
      </c>
      <c r="EOM63" s="44">
        <f t="shared" si="177"/>
        <v>0</v>
      </c>
      <c r="EON63" s="44">
        <f t="shared" si="177"/>
        <v>0</v>
      </c>
      <c r="EOO63" s="44">
        <f t="shared" si="177"/>
        <v>0</v>
      </c>
      <c r="EOP63" s="44">
        <f t="shared" si="177"/>
        <v>0</v>
      </c>
      <c r="EOQ63" s="44">
        <f t="shared" si="177"/>
        <v>0</v>
      </c>
      <c r="EOR63" s="44">
        <f t="shared" si="177"/>
        <v>0</v>
      </c>
      <c r="EOS63" s="44">
        <f t="shared" si="177"/>
        <v>0</v>
      </c>
      <c r="EOT63" s="44">
        <f t="shared" si="177"/>
        <v>0</v>
      </c>
      <c r="EOU63" s="44">
        <f t="shared" si="177"/>
        <v>0</v>
      </c>
      <c r="EOV63" s="44">
        <f t="shared" si="177"/>
        <v>0</v>
      </c>
      <c r="EOW63" s="44">
        <f t="shared" si="177"/>
        <v>0</v>
      </c>
      <c r="EOX63" s="44">
        <f t="shared" si="177"/>
        <v>0</v>
      </c>
      <c r="EOY63" s="44">
        <f t="shared" si="177"/>
        <v>0</v>
      </c>
      <c r="EOZ63" s="44">
        <f t="shared" si="177"/>
        <v>0</v>
      </c>
      <c r="EPA63" s="44">
        <f t="shared" si="177"/>
        <v>0</v>
      </c>
      <c r="EPB63" s="44">
        <f t="shared" ref="EPB63:ERM63" si="178">SUM(EPB56:EPB57)</f>
        <v>0</v>
      </c>
      <c r="EPC63" s="44">
        <f t="shared" si="178"/>
        <v>0</v>
      </c>
      <c r="EPD63" s="44">
        <f t="shared" si="178"/>
        <v>0</v>
      </c>
      <c r="EPE63" s="44">
        <f t="shared" si="178"/>
        <v>0</v>
      </c>
      <c r="EPF63" s="44">
        <f t="shared" si="178"/>
        <v>0</v>
      </c>
      <c r="EPG63" s="44">
        <f t="shared" si="178"/>
        <v>0</v>
      </c>
      <c r="EPH63" s="44">
        <f t="shared" si="178"/>
        <v>0</v>
      </c>
      <c r="EPI63" s="44">
        <f t="shared" si="178"/>
        <v>0</v>
      </c>
      <c r="EPJ63" s="44">
        <f t="shared" si="178"/>
        <v>0</v>
      </c>
      <c r="EPK63" s="44">
        <f t="shared" si="178"/>
        <v>0</v>
      </c>
      <c r="EPL63" s="44">
        <f t="shared" si="178"/>
        <v>0</v>
      </c>
      <c r="EPM63" s="44">
        <f t="shared" si="178"/>
        <v>0</v>
      </c>
      <c r="EPN63" s="44">
        <f t="shared" si="178"/>
        <v>0</v>
      </c>
      <c r="EPO63" s="44">
        <f t="shared" si="178"/>
        <v>0</v>
      </c>
      <c r="EPP63" s="44">
        <f t="shared" si="178"/>
        <v>0</v>
      </c>
      <c r="EPQ63" s="44">
        <f t="shared" si="178"/>
        <v>0</v>
      </c>
      <c r="EPR63" s="44">
        <f t="shared" si="178"/>
        <v>0</v>
      </c>
      <c r="EPS63" s="44">
        <f t="shared" si="178"/>
        <v>0</v>
      </c>
      <c r="EPT63" s="44">
        <f t="shared" si="178"/>
        <v>0</v>
      </c>
      <c r="EPU63" s="44">
        <f t="shared" si="178"/>
        <v>0</v>
      </c>
      <c r="EPV63" s="44">
        <f t="shared" si="178"/>
        <v>0</v>
      </c>
      <c r="EPW63" s="44">
        <f t="shared" si="178"/>
        <v>0</v>
      </c>
      <c r="EPX63" s="44">
        <f t="shared" si="178"/>
        <v>0</v>
      </c>
      <c r="EPY63" s="44">
        <f t="shared" si="178"/>
        <v>0</v>
      </c>
      <c r="EPZ63" s="44">
        <f t="shared" si="178"/>
        <v>0</v>
      </c>
      <c r="EQA63" s="44">
        <f t="shared" si="178"/>
        <v>0</v>
      </c>
      <c r="EQB63" s="44">
        <f t="shared" si="178"/>
        <v>0</v>
      </c>
      <c r="EQC63" s="44">
        <f t="shared" si="178"/>
        <v>0</v>
      </c>
      <c r="EQD63" s="44">
        <f t="shared" si="178"/>
        <v>0</v>
      </c>
      <c r="EQE63" s="44">
        <f t="shared" si="178"/>
        <v>0</v>
      </c>
      <c r="EQF63" s="44">
        <f t="shared" si="178"/>
        <v>0</v>
      </c>
      <c r="EQG63" s="44">
        <f t="shared" si="178"/>
        <v>0</v>
      </c>
      <c r="EQH63" s="44">
        <f t="shared" si="178"/>
        <v>0</v>
      </c>
      <c r="EQI63" s="44">
        <f t="shared" si="178"/>
        <v>0</v>
      </c>
      <c r="EQJ63" s="44">
        <f t="shared" si="178"/>
        <v>0</v>
      </c>
      <c r="EQK63" s="44">
        <f t="shared" si="178"/>
        <v>0</v>
      </c>
      <c r="EQL63" s="44">
        <f t="shared" si="178"/>
        <v>0</v>
      </c>
      <c r="EQM63" s="44">
        <f t="shared" si="178"/>
        <v>0</v>
      </c>
      <c r="EQN63" s="44">
        <f t="shared" si="178"/>
        <v>0</v>
      </c>
      <c r="EQO63" s="44">
        <f t="shared" si="178"/>
        <v>0</v>
      </c>
      <c r="EQP63" s="44">
        <f t="shared" si="178"/>
        <v>0</v>
      </c>
      <c r="EQQ63" s="44">
        <f t="shared" si="178"/>
        <v>0</v>
      </c>
      <c r="EQR63" s="44">
        <f t="shared" si="178"/>
        <v>0</v>
      </c>
      <c r="EQS63" s="44">
        <f t="shared" si="178"/>
        <v>0</v>
      </c>
      <c r="EQT63" s="44">
        <f t="shared" si="178"/>
        <v>0</v>
      </c>
      <c r="EQU63" s="44">
        <f t="shared" si="178"/>
        <v>0</v>
      </c>
      <c r="EQV63" s="44">
        <f t="shared" si="178"/>
        <v>0</v>
      </c>
      <c r="EQW63" s="44">
        <f t="shared" si="178"/>
        <v>0</v>
      </c>
      <c r="EQX63" s="44">
        <f t="shared" si="178"/>
        <v>0</v>
      </c>
      <c r="EQY63" s="44">
        <f t="shared" si="178"/>
        <v>0</v>
      </c>
      <c r="EQZ63" s="44">
        <f t="shared" si="178"/>
        <v>0</v>
      </c>
      <c r="ERA63" s="44">
        <f t="shared" si="178"/>
        <v>0</v>
      </c>
      <c r="ERB63" s="44">
        <f t="shared" si="178"/>
        <v>0</v>
      </c>
      <c r="ERC63" s="44">
        <f t="shared" si="178"/>
        <v>0</v>
      </c>
      <c r="ERD63" s="44">
        <f t="shared" si="178"/>
        <v>0</v>
      </c>
      <c r="ERE63" s="44">
        <f t="shared" si="178"/>
        <v>0</v>
      </c>
      <c r="ERF63" s="44">
        <f t="shared" si="178"/>
        <v>0</v>
      </c>
      <c r="ERG63" s="44">
        <f t="shared" si="178"/>
        <v>0</v>
      </c>
      <c r="ERH63" s="44">
        <f t="shared" si="178"/>
        <v>0</v>
      </c>
      <c r="ERI63" s="44">
        <f t="shared" si="178"/>
        <v>0</v>
      </c>
      <c r="ERJ63" s="44">
        <f t="shared" si="178"/>
        <v>0</v>
      </c>
      <c r="ERK63" s="44">
        <f t="shared" si="178"/>
        <v>0</v>
      </c>
      <c r="ERL63" s="44">
        <f t="shared" si="178"/>
        <v>0</v>
      </c>
      <c r="ERM63" s="44">
        <f t="shared" si="178"/>
        <v>0</v>
      </c>
      <c r="ERN63" s="44">
        <f t="shared" ref="ERN63:ETY63" si="179">SUM(ERN56:ERN57)</f>
        <v>0</v>
      </c>
      <c r="ERO63" s="44">
        <f t="shared" si="179"/>
        <v>0</v>
      </c>
      <c r="ERP63" s="44">
        <f t="shared" si="179"/>
        <v>0</v>
      </c>
      <c r="ERQ63" s="44">
        <f t="shared" si="179"/>
        <v>0</v>
      </c>
      <c r="ERR63" s="44">
        <f t="shared" si="179"/>
        <v>0</v>
      </c>
      <c r="ERS63" s="44">
        <f t="shared" si="179"/>
        <v>0</v>
      </c>
      <c r="ERT63" s="44">
        <f t="shared" si="179"/>
        <v>0</v>
      </c>
      <c r="ERU63" s="44">
        <f t="shared" si="179"/>
        <v>0</v>
      </c>
      <c r="ERV63" s="44">
        <f t="shared" si="179"/>
        <v>0</v>
      </c>
      <c r="ERW63" s="44">
        <f t="shared" si="179"/>
        <v>0</v>
      </c>
      <c r="ERX63" s="44">
        <f t="shared" si="179"/>
        <v>0</v>
      </c>
      <c r="ERY63" s="44">
        <f t="shared" si="179"/>
        <v>0</v>
      </c>
      <c r="ERZ63" s="44">
        <f t="shared" si="179"/>
        <v>0</v>
      </c>
      <c r="ESA63" s="44">
        <f t="shared" si="179"/>
        <v>0</v>
      </c>
      <c r="ESB63" s="44">
        <f t="shared" si="179"/>
        <v>0</v>
      </c>
      <c r="ESC63" s="44">
        <f t="shared" si="179"/>
        <v>0</v>
      </c>
      <c r="ESD63" s="44">
        <f t="shared" si="179"/>
        <v>0</v>
      </c>
      <c r="ESE63" s="44">
        <f t="shared" si="179"/>
        <v>0</v>
      </c>
      <c r="ESF63" s="44">
        <f t="shared" si="179"/>
        <v>0</v>
      </c>
      <c r="ESG63" s="44">
        <f t="shared" si="179"/>
        <v>0</v>
      </c>
      <c r="ESH63" s="44">
        <f t="shared" si="179"/>
        <v>0</v>
      </c>
      <c r="ESI63" s="44">
        <f t="shared" si="179"/>
        <v>0</v>
      </c>
      <c r="ESJ63" s="44">
        <f t="shared" si="179"/>
        <v>0</v>
      </c>
      <c r="ESK63" s="44">
        <f t="shared" si="179"/>
        <v>0</v>
      </c>
      <c r="ESL63" s="44">
        <f t="shared" si="179"/>
        <v>0</v>
      </c>
      <c r="ESM63" s="44">
        <f t="shared" si="179"/>
        <v>0</v>
      </c>
      <c r="ESN63" s="44">
        <f t="shared" si="179"/>
        <v>0</v>
      </c>
      <c r="ESO63" s="44">
        <f t="shared" si="179"/>
        <v>0</v>
      </c>
      <c r="ESP63" s="44">
        <f t="shared" si="179"/>
        <v>0</v>
      </c>
      <c r="ESQ63" s="44">
        <f t="shared" si="179"/>
        <v>0</v>
      </c>
      <c r="ESR63" s="44">
        <f t="shared" si="179"/>
        <v>0</v>
      </c>
      <c r="ESS63" s="44">
        <f t="shared" si="179"/>
        <v>0</v>
      </c>
      <c r="EST63" s="44">
        <f t="shared" si="179"/>
        <v>0</v>
      </c>
      <c r="ESU63" s="44">
        <f t="shared" si="179"/>
        <v>0</v>
      </c>
      <c r="ESV63" s="44">
        <f t="shared" si="179"/>
        <v>0</v>
      </c>
      <c r="ESW63" s="44">
        <f t="shared" si="179"/>
        <v>0</v>
      </c>
      <c r="ESX63" s="44">
        <f t="shared" si="179"/>
        <v>0</v>
      </c>
      <c r="ESY63" s="44">
        <f t="shared" si="179"/>
        <v>0</v>
      </c>
      <c r="ESZ63" s="44">
        <f t="shared" si="179"/>
        <v>0</v>
      </c>
      <c r="ETA63" s="44">
        <f t="shared" si="179"/>
        <v>0</v>
      </c>
      <c r="ETB63" s="44">
        <f t="shared" si="179"/>
        <v>0</v>
      </c>
      <c r="ETC63" s="44">
        <f t="shared" si="179"/>
        <v>0</v>
      </c>
      <c r="ETD63" s="44">
        <f t="shared" si="179"/>
        <v>0</v>
      </c>
      <c r="ETE63" s="44">
        <f t="shared" si="179"/>
        <v>0</v>
      </c>
      <c r="ETF63" s="44">
        <f t="shared" si="179"/>
        <v>0</v>
      </c>
      <c r="ETG63" s="44">
        <f t="shared" si="179"/>
        <v>0</v>
      </c>
      <c r="ETH63" s="44">
        <f t="shared" si="179"/>
        <v>0</v>
      </c>
      <c r="ETI63" s="44">
        <f t="shared" si="179"/>
        <v>0</v>
      </c>
      <c r="ETJ63" s="44">
        <f t="shared" si="179"/>
        <v>0</v>
      </c>
      <c r="ETK63" s="44">
        <f t="shared" si="179"/>
        <v>0</v>
      </c>
      <c r="ETL63" s="44">
        <f t="shared" si="179"/>
        <v>0</v>
      </c>
      <c r="ETM63" s="44">
        <f t="shared" si="179"/>
        <v>0</v>
      </c>
      <c r="ETN63" s="44">
        <f t="shared" si="179"/>
        <v>0</v>
      </c>
      <c r="ETO63" s="44">
        <f t="shared" si="179"/>
        <v>0</v>
      </c>
      <c r="ETP63" s="44">
        <f t="shared" si="179"/>
        <v>0</v>
      </c>
      <c r="ETQ63" s="44">
        <f t="shared" si="179"/>
        <v>0</v>
      </c>
      <c r="ETR63" s="44">
        <f t="shared" si="179"/>
        <v>0</v>
      </c>
      <c r="ETS63" s="44">
        <f t="shared" si="179"/>
        <v>0</v>
      </c>
      <c r="ETT63" s="44">
        <f t="shared" si="179"/>
        <v>0</v>
      </c>
      <c r="ETU63" s="44">
        <f t="shared" si="179"/>
        <v>0</v>
      </c>
      <c r="ETV63" s="44">
        <f t="shared" si="179"/>
        <v>0</v>
      </c>
      <c r="ETW63" s="44">
        <f t="shared" si="179"/>
        <v>0</v>
      </c>
      <c r="ETX63" s="44">
        <f t="shared" si="179"/>
        <v>0</v>
      </c>
      <c r="ETY63" s="44">
        <f t="shared" si="179"/>
        <v>0</v>
      </c>
      <c r="ETZ63" s="44">
        <f t="shared" ref="ETZ63:EWK63" si="180">SUM(ETZ56:ETZ57)</f>
        <v>0</v>
      </c>
      <c r="EUA63" s="44">
        <f t="shared" si="180"/>
        <v>0</v>
      </c>
      <c r="EUB63" s="44">
        <f t="shared" si="180"/>
        <v>0</v>
      </c>
      <c r="EUC63" s="44">
        <f t="shared" si="180"/>
        <v>0</v>
      </c>
      <c r="EUD63" s="44">
        <f t="shared" si="180"/>
        <v>0</v>
      </c>
      <c r="EUE63" s="44">
        <f t="shared" si="180"/>
        <v>0</v>
      </c>
      <c r="EUF63" s="44">
        <f t="shared" si="180"/>
        <v>0</v>
      </c>
      <c r="EUG63" s="44">
        <f t="shared" si="180"/>
        <v>0</v>
      </c>
      <c r="EUH63" s="44">
        <f t="shared" si="180"/>
        <v>0</v>
      </c>
      <c r="EUI63" s="44">
        <f t="shared" si="180"/>
        <v>0</v>
      </c>
      <c r="EUJ63" s="44">
        <f t="shared" si="180"/>
        <v>0</v>
      </c>
      <c r="EUK63" s="44">
        <f t="shared" si="180"/>
        <v>0</v>
      </c>
      <c r="EUL63" s="44">
        <f t="shared" si="180"/>
        <v>0</v>
      </c>
      <c r="EUM63" s="44">
        <f t="shared" si="180"/>
        <v>0</v>
      </c>
      <c r="EUN63" s="44">
        <f t="shared" si="180"/>
        <v>0</v>
      </c>
      <c r="EUO63" s="44">
        <f t="shared" si="180"/>
        <v>0</v>
      </c>
      <c r="EUP63" s="44">
        <f t="shared" si="180"/>
        <v>0</v>
      </c>
      <c r="EUQ63" s="44">
        <f t="shared" si="180"/>
        <v>0</v>
      </c>
      <c r="EUR63" s="44">
        <f t="shared" si="180"/>
        <v>0</v>
      </c>
      <c r="EUS63" s="44">
        <f t="shared" si="180"/>
        <v>0</v>
      </c>
      <c r="EUT63" s="44">
        <f t="shared" si="180"/>
        <v>0</v>
      </c>
      <c r="EUU63" s="44">
        <f t="shared" si="180"/>
        <v>0</v>
      </c>
      <c r="EUV63" s="44">
        <f t="shared" si="180"/>
        <v>0</v>
      </c>
      <c r="EUW63" s="44">
        <f t="shared" si="180"/>
        <v>0</v>
      </c>
      <c r="EUX63" s="44">
        <f t="shared" si="180"/>
        <v>0</v>
      </c>
      <c r="EUY63" s="44">
        <f t="shared" si="180"/>
        <v>0</v>
      </c>
      <c r="EUZ63" s="44">
        <f t="shared" si="180"/>
        <v>0</v>
      </c>
      <c r="EVA63" s="44">
        <f t="shared" si="180"/>
        <v>0</v>
      </c>
      <c r="EVB63" s="44">
        <f t="shared" si="180"/>
        <v>0</v>
      </c>
      <c r="EVC63" s="44">
        <f t="shared" si="180"/>
        <v>0</v>
      </c>
      <c r="EVD63" s="44">
        <f t="shared" si="180"/>
        <v>0</v>
      </c>
      <c r="EVE63" s="44">
        <f t="shared" si="180"/>
        <v>0</v>
      </c>
      <c r="EVF63" s="44">
        <f t="shared" si="180"/>
        <v>0</v>
      </c>
      <c r="EVG63" s="44">
        <f t="shared" si="180"/>
        <v>0</v>
      </c>
      <c r="EVH63" s="44">
        <f t="shared" si="180"/>
        <v>0</v>
      </c>
      <c r="EVI63" s="44">
        <f t="shared" si="180"/>
        <v>0</v>
      </c>
      <c r="EVJ63" s="44">
        <f t="shared" si="180"/>
        <v>0</v>
      </c>
      <c r="EVK63" s="44">
        <f t="shared" si="180"/>
        <v>0</v>
      </c>
      <c r="EVL63" s="44">
        <f t="shared" si="180"/>
        <v>0</v>
      </c>
      <c r="EVM63" s="44">
        <f t="shared" si="180"/>
        <v>0</v>
      </c>
      <c r="EVN63" s="44">
        <f t="shared" si="180"/>
        <v>0</v>
      </c>
      <c r="EVO63" s="44">
        <f t="shared" si="180"/>
        <v>0</v>
      </c>
      <c r="EVP63" s="44">
        <f t="shared" si="180"/>
        <v>0</v>
      </c>
      <c r="EVQ63" s="44">
        <f t="shared" si="180"/>
        <v>0</v>
      </c>
      <c r="EVR63" s="44">
        <f t="shared" si="180"/>
        <v>0</v>
      </c>
      <c r="EVS63" s="44">
        <f t="shared" si="180"/>
        <v>0</v>
      </c>
      <c r="EVT63" s="44">
        <f t="shared" si="180"/>
        <v>0</v>
      </c>
      <c r="EVU63" s="44">
        <f t="shared" si="180"/>
        <v>0</v>
      </c>
      <c r="EVV63" s="44">
        <f t="shared" si="180"/>
        <v>0</v>
      </c>
      <c r="EVW63" s="44">
        <f t="shared" si="180"/>
        <v>0</v>
      </c>
      <c r="EVX63" s="44">
        <f t="shared" si="180"/>
        <v>0</v>
      </c>
      <c r="EVY63" s="44">
        <f t="shared" si="180"/>
        <v>0</v>
      </c>
      <c r="EVZ63" s="44">
        <f t="shared" si="180"/>
        <v>0</v>
      </c>
      <c r="EWA63" s="44">
        <f t="shared" si="180"/>
        <v>0</v>
      </c>
      <c r="EWB63" s="44">
        <f t="shared" si="180"/>
        <v>0</v>
      </c>
      <c r="EWC63" s="44">
        <f t="shared" si="180"/>
        <v>0</v>
      </c>
      <c r="EWD63" s="44">
        <f t="shared" si="180"/>
        <v>0</v>
      </c>
      <c r="EWE63" s="44">
        <f t="shared" si="180"/>
        <v>0</v>
      </c>
      <c r="EWF63" s="44">
        <f t="shared" si="180"/>
        <v>0</v>
      </c>
      <c r="EWG63" s="44">
        <f t="shared" si="180"/>
        <v>0</v>
      </c>
      <c r="EWH63" s="44">
        <f t="shared" si="180"/>
        <v>0</v>
      </c>
      <c r="EWI63" s="44">
        <f t="shared" si="180"/>
        <v>0</v>
      </c>
      <c r="EWJ63" s="44">
        <f t="shared" si="180"/>
        <v>0</v>
      </c>
      <c r="EWK63" s="44">
        <f t="shared" si="180"/>
        <v>0</v>
      </c>
      <c r="EWL63" s="44">
        <f t="shared" ref="EWL63:EYW63" si="181">SUM(EWL56:EWL57)</f>
        <v>0</v>
      </c>
      <c r="EWM63" s="44">
        <f t="shared" si="181"/>
        <v>0</v>
      </c>
      <c r="EWN63" s="44">
        <f t="shared" si="181"/>
        <v>0</v>
      </c>
      <c r="EWO63" s="44">
        <f t="shared" si="181"/>
        <v>0</v>
      </c>
      <c r="EWP63" s="44">
        <f t="shared" si="181"/>
        <v>0</v>
      </c>
      <c r="EWQ63" s="44">
        <f t="shared" si="181"/>
        <v>0</v>
      </c>
      <c r="EWR63" s="44">
        <f t="shared" si="181"/>
        <v>0</v>
      </c>
      <c r="EWS63" s="44">
        <f t="shared" si="181"/>
        <v>0</v>
      </c>
      <c r="EWT63" s="44">
        <f t="shared" si="181"/>
        <v>0</v>
      </c>
      <c r="EWU63" s="44">
        <f t="shared" si="181"/>
        <v>0</v>
      </c>
      <c r="EWV63" s="44">
        <f t="shared" si="181"/>
        <v>0</v>
      </c>
      <c r="EWW63" s="44">
        <f t="shared" si="181"/>
        <v>0</v>
      </c>
      <c r="EWX63" s="44">
        <f t="shared" si="181"/>
        <v>0</v>
      </c>
      <c r="EWY63" s="44">
        <f t="shared" si="181"/>
        <v>0</v>
      </c>
      <c r="EWZ63" s="44">
        <f t="shared" si="181"/>
        <v>0</v>
      </c>
      <c r="EXA63" s="44">
        <f t="shared" si="181"/>
        <v>0</v>
      </c>
      <c r="EXB63" s="44">
        <f t="shared" si="181"/>
        <v>0</v>
      </c>
      <c r="EXC63" s="44">
        <f t="shared" si="181"/>
        <v>0</v>
      </c>
      <c r="EXD63" s="44">
        <f t="shared" si="181"/>
        <v>0</v>
      </c>
      <c r="EXE63" s="44">
        <f t="shared" si="181"/>
        <v>0</v>
      </c>
      <c r="EXF63" s="44">
        <f t="shared" si="181"/>
        <v>0</v>
      </c>
      <c r="EXG63" s="44">
        <f t="shared" si="181"/>
        <v>0</v>
      </c>
      <c r="EXH63" s="44">
        <f t="shared" si="181"/>
        <v>0</v>
      </c>
      <c r="EXI63" s="44">
        <f t="shared" si="181"/>
        <v>0</v>
      </c>
      <c r="EXJ63" s="44">
        <f t="shared" si="181"/>
        <v>0</v>
      </c>
      <c r="EXK63" s="44">
        <f t="shared" si="181"/>
        <v>0</v>
      </c>
      <c r="EXL63" s="44">
        <f t="shared" si="181"/>
        <v>0</v>
      </c>
      <c r="EXM63" s="44">
        <f t="shared" si="181"/>
        <v>0</v>
      </c>
      <c r="EXN63" s="44">
        <f t="shared" si="181"/>
        <v>0</v>
      </c>
      <c r="EXO63" s="44">
        <f t="shared" si="181"/>
        <v>0</v>
      </c>
      <c r="EXP63" s="44">
        <f t="shared" si="181"/>
        <v>0</v>
      </c>
      <c r="EXQ63" s="44">
        <f t="shared" si="181"/>
        <v>0</v>
      </c>
      <c r="EXR63" s="44">
        <f t="shared" si="181"/>
        <v>0</v>
      </c>
      <c r="EXS63" s="44">
        <f t="shared" si="181"/>
        <v>0</v>
      </c>
      <c r="EXT63" s="44">
        <f t="shared" si="181"/>
        <v>0</v>
      </c>
      <c r="EXU63" s="44">
        <f t="shared" si="181"/>
        <v>0</v>
      </c>
      <c r="EXV63" s="44">
        <f t="shared" si="181"/>
        <v>0</v>
      </c>
      <c r="EXW63" s="44">
        <f t="shared" si="181"/>
        <v>0</v>
      </c>
      <c r="EXX63" s="44">
        <f t="shared" si="181"/>
        <v>0</v>
      </c>
      <c r="EXY63" s="44">
        <f t="shared" si="181"/>
        <v>0</v>
      </c>
      <c r="EXZ63" s="44">
        <f t="shared" si="181"/>
        <v>0</v>
      </c>
      <c r="EYA63" s="44">
        <f t="shared" si="181"/>
        <v>0</v>
      </c>
      <c r="EYB63" s="44">
        <f t="shared" si="181"/>
        <v>0</v>
      </c>
      <c r="EYC63" s="44">
        <f t="shared" si="181"/>
        <v>0</v>
      </c>
      <c r="EYD63" s="44">
        <f t="shared" si="181"/>
        <v>0</v>
      </c>
      <c r="EYE63" s="44">
        <f t="shared" si="181"/>
        <v>0</v>
      </c>
      <c r="EYF63" s="44">
        <f t="shared" si="181"/>
        <v>0</v>
      </c>
      <c r="EYG63" s="44">
        <f t="shared" si="181"/>
        <v>0</v>
      </c>
      <c r="EYH63" s="44">
        <f t="shared" si="181"/>
        <v>0</v>
      </c>
      <c r="EYI63" s="44">
        <f t="shared" si="181"/>
        <v>0</v>
      </c>
      <c r="EYJ63" s="44">
        <f t="shared" si="181"/>
        <v>0</v>
      </c>
      <c r="EYK63" s="44">
        <f t="shared" si="181"/>
        <v>0</v>
      </c>
      <c r="EYL63" s="44">
        <f t="shared" si="181"/>
        <v>0</v>
      </c>
      <c r="EYM63" s="44">
        <f t="shared" si="181"/>
        <v>0</v>
      </c>
      <c r="EYN63" s="44">
        <f t="shared" si="181"/>
        <v>0</v>
      </c>
      <c r="EYO63" s="44">
        <f t="shared" si="181"/>
        <v>0</v>
      </c>
      <c r="EYP63" s="44">
        <f t="shared" si="181"/>
        <v>0</v>
      </c>
      <c r="EYQ63" s="44">
        <f t="shared" si="181"/>
        <v>0</v>
      </c>
      <c r="EYR63" s="44">
        <f t="shared" si="181"/>
        <v>0</v>
      </c>
      <c r="EYS63" s="44">
        <f t="shared" si="181"/>
        <v>0</v>
      </c>
      <c r="EYT63" s="44">
        <f t="shared" si="181"/>
        <v>0</v>
      </c>
      <c r="EYU63" s="44">
        <f t="shared" si="181"/>
        <v>0</v>
      </c>
      <c r="EYV63" s="44">
        <f t="shared" si="181"/>
        <v>0</v>
      </c>
      <c r="EYW63" s="44">
        <f t="shared" si="181"/>
        <v>0</v>
      </c>
      <c r="EYX63" s="44">
        <f t="shared" ref="EYX63:FBI63" si="182">SUM(EYX56:EYX57)</f>
        <v>0</v>
      </c>
      <c r="EYY63" s="44">
        <f t="shared" si="182"/>
        <v>0</v>
      </c>
      <c r="EYZ63" s="44">
        <f t="shared" si="182"/>
        <v>0</v>
      </c>
      <c r="EZA63" s="44">
        <f t="shared" si="182"/>
        <v>0</v>
      </c>
      <c r="EZB63" s="44">
        <f t="shared" si="182"/>
        <v>0</v>
      </c>
      <c r="EZC63" s="44">
        <f t="shared" si="182"/>
        <v>0</v>
      </c>
      <c r="EZD63" s="44">
        <f t="shared" si="182"/>
        <v>0</v>
      </c>
      <c r="EZE63" s="44">
        <f t="shared" si="182"/>
        <v>0</v>
      </c>
      <c r="EZF63" s="44">
        <f t="shared" si="182"/>
        <v>0</v>
      </c>
      <c r="EZG63" s="44">
        <f t="shared" si="182"/>
        <v>0</v>
      </c>
      <c r="EZH63" s="44">
        <f t="shared" si="182"/>
        <v>0</v>
      </c>
      <c r="EZI63" s="44">
        <f t="shared" si="182"/>
        <v>0</v>
      </c>
      <c r="EZJ63" s="44">
        <f t="shared" si="182"/>
        <v>0</v>
      </c>
      <c r="EZK63" s="44">
        <f t="shared" si="182"/>
        <v>0</v>
      </c>
      <c r="EZL63" s="44">
        <f t="shared" si="182"/>
        <v>0</v>
      </c>
      <c r="EZM63" s="44">
        <f t="shared" si="182"/>
        <v>0</v>
      </c>
      <c r="EZN63" s="44">
        <f t="shared" si="182"/>
        <v>0</v>
      </c>
      <c r="EZO63" s="44">
        <f t="shared" si="182"/>
        <v>0</v>
      </c>
      <c r="EZP63" s="44">
        <f t="shared" si="182"/>
        <v>0</v>
      </c>
      <c r="EZQ63" s="44">
        <f t="shared" si="182"/>
        <v>0</v>
      </c>
      <c r="EZR63" s="44">
        <f t="shared" si="182"/>
        <v>0</v>
      </c>
      <c r="EZS63" s="44">
        <f t="shared" si="182"/>
        <v>0</v>
      </c>
      <c r="EZT63" s="44">
        <f t="shared" si="182"/>
        <v>0</v>
      </c>
      <c r="EZU63" s="44">
        <f t="shared" si="182"/>
        <v>0</v>
      </c>
      <c r="EZV63" s="44">
        <f t="shared" si="182"/>
        <v>0</v>
      </c>
      <c r="EZW63" s="44">
        <f t="shared" si="182"/>
        <v>0</v>
      </c>
      <c r="EZX63" s="44">
        <f t="shared" si="182"/>
        <v>0</v>
      </c>
      <c r="EZY63" s="44">
        <f t="shared" si="182"/>
        <v>0</v>
      </c>
      <c r="EZZ63" s="44">
        <f t="shared" si="182"/>
        <v>0</v>
      </c>
      <c r="FAA63" s="44">
        <f t="shared" si="182"/>
        <v>0</v>
      </c>
      <c r="FAB63" s="44">
        <f t="shared" si="182"/>
        <v>0</v>
      </c>
      <c r="FAC63" s="44">
        <f t="shared" si="182"/>
        <v>0</v>
      </c>
      <c r="FAD63" s="44">
        <f t="shared" si="182"/>
        <v>0</v>
      </c>
      <c r="FAE63" s="44">
        <f t="shared" si="182"/>
        <v>0</v>
      </c>
      <c r="FAF63" s="44">
        <f t="shared" si="182"/>
        <v>0</v>
      </c>
      <c r="FAG63" s="44">
        <f t="shared" si="182"/>
        <v>0</v>
      </c>
      <c r="FAH63" s="44">
        <f t="shared" si="182"/>
        <v>0</v>
      </c>
      <c r="FAI63" s="44">
        <f t="shared" si="182"/>
        <v>0</v>
      </c>
      <c r="FAJ63" s="44">
        <f t="shared" si="182"/>
        <v>0</v>
      </c>
      <c r="FAK63" s="44">
        <f t="shared" si="182"/>
        <v>0</v>
      </c>
      <c r="FAL63" s="44">
        <f t="shared" si="182"/>
        <v>0</v>
      </c>
      <c r="FAM63" s="44">
        <f t="shared" si="182"/>
        <v>0</v>
      </c>
      <c r="FAN63" s="44">
        <f t="shared" si="182"/>
        <v>0</v>
      </c>
      <c r="FAO63" s="44">
        <f t="shared" si="182"/>
        <v>0</v>
      </c>
      <c r="FAP63" s="44">
        <f t="shared" si="182"/>
        <v>0</v>
      </c>
      <c r="FAQ63" s="44">
        <f t="shared" si="182"/>
        <v>0</v>
      </c>
      <c r="FAR63" s="44">
        <f t="shared" si="182"/>
        <v>0</v>
      </c>
      <c r="FAS63" s="44">
        <f t="shared" si="182"/>
        <v>0</v>
      </c>
      <c r="FAT63" s="44">
        <f t="shared" si="182"/>
        <v>0</v>
      </c>
      <c r="FAU63" s="44">
        <f t="shared" si="182"/>
        <v>0</v>
      </c>
      <c r="FAV63" s="44">
        <f t="shared" si="182"/>
        <v>0</v>
      </c>
      <c r="FAW63" s="44">
        <f t="shared" si="182"/>
        <v>0</v>
      </c>
      <c r="FAX63" s="44">
        <f t="shared" si="182"/>
        <v>0</v>
      </c>
      <c r="FAY63" s="44">
        <f t="shared" si="182"/>
        <v>0</v>
      </c>
      <c r="FAZ63" s="44">
        <f t="shared" si="182"/>
        <v>0</v>
      </c>
      <c r="FBA63" s="44">
        <f t="shared" si="182"/>
        <v>0</v>
      </c>
      <c r="FBB63" s="44">
        <f t="shared" si="182"/>
        <v>0</v>
      </c>
      <c r="FBC63" s="44">
        <f t="shared" si="182"/>
        <v>0</v>
      </c>
      <c r="FBD63" s="44">
        <f t="shared" si="182"/>
        <v>0</v>
      </c>
      <c r="FBE63" s="44">
        <f t="shared" si="182"/>
        <v>0</v>
      </c>
      <c r="FBF63" s="44">
        <f t="shared" si="182"/>
        <v>0</v>
      </c>
      <c r="FBG63" s="44">
        <f t="shared" si="182"/>
        <v>0</v>
      </c>
      <c r="FBH63" s="44">
        <f t="shared" si="182"/>
        <v>0</v>
      </c>
      <c r="FBI63" s="44">
        <f t="shared" si="182"/>
        <v>0</v>
      </c>
      <c r="FBJ63" s="44">
        <f t="shared" ref="FBJ63:FDU63" si="183">SUM(FBJ56:FBJ57)</f>
        <v>0</v>
      </c>
      <c r="FBK63" s="44">
        <f t="shared" si="183"/>
        <v>0</v>
      </c>
      <c r="FBL63" s="44">
        <f t="shared" si="183"/>
        <v>0</v>
      </c>
      <c r="FBM63" s="44">
        <f t="shared" si="183"/>
        <v>0</v>
      </c>
      <c r="FBN63" s="44">
        <f t="shared" si="183"/>
        <v>0</v>
      </c>
      <c r="FBO63" s="44">
        <f t="shared" si="183"/>
        <v>0</v>
      </c>
      <c r="FBP63" s="44">
        <f t="shared" si="183"/>
        <v>0</v>
      </c>
      <c r="FBQ63" s="44">
        <f t="shared" si="183"/>
        <v>0</v>
      </c>
      <c r="FBR63" s="44">
        <f t="shared" si="183"/>
        <v>0</v>
      </c>
      <c r="FBS63" s="44">
        <f t="shared" si="183"/>
        <v>0</v>
      </c>
      <c r="FBT63" s="44">
        <f t="shared" si="183"/>
        <v>0</v>
      </c>
      <c r="FBU63" s="44">
        <f t="shared" si="183"/>
        <v>0</v>
      </c>
      <c r="FBV63" s="44">
        <f t="shared" si="183"/>
        <v>0</v>
      </c>
      <c r="FBW63" s="44">
        <f t="shared" si="183"/>
        <v>0</v>
      </c>
      <c r="FBX63" s="44">
        <f t="shared" si="183"/>
        <v>0</v>
      </c>
      <c r="FBY63" s="44">
        <f t="shared" si="183"/>
        <v>0</v>
      </c>
      <c r="FBZ63" s="44">
        <f t="shared" si="183"/>
        <v>0</v>
      </c>
      <c r="FCA63" s="44">
        <f t="shared" si="183"/>
        <v>0</v>
      </c>
      <c r="FCB63" s="44">
        <f t="shared" si="183"/>
        <v>0</v>
      </c>
      <c r="FCC63" s="44">
        <f t="shared" si="183"/>
        <v>0</v>
      </c>
      <c r="FCD63" s="44">
        <f t="shared" si="183"/>
        <v>0</v>
      </c>
      <c r="FCE63" s="44">
        <f t="shared" si="183"/>
        <v>0</v>
      </c>
      <c r="FCF63" s="44">
        <f t="shared" si="183"/>
        <v>0</v>
      </c>
      <c r="FCG63" s="44">
        <f t="shared" si="183"/>
        <v>0</v>
      </c>
      <c r="FCH63" s="44">
        <f t="shared" si="183"/>
        <v>0</v>
      </c>
      <c r="FCI63" s="44">
        <f t="shared" si="183"/>
        <v>0</v>
      </c>
      <c r="FCJ63" s="44">
        <f t="shared" si="183"/>
        <v>0</v>
      </c>
      <c r="FCK63" s="44">
        <f t="shared" si="183"/>
        <v>0</v>
      </c>
      <c r="FCL63" s="44">
        <f t="shared" si="183"/>
        <v>0</v>
      </c>
      <c r="FCM63" s="44">
        <f t="shared" si="183"/>
        <v>0</v>
      </c>
      <c r="FCN63" s="44">
        <f t="shared" si="183"/>
        <v>0</v>
      </c>
      <c r="FCO63" s="44">
        <f t="shared" si="183"/>
        <v>0</v>
      </c>
      <c r="FCP63" s="44">
        <f t="shared" si="183"/>
        <v>0</v>
      </c>
      <c r="FCQ63" s="44">
        <f t="shared" si="183"/>
        <v>0</v>
      </c>
      <c r="FCR63" s="44">
        <f t="shared" si="183"/>
        <v>0</v>
      </c>
      <c r="FCS63" s="44">
        <f t="shared" si="183"/>
        <v>0</v>
      </c>
      <c r="FCT63" s="44">
        <f t="shared" si="183"/>
        <v>0</v>
      </c>
      <c r="FCU63" s="44">
        <f t="shared" si="183"/>
        <v>0</v>
      </c>
      <c r="FCV63" s="44">
        <f t="shared" si="183"/>
        <v>0</v>
      </c>
      <c r="FCW63" s="44">
        <f t="shared" si="183"/>
        <v>0</v>
      </c>
      <c r="FCX63" s="44">
        <f t="shared" si="183"/>
        <v>0</v>
      </c>
      <c r="FCY63" s="44">
        <f t="shared" si="183"/>
        <v>0</v>
      </c>
      <c r="FCZ63" s="44">
        <f t="shared" si="183"/>
        <v>0</v>
      </c>
      <c r="FDA63" s="44">
        <f t="shared" si="183"/>
        <v>0</v>
      </c>
      <c r="FDB63" s="44">
        <f t="shared" si="183"/>
        <v>0</v>
      </c>
      <c r="FDC63" s="44">
        <f t="shared" si="183"/>
        <v>0</v>
      </c>
      <c r="FDD63" s="44">
        <f t="shared" si="183"/>
        <v>0</v>
      </c>
      <c r="FDE63" s="44">
        <f t="shared" si="183"/>
        <v>0</v>
      </c>
      <c r="FDF63" s="44">
        <f t="shared" si="183"/>
        <v>0</v>
      </c>
      <c r="FDG63" s="44">
        <f t="shared" si="183"/>
        <v>0</v>
      </c>
      <c r="FDH63" s="44">
        <f t="shared" si="183"/>
        <v>0</v>
      </c>
      <c r="FDI63" s="44">
        <f t="shared" si="183"/>
        <v>0</v>
      </c>
      <c r="FDJ63" s="44">
        <f t="shared" si="183"/>
        <v>0</v>
      </c>
      <c r="FDK63" s="44">
        <f t="shared" si="183"/>
        <v>0</v>
      </c>
      <c r="FDL63" s="44">
        <f t="shared" si="183"/>
        <v>0</v>
      </c>
      <c r="FDM63" s="44">
        <f t="shared" si="183"/>
        <v>0</v>
      </c>
      <c r="FDN63" s="44">
        <f t="shared" si="183"/>
        <v>0</v>
      </c>
      <c r="FDO63" s="44">
        <f t="shared" si="183"/>
        <v>0</v>
      </c>
      <c r="FDP63" s="44">
        <f t="shared" si="183"/>
        <v>0</v>
      </c>
      <c r="FDQ63" s="44">
        <f t="shared" si="183"/>
        <v>0</v>
      </c>
      <c r="FDR63" s="44">
        <f t="shared" si="183"/>
        <v>0</v>
      </c>
      <c r="FDS63" s="44">
        <f t="shared" si="183"/>
        <v>0</v>
      </c>
      <c r="FDT63" s="44">
        <f t="shared" si="183"/>
        <v>0</v>
      </c>
      <c r="FDU63" s="44">
        <f t="shared" si="183"/>
        <v>0</v>
      </c>
      <c r="FDV63" s="44">
        <f t="shared" ref="FDV63:FGG63" si="184">SUM(FDV56:FDV57)</f>
        <v>0</v>
      </c>
      <c r="FDW63" s="44">
        <f t="shared" si="184"/>
        <v>0</v>
      </c>
      <c r="FDX63" s="44">
        <f t="shared" si="184"/>
        <v>0</v>
      </c>
      <c r="FDY63" s="44">
        <f t="shared" si="184"/>
        <v>0</v>
      </c>
      <c r="FDZ63" s="44">
        <f t="shared" si="184"/>
        <v>0</v>
      </c>
      <c r="FEA63" s="44">
        <f t="shared" si="184"/>
        <v>0</v>
      </c>
      <c r="FEB63" s="44">
        <f t="shared" si="184"/>
        <v>0</v>
      </c>
      <c r="FEC63" s="44">
        <f t="shared" si="184"/>
        <v>0</v>
      </c>
      <c r="FED63" s="44">
        <f t="shared" si="184"/>
        <v>0</v>
      </c>
      <c r="FEE63" s="44">
        <f t="shared" si="184"/>
        <v>0</v>
      </c>
      <c r="FEF63" s="44">
        <f t="shared" si="184"/>
        <v>0</v>
      </c>
      <c r="FEG63" s="44">
        <f t="shared" si="184"/>
        <v>0</v>
      </c>
      <c r="FEH63" s="44">
        <f t="shared" si="184"/>
        <v>0</v>
      </c>
      <c r="FEI63" s="44">
        <f t="shared" si="184"/>
        <v>0</v>
      </c>
      <c r="FEJ63" s="44">
        <f t="shared" si="184"/>
        <v>0</v>
      </c>
      <c r="FEK63" s="44">
        <f t="shared" si="184"/>
        <v>0</v>
      </c>
      <c r="FEL63" s="44">
        <f t="shared" si="184"/>
        <v>0</v>
      </c>
      <c r="FEM63" s="44">
        <f t="shared" si="184"/>
        <v>0</v>
      </c>
      <c r="FEN63" s="44">
        <f t="shared" si="184"/>
        <v>0</v>
      </c>
      <c r="FEO63" s="44">
        <f t="shared" si="184"/>
        <v>0</v>
      </c>
      <c r="FEP63" s="44">
        <f t="shared" si="184"/>
        <v>0</v>
      </c>
      <c r="FEQ63" s="44">
        <f t="shared" si="184"/>
        <v>0</v>
      </c>
      <c r="FER63" s="44">
        <f t="shared" si="184"/>
        <v>0</v>
      </c>
      <c r="FES63" s="44">
        <f t="shared" si="184"/>
        <v>0</v>
      </c>
      <c r="FET63" s="44">
        <f t="shared" si="184"/>
        <v>0</v>
      </c>
      <c r="FEU63" s="44">
        <f t="shared" si="184"/>
        <v>0</v>
      </c>
      <c r="FEV63" s="44">
        <f t="shared" si="184"/>
        <v>0</v>
      </c>
      <c r="FEW63" s="44">
        <f t="shared" si="184"/>
        <v>0</v>
      </c>
      <c r="FEX63" s="44">
        <f t="shared" si="184"/>
        <v>0</v>
      </c>
      <c r="FEY63" s="44">
        <f t="shared" si="184"/>
        <v>0</v>
      </c>
      <c r="FEZ63" s="44">
        <f t="shared" si="184"/>
        <v>0</v>
      </c>
      <c r="FFA63" s="44">
        <f t="shared" si="184"/>
        <v>0</v>
      </c>
      <c r="FFB63" s="44">
        <f t="shared" si="184"/>
        <v>0</v>
      </c>
      <c r="FFC63" s="44">
        <f t="shared" si="184"/>
        <v>0</v>
      </c>
      <c r="FFD63" s="44">
        <f t="shared" si="184"/>
        <v>0</v>
      </c>
      <c r="FFE63" s="44">
        <f t="shared" si="184"/>
        <v>0</v>
      </c>
      <c r="FFF63" s="44">
        <f t="shared" si="184"/>
        <v>0</v>
      </c>
      <c r="FFG63" s="44">
        <f t="shared" si="184"/>
        <v>0</v>
      </c>
      <c r="FFH63" s="44">
        <f t="shared" si="184"/>
        <v>0</v>
      </c>
      <c r="FFI63" s="44">
        <f t="shared" si="184"/>
        <v>0</v>
      </c>
      <c r="FFJ63" s="44">
        <f t="shared" si="184"/>
        <v>0</v>
      </c>
      <c r="FFK63" s="44">
        <f t="shared" si="184"/>
        <v>0</v>
      </c>
      <c r="FFL63" s="44">
        <f t="shared" si="184"/>
        <v>0</v>
      </c>
      <c r="FFM63" s="44">
        <f t="shared" si="184"/>
        <v>0</v>
      </c>
      <c r="FFN63" s="44">
        <f t="shared" si="184"/>
        <v>0</v>
      </c>
      <c r="FFO63" s="44">
        <f t="shared" si="184"/>
        <v>0</v>
      </c>
      <c r="FFP63" s="44">
        <f t="shared" si="184"/>
        <v>0</v>
      </c>
      <c r="FFQ63" s="44">
        <f t="shared" si="184"/>
        <v>0</v>
      </c>
      <c r="FFR63" s="44">
        <f t="shared" si="184"/>
        <v>0</v>
      </c>
      <c r="FFS63" s="44">
        <f t="shared" si="184"/>
        <v>0</v>
      </c>
      <c r="FFT63" s="44">
        <f t="shared" si="184"/>
        <v>0</v>
      </c>
      <c r="FFU63" s="44">
        <f t="shared" si="184"/>
        <v>0</v>
      </c>
      <c r="FFV63" s="44">
        <f t="shared" si="184"/>
        <v>0</v>
      </c>
      <c r="FFW63" s="44">
        <f t="shared" si="184"/>
        <v>0</v>
      </c>
      <c r="FFX63" s="44">
        <f t="shared" si="184"/>
        <v>0</v>
      </c>
      <c r="FFY63" s="44">
        <f t="shared" si="184"/>
        <v>0</v>
      </c>
      <c r="FFZ63" s="44">
        <f t="shared" si="184"/>
        <v>0</v>
      </c>
      <c r="FGA63" s="44">
        <f t="shared" si="184"/>
        <v>0</v>
      </c>
      <c r="FGB63" s="44">
        <f t="shared" si="184"/>
        <v>0</v>
      </c>
      <c r="FGC63" s="44">
        <f t="shared" si="184"/>
        <v>0</v>
      </c>
      <c r="FGD63" s="44">
        <f t="shared" si="184"/>
        <v>0</v>
      </c>
      <c r="FGE63" s="44">
        <f t="shared" si="184"/>
        <v>0</v>
      </c>
      <c r="FGF63" s="44">
        <f t="shared" si="184"/>
        <v>0</v>
      </c>
      <c r="FGG63" s="44">
        <f t="shared" si="184"/>
        <v>0</v>
      </c>
      <c r="FGH63" s="44">
        <f t="shared" ref="FGH63:FIS63" si="185">SUM(FGH56:FGH57)</f>
        <v>0</v>
      </c>
      <c r="FGI63" s="44">
        <f t="shared" si="185"/>
        <v>0</v>
      </c>
      <c r="FGJ63" s="44">
        <f t="shared" si="185"/>
        <v>0</v>
      </c>
      <c r="FGK63" s="44">
        <f t="shared" si="185"/>
        <v>0</v>
      </c>
      <c r="FGL63" s="44">
        <f t="shared" si="185"/>
        <v>0</v>
      </c>
      <c r="FGM63" s="44">
        <f t="shared" si="185"/>
        <v>0</v>
      </c>
      <c r="FGN63" s="44">
        <f t="shared" si="185"/>
        <v>0</v>
      </c>
      <c r="FGO63" s="44">
        <f t="shared" si="185"/>
        <v>0</v>
      </c>
      <c r="FGP63" s="44">
        <f t="shared" si="185"/>
        <v>0</v>
      </c>
      <c r="FGQ63" s="44">
        <f t="shared" si="185"/>
        <v>0</v>
      </c>
      <c r="FGR63" s="44">
        <f t="shared" si="185"/>
        <v>0</v>
      </c>
      <c r="FGS63" s="44">
        <f t="shared" si="185"/>
        <v>0</v>
      </c>
      <c r="FGT63" s="44">
        <f t="shared" si="185"/>
        <v>0</v>
      </c>
      <c r="FGU63" s="44">
        <f t="shared" si="185"/>
        <v>0</v>
      </c>
      <c r="FGV63" s="44">
        <f t="shared" si="185"/>
        <v>0</v>
      </c>
      <c r="FGW63" s="44">
        <f t="shared" si="185"/>
        <v>0</v>
      </c>
      <c r="FGX63" s="44">
        <f t="shared" si="185"/>
        <v>0</v>
      </c>
      <c r="FGY63" s="44">
        <f t="shared" si="185"/>
        <v>0</v>
      </c>
      <c r="FGZ63" s="44">
        <f t="shared" si="185"/>
        <v>0</v>
      </c>
      <c r="FHA63" s="44">
        <f t="shared" si="185"/>
        <v>0</v>
      </c>
      <c r="FHB63" s="44">
        <f t="shared" si="185"/>
        <v>0</v>
      </c>
      <c r="FHC63" s="44">
        <f t="shared" si="185"/>
        <v>0</v>
      </c>
      <c r="FHD63" s="44">
        <f t="shared" si="185"/>
        <v>0</v>
      </c>
      <c r="FHE63" s="44">
        <f t="shared" si="185"/>
        <v>0</v>
      </c>
      <c r="FHF63" s="44">
        <f t="shared" si="185"/>
        <v>0</v>
      </c>
      <c r="FHG63" s="44">
        <f t="shared" si="185"/>
        <v>0</v>
      </c>
      <c r="FHH63" s="44">
        <f t="shared" si="185"/>
        <v>0</v>
      </c>
      <c r="FHI63" s="44">
        <f t="shared" si="185"/>
        <v>0</v>
      </c>
      <c r="FHJ63" s="44">
        <f t="shared" si="185"/>
        <v>0</v>
      </c>
      <c r="FHK63" s="44">
        <f t="shared" si="185"/>
        <v>0</v>
      </c>
      <c r="FHL63" s="44">
        <f t="shared" si="185"/>
        <v>0</v>
      </c>
      <c r="FHM63" s="44">
        <f t="shared" si="185"/>
        <v>0</v>
      </c>
      <c r="FHN63" s="44">
        <f t="shared" si="185"/>
        <v>0</v>
      </c>
      <c r="FHO63" s="44">
        <f t="shared" si="185"/>
        <v>0</v>
      </c>
      <c r="FHP63" s="44">
        <f t="shared" si="185"/>
        <v>0</v>
      </c>
      <c r="FHQ63" s="44">
        <f t="shared" si="185"/>
        <v>0</v>
      </c>
      <c r="FHR63" s="44">
        <f t="shared" si="185"/>
        <v>0</v>
      </c>
      <c r="FHS63" s="44">
        <f t="shared" si="185"/>
        <v>0</v>
      </c>
      <c r="FHT63" s="44">
        <f t="shared" si="185"/>
        <v>0</v>
      </c>
      <c r="FHU63" s="44">
        <f t="shared" si="185"/>
        <v>0</v>
      </c>
      <c r="FHV63" s="44">
        <f t="shared" si="185"/>
        <v>0</v>
      </c>
      <c r="FHW63" s="44">
        <f t="shared" si="185"/>
        <v>0</v>
      </c>
      <c r="FHX63" s="44">
        <f t="shared" si="185"/>
        <v>0</v>
      </c>
      <c r="FHY63" s="44">
        <f t="shared" si="185"/>
        <v>0</v>
      </c>
      <c r="FHZ63" s="44">
        <f t="shared" si="185"/>
        <v>0</v>
      </c>
      <c r="FIA63" s="44">
        <f t="shared" si="185"/>
        <v>0</v>
      </c>
      <c r="FIB63" s="44">
        <f t="shared" si="185"/>
        <v>0</v>
      </c>
      <c r="FIC63" s="44">
        <f t="shared" si="185"/>
        <v>0</v>
      </c>
      <c r="FID63" s="44">
        <f t="shared" si="185"/>
        <v>0</v>
      </c>
      <c r="FIE63" s="44">
        <f t="shared" si="185"/>
        <v>0</v>
      </c>
      <c r="FIF63" s="44">
        <f t="shared" si="185"/>
        <v>0</v>
      </c>
      <c r="FIG63" s="44">
        <f t="shared" si="185"/>
        <v>0</v>
      </c>
      <c r="FIH63" s="44">
        <f t="shared" si="185"/>
        <v>0</v>
      </c>
      <c r="FII63" s="44">
        <f t="shared" si="185"/>
        <v>0</v>
      </c>
      <c r="FIJ63" s="44">
        <f t="shared" si="185"/>
        <v>0</v>
      </c>
      <c r="FIK63" s="44">
        <f t="shared" si="185"/>
        <v>0</v>
      </c>
      <c r="FIL63" s="44">
        <f t="shared" si="185"/>
        <v>0</v>
      </c>
      <c r="FIM63" s="44">
        <f t="shared" si="185"/>
        <v>0</v>
      </c>
      <c r="FIN63" s="44">
        <f t="shared" si="185"/>
        <v>0</v>
      </c>
      <c r="FIO63" s="44">
        <f t="shared" si="185"/>
        <v>0</v>
      </c>
      <c r="FIP63" s="44">
        <f t="shared" si="185"/>
        <v>0</v>
      </c>
      <c r="FIQ63" s="44">
        <f t="shared" si="185"/>
        <v>0</v>
      </c>
      <c r="FIR63" s="44">
        <f t="shared" si="185"/>
        <v>0</v>
      </c>
      <c r="FIS63" s="44">
        <f t="shared" si="185"/>
        <v>0</v>
      </c>
      <c r="FIT63" s="44">
        <f t="shared" ref="FIT63:FLE63" si="186">SUM(FIT56:FIT57)</f>
        <v>0</v>
      </c>
      <c r="FIU63" s="44">
        <f t="shared" si="186"/>
        <v>0</v>
      </c>
      <c r="FIV63" s="44">
        <f t="shared" si="186"/>
        <v>0</v>
      </c>
      <c r="FIW63" s="44">
        <f t="shared" si="186"/>
        <v>0</v>
      </c>
      <c r="FIX63" s="44">
        <f t="shared" si="186"/>
        <v>0</v>
      </c>
      <c r="FIY63" s="44">
        <f t="shared" si="186"/>
        <v>0</v>
      </c>
      <c r="FIZ63" s="44">
        <f t="shared" si="186"/>
        <v>0</v>
      </c>
      <c r="FJA63" s="44">
        <f t="shared" si="186"/>
        <v>0</v>
      </c>
      <c r="FJB63" s="44">
        <f t="shared" si="186"/>
        <v>0</v>
      </c>
      <c r="FJC63" s="44">
        <f t="shared" si="186"/>
        <v>0</v>
      </c>
      <c r="FJD63" s="44">
        <f t="shared" si="186"/>
        <v>0</v>
      </c>
      <c r="FJE63" s="44">
        <f t="shared" si="186"/>
        <v>0</v>
      </c>
      <c r="FJF63" s="44">
        <f t="shared" si="186"/>
        <v>0</v>
      </c>
      <c r="FJG63" s="44">
        <f t="shared" si="186"/>
        <v>0</v>
      </c>
      <c r="FJH63" s="44">
        <f t="shared" si="186"/>
        <v>0</v>
      </c>
      <c r="FJI63" s="44">
        <f t="shared" si="186"/>
        <v>0</v>
      </c>
      <c r="FJJ63" s="44">
        <f t="shared" si="186"/>
        <v>0</v>
      </c>
      <c r="FJK63" s="44">
        <f t="shared" si="186"/>
        <v>0</v>
      </c>
      <c r="FJL63" s="44">
        <f t="shared" si="186"/>
        <v>0</v>
      </c>
      <c r="FJM63" s="44">
        <f t="shared" si="186"/>
        <v>0</v>
      </c>
      <c r="FJN63" s="44">
        <f t="shared" si="186"/>
        <v>0</v>
      </c>
      <c r="FJO63" s="44">
        <f t="shared" si="186"/>
        <v>0</v>
      </c>
      <c r="FJP63" s="44">
        <f t="shared" si="186"/>
        <v>0</v>
      </c>
      <c r="FJQ63" s="44">
        <f t="shared" si="186"/>
        <v>0</v>
      </c>
      <c r="FJR63" s="44">
        <f t="shared" si="186"/>
        <v>0</v>
      </c>
      <c r="FJS63" s="44">
        <f t="shared" si="186"/>
        <v>0</v>
      </c>
      <c r="FJT63" s="44">
        <f t="shared" si="186"/>
        <v>0</v>
      </c>
      <c r="FJU63" s="44">
        <f t="shared" si="186"/>
        <v>0</v>
      </c>
      <c r="FJV63" s="44">
        <f t="shared" si="186"/>
        <v>0</v>
      </c>
      <c r="FJW63" s="44">
        <f t="shared" si="186"/>
        <v>0</v>
      </c>
      <c r="FJX63" s="44">
        <f t="shared" si="186"/>
        <v>0</v>
      </c>
      <c r="FJY63" s="44">
        <f t="shared" si="186"/>
        <v>0</v>
      </c>
      <c r="FJZ63" s="44">
        <f t="shared" si="186"/>
        <v>0</v>
      </c>
      <c r="FKA63" s="44">
        <f t="shared" si="186"/>
        <v>0</v>
      </c>
      <c r="FKB63" s="44">
        <f t="shared" si="186"/>
        <v>0</v>
      </c>
      <c r="FKC63" s="44">
        <f t="shared" si="186"/>
        <v>0</v>
      </c>
      <c r="FKD63" s="44">
        <f t="shared" si="186"/>
        <v>0</v>
      </c>
      <c r="FKE63" s="44">
        <f t="shared" si="186"/>
        <v>0</v>
      </c>
      <c r="FKF63" s="44">
        <f t="shared" si="186"/>
        <v>0</v>
      </c>
      <c r="FKG63" s="44">
        <f t="shared" si="186"/>
        <v>0</v>
      </c>
      <c r="FKH63" s="44">
        <f t="shared" si="186"/>
        <v>0</v>
      </c>
      <c r="FKI63" s="44">
        <f t="shared" si="186"/>
        <v>0</v>
      </c>
      <c r="FKJ63" s="44">
        <f t="shared" si="186"/>
        <v>0</v>
      </c>
      <c r="FKK63" s="44">
        <f t="shared" si="186"/>
        <v>0</v>
      </c>
      <c r="FKL63" s="44">
        <f t="shared" si="186"/>
        <v>0</v>
      </c>
      <c r="FKM63" s="44">
        <f t="shared" si="186"/>
        <v>0</v>
      </c>
      <c r="FKN63" s="44">
        <f t="shared" si="186"/>
        <v>0</v>
      </c>
      <c r="FKO63" s="44">
        <f t="shared" si="186"/>
        <v>0</v>
      </c>
      <c r="FKP63" s="44">
        <f t="shared" si="186"/>
        <v>0</v>
      </c>
      <c r="FKQ63" s="44">
        <f t="shared" si="186"/>
        <v>0</v>
      </c>
      <c r="FKR63" s="44">
        <f t="shared" si="186"/>
        <v>0</v>
      </c>
      <c r="FKS63" s="44">
        <f t="shared" si="186"/>
        <v>0</v>
      </c>
      <c r="FKT63" s="44">
        <f t="shared" si="186"/>
        <v>0</v>
      </c>
      <c r="FKU63" s="44">
        <f t="shared" si="186"/>
        <v>0</v>
      </c>
      <c r="FKV63" s="44">
        <f t="shared" si="186"/>
        <v>0</v>
      </c>
      <c r="FKW63" s="44">
        <f t="shared" si="186"/>
        <v>0</v>
      </c>
      <c r="FKX63" s="44">
        <f t="shared" si="186"/>
        <v>0</v>
      </c>
      <c r="FKY63" s="44">
        <f t="shared" si="186"/>
        <v>0</v>
      </c>
      <c r="FKZ63" s="44">
        <f t="shared" si="186"/>
        <v>0</v>
      </c>
      <c r="FLA63" s="44">
        <f t="shared" si="186"/>
        <v>0</v>
      </c>
      <c r="FLB63" s="44">
        <f t="shared" si="186"/>
        <v>0</v>
      </c>
      <c r="FLC63" s="44">
        <f t="shared" si="186"/>
        <v>0</v>
      </c>
      <c r="FLD63" s="44">
        <f t="shared" si="186"/>
        <v>0</v>
      </c>
      <c r="FLE63" s="44">
        <f t="shared" si="186"/>
        <v>0</v>
      </c>
      <c r="FLF63" s="44">
        <f t="shared" ref="FLF63:FNQ63" si="187">SUM(FLF56:FLF57)</f>
        <v>0</v>
      </c>
      <c r="FLG63" s="44">
        <f t="shared" si="187"/>
        <v>0</v>
      </c>
      <c r="FLH63" s="44">
        <f t="shared" si="187"/>
        <v>0</v>
      </c>
      <c r="FLI63" s="44">
        <f t="shared" si="187"/>
        <v>0</v>
      </c>
      <c r="FLJ63" s="44">
        <f t="shared" si="187"/>
        <v>0</v>
      </c>
      <c r="FLK63" s="44">
        <f t="shared" si="187"/>
        <v>0</v>
      </c>
      <c r="FLL63" s="44">
        <f t="shared" si="187"/>
        <v>0</v>
      </c>
      <c r="FLM63" s="44">
        <f t="shared" si="187"/>
        <v>0</v>
      </c>
      <c r="FLN63" s="44">
        <f t="shared" si="187"/>
        <v>0</v>
      </c>
      <c r="FLO63" s="44">
        <f t="shared" si="187"/>
        <v>0</v>
      </c>
      <c r="FLP63" s="44">
        <f t="shared" si="187"/>
        <v>0</v>
      </c>
      <c r="FLQ63" s="44">
        <f t="shared" si="187"/>
        <v>0</v>
      </c>
      <c r="FLR63" s="44">
        <f t="shared" si="187"/>
        <v>0</v>
      </c>
      <c r="FLS63" s="44">
        <f t="shared" si="187"/>
        <v>0</v>
      </c>
      <c r="FLT63" s="44">
        <f t="shared" si="187"/>
        <v>0</v>
      </c>
      <c r="FLU63" s="44">
        <f t="shared" si="187"/>
        <v>0</v>
      </c>
      <c r="FLV63" s="44">
        <f t="shared" si="187"/>
        <v>0</v>
      </c>
      <c r="FLW63" s="44">
        <f t="shared" si="187"/>
        <v>0</v>
      </c>
      <c r="FLX63" s="44">
        <f t="shared" si="187"/>
        <v>0</v>
      </c>
      <c r="FLY63" s="44">
        <f t="shared" si="187"/>
        <v>0</v>
      </c>
      <c r="FLZ63" s="44">
        <f t="shared" si="187"/>
        <v>0</v>
      </c>
      <c r="FMA63" s="44">
        <f t="shared" si="187"/>
        <v>0</v>
      </c>
      <c r="FMB63" s="44">
        <f t="shared" si="187"/>
        <v>0</v>
      </c>
      <c r="FMC63" s="44">
        <f t="shared" si="187"/>
        <v>0</v>
      </c>
      <c r="FMD63" s="44">
        <f t="shared" si="187"/>
        <v>0</v>
      </c>
      <c r="FME63" s="44">
        <f t="shared" si="187"/>
        <v>0</v>
      </c>
      <c r="FMF63" s="44">
        <f t="shared" si="187"/>
        <v>0</v>
      </c>
      <c r="FMG63" s="44">
        <f t="shared" si="187"/>
        <v>0</v>
      </c>
      <c r="FMH63" s="44">
        <f t="shared" si="187"/>
        <v>0</v>
      </c>
      <c r="FMI63" s="44">
        <f t="shared" si="187"/>
        <v>0</v>
      </c>
      <c r="FMJ63" s="44">
        <f t="shared" si="187"/>
        <v>0</v>
      </c>
      <c r="FMK63" s="44">
        <f t="shared" si="187"/>
        <v>0</v>
      </c>
      <c r="FML63" s="44">
        <f t="shared" si="187"/>
        <v>0</v>
      </c>
      <c r="FMM63" s="44">
        <f t="shared" si="187"/>
        <v>0</v>
      </c>
      <c r="FMN63" s="44">
        <f t="shared" si="187"/>
        <v>0</v>
      </c>
      <c r="FMO63" s="44">
        <f t="shared" si="187"/>
        <v>0</v>
      </c>
      <c r="FMP63" s="44">
        <f t="shared" si="187"/>
        <v>0</v>
      </c>
      <c r="FMQ63" s="44">
        <f t="shared" si="187"/>
        <v>0</v>
      </c>
      <c r="FMR63" s="44">
        <f t="shared" si="187"/>
        <v>0</v>
      </c>
      <c r="FMS63" s="44">
        <f t="shared" si="187"/>
        <v>0</v>
      </c>
      <c r="FMT63" s="44">
        <f t="shared" si="187"/>
        <v>0</v>
      </c>
      <c r="FMU63" s="44">
        <f t="shared" si="187"/>
        <v>0</v>
      </c>
      <c r="FMV63" s="44">
        <f t="shared" si="187"/>
        <v>0</v>
      </c>
      <c r="FMW63" s="44">
        <f t="shared" si="187"/>
        <v>0</v>
      </c>
      <c r="FMX63" s="44">
        <f t="shared" si="187"/>
        <v>0</v>
      </c>
      <c r="FMY63" s="44">
        <f t="shared" si="187"/>
        <v>0</v>
      </c>
      <c r="FMZ63" s="44">
        <f t="shared" si="187"/>
        <v>0</v>
      </c>
      <c r="FNA63" s="44">
        <f t="shared" si="187"/>
        <v>0</v>
      </c>
      <c r="FNB63" s="44">
        <f t="shared" si="187"/>
        <v>0</v>
      </c>
      <c r="FNC63" s="44">
        <f t="shared" si="187"/>
        <v>0</v>
      </c>
      <c r="FND63" s="44">
        <f t="shared" si="187"/>
        <v>0</v>
      </c>
      <c r="FNE63" s="44">
        <f t="shared" si="187"/>
        <v>0</v>
      </c>
      <c r="FNF63" s="44">
        <f t="shared" si="187"/>
        <v>0</v>
      </c>
      <c r="FNG63" s="44">
        <f t="shared" si="187"/>
        <v>0</v>
      </c>
      <c r="FNH63" s="44">
        <f t="shared" si="187"/>
        <v>0</v>
      </c>
      <c r="FNI63" s="44">
        <f t="shared" si="187"/>
        <v>0</v>
      </c>
      <c r="FNJ63" s="44">
        <f t="shared" si="187"/>
        <v>0</v>
      </c>
      <c r="FNK63" s="44">
        <f t="shared" si="187"/>
        <v>0</v>
      </c>
      <c r="FNL63" s="44">
        <f t="shared" si="187"/>
        <v>0</v>
      </c>
      <c r="FNM63" s="44">
        <f t="shared" si="187"/>
        <v>0</v>
      </c>
      <c r="FNN63" s="44">
        <f t="shared" si="187"/>
        <v>0</v>
      </c>
      <c r="FNO63" s="44">
        <f t="shared" si="187"/>
        <v>0</v>
      </c>
      <c r="FNP63" s="44">
        <f t="shared" si="187"/>
        <v>0</v>
      </c>
      <c r="FNQ63" s="44">
        <f t="shared" si="187"/>
        <v>0</v>
      </c>
      <c r="FNR63" s="44">
        <f t="shared" ref="FNR63:FQC63" si="188">SUM(FNR56:FNR57)</f>
        <v>0</v>
      </c>
      <c r="FNS63" s="44">
        <f t="shared" si="188"/>
        <v>0</v>
      </c>
      <c r="FNT63" s="44">
        <f t="shared" si="188"/>
        <v>0</v>
      </c>
      <c r="FNU63" s="44">
        <f t="shared" si="188"/>
        <v>0</v>
      </c>
      <c r="FNV63" s="44">
        <f t="shared" si="188"/>
        <v>0</v>
      </c>
      <c r="FNW63" s="44">
        <f t="shared" si="188"/>
        <v>0</v>
      </c>
      <c r="FNX63" s="44">
        <f t="shared" si="188"/>
        <v>0</v>
      </c>
      <c r="FNY63" s="44">
        <f t="shared" si="188"/>
        <v>0</v>
      </c>
      <c r="FNZ63" s="44">
        <f t="shared" si="188"/>
        <v>0</v>
      </c>
      <c r="FOA63" s="44">
        <f t="shared" si="188"/>
        <v>0</v>
      </c>
      <c r="FOB63" s="44">
        <f t="shared" si="188"/>
        <v>0</v>
      </c>
      <c r="FOC63" s="44">
        <f t="shared" si="188"/>
        <v>0</v>
      </c>
      <c r="FOD63" s="44">
        <f t="shared" si="188"/>
        <v>0</v>
      </c>
      <c r="FOE63" s="44">
        <f t="shared" si="188"/>
        <v>0</v>
      </c>
      <c r="FOF63" s="44">
        <f t="shared" si="188"/>
        <v>0</v>
      </c>
      <c r="FOG63" s="44">
        <f t="shared" si="188"/>
        <v>0</v>
      </c>
      <c r="FOH63" s="44">
        <f t="shared" si="188"/>
        <v>0</v>
      </c>
      <c r="FOI63" s="44">
        <f t="shared" si="188"/>
        <v>0</v>
      </c>
      <c r="FOJ63" s="44">
        <f t="shared" si="188"/>
        <v>0</v>
      </c>
      <c r="FOK63" s="44">
        <f t="shared" si="188"/>
        <v>0</v>
      </c>
      <c r="FOL63" s="44">
        <f t="shared" si="188"/>
        <v>0</v>
      </c>
      <c r="FOM63" s="44">
        <f t="shared" si="188"/>
        <v>0</v>
      </c>
      <c r="FON63" s="44">
        <f t="shared" si="188"/>
        <v>0</v>
      </c>
      <c r="FOO63" s="44">
        <f t="shared" si="188"/>
        <v>0</v>
      </c>
      <c r="FOP63" s="44">
        <f t="shared" si="188"/>
        <v>0</v>
      </c>
      <c r="FOQ63" s="44">
        <f t="shared" si="188"/>
        <v>0</v>
      </c>
      <c r="FOR63" s="44">
        <f t="shared" si="188"/>
        <v>0</v>
      </c>
      <c r="FOS63" s="44">
        <f t="shared" si="188"/>
        <v>0</v>
      </c>
      <c r="FOT63" s="44">
        <f t="shared" si="188"/>
        <v>0</v>
      </c>
      <c r="FOU63" s="44">
        <f t="shared" si="188"/>
        <v>0</v>
      </c>
      <c r="FOV63" s="44">
        <f t="shared" si="188"/>
        <v>0</v>
      </c>
      <c r="FOW63" s="44">
        <f t="shared" si="188"/>
        <v>0</v>
      </c>
      <c r="FOX63" s="44">
        <f t="shared" si="188"/>
        <v>0</v>
      </c>
      <c r="FOY63" s="44">
        <f t="shared" si="188"/>
        <v>0</v>
      </c>
      <c r="FOZ63" s="44">
        <f t="shared" si="188"/>
        <v>0</v>
      </c>
      <c r="FPA63" s="44">
        <f t="shared" si="188"/>
        <v>0</v>
      </c>
      <c r="FPB63" s="44">
        <f t="shared" si="188"/>
        <v>0</v>
      </c>
      <c r="FPC63" s="44">
        <f t="shared" si="188"/>
        <v>0</v>
      </c>
      <c r="FPD63" s="44">
        <f t="shared" si="188"/>
        <v>0</v>
      </c>
      <c r="FPE63" s="44">
        <f t="shared" si="188"/>
        <v>0</v>
      </c>
      <c r="FPF63" s="44">
        <f t="shared" si="188"/>
        <v>0</v>
      </c>
      <c r="FPG63" s="44">
        <f t="shared" si="188"/>
        <v>0</v>
      </c>
      <c r="FPH63" s="44">
        <f t="shared" si="188"/>
        <v>0</v>
      </c>
      <c r="FPI63" s="44">
        <f t="shared" si="188"/>
        <v>0</v>
      </c>
      <c r="FPJ63" s="44">
        <f t="shared" si="188"/>
        <v>0</v>
      </c>
      <c r="FPK63" s="44">
        <f t="shared" si="188"/>
        <v>0</v>
      </c>
      <c r="FPL63" s="44">
        <f t="shared" si="188"/>
        <v>0</v>
      </c>
      <c r="FPM63" s="44">
        <f t="shared" si="188"/>
        <v>0</v>
      </c>
      <c r="FPN63" s="44">
        <f t="shared" si="188"/>
        <v>0</v>
      </c>
      <c r="FPO63" s="44">
        <f t="shared" si="188"/>
        <v>0</v>
      </c>
      <c r="FPP63" s="44">
        <f t="shared" si="188"/>
        <v>0</v>
      </c>
      <c r="FPQ63" s="44">
        <f t="shared" si="188"/>
        <v>0</v>
      </c>
      <c r="FPR63" s="44">
        <f t="shared" si="188"/>
        <v>0</v>
      </c>
      <c r="FPS63" s="44">
        <f t="shared" si="188"/>
        <v>0</v>
      </c>
      <c r="FPT63" s="44">
        <f t="shared" si="188"/>
        <v>0</v>
      </c>
      <c r="FPU63" s="44">
        <f t="shared" si="188"/>
        <v>0</v>
      </c>
      <c r="FPV63" s="44">
        <f t="shared" si="188"/>
        <v>0</v>
      </c>
      <c r="FPW63" s="44">
        <f t="shared" si="188"/>
        <v>0</v>
      </c>
      <c r="FPX63" s="44">
        <f t="shared" si="188"/>
        <v>0</v>
      </c>
      <c r="FPY63" s="44">
        <f t="shared" si="188"/>
        <v>0</v>
      </c>
      <c r="FPZ63" s="44">
        <f t="shared" si="188"/>
        <v>0</v>
      </c>
      <c r="FQA63" s="44">
        <f t="shared" si="188"/>
        <v>0</v>
      </c>
      <c r="FQB63" s="44">
        <f t="shared" si="188"/>
        <v>0</v>
      </c>
      <c r="FQC63" s="44">
        <f t="shared" si="188"/>
        <v>0</v>
      </c>
      <c r="FQD63" s="44">
        <f t="shared" ref="FQD63:FSO63" si="189">SUM(FQD56:FQD57)</f>
        <v>0</v>
      </c>
      <c r="FQE63" s="44">
        <f t="shared" si="189"/>
        <v>0</v>
      </c>
      <c r="FQF63" s="44">
        <f t="shared" si="189"/>
        <v>0</v>
      </c>
      <c r="FQG63" s="44">
        <f t="shared" si="189"/>
        <v>0</v>
      </c>
      <c r="FQH63" s="44">
        <f t="shared" si="189"/>
        <v>0</v>
      </c>
      <c r="FQI63" s="44">
        <f t="shared" si="189"/>
        <v>0</v>
      </c>
      <c r="FQJ63" s="44">
        <f t="shared" si="189"/>
        <v>0</v>
      </c>
      <c r="FQK63" s="44">
        <f t="shared" si="189"/>
        <v>0</v>
      </c>
      <c r="FQL63" s="44">
        <f t="shared" si="189"/>
        <v>0</v>
      </c>
      <c r="FQM63" s="44">
        <f t="shared" si="189"/>
        <v>0</v>
      </c>
      <c r="FQN63" s="44">
        <f t="shared" si="189"/>
        <v>0</v>
      </c>
      <c r="FQO63" s="44">
        <f t="shared" si="189"/>
        <v>0</v>
      </c>
      <c r="FQP63" s="44">
        <f t="shared" si="189"/>
        <v>0</v>
      </c>
      <c r="FQQ63" s="44">
        <f t="shared" si="189"/>
        <v>0</v>
      </c>
      <c r="FQR63" s="44">
        <f t="shared" si="189"/>
        <v>0</v>
      </c>
      <c r="FQS63" s="44">
        <f t="shared" si="189"/>
        <v>0</v>
      </c>
      <c r="FQT63" s="44">
        <f t="shared" si="189"/>
        <v>0</v>
      </c>
      <c r="FQU63" s="44">
        <f t="shared" si="189"/>
        <v>0</v>
      </c>
      <c r="FQV63" s="44">
        <f t="shared" si="189"/>
        <v>0</v>
      </c>
      <c r="FQW63" s="44">
        <f t="shared" si="189"/>
        <v>0</v>
      </c>
      <c r="FQX63" s="44">
        <f t="shared" si="189"/>
        <v>0</v>
      </c>
      <c r="FQY63" s="44">
        <f t="shared" si="189"/>
        <v>0</v>
      </c>
      <c r="FQZ63" s="44">
        <f t="shared" si="189"/>
        <v>0</v>
      </c>
      <c r="FRA63" s="44">
        <f t="shared" si="189"/>
        <v>0</v>
      </c>
      <c r="FRB63" s="44">
        <f t="shared" si="189"/>
        <v>0</v>
      </c>
      <c r="FRC63" s="44">
        <f t="shared" si="189"/>
        <v>0</v>
      </c>
      <c r="FRD63" s="44">
        <f t="shared" si="189"/>
        <v>0</v>
      </c>
      <c r="FRE63" s="44">
        <f t="shared" si="189"/>
        <v>0</v>
      </c>
      <c r="FRF63" s="44">
        <f t="shared" si="189"/>
        <v>0</v>
      </c>
      <c r="FRG63" s="44">
        <f t="shared" si="189"/>
        <v>0</v>
      </c>
      <c r="FRH63" s="44">
        <f t="shared" si="189"/>
        <v>0</v>
      </c>
      <c r="FRI63" s="44">
        <f t="shared" si="189"/>
        <v>0</v>
      </c>
      <c r="FRJ63" s="44">
        <f t="shared" si="189"/>
        <v>0</v>
      </c>
      <c r="FRK63" s="44">
        <f t="shared" si="189"/>
        <v>0</v>
      </c>
      <c r="FRL63" s="44">
        <f t="shared" si="189"/>
        <v>0</v>
      </c>
      <c r="FRM63" s="44">
        <f t="shared" si="189"/>
        <v>0</v>
      </c>
      <c r="FRN63" s="44">
        <f t="shared" si="189"/>
        <v>0</v>
      </c>
      <c r="FRO63" s="44">
        <f t="shared" si="189"/>
        <v>0</v>
      </c>
      <c r="FRP63" s="44">
        <f t="shared" si="189"/>
        <v>0</v>
      </c>
      <c r="FRQ63" s="44">
        <f t="shared" si="189"/>
        <v>0</v>
      </c>
      <c r="FRR63" s="44">
        <f t="shared" si="189"/>
        <v>0</v>
      </c>
      <c r="FRS63" s="44">
        <f t="shared" si="189"/>
        <v>0</v>
      </c>
      <c r="FRT63" s="44">
        <f t="shared" si="189"/>
        <v>0</v>
      </c>
      <c r="FRU63" s="44">
        <f t="shared" si="189"/>
        <v>0</v>
      </c>
      <c r="FRV63" s="44">
        <f t="shared" si="189"/>
        <v>0</v>
      </c>
      <c r="FRW63" s="44">
        <f t="shared" si="189"/>
        <v>0</v>
      </c>
      <c r="FRX63" s="44">
        <f t="shared" si="189"/>
        <v>0</v>
      </c>
      <c r="FRY63" s="44">
        <f t="shared" si="189"/>
        <v>0</v>
      </c>
      <c r="FRZ63" s="44">
        <f t="shared" si="189"/>
        <v>0</v>
      </c>
      <c r="FSA63" s="44">
        <f t="shared" si="189"/>
        <v>0</v>
      </c>
      <c r="FSB63" s="44">
        <f t="shared" si="189"/>
        <v>0</v>
      </c>
      <c r="FSC63" s="44">
        <f t="shared" si="189"/>
        <v>0</v>
      </c>
      <c r="FSD63" s="44">
        <f t="shared" si="189"/>
        <v>0</v>
      </c>
      <c r="FSE63" s="44">
        <f t="shared" si="189"/>
        <v>0</v>
      </c>
      <c r="FSF63" s="44">
        <f t="shared" si="189"/>
        <v>0</v>
      </c>
      <c r="FSG63" s="44">
        <f t="shared" si="189"/>
        <v>0</v>
      </c>
      <c r="FSH63" s="44">
        <f t="shared" si="189"/>
        <v>0</v>
      </c>
      <c r="FSI63" s="44">
        <f t="shared" si="189"/>
        <v>0</v>
      </c>
      <c r="FSJ63" s="44">
        <f t="shared" si="189"/>
        <v>0</v>
      </c>
      <c r="FSK63" s="44">
        <f t="shared" si="189"/>
        <v>0</v>
      </c>
      <c r="FSL63" s="44">
        <f t="shared" si="189"/>
        <v>0</v>
      </c>
      <c r="FSM63" s="44">
        <f t="shared" si="189"/>
        <v>0</v>
      </c>
      <c r="FSN63" s="44">
        <f t="shared" si="189"/>
        <v>0</v>
      </c>
      <c r="FSO63" s="44">
        <f t="shared" si="189"/>
        <v>0</v>
      </c>
      <c r="FSP63" s="44">
        <f t="shared" ref="FSP63:FVA63" si="190">SUM(FSP56:FSP57)</f>
        <v>0</v>
      </c>
      <c r="FSQ63" s="44">
        <f t="shared" si="190"/>
        <v>0</v>
      </c>
      <c r="FSR63" s="44">
        <f t="shared" si="190"/>
        <v>0</v>
      </c>
      <c r="FSS63" s="44">
        <f t="shared" si="190"/>
        <v>0</v>
      </c>
      <c r="FST63" s="44">
        <f t="shared" si="190"/>
        <v>0</v>
      </c>
      <c r="FSU63" s="44">
        <f t="shared" si="190"/>
        <v>0</v>
      </c>
      <c r="FSV63" s="44">
        <f t="shared" si="190"/>
        <v>0</v>
      </c>
      <c r="FSW63" s="44">
        <f t="shared" si="190"/>
        <v>0</v>
      </c>
      <c r="FSX63" s="44">
        <f t="shared" si="190"/>
        <v>0</v>
      </c>
      <c r="FSY63" s="44">
        <f t="shared" si="190"/>
        <v>0</v>
      </c>
      <c r="FSZ63" s="44">
        <f t="shared" si="190"/>
        <v>0</v>
      </c>
      <c r="FTA63" s="44">
        <f t="shared" si="190"/>
        <v>0</v>
      </c>
      <c r="FTB63" s="44">
        <f t="shared" si="190"/>
        <v>0</v>
      </c>
      <c r="FTC63" s="44">
        <f t="shared" si="190"/>
        <v>0</v>
      </c>
      <c r="FTD63" s="44">
        <f t="shared" si="190"/>
        <v>0</v>
      </c>
      <c r="FTE63" s="44">
        <f t="shared" si="190"/>
        <v>0</v>
      </c>
      <c r="FTF63" s="44">
        <f t="shared" si="190"/>
        <v>0</v>
      </c>
      <c r="FTG63" s="44">
        <f t="shared" si="190"/>
        <v>0</v>
      </c>
      <c r="FTH63" s="44">
        <f t="shared" si="190"/>
        <v>0</v>
      </c>
      <c r="FTI63" s="44">
        <f t="shared" si="190"/>
        <v>0</v>
      </c>
      <c r="FTJ63" s="44">
        <f t="shared" si="190"/>
        <v>0</v>
      </c>
      <c r="FTK63" s="44">
        <f t="shared" si="190"/>
        <v>0</v>
      </c>
      <c r="FTL63" s="44">
        <f t="shared" si="190"/>
        <v>0</v>
      </c>
      <c r="FTM63" s="44">
        <f t="shared" si="190"/>
        <v>0</v>
      </c>
      <c r="FTN63" s="44">
        <f t="shared" si="190"/>
        <v>0</v>
      </c>
      <c r="FTO63" s="44">
        <f t="shared" si="190"/>
        <v>0</v>
      </c>
      <c r="FTP63" s="44">
        <f t="shared" si="190"/>
        <v>0</v>
      </c>
      <c r="FTQ63" s="44">
        <f t="shared" si="190"/>
        <v>0</v>
      </c>
      <c r="FTR63" s="44">
        <f t="shared" si="190"/>
        <v>0</v>
      </c>
      <c r="FTS63" s="44">
        <f t="shared" si="190"/>
        <v>0</v>
      </c>
      <c r="FTT63" s="44">
        <f t="shared" si="190"/>
        <v>0</v>
      </c>
      <c r="FTU63" s="44">
        <f t="shared" si="190"/>
        <v>0</v>
      </c>
      <c r="FTV63" s="44">
        <f t="shared" si="190"/>
        <v>0</v>
      </c>
      <c r="FTW63" s="44">
        <f t="shared" si="190"/>
        <v>0</v>
      </c>
      <c r="FTX63" s="44">
        <f t="shared" si="190"/>
        <v>0</v>
      </c>
      <c r="FTY63" s="44">
        <f t="shared" si="190"/>
        <v>0</v>
      </c>
      <c r="FTZ63" s="44">
        <f t="shared" si="190"/>
        <v>0</v>
      </c>
      <c r="FUA63" s="44">
        <f t="shared" si="190"/>
        <v>0</v>
      </c>
      <c r="FUB63" s="44">
        <f t="shared" si="190"/>
        <v>0</v>
      </c>
      <c r="FUC63" s="44">
        <f t="shared" si="190"/>
        <v>0</v>
      </c>
      <c r="FUD63" s="44">
        <f t="shared" si="190"/>
        <v>0</v>
      </c>
      <c r="FUE63" s="44">
        <f t="shared" si="190"/>
        <v>0</v>
      </c>
      <c r="FUF63" s="44">
        <f t="shared" si="190"/>
        <v>0</v>
      </c>
      <c r="FUG63" s="44">
        <f t="shared" si="190"/>
        <v>0</v>
      </c>
      <c r="FUH63" s="44">
        <f t="shared" si="190"/>
        <v>0</v>
      </c>
      <c r="FUI63" s="44">
        <f t="shared" si="190"/>
        <v>0</v>
      </c>
      <c r="FUJ63" s="44">
        <f t="shared" si="190"/>
        <v>0</v>
      </c>
      <c r="FUK63" s="44">
        <f t="shared" si="190"/>
        <v>0</v>
      </c>
      <c r="FUL63" s="44">
        <f t="shared" si="190"/>
        <v>0</v>
      </c>
      <c r="FUM63" s="44">
        <f t="shared" si="190"/>
        <v>0</v>
      </c>
      <c r="FUN63" s="44">
        <f t="shared" si="190"/>
        <v>0</v>
      </c>
      <c r="FUO63" s="44">
        <f t="shared" si="190"/>
        <v>0</v>
      </c>
      <c r="FUP63" s="44">
        <f t="shared" si="190"/>
        <v>0</v>
      </c>
      <c r="FUQ63" s="44">
        <f t="shared" si="190"/>
        <v>0</v>
      </c>
      <c r="FUR63" s="44">
        <f t="shared" si="190"/>
        <v>0</v>
      </c>
      <c r="FUS63" s="44">
        <f t="shared" si="190"/>
        <v>0</v>
      </c>
      <c r="FUT63" s="44">
        <f t="shared" si="190"/>
        <v>0</v>
      </c>
      <c r="FUU63" s="44">
        <f t="shared" si="190"/>
        <v>0</v>
      </c>
      <c r="FUV63" s="44">
        <f t="shared" si="190"/>
        <v>0</v>
      </c>
      <c r="FUW63" s="44">
        <f t="shared" si="190"/>
        <v>0</v>
      </c>
      <c r="FUX63" s="44">
        <f t="shared" si="190"/>
        <v>0</v>
      </c>
      <c r="FUY63" s="44">
        <f t="shared" si="190"/>
        <v>0</v>
      </c>
      <c r="FUZ63" s="44">
        <f t="shared" si="190"/>
        <v>0</v>
      </c>
      <c r="FVA63" s="44">
        <f t="shared" si="190"/>
        <v>0</v>
      </c>
      <c r="FVB63" s="44">
        <f t="shared" ref="FVB63:FXM63" si="191">SUM(FVB56:FVB57)</f>
        <v>0</v>
      </c>
      <c r="FVC63" s="44">
        <f t="shared" si="191"/>
        <v>0</v>
      </c>
      <c r="FVD63" s="44">
        <f t="shared" si="191"/>
        <v>0</v>
      </c>
      <c r="FVE63" s="44">
        <f t="shared" si="191"/>
        <v>0</v>
      </c>
      <c r="FVF63" s="44">
        <f t="shared" si="191"/>
        <v>0</v>
      </c>
      <c r="FVG63" s="44">
        <f t="shared" si="191"/>
        <v>0</v>
      </c>
      <c r="FVH63" s="44">
        <f t="shared" si="191"/>
        <v>0</v>
      </c>
      <c r="FVI63" s="44">
        <f t="shared" si="191"/>
        <v>0</v>
      </c>
      <c r="FVJ63" s="44">
        <f t="shared" si="191"/>
        <v>0</v>
      </c>
      <c r="FVK63" s="44">
        <f t="shared" si="191"/>
        <v>0</v>
      </c>
      <c r="FVL63" s="44">
        <f t="shared" si="191"/>
        <v>0</v>
      </c>
      <c r="FVM63" s="44">
        <f t="shared" si="191"/>
        <v>0</v>
      </c>
      <c r="FVN63" s="44">
        <f t="shared" si="191"/>
        <v>0</v>
      </c>
      <c r="FVO63" s="44">
        <f t="shared" si="191"/>
        <v>0</v>
      </c>
      <c r="FVP63" s="44">
        <f t="shared" si="191"/>
        <v>0</v>
      </c>
      <c r="FVQ63" s="44">
        <f t="shared" si="191"/>
        <v>0</v>
      </c>
      <c r="FVR63" s="44">
        <f t="shared" si="191"/>
        <v>0</v>
      </c>
      <c r="FVS63" s="44">
        <f t="shared" si="191"/>
        <v>0</v>
      </c>
      <c r="FVT63" s="44">
        <f t="shared" si="191"/>
        <v>0</v>
      </c>
      <c r="FVU63" s="44">
        <f t="shared" si="191"/>
        <v>0</v>
      </c>
      <c r="FVV63" s="44">
        <f t="shared" si="191"/>
        <v>0</v>
      </c>
      <c r="FVW63" s="44">
        <f t="shared" si="191"/>
        <v>0</v>
      </c>
      <c r="FVX63" s="44">
        <f t="shared" si="191"/>
        <v>0</v>
      </c>
      <c r="FVY63" s="44">
        <f t="shared" si="191"/>
        <v>0</v>
      </c>
      <c r="FVZ63" s="44">
        <f t="shared" si="191"/>
        <v>0</v>
      </c>
      <c r="FWA63" s="44">
        <f t="shared" si="191"/>
        <v>0</v>
      </c>
      <c r="FWB63" s="44">
        <f t="shared" si="191"/>
        <v>0</v>
      </c>
      <c r="FWC63" s="44">
        <f t="shared" si="191"/>
        <v>0</v>
      </c>
      <c r="FWD63" s="44">
        <f t="shared" si="191"/>
        <v>0</v>
      </c>
      <c r="FWE63" s="44">
        <f t="shared" si="191"/>
        <v>0</v>
      </c>
      <c r="FWF63" s="44">
        <f t="shared" si="191"/>
        <v>0</v>
      </c>
      <c r="FWG63" s="44">
        <f t="shared" si="191"/>
        <v>0</v>
      </c>
      <c r="FWH63" s="44">
        <f t="shared" si="191"/>
        <v>0</v>
      </c>
      <c r="FWI63" s="44">
        <f t="shared" si="191"/>
        <v>0</v>
      </c>
      <c r="FWJ63" s="44">
        <f t="shared" si="191"/>
        <v>0</v>
      </c>
      <c r="FWK63" s="44">
        <f t="shared" si="191"/>
        <v>0</v>
      </c>
      <c r="FWL63" s="44">
        <f t="shared" si="191"/>
        <v>0</v>
      </c>
      <c r="FWM63" s="44">
        <f t="shared" si="191"/>
        <v>0</v>
      </c>
      <c r="FWN63" s="44">
        <f t="shared" si="191"/>
        <v>0</v>
      </c>
      <c r="FWO63" s="44">
        <f t="shared" si="191"/>
        <v>0</v>
      </c>
      <c r="FWP63" s="44">
        <f t="shared" si="191"/>
        <v>0</v>
      </c>
      <c r="FWQ63" s="44">
        <f t="shared" si="191"/>
        <v>0</v>
      </c>
      <c r="FWR63" s="44">
        <f t="shared" si="191"/>
        <v>0</v>
      </c>
      <c r="FWS63" s="44">
        <f t="shared" si="191"/>
        <v>0</v>
      </c>
      <c r="FWT63" s="44">
        <f t="shared" si="191"/>
        <v>0</v>
      </c>
      <c r="FWU63" s="44">
        <f t="shared" si="191"/>
        <v>0</v>
      </c>
      <c r="FWV63" s="44">
        <f t="shared" si="191"/>
        <v>0</v>
      </c>
      <c r="FWW63" s="44">
        <f t="shared" si="191"/>
        <v>0</v>
      </c>
      <c r="FWX63" s="44">
        <f t="shared" si="191"/>
        <v>0</v>
      </c>
      <c r="FWY63" s="44">
        <f t="shared" si="191"/>
        <v>0</v>
      </c>
      <c r="FWZ63" s="44">
        <f t="shared" si="191"/>
        <v>0</v>
      </c>
      <c r="FXA63" s="44">
        <f t="shared" si="191"/>
        <v>0</v>
      </c>
      <c r="FXB63" s="44">
        <f t="shared" si="191"/>
        <v>0</v>
      </c>
      <c r="FXC63" s="44">
        <f t="shared" si="191"/>
        <v>0</v>
      </c>
      <c r="FXD63" s="44">
        <f t="shared" si="191"/>
        <v>0</v>
      </c>
      <c r="FXE63" s="44">
        <f t="shared" si="191"/>
        <v>0</v>
      </c>
      <c r="FXF63" s="44">
        <f t="shared" si="191"/>
        <v>0</v>
      </c>
      <c r="FXG63" s="44">
        <f t="shared" si="191"/>
        <v>0</v>
      </c>
      <c r="FXH63" s="44">
        <f t="shared" si="191"/>
        <v>0</v>
      </c>
      <c r="FXI63" s="44">
        <f t="shared" si="191"/>
        <v>0</v>
      </c>
      <c r="FXJ63" s="44">
        <f t="shared" si="191"/>
        <v>0</v>
      </c>
      <c r="FXK63" s="44">
        <f t="shared" si="191"/>
        <v>0</v>
      </c>
      <c r="FXL63" s="44">
        <f t="shared" si="191"/>
        <v>0</v>
      </c>
      <c r="FXM63" s="44">
        <f t="shared" si="191"/>
        <v>0</v>
      </c>
      <c r="FXN63" s="44">
        <f t="shared" ref="FXN63:FZY63" si="192">SUM(FXN56:FXN57)</f>
        <v>0</v>
      </c>
      <c r="FXO63" s="44">
        <f t="shared" si="192"/>
        <v>0</v>
      </c>
      <c r="FXP63" s="44">
        <f t="shared" si="192"/>
        <v>0</v>
      </c>
      <c r="FXQ63" s="44">
        <f t="shared" si="192"/>
        <v>0</v>
      </c>
      <c r="FXR63" s="44">
        <f t="shared" si="192"/>
        <v>0</v>
      </c>
      <c r="FXS63" s="44">
        <f t="shared" si="192"/>
        <v>0</v>
      </c>
      <c r="FXT63" s="44">
        <f t="shared" si="192"/>
        <v>0</v>
      </c>
      <c r="FXU63" s="44">
        <f t="shared" si="192"/>
        <v>0</v>
      </c>
      <c r="FXV63" s="44">
        <f t="shared" si="192"/>
        <v>0</v>
      </c>
      <c r="FXW63" s="44">
        <f t="shared" si="192"/>
        <v>0</v>
      </c>
      <c r="FXX63" s="44">
        <f t="shared" si="192"/>
        <v>0</v>
      </c>
      <c r="FXY63" s="44">
        <f t="shared" si="192"/>
        <v>0</v>
      </c>
      <c r="FXZ63" s="44">
        <f t="shared" si="192"/>
        <v>0</v>
      </c>
      <c r="FYA63" s="44">
        <f t="shared" si="192"/>
        <v>0</v>
      </c>
      <c r="FYB63" s="44">
        <f t="shared" si="192"/>
        <v>0</v>
      </c>
      <c r="FYC63" s="44">
        <f t="shared" si="192"/>
        <v>0</v>
      </c>
      <c r="FYD63" s="44">
        <f t="shared" si="192"/>
        <v>0</v>
      </c>
      <c r="FYE63" s="44">
        <f t="shared" si="192"/>
        <v>0</v>
      </c>
      <c r="FYF63" s="44">
        <f t="shared" si="192"/>
        <v>0</v>
      </c>
      <c r="FYG63" s="44">
        <f t="shared" si="192"/>
        <v>0</v>
      </c>
      <c r="FYH63" s="44">
        <f t="shared" si="192"/>
        <v>0</v>
      </c>
      <c r="FYI63" s="44">
        <f t="shared" si="192"/>
        <v>0</v>
      </c>
      <c r="FYJ63" s="44">
        <f t="shared" si="192"/>
        <v>0</v>
      </c>
      <c r="FYK63" s="44">
        <f t="shared" si="192"/>
        <v>0</v>
      </c>
      <c r="FYL63" s="44">
        <f t="shared" si="192"/>
        <v>0</v>
      </c>
      <c r="FYM63" s="44">
        <f t="shared" si="192"/>
        <v>0</v>
      </c>
      <c r="FYN63" s="44">
        <f t="shared" si="192"/>
        <v>0</v>
      </c>
      <c r="FYO63" s="44">
        <f t="shared" si="192"/>
        <v>0</v>
      </c>
      <c r="FYP63" s="44">
        <f t="shared" si="192"/>
        <v>0</v>
      </c>
      <c r="FYQ63" s="44">
        <f t="shared" si="192"/>
        <v>0</v>
      </c>
      <c r="FYR63" s="44">
        <f t="shared" si="192"/>
        <v>0</v>
      </c>
      <c r="FYS63" s="44">
        <f t="shared" si="192"/>
        <v>0</v>
      </c>
      <c r="FYT63" s="44">
        <f t="shared" si="192"/>
        <v>0</v>
      </c>
      <c r="FYU63" s="44">
        <f t="shared" si="192"/>
        <v>0</v>
      </c>
      <c r="FYV63" s="44">
        <f t="shared" si="192"/>
        <v>0</v>
      </c>
      <c r="FYW63" s="44">
        <f t="shared" si="192"/>
        <v>0</v>
      </c>
      <c r="FYX63" s="44">
        <f t="shared" si="192"/>
        <v>0</v>
      </c>
      <c r="FYY63" s="44">
        <f t="shared" si="192"/>
        <v>0</v>
      </c>
      <c r="FYZ63" s="44">
        <f t="shared" si="192"/>
        <v>0</v>
      </c>
      <c r="FZA63" s="44">
        <f t="shared" si="192"/>
        <v>0</v>
      </c>
      <c r="FZB63" s="44">
        <f t="shared" si="192"/>
        <v>0</v>
      </c>
      <c r="FZC63" s="44">
        <f t="shared" si="192"/>
        <v>0</v>
      </c>
      <c r="FZD63" s="44">
        <f t="shared" si="192"/>
        <v>0</v>
      </c>
      <c r="FZE63" s="44">
        <f t="shared" si="192"/>
        <v>0</v>
      </c>
      <c r="FZF63" s="44">
        <f t="shared" si="192"/>
        <v>0</v>
      </c>
      <c r="FZG63" s="44">
        <f t="shared" si="192"/>
        <v>0</v>
      </c>
      <c r="FZH63" s="44">
        <f t="shared" si="192"/>
        <v>0</v>
      </c>
      <c r="FZI63" s="44">
        <f t="shared" si="192"/>
        <v>0</v>
      </c>
      <c r="FZJ63" s="44">
        <f t="shared" si="192"/>
        <v>0</v>
      </c>
      <c r="FZK63" s="44">
        <f t="shared" si="192"/>
        <v>0</v>
      </c>
      <c r="FZL63" s="44">
        <f t="shared" si="192"/>
        <v>0</v>
      </c>
      <c r="FZM63" s="44">
        <f t="shared" si="192"/>
        <v>0</v>
      </c>
      <c r="FZN63" s="44">
        <f t="shared" si="192"/>
        <v>0</v>
      </c>
      <c r="FZO63" s="44">
        <f t="shared" si="192"/>
        <v>0</v>
      </c>
      <c r="FZP63" s="44">
        <f t="shared" si="192"/>
        <v>0</v>
      </c>
      <c r="FZQ63" s="44">
        <f t="shared" si="192"/>
        <v>0</v>
      </c>
      <c r="FZR63" s="44">
        <f t="shared" si="192"/>
        <v>0</v>
      </c>
      <c r="FZS63" s="44">
        <f t="shared" si="192"/>
        <v>0</v>
      </c>
      <c r="FZT63" s="44">
        <f t="shared" si="192"/>
        <v>0</v>
      </c>
      <c r="FZU63" s="44">
        <f t="shared" si="192"/>
        <v>0</v>
      </c>
      <c r="FZV63" s="44">
        <f t="shared" si="192"/>
        <v>0</v>
      </c>
      <c r="FZW63" s="44">
        <f t="shared" si="192"/>
        <v>0</v>
      </c>
      <c r="FZX63" s="44">
        <f t="shared" si="192"/>
        <v>0</v>
      </c>
      <c r="FZY63" s="44">
        <f t="shared" si="192"/>
        <v>0</v>
      </c>
      <c r="FZZ63" s="44">
        <f t="shared" ref="FZZ63:GCK63" si="193">SUM(FZZ56:FZZ57)</f>
        <v>0</v>
      </c>
      <c r="GAA63" s="44">
        <f t="shared" si="193"/>
        <v>0</v>
      </c>
      <c r="GAB63" s="44">
        <f t="shared" si="193"/>
        <v>0</v>
      </c>
      <c r="GAC63" s="44">
        <f t="shared" si="193"/>
        <v>0</v>
      </c>
      <c r="GAD63" s="44">
        <f t="shared" si="193"/>
        <v>0</v>
      </c>
      <c r="GAE63" s="44">
        <f t="shared" si="193"/>
        <v>0</v>
      </c>
      <c r="GAF63" s="44">
        <f t="shared" si="193"/>
        <v>0</v>
      </c>
      <c r="GAG63" s="44">
        <f t="shared" si="193"/>
        <v>0</v>
      </c>
      <c r="GAH63" s="44">
        <f t="shared" si="193"/>
        <v>0</v>
      </c>
      <c r="GAI63" s="44">
        <f t="shared" si="193"/>
        <v>0</v>
      </c>
      <c r="GAJ63" s="44">
        <f t="shared" si="193"/>
        <v>0</v>
      </c>
      <c r="GAK63" s="44">
        <f t="shared" si="193"/>
        <v>0</v>
      </c>
      <c r="GAL63" s="44">
        <f t="shared" si="193"/>
        <v>0</v>
      </c>
      <c r="GAM63" s="44">
        <f t="shared" si="193"/>
        <v>0</v>
      </c>
      <c r="GAN63" s="44">
        <f t="shared" si="193"/>
        <v>0</v>
      </c>
      <c r="GAO63" s="44">
        <f t="shared" si="193"/>
        <v>0</v>
      </c>
      <c r="GAP63" s="44">
        <f t="shared" si="193"/>
        <v>0</v>
      </c>
      <c r="GAQ63" s="44">
        <f t="shared" si="193"/>
        <v>0</v>
      </c>
      <c r="GAR63" s="44">
        <f t="shared" si="193"/>
        <v>0</v>
      </c>
      <c r="GAS63" s="44">
        <f t="shared" si="193"/>
        <v>0</v>
      </c>
      <c r="GAT63" s="44">
        <f t="shared" si="193"/>
        <v>0</v>
      </c>
      <c r="GAU63" s="44">
        <f t="shared" si="193"/>
        <v>0</v>
      </c>
      <c r="GAV63" s="44">
        <f t="shared" si="193"/>
        <v>0</v>
      </c>
      <c r="GAW63" s="44">
        <f t="shared" si="193"/>
        <v>0</v>
      </c>
      <c r="GAX63" s="44">
        <f t="shared" si="193"/>
        <v>0</v>
      </c>
      <c r="GAY63" s="44">
        <f t="shared" si="193"/>
        <v>0</v>
      </c>
      <c r="GAZ63" s="44">
        <f t="shared" si="193"/>
        <v>0</v>
      </c>
      <c r="GBA63" s="44">
        <f t="shared" si="193"/>
        <v>0</v>
      </c>
      <c r="GBB63" s="44">
        <f t="shared" si="193"/>
        <v>0</v>
      </c>
      <c r="GBC63" s="44">
        <f t="shared" si="193"/>
        <v>0</v>
      </c>
      <c r="GBD63" s="44">
        <f t="shared" si="193"/>
        <v>0</v>
      </c>
      <c r="GBE63" s="44">
        <f t="shared" si="193"/>
        <v>0</v>
      </c>
      <c r="GBF63" s="44">
        <f t="shared" si="193"/>
        <v>0</v>
      </c>
      <c r="GBG63" s="44">
        <f t="shared" si="193"/>
        <v>0</v>
      </c>
      <c r="GBH63" s="44">
        <f t="shared" si="193"/>
        <v>0</v>
      </c>
      <c r="GBI63" s="44">
        <f t="shared" si="193"/>
        <v>0</v>
      </c>
      <c r="GBJ63" s="44">
        <f t="shared" si="193"/>
        <v>0</v>
      </c>
      <c r="GBK63" s="44">
        <f t="shared" si="193"/>
        <v>0</v>
      </c>
      <c r="GBL63" s="44">
        <f t="shared" si="193"/>
        <v>0</v>
      </c>
      <c r="GBM63" s="44">
        <f t="shared" si="193"/>
        <v>0</v>
      </c>
      <c r="GBN63" s="44">
        <f t="shared" si="193"/>
        <v>0</v>
      </c>
      <c r="GBO63" s="44">
        <f t="shared" si="193"/>
        <v>0</v>
      </c>
      <c r="GBP63" s="44">
        <f t="shared" si="193"/>
        <v>0</v>
      </c>
      <c r="GBQ63" s="44">
        <f t="shared" si="193"/>
        <v>0</v>
      </c>
      <c r="GBR63" s="44">
        <f t="shared" si="193"/>
        <v>0</v>
      </c>
      <c r="GBS63" s="44">
        <f t="shared" si="193"/>
        <v>0</v>
      </c>
      <c r="GBT63" s="44">
        <f t="shared" si="193"/>
        <v>0</v>
      </c>
      <c r="GBU63" s="44">
        <f t="shared" si="193"/>
        <v>0</v>
      </c>
      <c r="GBV63" s="44">
        <f t="shared" si="193"/>
        <v>0</v>
      </c>
      <c r="GBW63" s="44">
        <f t="shared" si="193"/>
        <v>0</v>
      </c>
      <c r="GBX63" s="44">
        <f t="shared" si="193"/>
        <v>0</v>
      </c>
      <c r="GBY63" s="44">
        <f t="shared" si="193"/>
        <v>0</v>
      </c>
      <c r="GBZ63" s="44">
        <f t="shared" si="193"/>
        <v>0</v>
      </c>
      <c r="GCA63" s="44">
        <f t="shared" si="193"/>
        <v>0</v>
      </c>
      <c r="GCB63" s="44">
        <f t="shared" si="193"/>
        <v>0</v>
      </c>
      <c r="GCC63" s="44">
        <f t="shared" si="193"/>
        <v>0</v>
      </c>
      <c r="GCD63" s="44">
        <f t="shared" si="193"/>
        <v>0</v>
      </c>
      <c r="GCE63" s="44">
        <f t="shared" si="193"/>
        <v>0</v>
      </c>
      <c r="GCF63" s="44">
        <f t="shared" si="193"/>
        <v>0</v>
      </c>
      <c r="GCG63" s="44">
        <f t="shared" si="193"/>
        <v>0</v>
      </c>
      <c r="GCH63" s="44">
        <f t="shared" si="193"/>
        <v>0</v>
      </c>
      <c r="GCI63" s="44">
        <f t="shared" si="193"/>
        <v>0</v>
      </c>
      <c r="GCJ63" s="44">
        <f t="shared" si="193"/>
        <v>0</v>
      </c>
      <c r="GCK63" s="44">
        <f t="shared" si="193"/>
        <v>0</v>
      </c>
      <c r="GCL63" s="44">
        <f t="shared" ref="GCL63:GEW63" si="194">SUM(GCL56:GCL57)</f>
        <v>0</v>
      </c>
      <c r="GCM63" s="44">
        <f t="shared" si="194"/>
        <v>0</v>
      </c>
      <c r="GCN63" s="44">
        <f t="shared" si="194"/>
        <v>0</v>
      </c>
      <c r="GCO63" s="44">
        <f t="shared" si="194"/>
        <v>0</v>
      </c>
      <c r="GCP63" s="44">
        <f t="shared" si="194"/>
        <v>0</v>
      </c>
      <c r="GCQ63" s="44">
        <f t="shared" si="194"/>
        <v>0</v>
      </c>
      <c r="GCR63" s="44">
        <f t="shared" si="194"/>
        <v>0</v>
      </c>
      <c r="GCS63" s="44">
        <f t="shared" si="194"/>
        <v>0</v>
      </c>
      <c r="GCT63" s="44">
        <f t="shared" si="194"/>
        <v>0</v>
      </c>
      <c r="GCU63" s="44">
        <f t="shared" si="194"/>
        <v>0</v>
      </c>
      <c r="GCV63" s="44">
        <f t="shared" si="194"/>
        <v>0</v>
      </c>
      <c r="GCW63" s="44">
        <f t="shared" si="194"/>
        <v>0</v>
      </c>
      <c r="GCX63" s="44">
        <f t="shared" si="194"/>
        <v>0</v>
      </c>
      <c r="GCY63" s="44">
        <f t="shared" si="194"/>
        <v>0</v>
      </c>
      <c r="GCZ63" s="44">
        <f t="shared" si="194"/>
        <v>0</v>
      </c>
      <c r="GDA63" s="44">
        <f t="shared" si="194"/>
        <v>0</v>
      </c>
      <c r="GDB63" s="44">
        <f t="shared" si="194"/>
        <v>0</v>
      </c>
      <c r="GDC63" s="44">
        <f t="shared" si="194"/>
        <v>0</v>
      </c>
      <c r="GDD63" s="44">
        <f t="shared" si="194"/>
        <v>0</v>
      </c>
      <c r="GDE63" s="44">
        <f t="shared" si="194"/>
        <v>0</v>
      </c>
      <c r="GDF63" s="44">
        <f t="shared" si="194"/>
        <v>0</v>
      </c>
      <c r="GDG63" s="44">
        <f t="shared" si="194"/>
        <v>0</v>
      </c>
      <c r="GDH63" s="44">
        <f t="shared" si="194"/>
        <v>0</v>
      </c>
      <c r="GDI63" s="44">
        <f t="shared" si="194"/>
        <v>0</v>
      </c>
      <c r="GDJ63" s="44">
        <f t="shared" si="194"/>
        <v>0</v>
      </c>
      <c r="GDK63" s="44">
        <f t="shared" si="194"/>
        <v>0</v>
      </c>
      <c r="GDL63" s="44">
        <f t="shared" si="194"/>
        <v>0</v>
      </c>
      <c r="GDM63" s="44">
        <f t="shared" si="194"/>
        <v>0</v>
      </c>
      <c r="GDN63" s="44">
        <f t="shared" si="194"/>
        <v>0</v>
      </c>
      <c r="GDO63" s="44">
        <f t="shared" si="194"/>
        <v>0</v>
      </c>
      <c r="GDP63" s="44">
        <f t="shared" si="194"/>
        <v>0</v>
      </c>
      <c r="GDQ63" s="44">
        <f t="shared" si="194"/>
        <v>0</v>
      </c>
      <c r="GDR63" s="44">
        <f t="shared" si="194"/>
        <v>0</v>
      </c>
      <c r="GDS63" s="44">
        <f t="shared" si="194"/>
        <v>0</v>
      </c>
      <c r="GDT63" s="44">
        <f t="shared" si="194"/>
        <v>0</v>
      </c>
      <c r="GDU63" s="44">
        <f t="shared" si="194"/>
        <v>0</v>
      </c>
      <c r="GDV63" s="44">
        <f t="shared" si="194"/>
        <v>0</v>
      </c>
      <c r="GDW63" s="44">
        <f t="shared" si="194"/>
        <v>0</v>
      </c>
      <c r="GDX63" s="44">
        <f t="shared" si="194"/>
        <v>0</v>
      </c>
      <c r="GDY63" s="44">
        <f t="shared" si="194"/>
        <v>0</v>
      </c>
      <c r="GDZ63" s="44">
        <f t="shared" si="194"/>
        <v>0</v>
      </c>
      <c r="GEA63" s="44">
        <f t="shared" si="194"/>
        <v>0</v>
      </c>
      <c r="GEB63" s="44">
        <f t="shared" si="194"/>
        <v>0</v>
      </c>
      <c r="GEC63" s="44">
        <f t="shared" si="194"/>
        <v>0</v>
      </c>
      <c r="GED63" s="44">
        <f t="shared" si="194"/>
        <v>0</v>
      </c>
      <c r="GEE63" s="44">
        <f t="shared" si="194"/>
        <v>0</v>
      </c>
      <c r="GEF63" s="44">
        <f t="shared" si="194"/>
        <v>0</v>
      </c>
      <c r="GEG63" s="44">
        <f t="shared" si="194"/>
        <v>0</v>
      </c>
      <c r="GEH63" s="44">
        <f t="shared" si="194"/>
        <v>0</v>
      </c>
      <c r="GEI63" s="44">
        <f t="shared" si="194"/>
        <v>0</v>
      </c>
      <c r="GEJ63" s="44">
        <f t="shared" si="194"/>
        <v>0</v>
      </c>
      <c r="GEK63" s="44">
        <f t="shared" si="194"/>
        <v>0</v>
      </c>
      <c r="GEL63" s="44">
        <f t="shared" si="194"/>
        <v>0</v>
      </c>
      <c r="GEM63" s="44">
        <f t="shared" si="194"/>
        <v>0</v>
      </c>
      <c r="GEN63" s="44">
        <f t="shared" si="194"/>
        <v>0</v>
      </c>
      <c r="GEO63" s="44">
        <f t="shared" si="194"/>
        <v>0</v>
      </c>
      <c r="GEP63" s="44">
        <f t="shared" si="194"/>
        <v>0</v>
      </c>
      <c r="GEQ63" s="44">
        <f t="shared" si="194"/>
        <v>0</v>
      </c>
      <c r="GER63" s="44">
        <f t="shared" si="194"/>
        <v>0</v>
      </c>
      <c r="GES63" s="44">
        <f t="shared" si="194"/>
        <v>0</v>
      </c>
      <c r="GET63" s="44">
        <f t="shared" si="194"/>
        <v>0</v>
      </c>
      <c r="GEU63" s="44">
        <f t="shared" si="194"/>
        <v>0</v>
      </c>
      <c r="GEV63" s="44">
        <f t="shared" si="194"/>
        <v>0</v>
      </c>
      <c r="GEW63" s="44">
        <f t="shared" si="194"/>
        <v>0</v>
      </c>
      <c r="GEX63" s="44">
        <f t="shared" ref="GEX63:GHI63" si="195">SUM(GEX56:GEX57)</f>
        <v>0</v>
      </c>
      <c r="GEY63" s="44">
        <f t="shared" si="195"/>
        <v>0</v>
      </c>
      <c r="GEZ63" s="44">
        <f t="shared" si="195"/>
        <v>0</v>
      </c>
      <c r="GFA63" s="44">
        <f t="shared" si="195"/>
        <v>0</v>
      </c>
      <c r="GFB63" s="44">
        <f t="shared" si="195"/>
        <v>0</v>
      </c>
      <c r="GFC63" s="44">
        <f t="shared" si="195"/>
        <v>0</v>
      </c>
      <c r="GFD63" s="44">
        <f t="shared" si="195"/>
        <v>0</v>
      </c>
      <c r="GFE63" s="44">
        <f t="shared" si="195"/>
        <v>0</v>
      </c>
      <c r="GFF63" s="44">
        <f t="shared" si="195"/>
        <v>0</v>
      </c>
      <c r="GFG63" s="44">
        <f t="shared" si="195"/>
        <v>0</v>
      </c>
      <c r="GFH63" s="44">
        <f t="shared" si="195"/>
        <v>0</v>
      </c>
      <c r="GFI63" s="44">
        <f t="shared" si="195"/>
        <v>0</v>
      </c>
      <c r="GFJ63" s="44">
        <f t="shared" si="195"/>
        <v>0</v>
      </c>
      <c r="GFK63" s="44">
        <f t="shared" si="195"/>
        <v>0</v>
      </c>
      <c r="GFL63" s="44">
        <f t="shared" si="195"/>
        <v>0</v>
      </c>
      <c r="GFM63" s="44">
        <f t="shared" si="195"/>
        <v>0</v>
      </c>
      <c r="GFN63" s="44">
        <f t="shared" si="195"/>
        <v>0</v>
      </c>
      <c r="GFO63" s="44">
        <f t="shared" si="195"/>
        <v>0</v>
      </c>
      <c r="GFP63" s="44">
        <f t="shared" si="195"/>
        <v>0</v>
      </c>
      <c r="GFQ63" s="44">
        <f t="shared" si="195"/>
        <v>0</v>
      </c>
      <c r="GFR63" s="44">
        <f t="shared" si="195"/>
        <v>0</v>
      </c>
      <c r="GFS63" s="44">
        <f t="shared" si="195"/>
        <v>0</v>
      </c>
      <c r="GFT63" s="44">
        <f t="shared" si="195"/>
        <v>0</v>
      </c>
      <c r="GFU63" s="44">
        <f t="shared" si="195"/>
        <v>0</v>
      </c>
      <c r="GFV63" s="44">
        <f t="shared" si="195"/>
        <v>0</v>
      </c>
      <c r="GFW63" s="44">
        <f t="shared" si="195"/>
        <v>0</v>
      </c>
      <c r="GFX63" s="44">
        <f t="shared" si="195"/>
        <v>0</v>
      </c>
      <c r="GFY63" s="44">
        <f t="shared" si="195"/>
        <v>0</v>
      </c>
      <c r="GFZ63" s="44">
        <f t="shared" si="195"/>
        <v>0</v>
      </c>
      <c r="GGA63" s="44">
        <f t="shared" si="195"/>
        <v>0</v>
      </c>
      <c r="GGB63" s="44">
        <f t="shared" si="195"/>
        <v>0</v>
      </c>
      <c r="GGC63" s="44">
        <f t="shared" si="195"/>
        <v>0</v>
      </c>
      <c r="GGD63" s="44">
        <f t="shared" si="195"/>
        <v>0</v>
      </c>
      <c r="GGE63" s="44">
        <f t="shared" si="195"/>
        <v>0</v>
      </c>
      <c r="GGF63" s="44">
        <f t="shared" si="195"/>
        <v>0</v>
      </c>
      <c r="GGG63" s="44">
        <f t="shared" si="195"/>
        <v>0</v>
      </c>
      <c r="GGH63" s="44">
        <f t="shared" si="195"/>
        <v>0</v>
      </c>
      <c r="GGI63" s="44">
        <f t="shared" si="195"/>
        <v>0</v>
      </c>
      <c r="GGJ63" s="44">
        <f t="shared" si="195"/>
        <v>0</v>
      </c>
      <c r="GGK63" s="44">
        <f t="shared" si="195"/>
        <v>0</v>
      </c>
      <c r="GGL63" s="44">
        <f t="shared" si="195"/>
        <v>0</v>
      </c>
      <c r="GGM63" s="44">
        <f t="shared" si="195"/>
        <v>0</v>
      </c>
      <c r="GGN63" s="44">
        <f t="shared" si="195"/>
        <v>0</v>
      </c>
      <c r="GGO63" s="44">
        <f t="shared" si="195"/>
        <v>0</v>
      </c>
      <c r="GGP63" s="44">
        <f t="shared" si="195"/>
        <v>0</v>
      </c>
      <c r="GGQ63" s="44">
        <f t="shared" si="195"/>
        <v>0</v>
      </c>
      <c r="GGR63" s="44">
        <f t="shared" si="195"/>
        <v>0</v>
      </c>
      <c r="GGS63" s="44">
        <f t="shared" si="195"/>
        <v>0</v>
      </c>
      <c r="GGT63" s="44">
        <f t="shared" si="195"/>
        <v>0</v>
      </c>
      <c r="GGU63" s="44">
        <f t="shared" si="195"/>
        <v>0</v>
      </c>
      <c r="GGV63" s="44">
        <f t="shared" si="195"/>
        <v>0</v>
      </c>
      <c r="GGW63" s="44">
        <f t="shared" si="195"/>
        <v>0</v>
      </c>
      <c r="GGX63" s="44">
        <f t="shared" si="195"/>
        <v>0</v>
      </c>
      <c r="GGY63" s="44">
        <f t="shared" si="195"/>
        <v>0</v>
      </c>
      <c r="GGZ63" s="44">
        <f t="shared" si="195"/>
        <v>0</v>
      </c>
      <c r="GHA63" s="44">
        <f t="shared" si="195"/>
        <v>0</v>
      </c>
      <c r="GHB63" s="44">
        <f t="shared" si="195"/>
        <v>0</v>
      </c>
      <c r="GHC63" s="44">
        <f t="shared" si="195"/>
        <v>0</v>
      </c>
      <c r="GHD63" s="44">
        <f t="shared" si="195"/>
        <v>0</v>
      </c>
      <c r="GHE63" s="44">
        <f t="shared" si="195"/>
        <v>0</v>
      </c>
      <c r="GHF63" s="44">
        <f t="shared" si="195"/>
        <v>0</v>
      </c>
      <c r="GHG63" s="44">
        <f t="shared" si="195"/>
        <v>0</v>
      </c>
      <c r="GHH63" s="44">
        <f t="shared" si="195"/>
        <v>0</v>
      </c>
      <c r="GHI63" s="44">
        <f t="shared" si="195"/>
        <v>0</v>
      </c>
      <c r="GHJ63" s="44">
        <f t="shared" ref="GHJ63:GJU63" si="196">SUM(GHJ56:GHJ57)</f>
        <v>0</v>
      </c>
      <c r="GHK63" s="44">
        <f t="shared" si="196"/>
        <v>0</v>
      </c>
      <c r="GHL63" s="44">
        <f t="shared" si="196"/>
        <v>0</v>
      </c>
      <c r="GHM63" s="44">
        <f t="shared" si="196"/>
        <v>0</v>
      </c>
      <c r="GHN63" s="44">
        <f t="shared" si="196"/>
        <v>0</v>
      </c>
      <c r="GHO63" s="44">
        <f t="shared" si="196"/>
        <v>0</v>
      </c>
      <c r="GHP63" s="44">
        <f t="shared" si="196"/>
        <v>0</v>
      </c>
      <c r="GHQ63" s="44">
        <f t="shared" si="196"/>
        <v>0</v>
      </c>
      <c r="GHR63" s="44">
        <f t="shared" si="196"/>
        <v>0</v>
      </c>
      <c r="GHS63" s="44">
        <f t="shared" si="196"/>
        <v>0</v>
      </c>
      <c r="GHT63" s="44">
        <f t="shared" si="196"/>
        <v>0</v>
      </c>
      <c r="GHU63" s="44">
        <f t="shared" si="196"/>
        <v>0</v>
      </c>
      <c r="GHV63" s="44">
        <f t="shared" si="196"/>
        <v>0</v>
      </c>
      <c r="GHW63" s="44">
        <f t="shared" si="196"/>
        <v>0</v>
      </c>
      <c r="GHX63" s="44">
        <f t="shared" si="196"/>
        <v>0</v>
      </c>
      <c r="GHY63" s="44">
        <f t="shared" si="196"/>
        <v>0</v>
      </c>
      <c r="GHZ63" s="44">
        <f t="shared" si="196"/>
        <v>0</v>
      </c>
      <c r="GIA63" s="44">
        <f t="shared" si="196"/>
        <v>0</v>
      </c>
      <c r="GIB63" s="44">
        <f t="shared" si="196"/>
        <v>0</v>
      </c>
      <c r="GIC63" s="44">
        <f t="shared" si="196"/>
        <v>0</v>
      </c>
      <c r="GID63" s="44">
        <f t="shared" si="196"/>
        <v>0</v>
      </c>
      <c r="GIE63" s="44">
        <f t="shared" si="196"/>
        <v>0</v>
      </c>
      <c r="GIF63" s="44">
        <f t="shared" si="196"/>
        <v>0</v>
      </c>
      <c r="GIG63" s="44">
        <f t="shared" si="196"/>
        <v>0</v>
      </c>
      <c r="GIH63" s="44">
        <f t="shared" si="196"/>
        <v>0</v>
      </c>
      <c r="GII63" s="44">
        <f t="shared" si="196"/>
        <v>0</v>
      </c>
      <c r="GIJ63" s="44">
        <f t="shared" si="196"/>
        <v>0</v>
      </c>
      <c r="GIK63" s="44">
        <f t="shared" si="196"/>
        <v>0</v>
      </c>
      <c r="GIL63" s="44">
        <f t="shared" si="196"/>
        <v>0</v>
      </c>
      <c r="GIM63" s="44">
        <f t="shared" si="196"/>
        <v>0</v>
      </c>
      <c r="GIN63" s="44">
        <f t="shared" si="196"/>
        <v>0</v>
      </c>
      <c r="GIO63" s="44">
        <f t="shared" si="196"/>
        <v>0</v>
      </c>
      <c r="GIP63" s="44">
        <f t="shared" si="196"/>
        <v>0</v>
      </c>
      <c r="GIQ63" s="44">
        <f t="shared" si="196"/>
        <v>0</v>
      </c>
      <c r="GIR63" s="44">
        <f t="shared" si="196"/>
        <v>0</v>
      </c>
      <c r="GIS63" s="44">
        <f t="shared" si="196"/>
        <v>0</v>
      </c>
      <c r="GIT63" s="44">
        <f t="shared" si="196"/>
        <v>0</v>
      </c>
      <c r="GIU63" s="44">
        <f t="shared" si="196"/>
        <v>0</v>
      </c>
      <c r="GIV63" s="44">
        <f t="shared" si="196"/>
        <v>0</v>
      </c>
      <c r="GIW63" s="44">
        <f t="shared" si="196"/>
        <v>0</v>
      </c>
      <c r="GIX63" s="44">
        <f t="shared" si="196"/>
        <v>0</v>
      </c>
      <c r="GIY63" s="44">
        <f t="shared" si="196"/>
        <v>0</v>
      </c>
      <c r="GIZ63" s="44">
        <f t="shared" si="196"/>
        <v>0</v>
      </c>
      <c r="GJA63" s="44">
        <f t="shared" si="196"/>
        <v>0</v>
      </c>
      <c r="GJB63" s="44">
        <f t="shared" si="196"/>
        <v>0</v>
      </c>
      <c r="GJC63" s="44">
        <f t="shared" si="196"/>
        <v>0</v>
      </c>
      <c r="GJD63" s="44">
        <f t="shared" si="196"/>
        <v>0</v>
      </c>
      <c r="GJE63" s="44">
        <f t="shared" si="196"/>
        <v>0</v>
      </c>
      <c r="GJF63" s="44">
        <f t="shared" si="196"/>
        <v>0</v>
      </c>
      <c r="GJG63" s="44">
        <f t="shared" si="196"/>
        <v>0</v>
      </c>
      <c r="GJH63" s="44">
        <f t="shared" si="196"/>
        <v>0</v>
      </c>
      <c r="GJI63" s="44">
        <f t="shared" si="196"/>
        <v>0</v>
      </c>
      <c r="GJJ63" s="44">
        <f t="shared" si="196"/>
        <v>0</v>
      </c>
      <c r="GJK63" s="44">
        <f t="shared" si="196"/>
        <v>0</v>
      </c>
      <c r="GJL63" s="44">
        <f t="shared" si="196"/>
        <v>0</v>
      </c>
      <c r="GJM63" s="44">
        <f t="shared" si="196"/>
        <v>0</v>
      </c>
      <c r="GJN63" s="44">
        <f t="shared" si="196"/>
        <v>0</v>
      </c>
      <c r="GJO63" s="44">
        <f t="shared" si="196"/>
        <v>0</v>
      </c>
      <c r="GJP63" s="44">
        <f t="shared" si="196"/>
        <v>0</v>
      </c>
      <c r="GJQ63" s="44">
        <f t="shared" si="196"/>
        <v>0</v>
      </c>
      <c r="GJR63" s="44">
        <f t="shared" si="196"/>
        <v>0</v>
      </c>
      <c r="GJS63" s="44">
        <f t="shared" si="196"/>
        <v>0</v>
      </c>
      <c r="GJT63" s="44">
        <f t="shared" si="196"/>
        <v>0</v>
      </c>
      <c r="GJU63" s="44">
        <f t="shared" si="196"/>
        <v>0</v>
      </c>
      <c r="GJV63" s="44">
        <f t="shared" ref="GJV63:GMG63" si="197">SUM(GJV56:GJV57)</f>
        <v>0</v>
      </c>
      <c r="GJW63" s="44">
        <f t="shared" si="197"/>
        <v>0</v>
      </c>
      <c r="GJX63" s="44">
        <f t="shared" si="197"/>
        <v>0</v>
      </c>
      <c r="GJY63" s="44">
        <f t="shared" si="197"/>
        <v>0</v>
      </c>
      <c r="GJZ63" s="44">
        <f t="shared" si="197"/>
        <v>0</v>
      </c>
      <c r="GKA63" s="44">
        <f t="shared" si="197"/>
        <v>0</v>
      </c>
      <c r="GKB63" s="44">
        <f t="shared" si="197"/>
        <v>0</v>
      </c>
      <c r="GKC63" s="44">
        <f t="shared" si="197"/>
        <v>0</v>
      </c>
      <c r="GKD63" s="44">
        <f t="shared" si="197"/>
        <v>0</v>
      </c>
      <c r="GKE63" s="44">
        <f t="shared" si="197"/>
        <v>0</v>
      </c>
      <c r="GKF63" s="44">
        <f t="shared" si="197"/>
        <v>0</v>
      </c>
      <c r="GKG63" s="44">
        <f t="shared" si="197"/>
        <v>0</v>
      </c>
      <c r="GKH63" s="44">
        <f t="shared" si="197"/>
        <v>0</v>
      </c>
      <c r="GKI63" s="44">
        <f t="shared" si="197"/>
        <v>0</v>
      </c>
      <c r="GKJ63" s="44">
        <f t="shared" si="197"/>
        <v>0</v>
      </c>
      <c r="GKK63" s="44">
        <f t="shared" si="197"/>
        <v>0</v>
      </c>
      <c r="GKL63" s="44">
        <f t="shared" si="197"/>
        <v>0</v>
      </c>
      <c r="GKM63" s="44">
        <f t="shared" si="197"/>
        <v>0</v>
      </c>
      <c r="GKN63" s="44">
        <f t="shared" si="197"/>
        <v>0</v>
      </c>
      <c r="GKO63" s="44">
        <f t="shared" si="197"/>
        <v>0</v>
      </c>
      <c r="GKP63" s="44">
        <f t="shared" si="197"/>
        <v>0</v>
      </c>
      <c r="GKQ63" s="44">
        <f t="shared" si="197"/>
        <v>0</v>
      </c>
      <c r="GKR63" s="44">
        <f t="shared" si="197"/>
        <v>0</v>
      </c>
      <c r="GKS63" s="44">
        <f t="shared" si="197"/>
        <v>0</v>
      </c>
      <c r="GKT63" s="44">
        <f t="shared" si="197"/>
        <v>0</v>
      </c>
      <c r="GKU63" s="44">
        <f t="shared" si="197"/>
        <v>0</v>
      </c>
      <c r="GKV63" s="44">
        <f t="shared" si="197"/>
        <v>0</v>
      </c>
      <c r="GKW63" s="44">
        <f t="shared" si="197"/>
        <v>0</v>
      </c>
      <c r="GKX63" s="44">
        <f t="shared" si="197"/>
        <v>0</v>
      </c>
      <c r="GKY63" s="44">
        <f t="shared" si="197"/>
        <v>0</v>
      </c>
      <c r="GKZ63" s="44">
        <f t="shared" si="197"/>
        <v>0</v>
      </c>
      <c r="GLA63" s="44">
        <f t="shared" si="197"/>
        <v>0</v>
      </c>
      <c r="GLB63" s="44">
        <f t="shared" si="197"/>
        <v>0</v>
      </c>
      <c r="GLC63" s="44">
        <f t="shared" si="197"/>
        <v>0</v>
      </c>
      <c r="GLD63" s="44">
        <f t="shared" si="197"/>
        <v>0</v>
      </c>
      <c r="GLE63" s="44">
        <f t="shared" si="197"/>
        <v>0</v>
      </c>
      <c r="GLF63" s="44">
        <f t="shared" si="197"/>
        <v>0</v>
      </c>
      <c r="GLG63" s="44">
        <f t="shared" si="197"/>
        <v>0</v>
      </c>
      <c r="GLH63" s="44">
        <f t="shared" si="197"/>
        <v>0</v>
      </c>
      <c r="GLI63" s="44">
        <f t="shared" si="197"/>
        <v>0</v>
      </c>
      <c r="GLJ63" s="44">
        <f t="shared" si="197"/>
        <v>0</v>
      </c>
      <c r="GLK63" s="44">
        <f t="shared" si="197"/>
        <v>0</v>
      </c>
      <c r="GLL63" s="44">
        <f t="shared" si="197"/>
        <v>0</v>
      </c>
      <c r="GLM63" s="44">
        <f t="shared" si="197"/>
        <v>0</v>
      </c>
      <c r="GLN63" s="44">
        <f t="shared" si="197"/>
        <v>0</v>
      </c>
      <c r="GLO63" s="44">
        <f t="shared" si="197"/>
        <v>0</v>
      </c>
      <c r="GLP63" s="44">
        <f t="shared" si="197"/>
        <v>0</v>
      </c>
      <c r="GLQ63" s="44">
        <f t="shared" si="197"/>
        <v>0</v>
      </c>
      <c r="GLR63" s="44">
        <f t="shared" si="197"/>
        <v>0</v>
      </c>
      <c r="GLS63" s="44">
        <f t="shared" si="197"/>
        <v>0</v>
      </c>
      <c r="GLT63" s="44">
        <f t="shared" si="197"/>
        <v>0</v>
      </c>
      <c r="GLU63" s="44">
        <f t="shared" si="197"/>
        <v>0</v>
      </c>
      <c r="GLV63" s="44">
        <f t="shared" si="197"/>
        <v>0</v>
      </c>
      <c r="GLW63" s="44">
        <f t="shared" si="197"/>
        <v>0</v>
      </c>
      <c r="GLX63" s="44">
        <f t="shared" si="197"/>
        <v>0</v>
      </c>
      <c r="GLY63" s="44">
        <f t="shared" si="197"/>
        <v>0</v>
      </c>
      <c r="GLZ63" s="44">
        <f t="shared" si="197"/>
        <v>0</v>
      </c>
      <c r="GMA63" s="44">
        <f t="shared" si="197"/>
        <v>0</v>
      </c>
      <c r="GMB63" s="44">
        <f t="shared" si="197"/>
        <v>0</v>
      </c>
      <c r="GMC63" s="44">
        <f t="shared" si="197"/>
        <v>0</v>
      </c>
      <c r="GMD63" s="44">
        <f t="shared" si="197"/>
        <v>0</v>
      </c>
      <c r="GME63" s="44">
        <f t="shared" si="197"/>
        <v>0</v>
      </c>
      <c r="GMF63" s="44">
        <f t="shared" si="197"/>
        <v>0</v>
      </c>
      <c r="GMG63" s="44">
        <f t="shared" si="197"/>
        <v>0</v>
      </c>
      <c r="GMH63" s="44">
        <f t="shared" ref="GMH63:GOS63" si="198">SUM(GMH56:GMH57)</f>
        <v>0</v>
      </c>
      <c r="GMI63" s="44">
        <f t="shared" si="198"/>
        <v>0</v>
      </c>
      <c r="GMJ63" s="44">
        <f t="shared" si="198"/>
        <v>0</v>
      </c>
      <c r="GMK63" s="44">
        <f t="shared" si="198"/>
        <v>0</v>
      </c>
      <c r="GML63" s="44">
        <f t="shared" si="198"/>
        <v>0</v>
      </c>
      <c r="GMM63" s="44">
        <f t="shared" si="198"/>
        <v>0</v>
      </c>
      <c r="GMN63" s="44">
        <f t="shared" si="198"/>
        <v>0</v>
      </c>
      <c r="GMO63" s="44">
        <f t="shared" si="198"/>
        <v>0</v>
      </c>
      <c r="GMP63" s="44">
        <f t="shared" si="198"/>
        <v>0</v>
      </c>
      <c r="GMQ63" s="44">
        <f t="shared" si="198"/>
        <v>0</v>
      </c>
      <c r="GMR63" s="44">
        <f t="shared" si="198"/>
        <v>0</v>
      </c>
      <c r="GMS63" s="44">
        <f t="shared" si="198"/>
        <v>0</v>
      </c>
      <c r="GMT63" s="44">
        <f t="shared" si="198"/>
        <v>0</v>
      </c>
      <c r="GMU63" s="44">
        <f t="shared" si="198"/>
        <v>0</v>
      </c>
      <c r="GMV63" s="44">
        <f t="shared" si="198"/>
        <v>0</v>
      </c>
      <c r="GMW63" s="44">
        <f t="shared" si="198"/>
        <v>0</v>
      </c>
      <c r="GMX63" s="44">
        <f t="shared" si="198"/>
        <v>0</v>
      </c>
      <c r="GMY63" s="44">
        <f t="shared" si="198"/>
        <v>0</v>
      </c>
      <c r="GMZ63" s="44">
        <f t="shared" si="198"/>
        <v>0</v>
      </c>
      <c r="GNA63" s="44">
        <f t="shared" si="198"/>
        <v>0</v>
      </c>
      <c r="GNB63" s="44">
        <f t="shared" si="198"/>
        <v>0</v>
      </c>
      <c r="GNC63" s="44">
        <f t="shared" si="198"/>
        <v>0</v>
      </c>
      <c r="GND63" s="44">
        <f t="shared" si="198"/>
        <v>0</v>
      </c>
      <c r="GNE63" s="44">
        <f t="shared" si="198"/>
        <v>0</v>
      </c>
      <c r="GNF63" s="44">
        <f t="shared" si="198"/>
        <v>0</v>
      </c>
      <c r="GNG63" s="44">
        <f t="shared" si="198"/>
        <v>0</v>
      </c>
      <c r="GNH63" s="44">
        <f t="shared" si="198"/>
        <v>0</v>
      </c>
      <c r="GNI63" s="44">
        <f t="shared" si="198"/>
        <v>0</v>
      </c>
      <c r="GNJ63" s="44">
        <f t="shared" si="198"/>
        <v>0</v>
      </c>
      <c r="GNK63" s="44">
        <f t="shared" si="198"/>
        <v>0</v>
      </c>
      <c r="GNL63" s="44">
        <f t="shared" si="198"/>
        <v>0</v>
      </c>
      <c r="GNM63" s="44">
        <f t="shared" si="198"/>
        <v>0</v>
      </c>
      <c r="GNN63" s="44">
        <f t="shared" si="198"/>
        <v>0</v>
      </c>
      <c r="GNO63" s="44">
        <f t="shared" si="198"/>
        <v>0</v>
      </c>
      <c r="GNP63" s="44">
        <f t="shared" si="198"/>
        <v>0</v>
      </c>
      <c r="GNQ63" s="44">
        <f t="shared" si="198"/>
        <v>0</v>
      </c>
      <c r="GNR63" s="44">
        <f t="shared" si="198"/>
        <v>0</v>
      </c>
      <c r="GNS63" s="44">
        <f t="shared" si="198"/>
        <v>0</v>
      </c>
      <c r="GNT63" s="44">
        <f t="shared" si="198"/>
        <v>0</v>
      </c>
      <c r="GNU63" s="44">
        <f t="shared" si="198"/>
        <v>0</v>
      </c>
      <c r="GNV63" s="44">
        <f t="shared" si="198"/>
        <v>0</v>
      </c>
      <c r="GNW63" s="44">
        <f t="shared" si="198"/>
        <v>0</v>
      </c>
      <c r="GNX63" s="44">
        <f t="shared" si="198"/>
        <v>0</v>
      </c>
      <c r="GNY63" s="44">
        <f t="shared" si="198"/>
        <v>0</v>
      </c>
      <c r="GNZ63" s="44">
        <f t="shared" si="198"/>
        <v>0</v>
      </c>
      <c r="GOA63" s="44">
        <f t="shared" si="198"/>
        <v>0</v>
      </c>
      <c r="GOB63" s="44">
        <f t="shared" si="198"/>
        <v>0</v>
      </c>
      <c r="GOC63" s="44">
        <f t="shared" si="198"/>
        <v>0</v>
      </c>
      <c r="GOD63" s="44">
        <f t="shared" si="198"/>
        <v>0</v>
      </c>
      <c r="GOE63" s="44">
        <f t="shared" si="198"/>
        <v>0</v>
      </c>
      <c r="GOF63" s="44">
        <f t="shared" si="198"/>
        <v>0</v>
      </c>
      <c r="GOG63" s="44">
        <f t="shared" si="198"/>
        <v>0</v>
      </c>
      <c r="GOH63" s="44">
        <f t="shared" si="198"/>
        <v>0</v>
      </c>
      <c r="GOI63" s="44">
        <f t="shared" si="198"/>
        <v>0</v>
      </c>
      <c r="GOJ63" s="44">
        <f t="shared" si="198"/>
        <v>0</v>
      </c>
      <c r="GOK63" s="44">
        <f t="shared" si="198"/>
        <v>0</v>
      </c>
      <c r="GOL63" s="44">
        <f t="shared" si="198"/>
        <v>0</v>
      </c>
      <c r="GOM63" s="44">
        <f t="shared" si="198"/>
        <v>0</v>
      </c>
      <c r="GON63" s="44">
        <f t="shared" si="198"/>
        <v>0</v>
      </c>
      <c r="GOO63" s="44">
        <f t="shared" si="198"/>
        <v>0</v>
      </c>
      <c r="GOP63" s="44">
        <f t="shared" si="198"/>
        <v>0</v>
      </c>
      <c r="GOQ63" s="44">
        <f t="shared" si="198"/>
        <v>0</v>
      </c>
      <c r="GOR63" s="44">
        <f t="shared" si="198"/>
        <v>0</v>
      </c>
      <c r="GOS63" s="44">
        <f t="shared" si="198"/>
        <v>0</v>
      </c>
      <c r="GOT63" s="44">
        <f t="shared" ref="GOT63:GRE63" si="199">SUM(GOT56:GOT57)</f>
        <v>0</v>
      </c>
      <c r="GOU63" s="44">
        <f t="shared" si="199"/>
        <v>0</v>
      </c>
      <c r="GOV63" s="44">
        <f t="shared" si="199"/>
        <v>0</v>
      </c>
      <c r="GOW63" s="44">
        <f t="shared" si="199"/>
        <v>0</v>
      </c>
      <c r="GOX63" s="44">
        <f t="shared" si="199"/>
        <v>0</v>
      </c>
      <c r="GOY63" s="44">
        <f t="shared" si="199"/>
        <v>0</v>
      </c>
      <c r="GOZ63" s="44">
        <f t="shared" si="199"/>
        <v>0</v>
      </c>
      <c r="GPA63" s="44">
        <f t="shared" si="199"/>
        <v>0</v>
      </c>
      <c r="GPB63" s="44">
        <f t="shared" si="199"/>
        <v>0</v>
      </c>
      <c r="GPC63" s="44">
        <f t="shared" si="199"/>
        <v>0</v>
      </c>
      <c r="GPD63" s="44">
        <f t="shared" si="199"/>
        <v>0</v>
      </c>
      <c r="GPE63" s="44">
        <f t="shared" si="199"/>
        <v>0</v>
      </c>
      <c r="GPF63" s="44">
        <f t="shared" si="199"/>
        <v>0</v>
      </c>
      <c r="GPG63" s="44">
        <f t="shared" si="199"/>
        <v>0</v>
      </c>
      <c r="GPH63" s="44">
        <f t="shared" si="199"/>
        <v>0</v>
      </c>
      <c r="GPI63" s="44">
        <f t="shared" si="199"/>
        <v>0</v>
      </c>
      <c r="GPJ63" s="44">
        <f t="shared" si="199"/>
        <v>0</v>
      </c>
      <c r="GPK63" s="44">
        <f t="shared" si="199"/>
        <v>0</v>
      </c>
      <c r="GPL63" s="44">
        <f t="shared" si="199"/>
        <v>0</v>
      </c>
      <c r="GPM63" s="44">
        <f t="shared" si="199"/>
        <v>0</v>
      </c>
      <c r="GPN63" s="44">
        <f t="shared" si="199"/>
        <v>0</v>
      </c>
      <c r="GPO63" s="44">
        <f t="shared" si="199"/>
        <v>0</v>
      </c>
      <c r="GPP63" s="44">
        <f t="shared" si="199"/>
        <v>0</v>
      </c>
      <c r="GPQ63" s="44">
        <f t="shared" si="199"/>
        <v>0</v>
      </c>
      <c r="GPR63" s="44">
        <f t="shared" si="199"/>
        <v>0</v>
      </c>
      <c r="GPS63" s="44">
        <f t="shared" si="199"/>
        <v>0</v>
      </c>
      <c r="GPT63" s="44">
        <f t="shared" si="199"/>
        <v>0</v>
      </c>
      <c r="GPU63" s="44">
        <f t="shared" si="199"/>
        <v>0</v>
      </c>
      <c r="GPV63" s="44">
        <f t="shared" si="199"/>
        <v>0</v>
      </c>
      <c r="GPW63" s="44">
        <f t="shared" si="199"/>
        <v>0</v>
      </c>
      <c r="GPX63" s="44">
        <f t="shared" si="199"/>
        <v>0</v>
      </c>
      <c r="GPY63" s="44">
        <f t="shared" si="199"/>
        <v>0</v>
      </c>
      <c r="GPZ63" s="44">
        <f t="shared" si="199"/>
        <v>0</v>
      </c>
      <c r="GQA63" s="44">
        <f t="shared" si="199"/>
        <v>0</v>
      </c>
      <c r="GQB63" s="44">
        <f t="shared" si="199"/>
        <v>0</v>
      </c>
      <c r="GQC63" s="44">
        <f t="shared" si="199"/>
        <v>0</v>
      </c>
      <c r="GQD63" s="44">
        <f t="shared" si="199"/>
        <v>0</v>
      </c>
      <c r="GQE63" s="44">
        <f t="shared" si="199"/>
        <v>0</v>
      </c>
      <c r="GQF63" s="44">
        <f t="shared" si="199"/>
        <v>0</v>
      </c>
      <c r="GQG63" s="44">
        <f t="shared" si="199"/>
        <v>0</v>
      </c>
      <c r="GQH63" s="44">
        <f t="shared" si="199"/>
        <v>0</v>
      </c>
      <c r="GQI63" s="44">
        <f t="shared" si="199"/>
        <v>0</v>
      </c>
      <c r="GQJ63" s="44">
        <f t="shared" si="199"/>
        <v>0</v>
      </c>
      <c r="GQK63" s="44">
        <f t="shared" si="199"/>
        <v>0</v>
      </c>
      <c r="GQL63" s="44">
        <f t="shared" si="199"/>
        <v>0</v>
      </c>
      <c r="GQM63" s="44">
        <f t="shared" si="199"/>
        <v>0</v>
      </c>
      <c r="GQN63" s="44">
        <f t="shared" si="199"/>
        <v>0</v>
      </c>
      <c r="GQO63" s="44">
        <f t="shared" si="199"/>
        <v>0</v>
      </c>
      <c r="GQP63" s="44">
        <f t="shared" si="199"/>
        <v>0</v>
      </c>
      <c r="GQQ63" s="44">
        <f t="shared" si="199"/>
        <v>0</v>
      </c>
      <c r="GQR63" s="44">
        <f t="shared" si="199"/>
        <v>0</v>
      </c>
      <c r="GQS63" s="44">
        <f t="shared" si="199"/>
        <v>0</v>
      </c>
      <c r="GQT63" s="44">
        <f t="shared" si="199"/>
        <v>0</v>
      </c>
      <c r="GQU63" s="44">
        <f t="shared" si="199"/>
        <v>0</v>
      </c>
      <c r="GQV63" s="44">
        <f t="shared" si="199"/>
        <v>0</v>
      </c>
      <c r="GQW63" s="44">
        <f t="shared" si="199"/>
        <v>0</v>
      </c>
      <c r="GQX63" s="44">
        <f t="shared" si="199"/>
        <v>0</v>
      </c>
      <c r="GQY63" s="44">
        <f t="shared" si="199"/>
        <v>0</v>
      </c>
      <c r="GQZ63" s="44">
        <f t="shared" si="199"/>
        <v>0</v>
      </c>
      <c r="GRA63" s="44">
        <f t="shared" si="199"/>
        <v>0</v>
      </c>
      <c r="GRB63" s="44">
        <f t="shared" si="199"/>
        <v>0</v>
      </c>
      <c r="GRC63" s="44">
        <f t="shared" si="199"/>
        <v>0</v>
      </c>
      <c r="GRD63" s="44">
        <f t="shared" si="199"/>
        <v>0</v>
      </c>
      <c r="GRE63" s="44">
        <f t="shared" si="199"/>
        <v>0</v>
      </c>
      <c r="GRF63" s="44">
        <f t="shared" ref="GRF63:GTQ63" si="200">SUM(GRF56:GRF57)</f>
        <v>0</v>
      </c>
      <c r="GRG63" s="44">
        <f t="shared" si="200"/>
        <v>0</v>
      </c>
      <c r="GRH63" s="44">
        <f t="shared" si="200"/>
        <v>0</v>
      </c>
      <c r="GRI63" s="44">
        <f t="shared" si="200"/>
        <v>0</v>
      </c>
      <c r="GRJ63" s="44">
        <f t="shared" si="200"/>
        <v>0</v>
      </c>
      <c r="GRK63" s="44">
        <f t="shared" si="200"/>
        <v>0</v>
      </c>
      <c r="GRL63" s="44">
        <f t="shared" si="200"/>
        <v>0</v>
      </c>
      <c r="GRM63" s="44">
        <f t="shared" si="200"/>
        <v>0</v>
      </c>
      <c r="GRN63" s="44">
        <f t="shared" si="200"/>
        <v>0</v>
      </c>
      <c r="GRO63" s="44">
        <f t="shared" si="200"/>
        <v>0</v>
      </c>
      <c r="GRP63" s="44">
        <f t="shared" si="200"/>
        <v>0</v>
      </c>
      <c r="GRQ63" s="44">
        <f t="shared" si="200"/>
        <v>0</v>
      </c>
      <c r="GRR63" s="44">
        <f t="shared" si="200"/>
        <v>0</v>
      </c>
      <c r="GRS63" s="44">
        <f t="shared" si="200"/>
        <v>0</v>
      </c>
      <c r="GRT63" s="44">
        <f t="shared" si="200"/>
        <v>0</v>
      </c>
      <c r="GRU63" s="44">
        <f t="shared" si="200"/>
        <v>0</v>
      </c>
      <c r="GRV63" s="44">
        <f t="shared" si="200"/>
        <v>0</v>
      </c>
      <c r="GRW63" s="44">
        <f t="shared" si="200"/>
        <v>0</v>
      </c>
      <c r="GRX63" s="44">
        <f t="shared" si="200"/>
        <v>0</v>
      </c>
      <c r="GRY63" s="44">
        <f t="shared" si="200"/>
        <v>0</v>
      </c>
      <c r="GRZ63" s="44">
        <f t="shared" si="200"/>
        <v>0</v>
      </c>
      <c r="GSA63" s="44">
        <f t="shared" si="200"/>
        <v>0</v>
      </c>
      <c r="GSB63" s="44">
        <f t="shared" si="200"/>
        <v>0</v>
      </c>
      <c r="GSC63" s="44">
        <f t="shared" si="200"/>
        <v>0</v>
      </c>
      <c r="GSD63" s="44">
        <f t="shared" si="200"/>
        <v>0</v>
      </c>
      <c r="GSE63" s="44">
        <f t="shared" si="200"/>
        <v>0</v>
      </c>
      <c r="GSF63" s="44">
        <f t="shared" si="200"/>
        <v>0</v>
      </c>
      <c r="GSG63" s="44">
        <f t="shared" si="200"/>
        <v>0</v>
      </c>
      <c r="GSH63" s="44">
        <f t="shared" si="200"/>
        <v>0</v>
      </c>
      <c r="GSI63" s="44">
        <f t="shared" si="200"/>
        <v>0</v>
      </c>
      <c r="GSJ63" s="44">
        <f t="shared" si="200"/>
        <v>0</v>
      </c>
      <c r="GSK63" s="44">
        <f t="shared" si="200"/>
        <v>0</v>
      </c>
      <c r="GSL63" s="44">
        <f t="shared" si="200"/>
        <v>0</v>
      </c>
      <c r="GSM63" s="44">
        <f t="shared" si="200"/>
        <v>0</v>
      </c>
      <c r="GSN63" s="44">
        <f t="shared" si="200"/>
        <v>0</v>
      </c>
      <c r="GSO63" s="44">
        <f t="shared" si="200"/>
        <v>0</v>
      </c>
      <c r="GSP63" s="44">
        <f t="shared" si="200"/>
        <v>0</v>
      </c>
      <c r="GSQ63" s="44">
        <f t="shared" si="200"/>
        <v>0</v>
      </c>
      <c r="GSR63" s="44">
        <f t="shared" si="200"/>
        <v>0</v>
      </c>
      <c r="GSS63" s="44">
        <f t="shared" si="200"/>
        <v>0</v>
      </c>
      <c r="GST63" s="44">
        <f t="shared" si="200"/>
        <v>0</v>
      </c>
      <c r="GSU63" s="44">
        <f t="shared" si="200"/>
        <v>0</v>
      </c>
      <c r="GSV63" s="44">
        <f t="shared" si="200"/>
        <v>0</v>
      </c>
      <c r="GSW63" s="44">
        <f t="shared" si="200"/>
        <v>0</v>
      </c>
      <c r="GSX63" s="44">
        <f t="shared" si="200"/>
        <v>0</v>
      </c>
      <c r="GSY63" s="44">
        <f t="shared" si="200"/>
        <v>0</v>
      </c>
      <c r="GSZ63" s="44">
        <f t="shared" si="200"/>
        <v>0</v>
      </c>
      <c r="GTA63" s="44">
        <f t="shared" si="200"/>
        <v>0</v>
      </c>
      <c r="GTB63" s="44">
        <f t="shared" si="200"/>
        <v>0</v>
      </c>
      <c r="GTC63" s="44">
        <f t="shared" si="200"/>
        <v>0</v>
      </c>
      <c r="GTD63" s="44">
        <f t="shared" si="200"/>
        <v>0</v>
      </c>
      <c r="GTE63" s="44">
        <f t="shared" si="200"/>
        <v>0</v>
      </c>
      <c r="GTF63" s="44">
        <f t="shared" si="200"/>
        <v>0</v>
      </c>
      <c r="GTG63" s="44">
        <f t="shared" si="200"/>
        <v>0</v>
      </c>
      <c r="GTH63" s="44">
        <f t="shared" si="200"/>
        <v>0</v>
      </c>
      <c r="GTI63" s="44">
        <f t="shared" si="200"/>
        <v>0</v>
      </c>
      <c r="GTJ63" s="44">
        <f t="shared" si="200"/>
        <v>0</v>
      </c>
      <c r="GTK63" s="44">
        <f t="shared" si="200"/>
        <v>0</v>
      </c>
      <c r="GTL63" s="44">
        <f t="shared" si="200"/>
        <v>0</v>
      </c>
      <c r="GTM63" s="44">
        <f t="shared" si="200"/>
        <v>0</v>
      </c>
      <c r="GTN63" s="44">
        <f t="shared" si="200"/>
        <v>0</v>
      </c>
      <c r="GTO63" s="44">
        <f t="shared" si="200"/>
        <v>0</v>
      </c>
      <c r="GTP63" s="44">
        <f t="shared" si="200"/>
        <v>0</v>
      </c>
      <c r="GTQ63" s="44">
        <f t="shared" si="200"/>
        <v>0</v>
      </c>
      <c r="GTR63" s="44">
        <f t="shared" ref="GTR63:GWC63" si="201">SUM(GTR56:GTR57)</f>
        <v>0</v>
      </c>
      <c r="GTS63" s="44">
        <f t="shared" si="201"/>
        <v>0</v>
      </c>
      <c r="GTT63" s="44">
        <f t="shared" si="201"/>
        <v>0</v>
      </c>
      <c r="GTU63" s="44">
        <f t="shared" si="201"/>
        <v>0</v>
      </c>
      <c r="GTV63" s="44">
        <f t="shared" si="201"/>
        <v>0</v>
      </c>
      <c r="GTW63" s="44">
        <f t="shared" si="201"/>
        <v>0</v>
      </c>
      <c r="GTX63" s="44">
        <f t="shared" si="201"/>
        <v>0</v>
      </c>
      <c r="GTY63" s="44">
        <f t="shared" si="201"/>
        <v>0</v>
      </c>
      <c r="GTZ63" s="44">
        <f t="shared" si="201"/>
        <v>0</v>
      </c>
      <c r="GUA63" s="44">
        <f t="shared" si="201"/>
        <v>0</v>
      </c>
      <c r="GUB63" s="44">
        <f t="shared" si="201"/>
        <v>0</v>
      </c>
      <c r="GUC63" s="44">
        <f t="shared" si="201"/>
        <v>0</v>
      </c>
      <c r="GUD63" s="44">
        <f t="shared" si="201"/>
        <v>0</v>
      </c>
      <c r="GUE63" s="44">
        <f t="shared" si="201"/>
        <v>0</v>
      </c>
      <c r="GUF63" s="44">
        <f t="shared" si="201"/>
        <v>0</v>
      </c>
      <c r="GUG63" s="44">
        <f t="shared" si="201"/>
        <v>0</v>
      </c>
      <c r="GUH63" s="44">
        <f t="shared" si="201"/>
        <v>0</v>
      </c>
      <c r="GUI63" s="44">
        <f t="shared" si="201"/>
        <v>0</v>
      </c>
      <c r="GUJ63" s="44">
        <f t="shared" si="201"/>
        <v>0</v>
      </c>
      <c r="GUK63" s="44">
        <f t="shared" si="201"/>
        <v>0</v>
      </c>
      <c r="GUL63" s="44">
        <f t="shared" si="201"/>
        <v>0</v>
      </c>
      <c r="GUM63" s="44">
        <f t="shared" si="201"/>
        <v>0</v>
      </c>
      <c r="GUN63" s="44">
        <f t="shared" si="201"/>
        <v>0</v>
      </c>
      <c r="GUO63" s="44">
        <f t="shared" si="201"/>
        <v>0</v>
      </c>
      <c r="GUP63" s="44">
        <f t="shared" si="201"/>
        <v>0</v>
      </c>
      <c r="GUQ63" s="44">
        <f t="shared" si="201"/>
        <v>0</v>
      </c>
      <c r="GUR63" s="44">
        <f t="shared" si="201"/>
        <v>0</v>
      </c>
      <c r="GUS63" s="44">
        <f t="shared" si="201"/>
        <v>0</v>
      </c>
      <c r="GUT63" s="44">
        <f t="shared" si="201"/>
        <v>0</v>
      </c>
      <c r="GUU63" s="44">
        <f t="shared" si="201"/>
        <v>0</v>
      </c>
      <c r="GUV63" s="44">
        <f t="shared" si="201"/>
        <v>0</v>
      </c>
      <c r="GUW63" s="44">
        <f t="shared" si="201"/>
        <v>0</v>
      </c>
      <c r="GUX63" s="44">
        <f t="shared" si="201"/>
        <v>0</v>
      </c>
      <c r="GUY63" s="44">
        <f t="shared" si="201"/>
        <v>0</v>
      </c>
      <c r="GUZ63" s="44">
        <f t="shared" si="201"/>
        <v>0</v>
      </c>
      <c r="GVA63" s="44">
        <f t="shared" si="201"/>
        <v>0</v>
      </c>
      <c r="GVB63" s="44">
        <f t="shared" si="201"/>
        <v>0</v>
      </c>
      <c r="GVC63" s="44">
        <f t="shared" si="201"/>
        <v>0</v>
      </c>
      <c r="GVD63" s="44">
        <f t="shared" si="201"/>
        <v>0</v>
      </c>
      <c r="GVE63" s="44">
        <f t="shared" si="201"/>
        <v>0</v>
      </c>
      <c r="GVF63" s="44">
        <f t="shared" si="201"/>
        <v>0</v>
      </c>
      <c r="GVG63" s="44">
        <f t="shared" si="201"/>
        <v>0</v>
      </c>
      <c r="GVH63" s="44">
        <f t="shared" si="201"/>
        <v>0</v>
      </c>
      <c r="GVI63" s="44">
        <f t="shared" si="201"/>
        <v>0</v>
      </c>
      <c r="GVJ63" s="44">
        <f t="shared" si="201"/>
        <v>0</v>
      </c>
      <c r="GVK63" s="44">
        <f t="shared" si="201"/>
        <v>0</v>
      </c>
      <c r="GVL63" s="44">
        <f t="shared" si="201"/>
        <v>0</v>
      </c>
      <c r="GVM63" s="44">
        <f t="shared" si="201"/>
        <v>0</v>
      </c>
      <c r="GVN63" s="44">
        <f t="shared" si="201"/>
        <v>0</v>
      </c>
      <c r="GVO63" s="44">
        <f t="shared" si="201"/>
        <v>0</v>
      </c>
      <c r="GVP63" s="44">
        <f t="shared" si="201"/>
        <v>0</v>
      </c>
      <c r="GVQ63" s="44">
        <f t="shared" si="201"/>
        <v>0</v>
      </c>
      <c r="GVR63" s="44">
        <f t="shared" si="201"/>
        <v>0</v>
      </c>
      <c r="GVS63" s="44">
        <f t="shared" si="201"/>
        <v>0</v>
      </c>
      <c r="GVT63" s="44">
        <f t="shared" si="201"/>
        <v>0</v>
      </c>
      <c r="GVU63" s="44">
        <f t="shared" si="201"/>
        <v>0</v>
      </c>
      <c r="GVV63" s="44">
        <f t="shared" si="201"/>
        <v>0</v>
      </c>
      <c r="GVW63" s="44">
        <f t="shared" si="201"/>
        <v>0</v>
      </c>
      <c r="GVX63" s="44">
        <f t="shared" si="201"/>
        <v>0</v>
      </c>
      <c r="GVY63" s="44">
        <f t="shared" si="201"/>
        <v>0</v>
      </c>
      <c r="GVZ63" s="44">
        <f t="shared" si="201"/>
        <v>0</v>
      </c>
      <c r="GWA63" s="44">
        <f t="shared" si="201"/>
        <v>0</v>
      </c>
      <c r="GWB63" s="44">
        <f t="shared" si="201"/>
        <v>0</v>
      </c>
      <c r="GWC63" s="44">
        <f t="shared" si="201"/>
        <v>0</v>
      </c>
      <c r="GWD63" s="44">
        <f t="shared" ref="GWD63:GYO63" si="202">SUM(GWD56:GWD57)</f>
        <v>0</v>
      </c>
      <c r="GWE63" s="44">
        <f t="shared" si="202"/>
        <v>0</v>
      </c>
      <c r="GWF63" s="44">
        <f t="shared" si="202"/>
        <v>0</v>
      </c>
      <c r="GWG63" s="44">
        <f t="shared" si="202"/>
        <v>0</v>
      </c>
      <c r="GWH63" s="44">
        <f t="shared" si="202"/>
        <v>0</v>
      </c>
      <c r="GWI63" s="44">
        <f t="shared" si="202"/>
        <v>0</v>
      </c>
      <c r="GWJ63" s="44">
        <f t="shared" si="202"/>
        <v>0</v>
      </c>
      <c r="GWK63" s="44">
        <f t="shared" si="202"/>
        <v>0</v>
      </c>
      <c r="GWL63" s="44">
        <f t="shared" si="202"/>
        <v>0</v>
      </c>
      <c r="GWM63" s="44">
        <f t="shared" si="202"/>
        <v>0</v>
      </c>
      <c r="GWN63" s="44">
        <f t="shared" si="202"/>
        <v>0</v>
      </c>
      <c r="GWO63" s="44">
        <f t="shared" si="202"/>
        <v>0</v>
      </c>
      <c r="GWP63" s="44">
        <f t="shared" si="202"/>
        <v>0</v>
      </c>
      <c r="GWQ63" s="44">
        <f t="shared" si="202"/>
        <v>0</v>
      </c>
      <c r="GWR63" s="44">
        <f t="shared" si="202"/>
        <v>0</v>
      </c>
      <c r="GWS63" s="44">
        <f t="shared" si="202"/>
        <v>0</v>
      </c>
      <c r="GWT63" s="44">
        <f t="shared" si="202"/>
        <v>0</v>
      </c>
      <c r="GWU63" s="44">
        <f t="shared" si="202"/>
        <v>0</v>
      </c>
      <c r="GWV63" s="44">
        <f t="shared" si="202"/>
        <v>0</v>
      </c>
      <c r="GWW63" s="44">
        <f t="shared" si="202"/>
        <v>0</v>
      </c>
      <c r="GWX63" s="44">
        <f t="shared" si="202"/>
        <v>0</v>
      </c>
      <c r="GWY63" s="44">
        <f t="shared" si="202"/>
        <v>0</v>
      </c>
      <c r="GWZ63" s="44">
        <f t="shared" si="202"/>
        <v>0</v>
      </c>
      <c r="GXA63" s="44">
        <f t="shared" si="202"/>
        <v>0</v>
      </c>
      <c r="GXB63" s="44">
        <f t="shared" si="202"/>
        <v>0</v>
      </c>
      <c r="GXC63" s="44">
        <f t="shared" si="202"/>
        <v>0</v>
      </c>
      <c r="GXD63" s="44">
        <f t="shared" si="202"/>
        <v>0</v>
      </c>
      <c r="GXE63" s="44">
        <f t="shared" si="202"/>
        <v>0</v>
      </c>
      <c r="GXF63" s="44">
        <f t="shared" si="202"/>
        <v>0</v>
      </c>
      <c r="GXG63" s="44">
        <f t="shared" si="202"/>
        <v>0</v>
      </c>
      <c r="GXH63" s="44">
        <f t="shared" si="202"/>
        <v>0</v>
      </c>
      <c r="GXI63" s="44">
        <f t="shared" si="202"/>
        <v>0</v>
      </c>
      <c r="GXJ63" s="44">
        <f t="shared" si="202"/>
        <v>0</v>
      </c>
      <c r="GXK63" s="44">
        <f t="shared" si="202"/>
        <v>0</v>
      </c>
      <c r="GXL63" s="44">
        <f t="shared" si="202"/>
        <v>0</v>
      </c>
      <c r="GXM63" s="44">
        <f t="shared" si="202"/>
        <v>0</v>
      </c>
      <c r="GXN63" s="44">
        <f t="shared" si="202"/>
        <v>0</v>
      </c>
      <c r="GXO63" s="44">
        <f t="shared" si="202"/>
        <v>0</v>
      </c>
      <c r="GXP63" s="44">
        <f t="shared" si="202"/>
        <v>0</v>
      </c>
      <c r="GXQ63" s="44">
        <f t="shared" si="202"/>
        <v>0</v>
      </c>
      <c r="GXR63" s="44">
        <f t="shared" si="202"/>
        <v>0</v>
      </c>
      <c r="GXS63" s="44">
        <f t="shared" si="202"/>
        <v>0</v>
      </c>
      <c r="GXT63" s="44">
        <f t="shared" si="202"/>
        <v>0</v>
      </c>
      <c r="GXU63" s="44">
        <f t="shared" si="202"/>
        <v>0</v>
      </c>
      <c r="GXV63" s="44">
        <f t="shared" si="202"/>
        <v>0</v>
      </c>
      <c r="GXW63" s="44">
        <f t="shared" si="202"/>
        <v>0</v>
      </c>
      <c r="GXX63" s="44">
        <f t="shared" si="202"/>
        <v>0</v>
      </c>
      <c r="GXY63" s="44">
        <f t="shared" si="202"/>
        <v>0</v>
      </c>
      <c r="GXZ63" s="44">
        <f t="shared" si="202"/>
        <v>0</v>
      </c>
      <c r="GYA63" s="44">
        <f t="shared" si="202"/>
        <v>0</v>
      </c>
      <c r="GYB63" s="44">
        <f t="shared" si="202"/>
        <v>0</v>
      </c>
      <c r="GYC63" s="44">
        <f t="shared" si="202"/>
        <v>0</v>
      </c>
      <c r="GYD63" s="44">
        <f t="shared" si="202"/>
        <v>0</v>
      </c>
      <c r="GYE63" s="44">
        <f t="shared" si="202"/>
        <v>0</v>
      </c>
      <c r="GYF63" s="44">
        <f t="shared" si="202"/>
        <v>0</v>
      </c>
      <c r="GYG63" s="44">
        <f t="shared" si="202"/>
        <v>0</v>
      </c>
      <c r="GYH63" s="44">
        <f t="shared" si="202"/>
        <v>0</v>
      </c>
      <c r="GYI63" s="44">
        <f t="shared" si="202"/>
        <v>0</v>
      </c>
      <c r="GYJ63" s="44">
        <f t="shared" si="202"/>
        <v>0</v>
      </c>
      <c r="GYK63" s="44">
        <f t="shared" si="202"/>
        <v>0</v>
      </c>
      <c r="GYL63" s="44">
        <f t="shared" si="202"/>
        <v>0</v>
      </c>
      <c r="GYM63" s="44">
        <f t="shared" si="202"/>
        <v>0</v>
      </c>
      <c r="GYN63" s="44">
        <f t="shared" si="202"/>
        <v>0</v>
      </c>
      <c r="GYO63" s="44">
        <f t="shared" si="202"/>
        <v>0</v>
      </c>
      <c r="GYP63" s="44">
        <f t="shared" ref="GYP63:HBA63" si="203">SUM(GYP56:GYP57)</f>
        <v>0</v>
      </c>
      <c r="GYQ63" s="44">
        <f t="shared" si="203"/>
        <v>0</v>
      </c>
      <c r="GYR63" s="44">
        <f t="shared" si="203"/>
        <v>0</v>
      </c>
      <c r="GYS63" s="44">
        <f t="shared" si="203"/>
        <v>0</v>
      </c>
      <c r="GYT63" s="44">
        <f t="shared" si="203"/>
        <v>0</v>
      </c>
      <c r="GYU63" s="44">
        <f t="shared" si="203"/>
        <v>0</v>
      </c>
      <c r="GYV63" s="44">
        <f t="shared" si="203"/>
        <v>0</v>
      </c>
      <c r="GYW63" s="44">
        <f t="shared" si="203"/>
        <v>0</v>
      </c>
      <c r="GYX63" s="44">
        <f t="shared" si="203"/>
        <v>0</v>
      </c>
      <c r="GYY63" s="44">
        <f t="shared" si="203"/>
        <v>0</v>
      </c>
      <c r="GYZ63" s="44">
        <f t="shared" si="203"/>
        <v>0</v>
      </c>
      <c r="GZA63" s="44">
        <f t="shared" si="203"/>
        <v>0</v>
      </c>
      <c r="GZB63" s="44">
        <f t="shared" si="203"/>
        <v>0</v>
      </c>
      <c r="GZC63" s="44">
        <f t="shared" si="203"/>
        <v>0</v>
      </c>
      <c r="GZD63" s="44">
        <f t="shared" si="203"/>
        <v>0</v>
      </c>
      <c r="GZE63" s="44">
        <f t="shared" si="203"/>
        <v>0</v>
      </c>
      <c r="GZF63" s="44">
        <f t="shared" si="203"/>
        <v>0</v>
      </c>
      <c r="GZG63" s="44">
        <f t="shared" si="203"/>
        <v>0</v>
      </c>
      <c r="GZH63" s="44">
        <f t="shared" si="203"/>
        <v>0</v>
      </c>
      <c r="GZI63" s="44">
        <f t="shared" si="203"/>
        <v>0</v>
      </c>
      <c r="GZJ63" s="44">
        <f t="shared" si="203"/>
        <v>0</v>
      </c>
      <c r="GZK63" s="44">
        <f t="shared" si="203"/>
        <v>0</v>
      </c>
      <c r="GZL63" s="44">
        <f t="shared" si="203"/>
        <v>0</v>
      </c>
      <c r="GZM63" s="44">
        <f t="shared" si="203"/>
        <v>0</v>
      </c>
      <c r="GZN63" s="44">
        <f t="shared" si="203"/>
        <v>0</v>
      </c>
      <c r="GZO63" s="44">
        <f t="shared" si="203"/>
        <v>0</v>
      </c>
      <c r="GZP63" s="44">
        <f t="shared" si="203"/>
        <v>0</v>
      </c>
      <c r="GZQ63" s="44">
        <f t="shared" si="203"/>
        <v>0</v>
      </c>
      <c r="GZR63" s="44">
        <f t="shared" si="203"/>
        <v>0</v>
      </c>
      <c r="GZS63" s="44">
        <f t="shared" si="203"/>
        <v>0</v>
      </c>
      <c r="GZT63" s="44">
        <f t="shared" si="203"/>
        <v>0</v>
      </c>
      <c r="GZU63" s="44">
        <f t="shared" si="203"/>
        <v>0</v>
      </c>
      <c r="GZV63" s="44">
        <f t="shared" si="203"/>
        <v>0</v>
      </c>
      <c r="GZW63" s="44">
        <f t="shared" si="203"/>
        <v>0</v>
      </c>
      <c r="GZX63" s="44">
        <f t="shared" si="203"/>
        <v>0</v>
      </c>
      <c r="GZY63" s="44">
        <f t="shared" si="203"/>
        <v>0</v>
      </c>
      <c r="GZZ63" s="44">
        <f t="shared" si="203"/>
        <v>0</v>
      </c>
      <c r="HAA63" s="44">
        <f t="shared" si="203"/>
        <v>0</v>
      </c>
      <c r="HAB63" s="44">
        <f t="shared" si="203"/>
        <v>0</v>
      </c>
      <c r="HAC63" s="44">
        <f t="shared" si="203"/>
        <v>0</v>
      </c>
      <c r="HAD63" s="44">
        <f t="shared" si="203"/>
        <v>0</v>
      </c>
      <c r="HAE63" s="44">
        <f t="shared" si="203"/>
        <v>0</v>
      </c>
      <c r="HAF63" s="44">
        <f t="shared" si="203"/>
        <v>0</v>
      </c>
      <c r="HAG63" s="44">
        <f t="shared" si="203"/>
        <v>0</v>
      </c>
      <c r="HAH63" s="44">
        <f t="shared" si="203"/>
        <v>0</v>
      </c>
      <c r="HAI63" s="44">
        <f t="shared" si="203"/>
        <v>0</v>
      </c>
      <c r="HAJ63" s="44">
        <f t="shared" si="203"/>
        <v>0</v>
      </c>
      <c r="HAK63" s="44">
        <f t="shared" si="203"/>
        <v>0</v>
      </c>
      <c r="HAL63" s="44">
        <f t="shared" si="203"/>
        <v>0</v>
      </c>
      <c r="HAM63" s="44">
        <f t="shared" si="203"/>
        <v>0</v>
      </c>
      <c r="HAN63" s="44">
        <f t="shared" si="203"/>
        <v>0</v>
      </c>
      <c r="HAO63" s="44">
        <f t="shared" si="203"/>
        <v>0</v>
      </c>
      <c r="HAP63" s="44">
        <f t="shared" si="203"/>
        <v>0</v>
      </c>
      <c r="HAQ63" s="44">
        <f t="shared" si="203"/>
        <v>0</v>
      </c>
      <c r="HAR63" s="44">
        <f t="shared" si="203"/>
        <v>0</v>
      </c>
      <c r="HAS63" s="44">
        <f t="shared" si="203"/>
        <v>0</v>
      </c>
      <c r="HAT63" s="44">
        <f t="shared" si="203"/>
        <v>0</v>
      </c>
      <c r="HAU63" s="44">
        <f t="shared" si="203"/>
        <v>0</v>
      </c>
      <c r="HAV63" s="44">
        <f t="shared" si="203"/>
        <v>0</v>
      </c>
      <c r="HAW63" s="44">
        <f t="shared" si="203"/>
        <v>0</v>
      </c>
      <c r="HAX63" s="44">
        <f t="shared" si="203"/>
        <v>0</v>
      </c>
      <c r="HAY63" s="44">
        <f t="shared" si="203"/>
        <v>0</v>
      </c>
      <c r="HAZ63" s="44">
        <f t="shared" si="203"/>
        <v>0</v>
      </c>
      <c r="HBA63" s="44">
        <f t="shared" si="203"/>
        <v>0</v>
      </c>
      <c r="HBB63" s="44">
        <f t="shared" ref="HBB63:HDM63" si="204">SUM(HBB56:HBB57)</f>
        <v>0</v>
      </c>
      <c r="HBC63" s="44">
        <f t="shared" si="204"/>
        <v>0</v>
      </c>
      <c r="HBD63" s="44">
        <f t="shared" si="204"/>
        <v>0</v>
      </c>
      <c r="HBE63" s="44">
        <f t="shared" si="204"/>
        <v>0</v>
      </c>
      <c r="HBF63" s="44">
        <f t="shared" si="204"/>
        <v>0</v>
      </c>
      <c r="HBG63" s="44">
        <f t="shared" si="204"/>
        <v>0</v>
      </c>
      <c r="HBH63" s="44">
        <f t="shared" si="204"/>
        <v>0</v>
      </c>
      <c r="HBI63" s="44">
        <f t="shared" si="204"/>
        <v>0</v>
      </c>
      <c r="HBJ63" s="44">
        <f t="shared" si="204"/>
        <v>0</v>
      </c>
      <c r="HBK63" s="44">
        <f t="shared" si="204"/>
        <v>0</v>
      </c>
      <c r="HBL63" s="44">
        <f t="shared" si="204"/>
        <v>0</v>
      </c>
      <c r="HBM63" s="44">
        <f t="shared" si="204"/>
        <v>0</v>
      </c>
      <c r="HBN63" s="44">
        <f t="shared" si="204"/>
        <v>0</v>
      </c>
      <c r="HBO63" s="44">
        <f t="shared" si="204"/>
        <v>0</v>
      </c>
      <c r="HBP63" s="44">
        <f t="shared" si="204"/>
        <v>0</v>
      </c>
      <c r="HBQ63" s="44">
        <f t="shared" si="204"/>
        <v>0</v>
      </c>
      <c r="HBR63" s="44">
        <f t="shared" si="204"/>
        <v>0</v>
      </c>
      <c r="HBS63" s="44">
        <f t="shared" si="204"/>
        <v>0</v>
      </c>
      <c r="HBT63" s="44">
        <f t="shared" si="204"/>
        <v>0</v>
      </c>
      <c r="HBU63" s="44">
        <f t="shared" si="204"/>
        <v>0</v>
      </c>
      <c r="HBV63" s="44">
        <f t="shared" si="204"/>
        <v>0</v>
      </c>
      <c r="HBW63" s="44">
        <f t="shared" si="204"/>
        <v>0</v>
      </c>
      <c r="HBX63" s="44">
        <f t="shared" si="204"/>
        <v>0</v>
      </c>
      <c r="HBY63" s="44">
        <f t="shared" si="204"/>
        <v>0</v>
      </c>
      <c r="HBZ63" s="44">
        <f t="shared" si="204"/>
        <v>0</v>
      </c>
      <c r="HCA63" s="44">
        <f t="shared" si="204"/>
        <v>0</v>
      </c>
      <c r="HCB63" s="44">
        <f t="shared" si="204"/>
        <v>0</v>
      </c>
      <c r="HCC63" s="44">
        <f t="shared" si="204"/>
        <v>0</v>
      </c>
      <c r="HCD63" s="44">
        <f t="shared" si="204"/>
        <v>0</v>
      </c>
      <c r="HCE63" s="44">
        <f t="shared" si="204"/>
        <v>0</v>
      </c>
      <c r="HCF63" s="44">
        <f t="shared" si="204"/>
        <v>0</v>
      </c>
      <c r="HCG63" s="44">
        <f t="shared" si="204"/>
        <v>0</v>
      </c>
      <c r="HCH63" s="44">
        <f t="shared" si="204"/>
        <v>0</v>
      </c>
      <c r="HCI63" s="44">
        <f t="shared" si="204"/>
        <v>0</v>
      </c>
      <c r="HCJ63" s="44">
        <f t="shared" si="204"/>
        <v>0</v>
      </c>
      <c r="HCK63" s="44">
        <f t="shared" si="204"/>
        <v>0</v>
      </c>
      <c r="HCL63" s="44">
        <f t="shared" si="204"/>
        <v>0</v>
      </c>
      <c r="HCM63" s="44">
        <f t="shared" si="204"/>
        <v>0</v>
      </c>
      <c r="HCN63" s="44">
        <f t="shared" si="204"/>
        <v>0</v>
      </c>
      <c r="HCO63" s="44">
        <f t="shared" si="204"/>
        <v>0</v>
      </c>
      <c r="HCP63" s="44">
        <f t="shared" si="204"/>
        <v>0</v>
      </c>
      <c r="HCQ63" s="44">
        <f t="shared" si="204"/>
        <v>0</v>
      </c>
      <c r="HCR63" s="44">
        <f t="shared" si="204"/>
        <v>0</v>
      </c>
      <c r="HCS63" s="44">
        <f t="shared" si="204"/>
        <v>0</v>
      </c>
      <c r="HCT63" s="44">
        <f t="shared" si="204"/>
        <v>0</v>
      </c>
      <c r="HCU63" s="44">
        <f t="shared" si="204"/>
        <v>0</v>
      </c>
      <c r="HCV63" s="44">
        <f t="shared" si="204"/>
        <v>0</v>
      </c>
      <c r="HCW63" s="44">
        <f t="shared" si="204"/>
        <v>0</v>
      </c>
      <c r="HCX63" s="44">
        <f t="shared" si="204"/>
        <v>0</v>
      </c>
      <c r="HCY63" s="44">
        <f t="shared" si="204"/>
        <v>0</v>
      </c>
      <c r="HCZ63" s="44">
        <f t="shared" si="204"/>
        <v>0</v>
      </c>
      <c r="HDA63" s="44">
        <f t="shared" si="204"/>
        <v>0</v>
      </c>
      <c r="HDB63" s="44">
        <f t="shared" si="204"/>
        <v>0</v>
      </c>
      <c r="HDC63" s="44">
        <f t="shared" si="204"/>
        <v>0</v>
      </c>
      <c r="HDD63" s="44">
        <f t="shared" si="204"/>
        <v>0</v>
      </c>
      <c r="HDE63" s="44">
        <f t="shared" si="204"/>
        <v>0</v>
      </c>
      <c r="HDF63" s="44">
        <f t="shared" si="204"/>
        <v>0</v>
      </c>
      <c r="HDG63" s="44">
        <f t="shared" si="204"/>
        <v>0</v>
      </c>
      <c r="HDH63" s="44">
        <f t="shared" si="204"/>
        <v>0</v>
      </c>
      <c r="HDI63" s="44">
        <f t="shared" si="204"/>
        <v>0</v>
      </c>
      <c r="HDJ63" s="44">
        <f t="shared" si="204"/>
        <v>0</v>
      </c>
      <c r="HDK63" s="44">
        <f t="shared" si="204"/>
        <v>0</v>
      </c>
      <c r="HDL63" s="44">
        <f t="shared" si="204"/>
        <v>0</v>
      </c>
      <c r="HDM63" s="44">
        <f t="shared" si="204"/>
        <v>0</v>
      </c>
      <c r="HDN63" s="44">
        <f t="shared" ref="HDN63:HFY63" si="205">SUM(HDN56:HDN57)</f>
        <v>0</v>
      </c>
      <c r="HDO63" s="44">
        <f t="shared" si="205"/>
        <v>0</v>
      </c>
      <c r="HDP63" s="44">
        <f t="shared" si="205"/>
        <v>0</v>
      </c>
      <c r="HDQ63" s="44">
        <f t="shared" si="205"/>
        <v>0</v>
      </c>
      <c r="HDR63" s="44">
        <f t="shared" si="205"/>
        <v>0</v>
      </c>
      <c r="HDS63" s="44">
        <f t="shared" si="205"/>
        <v>0</v>
      </c>
      <c r="HDT63" s="44">
        <f t="shared" si="205"/>
        <v>0</v>
      </c>
      <c r="HDU63" s="44">
        <f t="shared" si="205"/>
        <v>0</v>
      </c>
      <c r="HDV63" s="44">
        <f t="shared" si="205"/>
        <v>0</v>
      </c>
      <c r="HDW63" s="44">
        <f t="shared" si="205"/>
        <v>0</v>
      </c>
      <c r="HDX63" s="44">
        <f t="shared" si="205"/>
        <v>0</v>
      </c>
      <c r="HDY63" s="44">
        <f t="shared" si="205"/>
        <v>0</v>
      </c>
      <c r="HDZ63" s="44">
        <f t="shared" si="205"/>
        <v>0</v>
      </c>
      <c r="HEA63" s="44">
        <f t="shared" si="205"/>
        <v>0</v>
      </c>
      <c r="HEB63" s="44">
        <f t="shared" si="205"/>
        <v>0</v>
      </c>
      <c r="HEC63" s="44">
        <f t="shared" si="205"/>
        <v>0</v>
      </c>
      <c r="HED63" s="44">
        <f t="shared" si="205"/>
        <v>0</v>
      </c>
      <c r="HEE63" s="44">
        <f t="shared" si="205"/>
        <v>0</v>
      </c>
      <c r="HEF63" s="44">
        <f t="shared" si="205"/>
        <v>0</v>
      </c>
      <c r="HEG63" s="44">
        <f t="shared" si="205"/>
        <v>0</v>
      </c>
      <c r="HEH63" s="44">
        <f t="shared" si="205"/>
        <v>0</v>
      </c>
      <c r="HEI63" s="44">
        <f t="shared" si="205"/>
        <v>0</v>
      </c>
      <c r="HEJ63" s="44">
        <f t="shared" si="205"/>
        <v>0</v>
      </c>
      <c r="HEK63" s="44">
        <f t="shared" si="205"/>
        <v>0</v>
      </c>
      <c r="HEL63" s="44">
        <f t="shared" si="205"/>
        <v>0</v>
      </c>
      <c r="HEM63" s="44">
        <f t="shared" si="205"/>
        <v>0</v>
      </c>
      <c r="HEN63" s="44">
        <f t="shared" si="205"/>
        <v>0</v>
      </c>
      <c r="HEO63" s="44">
        <f t="shared" si="205"/>
        <v>0</v>
      </c>
      <c r="HEP63" s="44">
        <f t="shared" si="205"/>
        <v>0</v>
      </c>
      <c r="HEQ63" s="44">
        <f t="shared" si="205"/>
        <v>0</v>
      </c>
      <c r="HER63" s="44">
        <f t="shared" si="205"/>
        <v>0</v>
      </c>
      <c r="HES63" s="44">
        <f t="shared" si="205"/>
        <v>0</v>
      </c>
      <c r="HET63" s="44">
        <f t="shared" si="205"/>
        <v>0</v>
      </c>
      <c r="HEU63" s="44">
        <f t="shared" si="205"/>
        <v>0</v>
      </c>
      <c r="HEV63" s="44">
        <f t="shared" si="205"/>
        <v>0</v>
      </c>
      <c r="HEW63" s="44">
        <f t="shared" si="205"/>
        <v>0</v>
      </c>
      <c r="HEX63" s="44">
        <f t="shared" si="205"/>
        <v>0</v>
      </c>
      <c r="HEY63" s="44">
        <f t="shared" si="205"/>
        <v>0</v>
      </c>
      <c r="HEZ63" s="44">
        <f t="shared" si="205"/>
        <v>0</v>
      </c>
      <c r="HFA63" s="44">
        <f t="shared" si="205"/>
        <v>0</v>
      </c>
      <c r="HFB63" s="44">
        <f t="shared" si="205"/>
        <v>0</v>
      </c>
      <c r="HFC63" s="44">
        <f t="shared" si="205"/>
        <v>0</v>
      </c>
      <c r="HFD63" s="44">
        <f t="shared" si="205"/>
        <v>0</v>
      </c>
      <c r="HFE63" s="44">
        <f t="shared" si="205"/>
        <v>0</v>
      </c>
      <c r="HFF63" s="44">
        <f t="shared" si="205"/>
        <v>0</v>
      </c>
      <c r="HFG63" s="44">
        <f t="shared" si="205"/>
        <v>0</v>
      </c>
      <c r="HFH63" s="44">
        <f t="shared" si="205"/>
        <v>0</v>
      </c>
      <c r="HFI63" s="44">
        <f t="shared" si="205"/>
        <v>0</v>
      </c>
      <c r="HFJ63" s="44">
        <f t="shared" si="205"/>
        <v>0</v>
      </c>
      <c r="HFK63" s="44">
        <f t="shared" si="205"/>
        <v>0</v>
      </c>
      <c r="HFL63" s="44">
        <f t="shared" si="205"/>
        <v>0</v>
      </c>
      <c r="HFM63" s="44">
        <f t="shared" si="205"/>
        <v>0</v>
      </c>
      <c r="HFN63" s="44">
        <f t="shared" si="205"/>
        <v>0</v>
      </c>
      <c r="HFO63" s="44">
        <f t="shared" si="205"/>
        <v>0</v>
      </c>
      <c r="HFP63" s="44">
        <f t="shared" si="205"/>
        <v>0</v>
      </c>
      <c r="HFQ63" s="44">
        <f t="shared" si="205"/>
        <v>0</v>
      </c>
      <c r="HFR63" s="44">
        <f t="shared" si="205"/>
        <v>0</v>
      </c>
      <c r="HFS63" s="44">
        <f t="shared" si="205"/>
        <v>0</v>
      </c>
      <c r="HFT63" s="44">
        <f t="shared" si="205"/>
        <v>0</v>
      </c>
      <c r="HFU63" s="44">
        <f t="shared" si="205"/>
        <v>0</v>
      </c>
      <c r="HFV63" s="44">
        <f t="shared" si="205"/>
        <v>0</v>
      </c>
      <c r="HFW63" s="44">
        <f t="shared" si="205"/>
        <v>0</v>
      </c>
      <c r="HFX63" s="44">
        <f t="shared" si="205"/>
        <v>0</v>
      </c>
      <c r="HFY63" s="44">
        <f t="shared" si="205"/>
        <v>0</v>
      </c>
      <c r="HFZ63" s="44">
        <f t="shared" ref="HFZ63:HIK63" si="206">SUM(HFZ56:HFZ57)</f>
        <v>0</v>
      </c>
      <c r="HGA63" s="44">
        <f t="shared" si="206"/>
        <v>0</v>
      </c>
      <c r="HGB63" s="44">
        <f t="shared" si="206"/>
        <v>0</v>
      </c>
      <c r="HGC63" s="44">
        <f t="shared" si="206"/>
        <v>0</v>
      </c>
      <c r="HGD63" s="44">
        <f t="shared" si="206"/>
        <v>0</v>
      </c>
      <c r="HGE63" s="44">
        <f t="shared" si="206"/>
        <v>0</v>
      </c>
      <c r="HGF63" s="44">
        <f t="shared" si="206"/>
        <v>0</v>
      </c>
      <c r="HGG63" s="44">
        <f t="shared" si="206"/>
        <v>0</v>
      </c>
      <c r="HGH63" s="44">
        <f t="shared" si="206"/>
        <v>0</v>
      </c>
      <c r="HGI63" s="44">
        <f t="shared" si="206"/>
        <v>0</v>
      </c>
      <c r="HGJ63" s="44">
        <f t="shared" si="206"/>
        <v>0</v>
      </c>
      <c r="HGK63" s="44">
        <f t="shared" si="206"/>
        <v>0</v>
      </c>
      <c r="HGL63" s="44">
        <f t="shared" si="206"/>
        <v>0</v>
      </c>
      <c r="HGM63" s="44">
        <f t="shared" si="206"/>
        <v>0</v>
      </c>
      <c r="HGN63" s="44">
        <f t="shared" si="206"/>
        <v>0</v>
      </c>
      <c r="HGO63" s="44">
        <f t="shared" si="206"/>
        <v>0</v>
      </c>
      <c r="HGP63" s="44">
        <f t="shared" si="206"/>
        <v>0</v>
      </c>
      <c r="HGQ63" s="44">
        <f t="shared" si="206"/>
        <v>0</v>
      </c>
      <c r="HGR63" s="44">
        <f t="shared" si="206"/>
        <v>0</v>
      </c>
      <c r="HGS63" s="44">
        <f t="shared" si="206"/>
        <v>0</v>
      </c>
      <c r="HGT63" s="44">
        <f t="shared" si="206"/>
        <v>0</v>
      </c>
      <c r="HGU63" s="44">
        <f t="shared" si="206"/>
        <v>0</v>
      </c>
      <c r="HGV63" s="44">
        <f t="shared" si="206"/>
        <v>0</v>
      </c>
      <c r="HGW63" s="44">
        <f t="shared" si="206"/>
        <v>0</v>
      </c>
      <c r="HGX63" s="44">
        <f t="shared" si="206"/>
        <v>0</v>
      </c>
      <c r="HGY63" s="44">
        <f t="shared" si="206"/>
        <v>0</v>
      </c>
      <c r="HGZ63" s="44">
        <f t="shared" si="206"/>
        <v>0</v>
      </c>
      <c r="HHA63" s="44">
        <f t="shared" si="206"/>
        <v>0</v>
      </c>
      <c r="HHB63" s="44">
        <f t="shared" si="206"/>
        <v>0</v>
      </c>
      <c r="HHC63" s="44">
        <f t="shared" si="206"/>
        <v>0</v>
      </c>
      <c r="HHD63" s="44">
        <f t="shared" si="206"/>
        <v>0</v>
      </c>
      <c r="HHE63" s="44">
        <f t="shared" si="206"/>
        <v>0</v>
      </c>
      <c r="HHF63" s="44">
        <f t="shared" si="206"/>
        <v>0</v>
      </c>
      <c r="HHG63" s="44">
        <f t="shared" si="206"/>
        <v>0</v>
      </c>
      <c r="HHH63" s="44">
        <f t="shared" si="206"/>
        <v>0</v>
      </c>
      <c r="HHI63" s="44">
        <f t="shared" si="206"/>
        <v>0</v>
      </c>
      <c r="HHJ63" s="44">
        <f t="shared" si="206"/>
        <v>0</v>
      </c>
      <c r="HHK63" s="44">
        <f t="shared" si="206"/>
        <v>0</v>
      </c>
      <c r="HHL63" s="44">
        <f t="shared" si="206"/>
        <v>0</v>
      </c>
      <c r="HHM63" s="44">
        <f t="shared" si="206"/>
        <v>0</v>
      </c>
      <c r="HHN63" s="44">
        <f t="shared" si="206"/>
        <v>0</v>
      </c>
      <c r="HHO63" s="44">
        <f t="shared" si="206"/>
        <v>0</v>
      </c>
      <c r="HHP63" s="44">
        <f t="shared" si="206"/>
        <v>0</v>
      </c>
      <c r="HHQ63" s="44">
        <f t="shared" si="206"/>
        <v>0</v>
      </c>
      <c r="HHR63" s="44">
        <f t="shared" si="206"/>
        <v>0</v>
      </c>
      <c r="HHS63" s="44">
        <f t="shared" si="206"/>
        <v>0</v>
      </c>
      <c r="HHT63" s="44">
        <f t="shared" si="206"/>
        <v>0</v>
      </c>
      <c r="HHU63" s="44">
        <f t="shared" si="206"/>
        <v>0</v>
      </c>
      <c r="HHV63" s="44">
        <f t="shared" si="206"/>
        <v>0</v>
      </c>
      <c r="HHW63" s="44">
        <f t="shared" si="206"/>
        <v>0</v>
      </c>
      <c r="HHX63" s="44">
        <f t="shared" si="206"/>
        <v>0</v>
      </c>
      <c r="HHY63" s="44">
        <f t="shared" si="206"/>
        <v>0</v>
      </c>
      <c r="HHZ63" s="44">
        <f t="shared" si="206"/>
        <v>0</v>
      </c>
      <c r="HIA63" s="44">
        <f t="shared" si="206"/>
        <v>0</v>
      </c>
      <c r="HIB63" s="44">
        <f t="shared" si="206"/>
        <v>0</v>
      </c>
      <c r="HIC63" s="44">
        <f t="shared" si="206"/>
        <v>0</v>
      </c>
      <c r="HID63" s="44">
        <f t="shared" si="206"/>
        <v>0</v>
      </c>
      <c r="HIE63" s="44">
        <f t="shared" si="206"/>
        <v>0</v>
      </c>
      <c r="HIF63" s="44">
        <f t="shared" si="206"/>
        <v>0</v>
      </c>
      <c r="HIG63" s="44">
        <f t="shared" si="206"/>
        <v>0</v>
      </c>
      <c r="HIH63" s="44">
        <f t="shared" si="206"/>
        <v>0</v>
      </c>
      <c r="HII63" s="44">
        <f t="shared" si="206"/>
        <v>0</v>
      </c>
      <c r="HIJ63" s="44">
        <f t="shared" si="206"/>
        <v>0</v>
      </c>
      <c r="HIK63" s="44">
        <f t="shared" si="206"/>
        <v>0</v>
      </c>
      <c r="HIL63" s="44">
        <f t="shared" ref="HIL63:HKW63" si="207">SUM(HIL56:HIL57)</f>
        <v>0</v>
      </c>
      <c r="HIM63" s="44">
        <f t="shared" si="207"/>
        <v>0</v>
      </c>
      <c r="HIN63" s="44">
        <f t="shared" si="207"/>
        <v>0</v>
      </c>
      <c r="HIO63" s="44">
        <f t="shared" si="207"/>
        <v>0</v>
      </c>
      <c r="HIP63" s="44">
        <f t="shared" si="207"/>
        <v>0</v>
      </c>
      <c r="HIQ63" s="44">
        <f t="shared" si="207"/>
        <v>0</v>
      </c>
      <c r="HIR63" s="44">
        <f t="shared" si="207"/>
        <v>0</v>
      </c>
      <c r="HIS63" s="44">
        <f t="shared" si="207"/>
        <v>0</v>
      </c>
      <c r="HIT63" s="44">
        <f t="shared" si="207"/>
        <v>0</v>
      </c>
      <c r="HIU63" s="44">
        <f t="shared" si="207"/>
        <v>0</v>
      </c>
      <c r="HIV63" s="44">
        <f t="shared" si="207"/>
        <v>0</v>
      </c>
      <c r="HIW63" s="44">
        <f t="shared" si="207"/>
        <v>0</v>
      </c>
      <c r="HIX63" s="44">
        <f t="shared" si="207"/>
        <v>0</v>
      </c>
      <c r="HIY63" s="44">
        <f t="shared" si="207"/>
        <v>0</v>
      </c>
      <c r="HIZ63" s="44">
        <f t="shared" si="207"/>
        <v>0</v>
      </c>
      <c r="HJA63" s="44">
        <f t="shared" si="207"/>
        <v>0</v>
      </c>
      <c r="HJB63" s="44">
        <f t="shared" si="207"/>
        <v>0</v>
      </c>
      <c r="HJC63" s="44">
        <f t="shared" si="207"/>
        <v>0</v>
      </c>
      <c r="HJD63" s="44">
        <f t="shared" si="207"/>
        <v>0</v>
      </c>
      <c r="HJE63" s="44">
        <f t="shared" si="207"/>
        <v>0</v>
      </c>
      <c r="HJF63" s="44">
        <f t="shared" si="207"/>
        <v>0</v>
      </c>
      <c r="HJG63" s="44">
        <f t="shared" si="207"/>
        <v>0</v>
      </c>
      <c r="HJH63" s="44">
        <f t="shared" si="207"/>
        <v>0</v>
      </c>
      <c r="HJI63" s="44">
        <f t="shared" si="207"/>
        <v>0</v>
      </c>
      <c r="HJJ63" s="44">
        <f t="shared" si="207"/>
        <v>0</v>
      </c>
      <c r="HJK63" s="44">
        <f t="shared" si="207"/>
        <v>0</v>
      </c>
      <c r="HJL63" s="44">
        <f t="shared" si="207"/>
        <v>0</v>
      </c>
      <c r="HJM63" s="44">
        <f t="shared" si="207"/>
        <v>0</v>
      </c>
      <c r="HJN63" s="44">
        <f t="shared" si="207"/>
        <v>0</v>
      </c>
      <c r="HJO63" s="44">
        <f t="shared" si="207"/>
        <v>0</v>
      </c>
      <c r="HJP63" s="44">
        <f t="shared" si="207"/>
        <v>0</v>
      </c>
      <c r="HJQ63" s="44">
        <f t="shared" si="207"/>
        <v>0</v>
      </c>
      <c r="HJR63" s="44">
        <f t="shared" si="207"/>
        <v>0</v>
      </c>
      <c r="HJS63" s="44">
        <f t="shared" si="207"/>
        <v>0</v>
      </c>
      <c r="HJT63" s="44">
        <f t="shared" si="207"/>
        <v>0</v>
      </c>
      <c r="HJU63" s="44">
        <f t="shared" si="207"/>
        <v>0</v>
      </c>
      <c r="HJV63" s="44">
        <f t="shared" si="207"/>
        <v>0</v>
      </c>
      <c r="HJW63" s="44">
        <f t="shared" si="207"/>
        <v>0</v>
      </c>
      <c r="HJX63" s="44">
        <f t="shared" si="207"/>
        <v>0</v>
      </c>
      <c r="HJY63" s="44">
        <f t="shared" si="207"/>
        <v>0</v>
      </c>
      <c r="HJZ63" s="44">
        <f t="shared" si="207"/>
        <v>0</v>
      </c>
      <c r="HKA63" s="44">
        <f t="shared" si="207"/>
        <v>0</v>
      </c>
      <c r="HKB63" s="44">
        <f t="shared" si="207"/>
        <v>0</v>
      </c>
      <c r="HKC63" s="44">
        <f t="shared" si="207"/>
        <v>0</v>
      </c>
      <c r="HKD63" s="44">
        <f t="shared" si="207"/>
        <v>0</v>
      </c>
      <c r="HKE63" s="44">
        <f t="shared" si="207"/>
        <v>0</v>
      </c>
      <c r="HKF63" s="44">
        <f t="shared" si="207"/>
        <v>0</v>
      </c>
      <c r="HKG63" s="44">
        <f t="shared" si="207"/>
        <v>0</v>
      </c>
      <c r="HKH63" s="44">
        <f t="shared" si="207"/>
        <v>0</v>
      </c>
      <c r="HKI63" s="44">
        <f t="shared" si="207"/>
        <v>0</v>
      </c>
      <c r="HKJ63" s="44">
        <f t="shared" si="207"/>
        <v>0</v>
      </c>
      <c r="HKK63" s="44">
        <f t="shared" si="207"/>
        <v>0</v>
      </c>
      <c r="HKL63" s="44">
        <f t="shared" si="207"/>
        <v>0</v>
      </c>
      <c r="HKM63" s="44">
        <f t="shared" si="207"/>
        <v>0</v>
      </c>
      <c r="HKN63" s="44">
        <f t="shared" si="207"/>
        <v>0</v>
      </c>
      <c r="HKO63" s="44">
        <f t="shared" si="207"/>
        <v>0</v>
      </c>
      <c r="HKP63" s="44">
        <f t="shared" si="207"/>
        <v>0</v>
      </c>
      <c r="HKQ63" s="44">
        <f t="shared" si="207"/>
        <v>0</v>
      </c>
      <c r="HKR63" s="44">
        <f t="shared" si="207"/>
        <v>0</v>
      </c>
      <c r="HKS63" s="44">
        <f t="shared" si="207"/>
        <v>0</v>
      </c>
      <c r="HKT63" s="44">
        <f t="shared" si="207"/>
        <v>0</v>
      </c>
      <c r="HKU63" s="44">
        <f t="shared" si="207"/>
        <v>0</v>
      </c>
      <c r="HKV63" s="44">
        <f t="shared" si="207"/>
        <v>0</v>
      </c>
      <c r="HKW63" s="44">
        <f t="shared" si="207"/>
        <v>0</v>
      </c>
      <c r="HKX63" s="44">
        <f t="shared" ref="HKX63:HNI63" si="208">SUM(HKX56:HKX57)</f>
        <v>0</v>
      </c>
      <c r="HKY63" s="44">
        <f t="shared" si="208"/>
        <v>0</v>
      </c>
      <c r="HKZ63" s="44">
        <f t="shared" si="208"/>
        <v>0</v>
      </c>
      <c r="HLA63" s="44">
        <f t="shared" si="208"/>
        <v>0</v>
      </c>
      <c r="HLB63" s="44">
        <f t="shared" si="208"/>
        <v>0</v>
      </c>
      <c r="HLC63" s="44">
        <f t="shared" si="208"/>
        <v>0</v>
      </c>
      <c r="HLD63" s="44">
        <f t="shared" si="208"/>
        <v>0</v>
      </c>
      <c r="HLE63" s="44">
        <f t="shared" si="208"/>
        <v>0</v>
      </c>
      <c r="HLF63" s="44">
        <f t="shared" si="208"/>
        <v>0</v>
      </c>
      <c r="HLG63" s="44">
        <f t="shared" si="208"/>
        <v>0</v>
      </c>
      <c r="HLH63" s="44">
        <f t="shared" si="208"/>
        <v>0</v>
      </c>
      <c r="HLI63" s="44">
        <f t="shared" si="208"/>
        <v>0</v>
      </c>
      <c r="HLJ63" s="44">
        <f t="shared" si="208"/>
        <v>0</v>
      </c>
      <c r="HLK63" s="44">
        <f t="shared" si="208"/>
        <v>0</v>
      </c>
      <c r="HLL63" s="44">
        <f t="shared" si="208"/>
        <v>0</v>
      </c>
      <c r="HLM63" s="44">
        <f t="shared" si="208"/>
        <v>0</v>
      </c>
      <c r="HLN63" s="44">
        <f t="shared" si="208"/>
        <v>0</v>
      </c>
      <c r="HLO63" s="44">
        <f t="shared" si="208"/>
        <v>0</v>
      </c>
      <c r="HLP63" s="44">
        <f t="shared" si="208"/>
        <v>0</v>
      </c>
      <c r="HLQ63" s="44">
        <f t="shared" si="208"/>
        <v>0</v>
      </c>
      <c r="HLR63" s="44">
        <f t="shared" si="208"/>
        <v>0</v>
      </c>
      <c r="HLS63" s="44">
        <f t="shared" si="208"/>
        <v>0</v>
      </c>
      <c r="HLT63" s="44">
        <f t="shared" si="208"/>
        <v>0</v>
      </c>
      <c r="HLU63" s="44">
        <f t="shared" si="208"/>
        <v>0</v>
      </c>
      <c r="HLV63" s="44">
        <f t="shared" si="208"/>
        <v>0</v>
      </c>
      <c r="HLW63" s="44">
        <f t="shared" si="208"/>
        <v>0</v>
      </c>
      <c r="HLX63" s="44">
        <f t="shared" si="208"/>
        <v>0</v>
      </c>
      <c r="HLY63" s="44">
        <f t="shared" si="208"/>
        <v>0</v>
      </c>
      <c r="HLZ63" s="44">
        <f t="shared" si="208"/>
        <v>0</v>
      </c>
      <c r="HMA63" s="44">
        <f t="shared" si="208"/>
        <v>0</v>
      </c>
      <c r="HMB63" s="44">
        <f t="shared" si="208"/>
        <v>0</v>
      </c>
      <c r="HMC63" s="44">
        <f t="shared" si="208"/>
        <v>0</v>
      </c>
      <c r="HMD63" s="44">
        <f t="shared" si="208"/>
        <v>0</v>
      </c>
      <c r="HME63" s="44">
        <f t="shared" si="208"/>
        <v>0</v>
      </c>
      <c r="HMF63" s="44">
        <f t="shared" si="208"/>
        <v>0</v>
      </c>
      <c r="HMG63" s="44">
        <f t="shared" si="208"/>
        <v>0</v>
      </c>
      <c r="HMH63" s="44">
        <f t="shared" si="208"/>
        <v>0</v>
      </c>
      <c r="HMI63" s="44">
        <f t="shared" si="208"/>
        <v>0</v>
      </c>
      <c r="HMJ63" s="44">
        <f t="shared" si="208"/>
        <v>0</v>
      </c>
      <c r="HMK63" s="44">
        <f t="shared" si="208"/>
        <v>0</v>
      </c>
      <c r="HML63" s="44">
        <f t="shared" si="208"/>
        <v>0</v>
      </c>
      <c r="HMM63" s="44">
        <f t="shared" si="208"/>
        <v>0</v>
      </c>
      <c r="HMN63" s="44">
        <f t="shared" si="208"/>
        <v>0</v>
      </c>
      <c r="HMO63" s="44">
        <f t="shared" si="208"/>
        <v>0</v>
      </c>
      <c r="HMP63" s="44">
        <f t="shared" si="208"/>
        <v>0</v>
      </c>
      <c r="HMQ63" s="44">
        <f t="shared" si="208"/>
        <v>0</v>
      </c>
      <c r="HMR63" s="44">
        <f t="shared" si="208"/>
        <v>0</v>
      </c>
      <c r="HMS63" s="44">
        <f t="shared" si="208"/>
        <v>0</v>
      </c>
      <c r="HMT63" s="44">
        <f t="shared" si="208"/>
        <v>0</v>
      </c>
      <c r="HMU63" s="44">
        <f t="shared" si="208"/>
        <v>0</v>
      </c>
      <c r="HMV63" s="44">
        <f t="shared" si="208"/>
        <v>0</v>
      </c>
      <c r="HMW63" s="44">
        <f t="shared" si="208"/>
        <v>0</v>
      </c>
      <c r="HMX63" s="44">
        <f t="shared" si="208"/>
        <v>0</v>
      </c>
      <c r="HMY63" s="44">
        <f t="shared" si="208"/>
        <v>0</v>
      </c>
      <c r="HMZ63" s="44">
        <f t="shared" si="208"/>
        <v>0</v>
      </c>
      <c r="HNA63" s="44">
        <f t="shared" si="208"/>
        <v>0</v>
      </c>
      <c r="HNB63" s="44">
        <f t="shared" si="208"/>
        <v>0</v>
      </c>
      <c r="HNC63" s="44">
        <f t="shared" si="208"/>
        <v>0</v>
      </c>
      <c r="HND63" s="44">
        <f t="shared" si="208"/>
        <v>0</v>
      </c>
      <c r="HNE63" s="44">
        <f t="shared" si="208"/>
        <v>0</v>
      </c>
      <c r="HNF63" s="44">
        <f t="shared" si="208"/>
        <v>0</v>
      </c>
      <c r="HNG63" s="44">
        <f t="shared" si="208"/>
        <v>0</v>
      </c>
      <c r="HNH63" s="44">
        <f t="shared" si="208"/>
        <v>0</v>
      </c>
      <c r="HNI63" s="44">
        <f t="shared" si="208"/>
        <v>0</v>
      </c>
      <c r="HNJ63" s="44">
        <f t="shared" ref="HNJ63:HPU63" si="209">SUM(HNJ56:HNJ57)</f>
        <v>0</v>
      </c>
      <c r="HNK63" s="44">
        <f t="shared" si="209"/>
        <v>0</v>
      </c>
      <c r="HNL63" s="44">
        <f t="shared" si="209"/>
        <v>0</v>
      </c>
      <c r="HNM63" s="44">
        <f t="shared" si="209"/>
        <v>0</v>
      </c>
      <c r="HNN63" s="44">
        <f t="shared" si="209"/>
        <v>0</v>
      </c>
      <c r="HNO63" s="44">
        <f t="shared" si="209"/>
        <v>0</v>
      </c>
      <c r="HNP63" s="44">
        <f t="shared" si="209"/>
        <v>0</v>
      </c>
      <c r="HNQ63" s="44">
        <f t="shared" si="209"/>
        <v>0</v>
      </c>
      <c r="HNR63" s="44">
        <f t="shared" si="209"/>
        <v>0</v>
      </c>
      <c r="HNS63" s="44">
        <f t="shared" si="209"/>
        <v>0</v>
      </c>
      <c r="HNT63" s="44">
        <f t="shared" si="209"/>
        <v>0</v>
      </c>
      <c r="HNU63" s="44">
        <f t="shared" si="209"/>
        <v>0</v>
      </c>
      <c r="HNV63" s="44">
        <f t="shared" si="209"/>
        <v>0</v>
      </c>
      <c r="HNW63" s="44">
        <f t="shared" si="209"/>
        <v>0</v>
      </c>
      <c r="HNX63" s="44">
        <f t="shared" si="209"/>
        <v>0</v>
      </c>
      <c r="HNY63" s="44">
        <f t="shared" si="209"/>
        <v>0</v>
      </c>
      <c r="HNZ63" s="44">
        <f t="shared" si="209"/>
        <v>0</v>
      </c>
      <c r="HOA63" s="44">
        <f t="shared" si="209"/>
        <v>0</v>
      </c>
      <c r="HOB63" s="44">
        <f t="shared" si="209"/>
        <v>0</v>
      </c>
      <c r="HOC63" s="44">
        <f t="shared" si="209"/>
        <v>0</v>
      </c>
      <c r="HOD63" s="44">
        <f t="shared" si="209"/>
        <v>0</v>
      </c>
      <c r="HOE63" s="44">
        <f t="shared" si="209"/>
        <v>0</v>
      </c>
      <c r="HOF63" s="44">
        <f t="shared" si="209"/>
        <v>0</v>
      </c>
      <c r="HOG63" s="44">
        <f t="shared" si="209"/>
        <v>0</v>
      </c>
      <c r="HOH63" s="44">
        <f t="shared" si="209"/>
        <v>0</v>
      </c>
      <c r="HOI63" s="44">
        <f t="shared" si="209"/>
        <v>0</v>
      </c>
      <c r="HOJ63" s="44">
        <f t="shared" si="209"/>
        <v>0</v>
      </c>
      <c r="HOK63" s="44">
        <f t="shared" si="209"/>
        <v>0</v>
      </c>
      <c r="HOL63" s="44">
        <f t="shared" si="209"/>
        <v>0</v>
      </c>
      <c r="HOM63" s="44">
        <f t="shared" si="209"/>
        <v>0</v>
      </c>
      <c r="HON63" s="44">
        <f t="shared" si="209"/>
        <v>0</v>
      </c>
      <c r="HOO63" s="44">
        <f t="shared" si="209"/>
        <v>0</v>
      </c>
      <c r="HOP63" s="44">
        <f t="shared" si="209"/>
        <v>0</v>
      </c>
      <c r="HOQ63" s="44">
        <f t="shared" si="209"/>
        <v>0</v>
      </c>
      <c r="HOR63" s="44">
        <f t="shared" si="209"/>
        <v>0</v>
      </c>
      <c r="HOS63" s="44">
        <f t="shared" si="209"/>
        <v>0</v>
      </c>
      <c r="HOT63" s="44">
        <f t="shared" si="209"/>
        <v>0</v>
      </c>
      <c r="HOU63" s="44">
        <f t="shared" si="209"/>
        <v>0</v>
      </c>
      <c r="HOV63" s="44">
        <f t="shared" si="209"/>
        <v>0</v>
      </c>
      <c r="HOW63" s="44">
        <f t="shared" si="209"/>
        <v>0</v>
      </c>
      <c r="HOX63" s="44">
        <f t="shared" si="209"/>
        <v>0</v>
      </c>
      <c r="HOY63" s="44">
        <f t="shared" si="209"/>
        <v>0</v>
      </c>
      <c r="HOZ63" s="44">
        <f t="shared" si="209"/>
        <v>0</v>
      </c>
      <c r="HPA63" s="44">
        <f t="shared" si="209"/>
        <v>0</v>
      </c>
      <c r="HPB63" s="44">
        <f t="shared" si="209"/>
        <v>0</v>
      </c>
      <c r="HPC63" s="44">
        <f t="shared" si="209"/>
        <v>0</v>
      </c>
      <c r="HPD63" s="44">
        <f t="shared" si="209"/>
        <v>0</v>
      </c>
      <c r="HPE63" s="44">
        <f t="shared" si="209"/>
        <v>0</v>
      </c>
      <c r="HPF63" s="44">
        <f t="shared" si="209"/>
        <v>0</v>
      </c>
      <c r="HPG63" s="44">
        <f t="shared" si="209"/>
        <v>0</v>
      </c>
      <c r="HPH63" s="44">
        <f t="shared" si="209"/>
        <v>0</v>
      </c>
      <c r="HPI63" s="44">
        <f t="shared" si="209"/>
        <v>0</v>
      </c>
      <c r="HPJ63" s="44">
        <f t="shared" si="209"/>
        <v>0</v>
      </c>
      <c r="HPK63" s="44">
        <f t="shared" si="209"/>
        <v>0</v>
      </c>
      <c r="HPL63" s="44">
        <f t="shared" si="209"/>
        <v>0</v>
      </c>
      <c r="HPM63" s="44">
        <f t="shared" si="209"/>
        <v>0</v>
      </c>
      <c r="HPN63" s="44">
        <f t="shared" si="209"/>
        <v>0</v>
      </c>
      <c r="HPO63" s="44">
        <f t="shared" si="209"/>
        <v>0</v>
      </c>
      <c r="HPP63" s="44">
        <f t="shared" si="209"/>
        <v>0</v>
      </c>
      <c r="HPQ63" s="44">
        <f t="shared" si="209"/>
        <v>0</v>
      </c>
      <c r="HPR63" s="44">
        <f t="shared" si="209"/>
        <v>0</v>
      </c>
      <c r="HPS63" s="44">
        <f t="shared" si="209"/>
        <v>0</v>
      </c>
      <c r="HPT63" s="44">
        <f t="shared" si="209"/>
        <v>0</v>
      </c>
      <c r="HPU63" s="44">
        <f t="shared" si="209"/>
        <v>0</v>
      </c>
      <c r="HPV63" s="44">
        <f t="shared" ref="HPV63:HSG63" si="210">SUM(HPV56:HPV57)</f>
        <v>0</v>
      </c>
      <c r="HPW63" s="44">
        <f t="shared" si="210"/>
        <v>0</v>
      </c>
      <c r="HPX63" s="44">
        <f t="shared" si="210"/>
        <v>0</v>
      </c>
      <c r="HPY63" s="44">
        <f t="shared" si="210"/>
        <v>0</v>
      </c>
      <c r="HPZ63" s="44">
        <f t="shared" si="210"/>
        <v>0</v>
      </c>
      <c r="HQA63" s="44">
        <f t="shared" si="210"/>
        <v>0</v>
      </c>
      <c r="HQB63" s="44">
        <f t="shared" si="210"/>
        <v>0</v>
      </c>
      <c r="HQC63" s="44">
        <f t="shared" si="210"/>
        <v>0</v>
      </c>
      <c r="HQD63" s="44">
        <f t="shared" si="210"/>
        <v>0</v>
      </c>
      <c r="HQE63" s="44">
        <f t="shared" si="210"/>
        <v>0</v>
      </c>
      <c r="HQF63" s="44">
        <f t="shared" si="210"/>
        <v>0</v>
      </c>
      <c r="HQG63" s="44">
        <f t="shared" si="210"/>
        <v>0</v>
      </c>
      <c r="HQH63" s="44">
        <f t="shared" si="210"/>
        <v>0</v>
      </c>
      <c r="HQI63" s="44">
        <f t="shared" si="210"/>
        <v>0</v>
      </c>
      <c r="HQJ63" s="44">
        <f t="shared" si="210"/>
        <v>0</v>
      </c>
      <c r="HQK63" s="44">
        <f t="shared" si="210"/>
        <v>0</v>
      </c>
      <c r="HQL63" s="44">
        <f t="shared" si="210"/>
        <v>0</v>
      </c>
      <c r="HQM63" s="44">
        <f t="shared" si="210"/>
        <v>0</v>
      </c>
      <c r="HQN63" s="44">
        <f t="shared" si="210"/>
        <v>0</v>
      </c>
      <c r="HQO63" s="44">
        <f t="shared" si="210"/>
        <v>0</v>
      </c>
      <c r="HQP63" s="44">
        <f t="shared" si="210"/>
        <v>0</v>
      </c>
      <c r="HQQ63" s="44">
        <f t="shared" si="210"/>
        <v>0</v>
      </c>
      <c r="HQR63" s="44">
        <f t="shared" si="210"/>
        <v>0</v>
      </c>
      <c r="HQS63" s="44">
        <f t="shared" si="210"/>
        <v>0</v>
      </c>
      <c r="HQT63" s="44">
        <f t="shared" si="210"/>
        <v>0</v>
      </c>
      <c r="HQU63" s="44">
        <f t="shared" si="210"/>
        <v>0</v>
      </c>
      <c r="HQV63" s="44">
        <f t="shared" si="210"/>
        <v>0</v>
      </c>
      <c r="HQW63" s="44">
        <f t="shared" si="210"/>
        <v>0</v>
      </c>
      <c r="HQX63" s="44">
        <f t="shared" si="210"/>
        <v>0</v>
      </c>
      <c r="HQY63" s="44">
        <f t="shared" si="210"/>
        <v>0</v>
      </c>
      <c r="HQZ63" s="44">
        <f t="shared" si="210"/>
        <v>0</v>
      </c>
      <c r="HRA63" s="44">
        <f t="shared" si="210"/>
        <v>0</v>
      </c>
      <c r="HRB63" s="44">
        <f t="shared" si="210"/>
        <v>0</v>
      </c>
      <c r="HRC63" s="44">
        <f t="shared" si="210"/>
        <v>0</v>
      </c>
      <c r="HRD63" s="44">
        <f t="shared" si="210"/>
        <v>0</v>
      </c>
      <c r="HRE63" s="44">
        <f t="shared" si="210"/>
        <v>0</v>
      </c>
      <c r="HRF63" s="44">
        <f t="shared" si="210"/>
        <v>0</v>
      </c>
      <c r="HRG63" s="44">
        <f t="shared" si="210"/>
        <v>0</v>
      </c>
      <c r="HRH63" s="44">
        <f t="shared" si="210"/>
        <v>0</v>
      </c>
      <c r="HRI63" s="44">
        <f t="shared" si="210"/>
        <v>0</v>
      </c>
      <c r="HRJ63" s="44">
        <f t="shared" si="210"/>
        <v>0</v>
      </c>
      <c r="HRK63" s="44">
        <f t="shared" si="210"/>
        <v>0</v>
      </c>
      <c r="HRL63" s="44">
        <f t="shared" si="210"/>
        <v>0</v>
      </c>
      <c r="HRM63" s="44">
        <f t="shared" si="210"/>
        <v>0</v>
      </c>
      <c r="HRN63" s="44">
        <f t="shared" si="210"/>
        <v>0</v>
      </c>
      <c r="HRO63" s="44">
        <f t="shared" si="210"/>
        <v>0</v>
      </c>
      <c r="HRP63" s="44">
        <f t="shared" si="210"/>
        <v>0</v>
      </c>
      <c r="HRQ63" s="44">
        <f t="shared" si="210"/>
        <v>0</v>
      </c>
      <c r="HRR63" s="44">
        <f t="shared" si="210"/>
        <v>0</v>
      </c>
      <c r="HRS63" s="44">
        <f t="shared" si="210"/>
        <v>0</v>
      </c>
      <c r="HRT63" s="44">
        <f t="shared" si="210"/>
        <v>0</v>
      </c>
      <c r="HRU63" s="44">
        <f t="shared" si="210"/>
        <v>0</v>
      </c>
      <c r="HRV63" s="44">
        <f t="shared" si="210"/>
        <v>0</v>
      </c>
      <c r="HRW63" s="44">
        <f t="shared" si="210"/>
        <v>0</v>
      </c>
      <c r="HRX63" s="44">
        <f t="shared" si="210"/>
        <v>0</v>
      </c>
      <c r="HRY63" s="44">
        <f t="shared" si="210"/>
        <v>0</v>
      </c>
      <c r="HRZ63" s="44">
        <f t="shared" si="210"/>
        <v>0</v>
      </c>
      <c r="HSA63" s="44">
        <f t="shared" si="210"/>
        <v>0</v>
      </c>
      <c r="HSB63" s="44">
        <f t="shared" si="210"/>
        <v>0</v>
      </c>
      <c r="HSC63" s="44">
        <f t="shared" si="210"/>
        <v>0</v>
      </c>
      <c r="HSD63" s="44">
        <f t="shared" si="210"/>
        <v>0</v>
      </c>
      <c r="HSE63" s="44">
        <f t="shared" si="210"/>
        <v>0</v>
      </c>
      <c r="HSF63" s="44">
        <f t="shared" si="210"/>
        <v>0</v>
      </c>
      <c r="HSG63" s="44">
        <f t="shared" si="210"/>
        <v>0</v>
      </c>
      <c r="HSH63" s="44">
        <f t="shared" ref="HSH63:HUS63" si="211">SUM(HSH56:HSH57)</f>
        <v>0</v>
      </c>
      <c r="HSI63" s="44">
        <f t="shared" si="211"/>
        <v>0</v>
      </c>
      <c r="HSJ63" s="44">
        <f t="shared" si="211"/>
        <v>0</v>
      </c>
      <c r="HSK63" s="44">
        <f t="shared" si="211"/>
        <v>0</v>
      </c>
      <c r="HSL63" s="44">
        <f t="shared" si="211"/>
        <v>0</v>
      </c>
      <c r="HSM63" s="44">
        <f t="shared" si="211"/>
        <v>0</v>
      </c>
      <c r="HSN63" s="44">
        <f t="shared" si="211"/>
        <v>0</v>
      </c>
      <c r="HSO63" s="44">
        <f t="shared" si="211"/>
        <v>0</v>
      </c>
      <c r="HSP63" s="44">
        <f t="shared" si="211"/>
        <v>0</v>
      </c>
      <c r="HSQ63" s="44">
        <f t="shared" si="211"/>
        <v>0</v>
      </c>
      <c r="HSR63" s="44">
        <f t="shared" si="211"/>
        <v>0</v>
      </c>
      <c r="HSS63" s="44">
        <f t="shared" si="211"/>
        <v>0</v>
      </c>
      <c r="HST63" s="44">
        <f t="shared" si="211"/>
        <v>0</v>
      </c>
      <c r="HSU63" s="44">
        <f t="shared" si="211"/>
        <v>0</v>
      </c>
      <c r="HSV63" s="44">
        <f t="shared" si="211"/>
        <v>0</v>
      </c>
      <c r="HSW63" s="44">
        <f t="shared" si="211"/>
        <v>0</v>
      </c>
      <c r="HSX63" s="44">
        <f t="shared" si="211"/>
        <v>0</v>
      </c>
      <c r="HSY63" s="44">
        <f t="shared" si="211"/>
        <v>0</v>
      </c>
      <c r="HSZ63" s="44">
        <f t="shared" si="211"/>
        <v>0</v>
      </c>
      <c r="HTA63" s="44">
        <f t="shared" si="211"/>
        <v>0</v>
      </c>
      <c r="HTB63" s="44">
        <f t="shared" si="211"/>
        <v>0</v>
      </c>
      <c r="HTC63" s="44">
        <f t="shared" si="211"/>
        <v>0</v>
      </c>
      <c r="HTD63" s="44">
        <f t="shared" si="211"/>
        <v>0</v>
      </c>
      <c r="HTE63" s="44">
        <f t="shared" si="211"/>
        <v>0</v>
      </c>
      <c r="HTF63" s="44">
        <f t="shared" si="211"/>
        <v>0</v>
      </c>
      <c r="HTG63" s="44">
        <f t="shared" si="211"/>
        <v>0</v>
      </c>
      <c r="HTH63" s="44">
        <f t="shared" si="211"/>
        <v>0</v>
      </c>
      <c r="HTI63" s="44">
        <f t="shared" si="211"/>
        <v>0</v>
      </c>
      <c r="HTJ63" s="44">
        <f t="shared" si="211"/>
        <v>0</v>
      </c>
      <c r="HTK63" s="44">
        <f t="shared" si="211"/>
        <v>0</v>
      </c>
      <c r="HTL63" s="44">
        <f t="shared" si="211"/>
        <v>0</v>
      </c>
      <c r="HTM63" s="44">
        <f t="shared" si="211"/>
        <v>0</v>
      </c>
      <c r="HTN63" s="44">
        <f t="shared" si="211"/>
        <v>0</v>
      </c>
      <c r="HTO63" s="44">
        <f t="shared" si="211"/>
        <v>0</v>
      </c>
      <c r="HTP63" s="44">
        <f t="shared" si="211"/>
        <v>0</v>
      </c>
      <c r="HTQ63" s="44">
        <f t="shared" si="211"/>
        <v>0</v>
      </c>
      <c r="HTR63" s="44">
        <f t="shared" si="211"/>
        <v>0</v>
      </c>
      <c r="HTS63" s="44">
        <f t="shared" si="211"/>
        <v>0</v>
      </c>
      <c r="HTT63" s="44">
        <f t="shared" si="211"/>
        <v>0</v>
      </c>
      <c r="HTU63" s="44">
        <f t="shared" si="211"/>
        <v>0</v>
      </c>
      <c r="HTV63" s="44">
        <f t="shared" si="211"/>
        <v>0</v>
      </c>
      <c r="HTW63" s="44">
        <f t="shared" si="211"/>
        <v>0</v>
      </c>
      <c r="HTX63" s="44">
        <f t="shared" si="211"/>
        <v>0</v>
      </c>
      <c r="HTY63" s="44">
        <f t="shared" si="211"/>
        <v>0</v>
      </c>
      <c r="HTZ63" s="44">
        <f t="shared" si="211"/>
        <v>0</v>
      </c>
      <c r="HUA63" s="44">
        <f t="shared" si="211"/>
        <v>0</v>
      </c>
      <c r="HUB63" s="44">
        <f t="shared" si="211"/>
        <v>0</v>
      </c>
      <c r="HUC63" s="44">
        <f t="shared" si="211"/>
        <v>0</v>
      </c>
      <c r="HUD63" s="44">
        <f t="shared" si="211"/>
        <v>0</v>
      </c>
      <c r="HUE63" s="44">
        <f t="shared" si="211"/>
        <v>0</v>
      </c>
      <c r="HUF63" s="44">
        <f t="shared" si="211"/>
        <v>0</v>
      </c>
      <c r="HUG63" s="44">
        <f t="shared" si="211"/>
        <v>0</v>
      </c>
      <c r="HUH63" s="44">
        <f t="shared" si="211"/>
        <v>0</v>
      </c>
      <c r="HUI63" s="44">
        <f t="shared" si="211"/>
        <v>0</v>
      </c>
      <c r="HUJ63" s="44">
        <f t="shared" si="211"/>
        <v>0</v>
      </c>
      <c r="HUK63" s="44">
        <f t="shared" si="211"/>
        <v>0</v>
      </c>
      <c r="HUL63" s="44">
        <f t="shared" si="211"/>
        <v>0</v>
      </c>
      <c r="HUM63" s="44">
        <f t="shared" si="211"/>
        <v>0</v>
      </c>
      <c r="HUN63" s="44">
        <f t="shared" si="211"/>
        <v>0</v>
      </c>
      <c r="HUO63" s="44">
        <f t="shared" si="211"/>
        <v>0</v>
      </c>
      <c r="HUP63" s="44">
        <f t="shared" si="211"/>
        <v>0</v>
      </c>
      <c r="HUQ63" s="44">
        <f t="shared" si="211"/>
        <v>0</v>
      </c>
      <c r="HUR63" s="44">
        <f t="shared" si="211"/>
        <v>0</v>
      </c>
      <c r="HUS63" s="44">
        <f t="shared" si="211"/>
        <v>0</v>
      </c>
      <c r="HUT63" s="44">
        <f t="shared" ref="HUT63:HXE63" si="212">SUM(HUT56:HUT57)</f>
        <v>0</v>
      </c>
      <c r="HUU63" s="44">
        <f t="shared" si="212"/>
        <v>0</v>
      </c>
      <c r="HUV63" s="44">
        <f t="shared" si="212"/>
        <v>0</v>
      </c>
      <c r="HUW63" s="44">
        <f t="shared" si="212"/>
        <v>0</v>
      </c>
      <c r="HUX63" s="44">
        <f t="shared" si="212"/>
        <v>0</v>
      </c>
      <c r="HUY63" s="44">
        <f t="shared" si="212"/>
        <v>0</v>
      </c>
      <c r="HUZ63" s="44">
        <f t="shared" si="212"/>
        <v>0</v>
      </c>
      <c r="HVA63" s="44">
        <f t="shared" si="212"/>
        <v>0</v>
      </c>
      <c r="HVB63" s="44">
        <f t="shared" si="212"/>
        <v>0</v>
      </c>
      <c r="HVC63" s="44">
        <f t="shared" si="212"/>
        <v>0</v>
      </c>
      <c r="HVD63" s="44">
        <f t="shared" si="212"/>
        <v>0</v>
      </c>
      <c r="HVE63" s="44">
        <f t="shared" si="212"/>
        <v>0</v>
      </c>
      <c r="HVF63" s="44">
        <f t="shared" si="212"/>
        <v>0</v>
      </c>
      <c r="HVG63" s="44">
        <f t="shared" si="212"/>
        <v>0</v>
      </c>
      <c r="HVH63" s="44">
        <f t="shared" si="212"/>
        <v>0</v>
      </c>
      <c r="HVI63" s="44">
        <f t="shared" si="212"/>
        <v>0</v>
      </c>
      <c r="HVJ63" s="44">
        <f t="shared" si="212"/>
        <v>0</v>
      </c>
      <c r="HVK63" s="44">
        <f t="shared" si="212"/>
        <v>0</v>
      </c>
      <c r="HVL63" s="44">
        <f t="shared" si="212"/>
        <v>0</v>
      </c>
      <c r="HVM63" s="44">
        <f t="shared" si="212"/>
        <v>0</v>
      </c>
      <c r="HVN63" s="44">
        <f t="shared" si="212"/>
        <v>0</v>
      </c>
      <c r="HVO63" s="44">
        <f t="shared" si="212"/>
        <v>0</v>
      </c>
      <c r="HVP63" s="44">
        <f t="shared" si="212"/>
        <v>0</v>
      </c>
      <c r="HVQ63" s="44">
        <f t="shared" si="212"/>
        <v>0</v>
      </c>
      <c r="HVR63" s="44">
        <f t="shared" si="212"/>
        <v>0</v>
      </c>
      <c r="HVS63" s="44">
        <f t="shared" si="212"/>
        <v>0</v>
      </c>
      <c r="HVT63" s="44">
        <f t="shared" si="212"/>
        <v>0</v>
      </c>
      <c r="HVU63" s="44">
        <f t="shared" si="212"/>
        <v>0</v>
      </c>
      <c r="HVV63" s="44">
        <f t="shared" si="212"/>
        <v>0</v>
      </c>
      <c r="HVW63" s="44">
        <f t="shared" si="212"/>
        <v>0</v>
      </c>
      <c r="HVX63" s="44">
        <f t="shared" si="212"/>
        <v>0</v>
      </c>
      <c r="HVY63" s="44">
        <f t="shared" si="212"/>
        <v>0</v>
      </c>
      <c r="HVZ63" s="44">
        <f t="shared" si="212"/>
        <v>0</v>
      </c>
      <c r="HWA63" s="44">
        <f t="shared" si="212"/>
        <v>0</v>
      </c>
      <c r="HWB63" s="44">
        <f t="shared" si="212"/>
        <v>0</v>
      </c>
      <c r="HWC63" s="44">
        <f t="shared" si="212"/>
        <v>0</v>
      </c>
      <c r="HWD63" s="44">
        <f t="shared" si="212"/>
        <v>0</v>
      </c>
      <c r="HWE63" s="44">
        <f t="shared" si="212"/>
        <v>0</v>
      </c>
      <c r="HWF63" s="44">
        <f t="shared" si="212"/>
        <v>0</v>
      </c>
      <c r="HWG63" s="44">
        <f t="shared" si="212"/>
        <v>0</v>
      </c>
      <c r="HWH63" s="44">
        <f t="shared" si="212"/>
        <v>0</v>
      </c>
      <c r="HWI63" s="44">
        <f t="shared" si="212"/>
        <v>0</v>
      </c>
      <c r="HWJ63" s="44">
        <f t="shared" si="212"/>
        <v>0</v>
      </c>
      <c r="HWK63" s="44">
        <f t="shared" si="212"/>
        <v>0</v>
      </c>
      <c r="HWL63" s="44">
        <f t="shared" si="212"/>
        <v>0</v>
      </c>
      <c r="HWM63" s="44">
        <f t="shared" si="212"/>
        <v>0</v>
      </c>
      <c r="HWN63" s="44">
        <f t="shared" si="212"/>
        <v>0</v>
      </c>
      <c r="HWO63" s="44">
        <f t="shared" si="212"/>
        <v>0</v>
      </c>
      <c r="HWP63" s="44">
        <f t="shared" si="212"/>
        <v>0</v>
      </c>
      <c r="HWQ63" s="44">
        <f t="shared" si="212"/>
        <v>0</v>
      </c>
      <c r="HWR63" s="44">
        <f t="shared" si="212"/>
        <v>0</v>
      </c>
      <c r="HWS63" s="44">
        <f t="shared" si="212"/>
        <v>0</v>
      </c>
      <c r="HWT63" s="44">
        <f t="shared" si="212"/>
        <v>0</v>
      </c>
      <c r="HWU63" s="44">
        <f t="shared" si="212"/>
        <v>0</v>
      </c>
      <c r="HWV63" s="44">
        <f t="shared" si="212"/>
        <v>0</v>
      </c>
      <c r="HWW63" s="44">
        <f t="shared" si="212"/>
        <v>0</v>
      </c>
      <c r="HWX63" s="44">
        <f t="shared" si="212"/>
        <v>0</v>
      </c>
      <c r="HWY63" s="44">
        <f t="shared" si="212"/>
        <v>0</v>
      </c>
      <c r="HWZ63" s="44">
        <f t="shared" si="212"/>
        <v>0</v>
      </c>
      <c r="HXA63" s="44">
        <f t="shared" si="212"/>
        <v>0</v>
      </c>
      <c r="HXB63" s="44">
        <f t="shared" si="212"/>
        <v>0</v>
      </c>
      <c r="HXC63" s="44">
        <f t="shared" si="212"/>
        <v>0</v>
      </c>
      <c r="HXD63" s="44">
        <f t="shared" si="212"/>
        <v>0</v>
      </c>
      <c r="HXE63" s="44">
        <f t="shared" si="212"/>
        <v>0</v>
      </c>
      <c r="HXF63" s="44">
        <f t="shared" ref="HXF63:HZQ63" si="213">SUM(HXF56:HXF57)</f>
        <v>0</v>
      </c>
      <c r="HXG63" s="44">
        <f t="shared" si="213"/>
        <v>0</v>
      </c>
      <c r="HXH63" s="44">
        <f t="shared" si="213"/>
        <v>0</v>
      </c>
      <c r="HXI63" s="44">
        <f t="shared" si="213"/>
        <v>0</v>
      </c>
      <c r="HXJ63" s="44">
        <f t="shared" si="213"/>
        <v>0</v>
      </c>
      <c r="HXK63" s="44">
        <f t="shared" si="213"/>
        <v>0</v>
      </c>
      <c r="HXL63" s="44">
        <f t="shared" si="213"/>
        <v>0</v>
      </c>
      <c r="HXM63" s="44">
        <f t="shared" si="213"/>
        <v>0</v>
      </c>
      <c r="HXN63" s="44">
        <f t="shared" si="213"/>
        <v>0</v>
      </c>
      <c r="HXO63" s="44">
        <f t="shared" si="213"/>
        <v>0</v>
      </c>
      <c r="HXP63" s="44">
        <f t="shared" si="213"/>
        <v>0</v>
      </c>
      <c r="HXQ63" s="44">
        <f t="shared" si="213"/>
        <v>0</v>
      </c>
      <c r="HXR63" s="44">
        <f t="shared" si="213"/>
        <v>0</v>
      </c>
      <c r="HXS63" s="44">
        <f t="shared" si="213"/>
        <v>0</v>
      </c>
      <c r="HXT63" s="44">
        <f t="shared" si="213"/>
        <v>0</v>
      </c>
      <c r="HXU63" s="44">
        <f t="shared" si="213"/>
        <v>0</v>
      </c>
      <c r="HXV63" s="44">
        <f t="shared" si="213"/>
        <v>0</v>
      </c>
      <c r="HXW63" s="44">
        <f t="shared" si="213"/>
        <v>0</v>
      </c>
      <c r="HXX63" s="44">
        <f t="shared" si="213"/>
        <v>0</v>
      </c>
      <c r="HXY63" s="44">
        <f t="shared" si="213"/>
        <v>0</v>
      </c>
      <c r="HXZ63" s="44">
        <f t="shared" si="213"/>
        <v>0</v>
      </c>
      <c r="HYA63" s="44">
        <f t="shared" si="213"/>
        <v>0</v>
      </c>
      <c r="HYB63" s="44">
        <f t="shared" si="213"/>
        <v>0</v>
      </c>
      <c r="HYC63" s="44">
        <f t="shared" si="213"/>
        <v>0</v>
      </c>
      <c r="HYD63" s="44">
        <f t="shared" si="213"/>
        <v>0</v>
      </c>
      <c r="HYE63" s="44">
        <f t="shared" si="213"/>
        <v>0</v>
      </c>
      <c r="HYF63" s="44">
        <f t="shared" si="213"/>
        <v>0</v>
      </c>
      <c r="HYG63" s="44">
        <f t="shared" si="213"/>
        <v>0</v>
      </c>
      <c r="HYH63" s="44">
        <f t="shared" si="213"/>
        <v>0</v>
      </c>
      <c r="HYI63" s="44">
        <f t="shared" si="213"/>
        <v>0</v>
      </c>
      <c r="HYJ63" s="44">
        <f t="shared" si="213"/>
        <v>0</v>
      </c>
      <c r="HYK63" s="44">
        <f t="shared" si="213"/>
        <v>0</v>
      </c>
      <c r="HYL63" s="44">
        <f t="shared" si="213"/>
        <v>0</v>
      </c>
      <c r="HYM63" s="44">
        <f t="shared" si="213"/>
        <v>0</v>
      </c>
      <c r="HYN63" s="44">
        <f t="shared" si="213"/>
        <v>0</v>
      </c>
      <c r="HYO63" s="44">
        <f t="shared" si="213"/>
        <v>0</v>
      </c>
      <c r="HYP63" s="44">
        <f t="shared" si="213"/>
        <v>0</v>
      </c>
      <c r="HYQ63" s="44">
        <f t="shared" si="213"/>
        <v>0</v>
      </c>
      <c r="HYR63" s="44">
        <f t="shared" si="213"/>
        <v>0</v>
      </c>
      <c r="HYS63" s="44">
        <f t="shared" si="213"/>
        <v>0</v>
      </c>
      <c r="HYT63" s="44">
        <f t="shared" si="213"/>
        <v>0</v>
      </c>
      <c r="HYU63" s="44">
        <f t="shared" si="213"/>
        <v>0</v>
      </c>
      <c r="HYV63" s="44">
        <f t="shared" si="213"/>
        <v>0</v>
      </c>
      <c r="HYW63" s="44">
        <f t="shared" si="213"/>
        <v>0</v>
      </c>
      <c r="HYX63" s="44">
        <f t="shared" si="213"/>
        <v>0</v>
      </c>
      <c r="HYY63" s="44">
        <f t="shared" si="213"/>
        <v>0</v>
      </c>
      <c r="HYZ63" s="44">
        <f t="shared" si="213"/>
        <v>0</v>
      </c>
      <c r="HZA63" s="44">
        <f t="shared" si="213"/>
        <v>0</v>
      </c>
      <c r="HZB63" s="44">
        <f t="shared" si="213"/>
        <v>0</v>
      </c>
      <c r="HZC63" s="44">
        <f t="shared" si="213"/>
        <v>0</v>
      </c>
      <c r="HZD63" s="44">
        <f t="shared" si="213"/>
        <v>0</v>
      </c>
      <c r="HZE63" s="44">
        <f t="shared" si="213"/>
        <v>0</v>
      </c>
      <c r="HZF63" s="44">
        <f t="shared" si="213"/>
        <v>0</v>
      </c>
      <c r="HZG63" s="44">
        <f t="shared" si="213"/>
        <v>0</v>
      </c>
      <c r="HZH63" s="44">
        <f t="shared" si="213"/>
        <v>0</v>
      </c>
      <c r="HZI63" s="44">
        <f t="shared" si="213"/>
        <v>0</v>
      </c>
      <c r="HZJ63" s="44">
        <f t="shared" si="213"/>
        <v>0</v>
      </c>
      <c r="HZK63" s="44">
        <f t="shared" si="213"/>
        <v>0</v>
      </c>
      <c r="HZL63" s="44">
        <f t="shared" si="213"/>
        <v>0</v>
      </c>
      <c r="HZM63" s="44">
        <f t="shared" si="213"/>
        <v>0</v>
      </c>
      <c r="HZN63" s="44">
        <f t="shared" si="213"/>
        <v>0</v>
      </c>
      <c r="HZO63" s="44">
        <f t="shared" si="213"/>
        <v>0</v>
      </c>
      <c r="HZP63" s="44">
        <f t="shared" si="213"/>
        <v>0</v>
      </c>
      <c r="HZQ63" s="44">
        <f t="shared" si="213"/>
        <v>0</v>
      </c>
      <c r="HZR63" s="44">
        <f t="shared" ref="HZR63:ICC63" si="214">SUM(HZR56:HZR57)</f>
        <v>0</v>
      </c>
      <c r="HZS63" s="44">
        <f t="shared" si="214"/>
        <v>0</v>
      </c>
      <c r="HZT63" s="44">
        <f t="shared" si="214"/>
        <v>0</v>
      </c>
      <c r="HZU63" s="44">
        <f t="shared" si="214"/>
        <v>0</v>
      </c>
      <c r="HZV63" s="44">
        <f t="shared" si="214"/>
        <v>0</v>
      </c>
      <c r="HZW63" s="44">
        <f t="shared" si="214"/>
        <v>0</v>
      </c>
      <c r="HZX63" s="44">
        <f t="shared" si="214"/>
        <v>0</v>
      </c>
      <c r="HZY63" s="44">
        <f t="shared" si="214"/>
        <v>0</v>
      </c>
      <c r="HZZ63" s="44">
        <f t="shared" si="214"/>
        <v>0</v>
      </c>
      <c r="IAA63" s="44">
        <f t="shared" si="214"/>
        <v>0</v>
      </c>
      <c r="IAB63" s="44">
        <f t="shared" si="214"/>
        <v>0</v>
      </c>
      <c r="IAC63" s="44">
        <f t="shared" si="214"/>
        <v>0</v>
      </c>
      <c r="IAD63" s="44">
        <f t="shared" si="214"/>
        <v>0</v>
      </c>
      <c r="IAE63" s="44">
        <f t="shared" si="214"/>
        <v>0</v>
      </c>
      <c r="IAF63" s="44">
        <f t="shared" si="214"/>
        <v>0</v>
      </c>
      <c r="IAG63" s="44">
        <f t="shared" si="214"/>
        <v>0</v>
      </c>
      <c r="IAH63" s="44">
        <f t="shared" si="214"/>
        <v>0</v>
      </c>
      <c r="IAI63" s="44">
        <f t="shared" si="214"/>
        <v>0</v>
      </c>
      <c r="IAJ63" s="44">
        <f t="shared" si="214"/>
        <v>0</v>
      </c>
      <c r="IAK63" s="44">
        <f t="shared" si="214"/>
        <v>0</v>
      </c>
      <c r="IAL63" s="44">
        <f t="shared" si="214"/>
        <v>0</v>
      </c>
      <c r="IAM63" s="44">
        <f t="shared" si="214"/>
        <v>0</v>
      </c>
      <c r="IAN63" s="44">
        <f t="shared" si="214"/>
        <v>0</v>
      </c>
      <c r="IAO63" s="44">
        <f t="shared" si="214"/>
        <v>0</v>
      </c>
      <c r="IAP63" s="44">
        <f t="shared" si="214"/>
        <v>0</v>
      </c>
      <c r="IAQ63" s="44">
        <f t="shared" si="214"/>
        <v>0</v>
      </c>
      <c r="IAR63" s="44">
        <f t="shared" si="214"/>
        <v>0</v>
      </c>
      <c r="IAS63" s="44">
        <f t="shared" si="214"/>
        <v>0</v>
      </c>
      <c r="IAT63" s="44">
        <f t="shared" si="214"/>
        <v>0</v>
      </c>
      <c r="IAU63" s="44">
        <f t="shared" si="214"/>
        <v>0</v>
      </c>
      <c r="IAV63" s="44">
        <f t="shared" si="214"/>
        <v>0</v>
      </c>
      <c r="IAW63" s="44">
        <f t="shared" si="214"/>
        <v>0</v>
      </c>
      <c r="IAX63" s="44">
        <f t="shared" si="214"/>
        <v>0</v>
      </c>
      <c r="IAY63" s="44">
        <f t="shared" si="214"/>
        <v>0</v>
      </c>
      <c r="IAZ63" s="44">
        <f t="shared" si="214"/>
        <v>0</v>
      </c>
      <c r="IBA63" s="44">
        <f t="shared" si="214"/>
        <v>0</v>
      </c>
      <c r="IBB63" s="44">
        <f t="shared" si="214"/>
        <v>0</v>
      </c>
      <c r="IBC63" s="44">
        <f t="shared" si="214"/>
        <v>0</v>
      </c>
      <c r="IBD63" s="44">
        <f t="shared" si="214"/>
        <v>0</v>
      </c>
      <c r="IBE63" s="44">
        <f t="shared" si="214"/>
        <v>0</v>
      </c>
      <c r="IBF63" s="44">
        <f t="shared" si="214"/>
        <v>0</v>
      </c>
      <c r="IBG63" s="44">
        <f t="shared" si="214"/>
        <v>0</v>
      </c>
      <c r="IBH63" s="44">
        <f t="shared" si="214"/>
        <v>0</v>
      </c>
      <c r="IBI63" s="44">
        <f t="shared" si="214"/>
        <v>0</v>
      </c>
      <c r="IBJ63" s="44">
        <f t="shared" si="214"/>
        <v>0</v>
      </c>
      <c r="IBK63" s="44">
        <f t="shared" si="214"/>
        <v>0</v>
      </c>
      <c r="IBL63" s="44">
        <f t="shared" si="214"/>
        <v>0</v>
      </c>
      <c r="IBM63" s="44">
        <f t="shared" si="214"/>
        <v>0</v>
      </c>
      <c r="IBN63" s="44">
        <f t="shared" si="214"/>
        <v>0</v>
      </c>
      <c r="IBO63" s="44">
        <f t="shared" si="214"/>
        <v>0</v>
      </c>
      <c r="IBP63" s="44">
        <f t="shared" si="214"/>
        <v>0</v>
      </c>
      <c r="IBQ63" s="44">
        <f t="shared" si="214"/>
        <v>0</v>
      </c>
      <c r="IBR63" s="44">
        <f t="shared" si="214"/>
        <v>0</v>
      </c>
      <c r="IBS63" s="44">
        <f t="shared" si="214"/>
        <v>0</v>
      </c>
      <c r="IBT63" s="44">
        <f t="shared" si="214"/>
        <v>0</v>
      </c>
      <c r="IBU63" s="44">
        <f t="shared" si="214"/>
        <v>0</v>
      </c>
      <c r="IBV63" s="44">
        <f t="shared" si="214"/>
        <v>0</v>
      </c>
      <c r="IBW63" s="44">
        <f t="shared" si="214"/>
        <v>0</v>
      </c>
      <c r="IBX63" s="44">
        <f t="shared" si="214"/>
        <v>0</v>
      </c>
      <c r="IBY63" s="44">
        <f t="shared" si="214"/>
        <v>0</v>
      </c>
      <c r="IBZ63" s="44">
        <f t="shared" si="214"/>
        <v>0</v>
      </c>
      <c r="ICA63" s="44">
        <f t="shared" si="214"/>
        <v>0</v>
      </c>
      <c r="ICB63" s="44">
        <f t="shared" si="214"/>
        <v>0</v>
      </c>
      <c r="ICC63" s="44">
        <f t="shared" si="214"/>
        <v>0</v>
      </c>
      <c r="ICD63" s="44">
        <f t="shared" ref="ICD63:IEO63" si="215">SUM(ICD56:ICD57)</f>
        <v>0</v>
      </c>
      <c r="ICE63" s="44">
        <f t="shared" si="215"/>
        <v>0</v>
      </c>
      <c r="ICF63" s="44">
        <f t="shared" si="215"/>
        <v>0</v>
      </c>
      <c r="ICG63" s="44">
        <f t="shared" si="215"/>
        <v>0</v>
      </c>
      <c r="ICH63" s="44">
        <f t="shared" si="215"/>
        <v>0</v>
      </c>
      <c r="ICI63" s="44">
        <f t="shared" si="215"/>
        <v>0</v>
      </c>
      <c r="ICJ63" s="44">
        <f t="shared" si="215"/>
        <v>0</v>
      </c>
      <c r="ICK63" s="44">
        <f t="shared" si="215"/>
        <v>0</v>
      </c>
      <c r="ICL63" s="44">
        <f t="shared" si="215"/>
        <v>0</v>
      </c>
      <c r="ICM63" s="44">
        <f t="shared" si="215"/>
        <v>0</v>
      </c>
      <c r="ICN63" s="44">
        <f t="shared" si="215"/>
        <v>0</v>
      </c>
      <c r="ICO63" s="44">
        <f t="shared" si="215"/>
        <v>0</v>
      </c>
      <c r="ICP63" s="44">
        <f t="shared" si="215"/>
        <v>0</v>
      </c>
      <c r="ICQ63" s="44">
        <f t="shared" si="215"/>
        <v>0</v>
      </c>
      <c r="ICR63" s="44">
        <f t="shared" si="215"/>
        <v>0</v>
      </c>
      <c r="ICS63" s="44">
        <f t="shared" si="215"/>
        <v>0</v>
      </c>
      <c r="ICT63" s="44">
        <f t="shared" si="215"/>
        <v>0</v>
      </c>
      <c r="ICU63" s="44">
        <f t="shared" si="215"/>
        <v>0</v>
      </c>
      <c r="ICV63" s="44">
        <f t="shared" si="215"/>
        <v>0</v>
      </c>
      <c r="ICW63" s="44">
        <f t="shared" si="215"/>
        <v>0</v>
      </c>
      <c r="ICX63" s="44">
        <f t="shared" si="215"/>
        <v>0</v>
      </c>
      <c r="ICY63" s="44">
        <f t="shared" si="215"/>
        <v>0</v>
      </c>
      <c r="ICZ63" s="44">
        <f t="shared" si="215"/>
        <v>0</v>
      </c>
      <c r="IDA63" s="44">
        <f t="shared" si="215"/>
        <v>0</v>
      </c>
      <c r="IDB63" s="44">
        <f t="shared" si="215"/>
        <v>0</v>
      </c>
      <c r="IDC63" s="44">
        <f t="shared" si="215"/>
        <v>0</v>
      </c>
      <c r="IDD63" s="44">
        <f t="shared" si="215"/>
        <v>0</v>
      </c>
      <c r="IDE63" s="44">
        <f t="shared" si="215"/>
        <v>0</v>
      </c>
      <c r="IDF63" s="44">
        <f t="shared" si="215"/>
        <v>0</v>
      </c>
      <c r="IDG63" s="44">
        <f t="shared" si="215"/>
        <v>0</v>
      </c>
      <c r="IDH63" s="44">
        <f t="shared" si="215"/>
        <v>0</v>
      </c>
      <c r="IDI63" s="44">
        <f t="shared" si="215"/>
        <v>0</v>
      </c>
      <c r="IDJ63" s="44">
        <f t="shared" si="215"/>
        <v>0</v>
      </c>
      <c r="IDK63" s="44">
        <f t="shared" si="215"/>
        <v>0</v>
      </c>
      <c r="IDL63" s="44">
        <f t="shared" si="215"/>
        <v>0</v>
      </c>
      <c r="IDM63" s="44">
        <f t="shared" si="215"/>
        <v>0</v>
      </c>
      <c r="IDN63" s="44">
        <f t="shared" si="215"/>
        <v>0</v>
      </c>
      <c r="IDO63" s="44">
        <f t="shared" si="215"/>
        <v>0</v>
      </c>
      <c r="IDP63" s="44">
        <f t="shared" si="215"/>
        <v>0</v>
      </c>
      <c r="IDQ63" s="44">
        <f t="shared" si="215"/>
        <v>0</v>
      </c>
      <c r="IDR63" s="44">
        <f t="shared" si="215"/>
        <v>0</v>
      </c>
      <c r="IDS63" s="44">
        <f t="shared" si="215"/>
        <v>0</v>
      </c>
      <c r="IDT63" s="44">
        <f t="shared" si="215"/>
        <v>0</v>
      </c>
      <c r="IDU63" s="44">
        <f t="shared" si="215"/>
        <v>0</v>
      </c>
      <c r="IDV63" s="44">
        <f t="shared" si="215"/>
        <v>0</v>
      </c>
      <c r="IDW63" s="44">
        <f t="shared" si="215"/>
        <v>0</v>
      </c>
      <c r="IDX63" s="44">
        <f t="shared" si="215"/>
        <v>0</v>
      </c>
      <c r="IDY63" s="44">
        <f t="shared" si="215"/>
        <v>0</v>
      </c>
      <c r="IDZ63" s="44">
        <f t="shared" si="215"/>
        <v>0</v>
      </c>
      <c r="IEA63" s="44">
        <f t="shared" si="215"/>
        <v>0</v>
      </c>
      <c r="IEB63" s="44">
        <f t="shared" si="215"/>
        <v>0</v>
      </c>
      <c r="IEC63" s="44">
        <f t="shared" si="215"/>
        <v>0</v>
      </c>
      <c r="IED63" s="44">
        <f t="shared" si="215"/>
        <v>0</v>
      </c>
      <c r="IEE63" s="44">
        <f t="shared" si="215"/>
        <v>0</v>
      </c>
      <c r="IEF63" s="44">
        <f t="shared" si="215"/>
        <v>0</v>
      </c>
      <c r="IEG63" s="44">
        <f t="shared" si="215"/>
        <v>0</v>
      </c>
      <c r="IEH63" s="44">
        <f t="shared" si="215"/>
        <v>0</v>
      </c>
      <c r="IEI63" s="44">
        <f t="shared" si="215"/>
        <v>0</v>
      </c>
      <c r="IEJ63" s="44">
        <f t="shared" si="215"/>
        <v>0</v>
      </c>
      <c r="IEK63" s="44">
        <f t="shared" si="215"/>
        <v>0</v>
      </c>
      <c r="IEL63" s="44">
        <f t="shared" si="215"/>
        <v>0</v>
      </c>
      <c r="IEM63" s="44">
        <f t="shared" si="215"/>
        <v>0</v>
      </c>
      <c r="IEN63" s="44">
        <f t="shared" si="215"/>
        <v>0</v>
      </c>
      <c r="IEO63" s="44">
        <f t="shared" si="215"/>
        <v>0</v>
      </c>
      <c r="IEP63" s="44">
        <f t="shared" ref="IEP63:IHA63" si="216">SUM(IEP56:IEP57)</f>
        <v>0</v>
      </c>
      <c r="IEQ63" s="44">
        <f t="shared" si="216"/>
        <v>0</v>
      </c>
      <c r="IER63" s="44">
        <f t="shared" si="216"/>
        <v>0</v>
      </c>
      <c r="IES63" s="44">
        <f t="shared" si="216"/>
        <v>0</v>
      </c>
      <c r="IET63" s="44">
        <f t="shared" si="216"/>
        <v>0</v>
      </c>
      <c r="IEU63" s="44">
        <f t="shared" si="216"/>
        <v>0</v>
      </c>
      <c r="IEV63" s="44">
        <f t="shared" si="216"/>
        <v>0</v>
      </c>
      <c r="IEW63" s="44">
        <f t="shared" si="216"/>
        <v>0</v>
      </c>
      <c r="IEX63" s="44">
        <f t="shared" si="216"/>
        <v>0</v>
      </c>
      <c r="IEY63" s="44">
        <f t="shared" si="216"/>
        <v>0</v>
      </c>
      <c r="IEZ63" s="44">
        <f t="shared" si="216"/>
        <v>0</v>
      </c>
      <c r="IFA63" s="44">
        <f t="shared" si="216"/>
        <v>0</v>
      </c>
      <c r="IFB63" s="44">
        <f t="shared" si="216"/>
        <v>0</v>
      </c>
      <c r="IFC63" s="44">
        <f t="shared" si="216"/>
        <v>0</v>
      </c>
      <c r="IFD63" s="44">
        <f t="shared" si="216"/>
        <v>0</v>
      </c>
      <c r="IFE63" s="44">
        <f t="shared" si="216"/>
        <v>0</v>
      </c>
      <c r="IFF63" s="44">
        <f t="shared" si="216"/>
        <v>0</v>
      </c>
      <c r="IFG63" s="44">
        <f t="shared" si="216"/>
        <v>0</v>
      </c>
      <c r="IFH63" s="44">
        <f t="shared" si="216"/>
        <v>0</v>
      </c>
      <c r="IFI63" s="44">
        <f t="shared" si="216"/>
        <v>0</v>
      </c>
      <c r="IFJ63" s="44">
        <f t="shared" si="216"/>
        <v>0</v>
      </c>
      <c r="IFK63" s="44">
        <f t="shared" si="216"/>
        <v>0</v>
      </c>
      <c r="IFL63" s="44">
        <f t="shared" si="216"/>
        <v>0</v>
      </c>
      <c r="IFM63" s="44">
        <f t="shared" si="216"/>
        <v>0</v>
      </c>
      <c r="IFN63" s="44">
        <f t="shared" si="216"/>
        <v>0</v>
      </c>
      <c r="IFO63" s="44">
        <f t="shared" si="216"/>
        <v>0</v>
      </c>
      <c r="IFP63" s="44">
        <f t="shared" si="216"/>
        <v>0</v>
      </c>
      <c r="IFQ63" s="44">
        <f t="shared" si="216"/>
        <v>0</v>
      </c>
      <c r="IFR63" s="44">
        <f t="shared" si="216"/>
        <v>0</v>
      </c>
      <c r="IFS63" s="44">
        <f t="shared" si="216"/>
        <v>0</v>
      </c>
      <c r="IFT63" s="44">
        <f t="shared" si="216"/>
        <v>0</v>
      </c>
      <c r="IFU63" s="44">
        <f t="shared" si="216"/>
        <v>0</v>
      </c>
      <c r="IFV63" s="44">
        <f t="shared" si="216"/>
        <v>0</v>
      </c>
      <c r="IFW63" s="44">
        <f t="shared" si="216"/>
        <v>0</v>
      </c>
      <c r="IFX63" s="44">
        <f t="shared" si="216"/>
        <v>0</v>
      </c>
      <c r="IFY63" s="44">
        <f t="shared" si="216"/>
        <v>0</v>
      </c>
      <c r="IFZ63" s="44">
        <f t="shared" si="216"/>
        <v>0</v>
      </c>
      <c r="IGA63" s="44">
        <f t="shared" si="216"/>
        <v>0</v>
      </c>
      <c r="IGB63" s="44">
        <f t="shared" si="216"/>
        <v>0</v>
      </c>
      <c r="IGC63" s="44">
        <f t="shared" si="216"/>
        <v>0</v>
      </c>
      <c r="IGD63" s="44">
        <f t="shared" si="216"/>
        <v>0</v>
      </c>
      <c r="IGE63" s="44">
        <f t="shared" si="216"/>
        <v>0</v>
      </c>
      <c r="IGF63" s="44">
        <f t="shared" si="216"/>
        <v>0</v>
      </c>
      <c r="IGG63" s="44">
        <f t="shared" si="216"/>
        <v>0</v>
      </c>
      <c r="IGH63" s="44">
        <f t="shared" si="216"/>
        <v>0</v>
      </c>
      <c r="IGI63" s="44">
        <f t="shared" si="216"/>
        <v>0</v>
      </c>
      <c r="IGJ63" s="44">
        <f t="shared" si="216"/>
        <v>0</v>
      </c>
      <c r="IGK63" s="44">
        <f t="shared" si="216"/>
        <v>0</v>
      </c>
      <c r="IGL63" s="44">
        <f t="shared" si="216"/>
        <v>0</v>
      </c>
      <c r="IGM63" s="44">
        <f t="shared" si="216"/>
        <v>0</v>
      </c>
      <c r="IGN63" s="44">
        <f t="shared" si="216"/>
        <v>0</v>
      </c>
      <c r="IGO63" s="44">
        <f t="shared" si="216"/>
        <v>0</v>
      </c>
      <c r="IGP63" s="44">
        <f t="shared" si="216"/>
        <v>0</v>
      </c>
      <c r="IGQ63" s="44">
        <f t="shared" si="216"/>
        <v>0</v>
      </c>
      <c r="IGR63" s="44">
        <f t="shared" si="216"/>
        <v>0</v>
      </c>
      <c r="IGS63" s="44">
        <f t="shared" si="216"/>
        <v>0</v>
      </c>
      <c r="IGT63" s="44">
        <f t="shared" si="216"/>
        <v>0</v>
      </c>
      <c r="IGU63" s="44">
        <f t="shared" si="216"/>
        <v>0</v>
      </c>
      <c r="IGV63" s="44">
        <f t="shared" si="216"/>
        <v>0</v>
      </c>
      <c r="IGW63" s="44">
        <f t="shared" si="216"/>
        <v>0</v>
      </c>
      <c r="IGX63" s="44">
        <f t="shared" si="216"/>
        <v>0</v>
      </c>
      <c r="IGY63" s="44">
        <f t="shared" si="216"/>
        <v>0</v>
      </c>
      <c r="IGZ63" s="44">
        <f t="shared" si="216"/>
        <v>0</v>
      </c>
      <c r="IHA63" s="44">
        <f t="shared" si="216"/>
        <v>0</v>
      </c>
      <c r="IHB63" s="44">
        <f t="shared" ref="IHB63:IJM63" si="217">SUM(IHB56:IHB57)</f>
        <v>0</v>
      </c>
      <c r="IHC63" s="44">
        <f t="shared" si="217"/>
        <v>0</v>
      </c>
      <c r="IHD63" s="44">
        <f t="shared" si="217"/>
        <v>0</v>
      </c>
      <c r="IHE63" s="44">
        <f t="shared" si="217"/>
        <v>0</v>
      </c>
      <c r="IHF63" s="44">
        <f t="shared" si="217"/>
        <v>0</v>
      </c>
      <c r="IHG63" s="44">
        <f t="shared" si="217"/>
        <v>0</v>
      </c>
      <c r="IHH63" s="44">
        <f t="shared" si="217"/>
        <v>0</v>
      </c>
      <c r="IHI63" s="44">
        <f t="shared" si="217"/>
        <v>0</v>
      </c>
      <c r="IHJ63" s="44">
        <f t="shared" si="217"/>
        <v>0</v>
      </c>
      <c r="IHK63" s="44">
        <f t="shared" si="217"/>
        <v>0</v>
      </c>
      <c r="IHL63" s="44">
        <f t="shared" si="217"/>
        <v>0</v>
      </c>
      <c r="IHM63" s="44">
        <f t="shared" si="217"/>
        <v>0</v>
      </c>
      <c r="IHN63" s="44">
        <f t="shared" si="217"/>
        <v>0</v>
      </c>
      <c r="IHO63" s="44">
        <f t="shared" si="217"/>
        <v>0</v>
      </c>
      <c r="IHP63" s="44">
        <f t="shared" si="217"/>
        <v>0</v>
      </c>
      <c r="IHQ63" s="44">
        <f t="shared" si="217"/>
        <v>0</v>
      </c>
      <c r="IHR63" s="44">
        <f t="shared" si="217"/>
        <v>0</v>
      </c>
      <c r="IHS63" s="44">
        <f t="shared" si="217"/>
        <v>0</v>
      </c>
      <c r="IHT63" s="44">
        <f t="shared" si="217"/>
        <v>0</v>
      </c>
      <c r="IHU63" s="44">
        <f t="shared" si="217"/>
        <v>0</v>
      </c>
      <c r="IHV63" s="44">
        <f t="shared" si="217"/>
        <v>0</v>
      </c>
      <c r="IHW63" s="44">
        <f t="shared" si="217"/>
        <v>0</v>
      </c>
      <c r="IHX63" s="44">
        <f t="shared" si="217"/>
        <v>0</v>
      </c>
      <c r="IHY63" s="44">
        <f t="shared" si="217"/>
        <v>0</v>
      </c>
      <c r="IHZ63" s="44">
        <f t="shared" si="217"/>
        <v>0</v>
      </c>
      <c r="IIA63" s="44">
        <f t="shared" si="217"/>
        <v>0</v>
      </c>
      <c r="IIB63" s="44">
        <f t="shared" si="217"/>
        <v>0</v>
      </c>
      <c r="IIC63" s="44">
        <f t="shared" si="217"/>
        <v>0</v>
      </c>
      <c r="IID63" s="44">
        <f t="shared" si="217"/>
        <v>0</v>
      </c>
      <c r="IIE63" s="44">
        <f t="shared" si="217"/>
        <v>0</v>
      </c>
      <c r="IIF63" s="44">
        <f t="shared" si="217"/>
        <v>0</v>
      </c>
      <c r="IIG63" s="44">
        <f t="shared" si="217"/>
        <v>0</v>
      </c>
      <c r="IIH63" s="44">
        <f t="shared" si="217"/>
        <v>0</v>
      </c>
      <c r="III63" s="44">
        <f t="shared" si="217"/>
        <v>0</v>
      </c>
      <c r="IIJ63" s="44">
        <f t="shared" si="217"/>
        <v>0</v>
      </c>
      <c r="IIK63" s="44">
        <f t="shared" si="217"/>
        <v>0</v>
      </c>
      <c r="IIL63" s="44">
        <f t="shared" si="217"/>
        <v>0</v>
      </c>
      <c r="IIM63" s="44">
        <f t="shared" si="217"/>
        <v>0</v>
      </c>
      <c r="IIN63" s="44">
        <f t="shared" si="217"/>
        <v>0</v>
      </c>
      <c r="IIO63" s="44">
        <f t="shared" si="217"/>
        <v>0</v>
      </c>
      <c r="IIP63" s="44">
        <f t="shared" si="217"/>
        <v>0</v>
      </c>
      <c r="IIQ63" s="44">
        <f t="shared" si="217"/>
        <v>0</v>
      </c>
      <c r="IIR63" s="44">
        <f t="shared" si="217"/>
        <v>0</v>
      </c>
      <c r="IIS63" s="44">
        <f t="shared" si="217"/>
        <v>0</v>
      </c>
      <c r="IIT63" s="44">
        <f t="shared" si="217"/>
        <v>0</v>
      </c>
      <c r="IIU63" s="44">
        <f t="shared" si="217"/>
        <v>0</v>
      </c>
      <c r="IIV63" s="44">
        <f t="shared" si="217"/>
        <v>0</v>
      </c>
      <c r="IIW63" s="44">
        <f t="shared" si="217"/>
        <v>0</v>
      </c>
      <c r="IIX63" s="44">
        <f t="shared" si="217"/>
        <v>0</v>
      </c>
      <c r="IIY63" s="44">
        <f t="shared" si="217"/>
        <v>0</v>
      </c>
      <c r="IIZ63" s="44">
        <f t="shared" si="217"/>
        <v>0</v>
      </c>
      <c r="IJA63" s="44">
        <f t="shared" si="217"/>
        <v>0</v>
      </c>
      <c r="IJB63" s="44">
        <f t="shared" si="217"/>
        <v>0</v>
      </c>
      <c r="IJC63" s="44">
        <f t="shared" si="217"/>
        <v>0</v>
      </c>
      <c r="IJD63" s="44">
        <f t="shared" si="217"/>
        <v>0</v>
      </c>
      <c r="IJE63" s="44">
        <f t="shared" si="217"/>
        <v>0</v>
      </c>
      <c r="IJF63" s="44">
        <f t="shared" si="217"/>
        <v>0</v>
      </c>
      <c r="IJG63" s="44">
        <f t="shared" si="217"/>
        <v>0</v>
      </c>
      <c r="IJH63" s="44">
        <f t="shared" si="217"/>
        <v>0</v>
      </c>
      <c r="IJI63" s="44">
        <f t="shared" si="217"/>
        <v>0</v>
      </c>
      <c r="IJJ63" s="44">
        <f t="shared" si="217"/>
        <v>0</v>
      </c>
      <c r="IJK63" s="44">
        <f t="shared" si="217"/>
        <v>0</v>
      </c>
      <c r="IJL63" s="44">
        <f t="shared" si="217"/>
        <v>0</v>
      </c>
      <c r="IJM63" s="44">
        <f t="shared" si="217"/>
        <v>0</v>
      </c>
      <c r="IJN63" s="44">
        <f t="shared" ref="IJN63:ILY63" si="218">SUM(IJN56:IJN57)</f>
        <v>0</v>
      </c>
      <c r="IJO63" s="44">
        <f t="shared" si="218"/>
        <v>0</v>
      </c>
      <c r="IJP63" s="44">
        <f t="shared" si="218"/>
        <v>0</v>
      </c>
      <c r="IJQ63" s="44">
        <f t="shared" si="218"/>
        <v>0</v>
      </c>
      <c r="IJR63" s="44">
        <f t="shared" si="218"/>
        <v>0</v>
      </c>
      <c r="IJS63" s="44">
        <f t="shared" si="218"/>
        <v>0</v>
      </c>
      <c r="IJT63" s="44">
        <f t="shared" si="218"/>
        <v>0</v>
      </c>
      <c r="IJU63" s="44">
        <f t="shared" si="218"/>
        <v>0</v>
      </c>
      <c r="IJV63" s="44">
        <f t="shared" si="218"/>
        <v>0</v>
      </c>
      <c r="IJW63" s="44">
        <f t="shared" si="218"/>
        <v>0</v>
      </c>
      <c r="IJX63" s="44">
        <f t="shared" si="218"/>
        <v>0</v>
      </c>
      <c r="IJY63" s="44">
        <f t="shared" si="218"/>
        <v>0</v>
      </c>
      <c r="IJZ63" s="44">
        <f t="shared" si="218"/>
        <v>0</v>
      </c>
      <c r="IKA63" s="44">
        <f t="shared" si="218"/>
        <v>0</v>
      </c>
      <c r="IKB63" s="44">
        <f t="shared" si="218"/>
        <v>0</v>
      </c>
      <c r="IKC63" s="44">
        <f t="shared" si="218"/>
        <v>0</v>
      </c>
      <c r="IKD63" s="44">
        <f t="shared" si="218"/>
        <v>0</v>
      </c>
      <c r="IKE63" s="44">
        <f t="shared" si="218"/>
        <v>0</v>
      </c>
      <c r="IKF63" s="44">
        <f t="shared" si="218"/>
        <v>0</v>
      </c>
      <c r="IKG63" s="44">
        <f t="shared" si="218"/>
        <v>0</v>
      </c>
      <c r="IKH63" s="44">
        <f t="shared" si="218"/>
        <v>0</v>
      </c>
      <c r="IKI63" s="44">
        <f t="shared" si="218"/>
        <v>0</v>
      </c>
      <c r="IKJ63" s="44">
        <f t="shared" si="218"/>
        <v>0</v>
      </c>
      <c r="IKK63" s="44">
        <f t="shared" si="218"/>
        <v>0</v>
      </c>
      <c r="IKL63" s="44">
        <f t="shared" si="218"/>
        <v>0</v>
      </c>
      <c r="IKM63" s="44">
        <f t="shared" si="218"/>
        <v>0</v>
      </c>
      <c r="IKN63" s="44">
        <f t="shared" si="218"/>
        <v>0</v>
      </c>
      <c r="IKO63" s="44">
        <f t="shared" si="218"/>
        <v>0</v>
      </c>
      <c r="IKP63" s="44">
        <f t="shared" si="218"/>
        <v>0</v>
      </c>
      <c r="IKQ63" s="44">
        <f t="shared" si="218"/>
        <v>0</v>
      </c>
      <c r="IKR63" s="44">
        <f t="shared" si="218"/>
        <v>0</v>
      </c>
      <c r="IKS63" s="44">
        <f t="shared" si="218"/>
        <v>0</v>
      </c>
      <c r="IKT63" s="44">
        <f t="shared" si="218"/>
        <v>0</v>
      </c>
      <c r="IKU63" s="44">
        <f t="shared" si="218"/>
        <v>0</v>
      </c>
      <c r="IKV63" s="44">
        <f t="shared" si="218"/>
        <v>0</v>
      </c>
      <c r="IKW63" s="44">
        <f t="shared" si="218"/>
        <v>0</v>
      </c>
      <c r="IKX63" s="44">
        <f t="shared" si="218"/>
        <v>0</v>
      </c>
      <c r="IKY63" s="44">
        <f t="shared" si="218"/>
        <v>0</v>
      </c>
      <c r="IKZ63" s="44">
        <f t="shared" si="218"/>
        <v>0</v>
      </c>
      <c r="ILA63" s="44">
        <f t="shared" si="218"/>
        <v>0</v>
      </c>
      <c r="ILB63" s="44">
        <f t="shared" si="218"/>
        <v>0</v>
      </c>
      <c r="ILC63" s="44">
        <f t="shared" si="218"/>
        <v>0</v>
      </c>
      <c r="ILD63" s="44">
        <f t="shared" si="218"/>
        <v>0</v>
      </c>
      <c r="ILE63" s="44">
        <f t="shared" si="218"/>
        <v>0</v>
      </c>
      <c r="ILF63" s="44">
        <f t="shared" si="218"/>
        <v>0</v>
      </c>
      <c r="ILG63" s="44">
        <f t="shared" si="218"/>
        <v>0</v>
      </c>
      <c r="ILH63" s="44">
        <f t="shared" si="218"/>
        <v>0</v>
      </c>
      <c r="ILI63" s="44">
        <f t="shared" si="218"/>
        <v>0</v>
      </c>
      <c r="ILJ63" s="44">
        <f t="shared" si="218"/>
        <v>0</v>
      </c>
      <c r="ILK63" s="44">
        <f t="shared" si="218"/>
        <v>0</v>
      </c>
      <c r="ILL63" s="44">
        <f t="shared" si="218"/>
        <v>0</v>
      </c>
      <c r="ILM63" s="44">
        <f t="shared" si="218"/>
        <v>0</v>
      </c>
      <c r="ILN63" s="44">
        <f t="shared" si="218"/>
        <v>0</v>
      </c>
      <c r="ILO63" s="44">
        <f t="shared" si="218"/>
        <v>0</v>
      </c>
      <c r="ILP63" s="44">
        <f t="shared" si="218"/>
        <v>0</v>
      </c>
      <c r="ILQ63" s="44">
        <f t="shared" si="218"/>
        <v>0</v>
      </c>
      <c r="ILR63" s="44">
        <f t="shared" si="218"/>
        <v>0</v>
      </c>
      <c r="ILS63" s="44">
        <f t="shared" si="218"/>
        <v>0</v>
      </c>
      <c r="ILT63" s="44">
        <f t="shared" si="218"/>
        <v>0</v>
      </c>
      <c r="ILU63" s="44">
        <f t="shared" si="218"/>
        <v>0</v>
      </c>
      <c r="ILV63" s="44">
        <f t="shared" si="218"/>
        <v>0</v>
      </c>
      <c r="ILW63" s="44">
        <f t="shared" si="218"/>
        <v>0</v>
      </c>
      <c r="ILX63" s="44">
        <f t="shared" si="218"/>
        <v>0</v>
      </c>
      <c r="ILY63" s="44">
        <f t="shared" si="218"/>
        <v>0</v>
      </c>
      <c r="ILZ63" s="44">
        <f t="shared" ref="ILZ63:IOK63" si="219">SUM(ILZ56:ILZ57)</f>
        <v>0</v>
      </c>
      <c r="IMA63" s="44">
        <f t="shared" si="219"/>
        <v>0</v>
      </c>
      <c r="IMB63" s="44">
        <f t="shared" si="219"/>
        <v>0</v>
      </c>
      <c r="IMC63" s="44">
        <f t="shared" si="219"/>
        <v>0</v>
      </c>
      <c r="IMD63" s="44">
        <f t="shared" si="219"/>
        <v>0</v>
      </c>
      <c r="IME63" s="44">
        <f t="shared" si="219"/>
        <v>0</v>
      </c>
      <c r="IMF63" s="44">
        <f t="shared" si="219"/>
        <v>0</v>
      </c>
      <c r="IMG63" s="44">
        <f t="shared" si="219"/>
        <v>0</v>
      </c>
      <c r="IMH63" s="44">
        <f t="shared" si="219"/>
        <v>0</v>
      </c>
      <c r="IMI63" s="44">
        <f t="shared" si="219"/>
        <v>0</v>
      </c>
      <c r="IMJ63" s="44">
        <f t="shared" si="219"/>
        <v>0</v>
      </c>
      <c r="IMK63" s="44">
        <f t="shared" si="219"/>
        <v>0</v>
      </c>
      <c r="IML63" s="44">
        <f t="shared" si="219"/>
        <v>0</v>
      </c>
      <c r="IMM63" s="44">
        <f t="shared" si="219"/>
        <v>0</v>
      </c>
      <c r="IMN63" s="44">
        <f t="shared" si="219"/>
        <v>0</v>
      </c>
      <c r="IMO63" s="44">
        <f t="shared" si="219"/>
        <v>0</v>
      </c>
      <c r="IMP63" s="44">
        <f t="shared" si="219"/>
        <v>0</v>
      </c>
      <c r="IMQ63" s="44">
        <f t="shared" si="219"/>
        <v>0</v>
      </c>
      <c r="IMR63" s="44">
        <f t="shared" si="219"/>
        <v>0</v>
      </c>
      <c r="IMS63" s="44">
        <f t="shared" si="219"/>
        <v>0</v>
      </c>
      <c r="IMT63" s="44">
        <f t="shared" si="219"/>
        <v>0</v>
      </c>
      <c r="IMU63" s="44">
        <f t="shared" si="219"/>
        <v>0</v>
      </c>
      <c r="IMV63" s="44">
        <f t="shared" si="219"/>
        <v>0</v>
      </c>
      <c r="IMW63" s="44">
        <f t="shared" si="219"/>
        <v>0</v>
      </c>
      <c r="IMX63" s="44">
        <f t="shared" si="219"/>
        <v>0</v>
      </c>
      <c r="IMY63" s="44">
        <f t="shared" si="219"/>
        <v>0</v>
      </c>
      <c r="IMZ63" s="44">
        <f t="shared" si="219"/>
        <v>0</v>
      </c>
      <c r="INA63" s="44">
        <f t="shared" si="219"/>
        <v>0</v>
      </c>
      <c r="INB63" s="44">
        <f t="shared" si="219"/>
        <v>0</v>
      </c>
      <c r="INC63" s="44">
        <f t="shared" si="219"/>
        <v>0</v>
      </c>
      <c r="IND63" s="44">
        <f t="shared" si="219"/>
        <v>0</v>
      </c>
      <c r="INE63" s="44">
        <f t="shared" si="219"/>
        <v>0</v>
      </c>
      <c r="INF63" s="44">
        <f t="shared" si="219"/>
        <v>0</v>
      </c>
      <c r="ING63" s="44">
        <f t="shared" si="219"/>
        <v>0</v>
      </c>
      <c r="INH63" s="44">
        <f t="shared" si="219"/>
        <v>0</v>
      </c>
      <c r="INI63" s="44">
        <f t="shared" si="219"/>
        <v>0</v>
      </c>
      <c r="INJ63" s="44">
        <f t="shared" si="219"/>
        <v>0</v>
      </c>
      <c r="INK63" s="44">
        <f t="shared" si="219"/>
        <v>0</v>
      </c>
      <c r="INL63" s="44">
        <f t="shared" si="219"/>
        <v>0</v>
      </c>
      <c r="INM63" s="44">
        <f t="shared" si="219"/>
        <v>0</v>
      </c>
      <c r="INN63" s="44">
        <f t="shared" si="219"/>
        <v>0</v>
      </c>
      <c r="INO63" s="44">
        <f t="shared" si="219"/>
        <v>0</v>
      </c>
      <c r="INP63" s="44">
        <f t="shared" si="219"/>
        <v>0</v>
      </c>
      <c r="INQ63" s="44">
        <f t="shared" si="219"/>
        <v>0</v>
      </c>
      <c r="INR63" s="44">
        <f t="shared" si="219"/>
        <v>0</v>
      </c>
      <c r="INS63" s="44">
        <f t="shared" si="219"/>
        <v>0</v>
      </c>
      <c r="INT63" s="44">
        <f t="shared" si="219"/>
        <v>0</v>
      </c>
      <c r="INU63" s="44">
        <f t="shared" si="219"/>
        <v>0</v>
      </c>
      <c r="INV63" s="44">
        <f t="shared" si="219"/>
        <v>0</v>
      </c>
      <c r="INW63" s="44">
        <f t="shared" si="219"/>
        <v>0</v>
      </c>
      <c r="INX63" s="44">
        <f t="shared" si="219"/>
        <v>0</v>
      </c>
      <c r="INY63" s="44">
        <f t="shared" si="219"/>
        <v>0</v>
      </c>
      <c r="INZ63" s="44">
        <f t="shared" si="219"/>
        <v>0</v>
      </c>
      <c r="IOA63" s="44">
        <f t="shared" si="219"/>
        <v>0</v>
      </c>
      <c r="IOB63" s="44">
        <f t="shared" si="219"/>
        <v>0</v>
      </c>
      <c r="IOC63" s="44">
        <f t="shared" si="219"/>
        <v>0</v>
      </c>
      <c r="IOD63" s="44">
        <f t="shared" si="219"/>
        <v>0</v>
      </c>
      <c r="IOE63" s="44">
        <f t="shared" si="219"/>
        <v>0</v>
      </c>
      <c r="IOF63" s="44">
        <f t="shared" si="219"/>
        <v>0</v>
      </c>
      <c r="IOG63" s="44">
        <f t="shared" si="219"/>
        <v>0</v>
      </c>
      <c r="IOH63" s="44">
        <f t="shared" si="219"/>
        <v>0</v>
      </c>
      <c r="IOI63" s="44">
        <f t="shared" si="219"/>
        <v>0</v>
      </c>
      <c r="IOJ63" s="44">
        <f t="shared" si="219"/>
        <v>0</v>
      </c>
      <c r="IOK63" s="44">
        <f t="shared" si="219"/>
        <v>0</v>
      </c>
      <c r="IOL63" s="44">
        <f t="shared" ref="IOL63:IQW63" si="220">SUM(IOL56:IOL57)</f>
        <v>0</v>
      </c>
      <c r="IOM63" s="44">
        <f t="shared" si="220"/>
        <v>0</v>
      </c>
      <c r="ION63" s="44">
        <f t="shared" si="220"/>
        <v>0</v>
      </c>
      <c r="IOO63" s="44">
        <f t="shared" si="220"/>
        <v>0</v>
      </c>
      <c r="IOP63" s="44">
        <f t="shared" si="220"/>
        <v>0</v>
      </c>
      <c r="IOQ63" s="44">
        <f t="shared" si="220"/>
        <v>0</v>
      </c>
      <c r="IOR63" s="44">
        <f t="shared" si="220"/>
        <v>0</v>
      </c>
      <c r="IOS63" s="44">
        <f t="shared" si="220"/>
        <v>0</v>
      </c>
      <c r="IOT63" s="44">
        <f t="shared" si="220"/>
        <v>0</v>
      </c>
      <c r="IOU63" s="44">
        <f t="shared" si="220"/>
        <v>0</v>
      </c>
      <c r="IOV63" s="44">
        <f t="shared" si="220"/>
        <v>0</v>
      </c>
      <c r="IOW63" s="44">
        <f t="shared" si="220"/>
        <v>0</v>
      </c>
      <c r="IOX63" s="44">
        <f t="shared" si="220"/>
        <v>0</v>
      </c>
      <c r="IOY63" s="44">
        <f t="shared" si="220"/>
        <v>0</v>
      </c>
      <c r="IOZ63" s="44">
        <f t="shared" si="220"/>
        <v>0</v>
      </c>
      <c r="IPA63" s="44">
        <f t="shared" si="220"/>
        <v>0</v>
      </c>
      <c r="IPB63" s="44">
        <f t="shared" si="220"/>
        <v>0</v>
      </c>
      <c r="IPC63" s="44">
        <f t="shared" si="220"/>
        <v>0</v>
      </c>
      <c r="IPD63" s="44">
        <f t="shared" si="220"/>
        <v>0</v>
      </c>
      <c r="IPE63" s="44">
        <f t="shared" si="220"/>
        <v>0</v>
      </c>
      <c r="IPF63" s="44">
        <f t="shared" si="220"/>
        <v>0</v>
      </c>
      <c r="IPG63" s="44">
        <f t="shared" si="220"/>
        <v>0</v>
      </c>
      <c r="IPH63" s="44">
        <f t="shared" si="220"/>
        <v>0</v>
      </c>
      <c r="IPI63" s="44">
        <f t="shared" si="220"/>
        <v>0</v>
      </c>
      <c r="IPJ63" s="44">
        <f t="shared" si="220"/>
        <v>0</v>
      </c>
      <c r="IPK63" s="44">
        <f t="shared" si="220"/>
        <v>0</v>
      </c>
      <c r="IPL63" s="44">
        <f t="shared" si="220"/>
        <v>0</v>
      </c>
      <c r="IPM63" s="44">
        <f t="shared" si="220"/>
        <v>0</v>
      </c>
      <c r="IPN63" s="44">
        <f t="shared" si="220"/>
        <v>0</v>
      </c>
      <c r="IPO63" s="44">
        <f t="shared" si="220"/>
        <v>0</v>
      </c>
      <c r="IPP63" s="44">
        <f t="shared" si="220"/>
        <v>0</v>
      </c>
      <c r="IPQ63" s="44">
        <f t="shared" si="220"/>
        <v>0</v>
      </c>
      <c r="IPR63" s="44">
        <f t="shared" si="220"/>
        <v>0</v>
      </c>
      <c r="IPS63" s="44">
        <f t="shared" si="220"/>
        <v>0</v>
      </c>
      <c r="IPT63" s="44">
        <f t="shared" si="220"/>
        <v>0</v>
      </c>
      <c r="IPU63" s="44">
        <f t="shared" si="220"/>
        <v>0</v>
      </c>
      <c r="IPV63" s="44">
        <f t="shared" si="220"/>
        <v>0</v>
      </c>
      <c r="IPW63" s="44">
        <f t="shared" si="220"/>
        <v>0</v>
      </c>
      <c r="IPX63" s="44">
        <f t="shared" si="220"/>
        <v>0</v>
      </c>
      <c r="IPY63" s="44">
        <f t="shared" si="220"/>
        <v>0</v>
      </c>
      <c r="IPZ63" s="44">
        <f t="shared" si="220"/>
        <v>0</v>
      </c>
      <c r="IQA63" s="44">
        <f t="shared" si="220"/>
        <v>0</v>
      </c>
      <c r="IQB63" s="44">
        <f t="shared" si="220"/>
        <v>0</v>
      </c>
      <c r="IQC63" s="44">
        <f t="shared" si="220"/>
        <v>0</v>
      </c>
      <c r="IQD63" s="44">
        <f t="shared" si="220"/>
        <v>0</v>
      </c>
      <c r="IQE63" s="44">
        <f t="shared" si="220"/>
        <v>0</v>
      </c>
      <c r="IQF63" s="44">
        <f t="shared" si="220"/>
        <v>0</v>
      </c>
      <c r="IQG63" s="44">
        <f t="shared" si="220"/>
        <v>0</v>
      </c>
      <c r="IQH63" s="44">
        <f t="shared" si="220"/>
        <v>0</v>
      </c>
      <c r="IQI63" s="44">
        <f t="shared" si="220"/>
        <v>0</v>
      </c>
      <c r="IQJ63" s="44">
        <f t="shared" si="220"/>
        <v>0</v>
      </c>
      <c r="IQK63" s="44">
        <f t="shared" si="220"/>
        <v>0</v>
      </c>
      <c r="IQL63" s="44">
        <f t="shared" si="220"/>
        <v>0</v>
      </c>
      <c r="IQM63" s="44">
        <f t="shared" si="220"/>
        <v>0</v>
      </c>
      <c r="IQN63" s="44">
        <f t="shared" si="220"/>
        <v>0</v>
      </c>
      <c r="IQO63" s="44">
        <f t="shared" si="220"/>
        <v>0</v>
      </c>
      <c r="IQP63" s="44">
        <f t="shared" si="220"/>
        <v>0</v>
      </c>
      <c r="IQQ63" s="44">
        <f t="shared" si="220"/>
        <v>0</v>
      </c>
      <c r="IQR63" s="44">
        <f t="shared" si="220"/>
        <v>0</v>
      </c>
      <c r="IQS63" s="44">
        <f t="shared" si="220"/>
        <v>0</v>
      </c>
      <c r="IQT63" s="44">
        <f t="shared" si="220"/>
        <v>0</v>
      </c>
      <c r="IQU63" s="44">
        <f t="shared" si="220"/>
        <v>0</v>
      </c>
      <c r="IQV63" s="44">
        <f t="shared" si="220"/>
        <v>0</v>
      </c>
      <c r="IQW63" s="44">
        <f t="shared" si="220"/>
        <v>0</v>
      </c>
      <c r="IQX63" s="44">
        <f t="shared" ref="IQX63:ITI63" si="221">SUM(IQX56:IQX57)</f>
        <v>0</v>
      </c>
      <c r="IQY63" s="44">
        <f t="shared" si="221"/>
        <v>0</v>
      </c>
      <c r="IQZ63" s="44">
        <f t="shared" si="221"/>
        <v>0</v>
      </c>
      <c r="IRA63" s="44">
        <f t="shared" si="221"/>
        <v>0</v>
      </c>
      <c r="IRB63" s="44">
        <f t="shared" si="221"/>
        <v>0</v>
      </c>
      <c r="IRC63" s="44">
        <f t="shared" si="221"/>
        <v>0</v>
      </c>
      <c r="IRD63" s="44">
        <f t="shared" si="221"/>
        <v>0</v>
      </c>
      <c r="IRE63" s="44">
        <f t="shared" si="221"/>
        <v>0</v>
      </c>
      <c r="IRF63" s="44">
        <f t="shared" si="221"/>
        <v>0</v>
      </c>
      <c r="IRG63" s="44">
        <f t="shared" si="221"/>
        <v>0</v>
      </c>
      <c r="IRH63" s="44">
        <f t="shared" si="221"/>
        <v>0</v>
      </c>
      <c r="IRI63" s="44">
        <f t="shared" si="221"/>
        <v>0</v>
      </c>
      <c r="IRJ63" s="44">
        <f t="shared" si="221"/>
        <v>0</v>
      </c>
      <c r="IRK63" s="44">
        <f t="shared" si="221"/>
        <v>0</v>
      </c>
      <c r="IRL63" s="44">
        <f t="shared" si="221"/>
        <v>0</v>
      </c>
      <c r="IRM63" s="44">
        <f t="shared" si="221"/>
        <v>0</v>
      </c>
      <c r="IRN63" s="44">
        <f t="shared" si="221"/>
        <v>0</v>
      </c>
      <c r="IRO63" s="44">
        <f t="shared" si="221"/>
        <v>0</v>
      </c>
      <c r="IRP63" s="44">
        <f t="shared" si="221"/>
        <v>0</v>
      </c>
      <c r="IRQ63" s="44">
        <f t="shared" si="221"/>
        <v>0</v>
      </c>
      <c r="IRR63" s="44">
        <f t="shared" si="221"/>
        <v>0</v>
      </c>
      <c r="IRS63" s="44">
        <f t="shared" si="221"/>
        <v>0</v>
      </c>
      <c r="IRT63" s="44">
        <f t="shared" si="221"/>
        <v>0</v>
      </c>
      <c r="IRU63" s="44">
        <f t="shared" si="221"/>
        <v>0</v>
      </c>
      <c r="IRV63" s="44">
        <f t="shared" si="221"/>
        <v>0</v>
      </c>
      <c r="IRW63" s="44">
        <f t="shared" si="221"/>
        <v>0</v>
      </c>
      <c r="IRX63" s="44">
        <f t="shared" si="221"/>
        <v>0</v>
      </c>
      <c r="IRY63" s="44">
        <f t="shared" si="221"/>
        <v>0</v>
      </c>
      <c r="IRZ63" s="44">
        <f t="shared" si="221"/>
        <v>0</v>
      </c>
      <c r="ISA63" s="44">
        <f t="shared" si="221"/>
        <v>0</v>
      </c>
      <c r="ISB63" s="44">
        <f t="shared" si="221"/>
        <v>0</v>
      </c>
      <c r="ISC63" s="44">
        <f t="shared" si="221"/>
        <v>0</v>
      </c>
      <c r="ISD63" s="44">
        <f t="shared" si="221"/>
        <v>0</v>
      </c>
      <c r="ISE63" s="44">
        <f t="shared" si="221"/>
        <v>0</v>
      </c>
      <c r="ISF63" s="44">
        <f t="shared" si="221"/>
        <v>0</v>
      </c>
      <c r="ISG63" s="44">
        <f t="shared" si="221"/>
        <v>0</v>
      </c>
      <c r="ISH63" s="44">
        <f t="shared" si="221"/>
        <v>0</v>
      </c>
      <c r="ISI63" s="44">
        <f t="shared" si="221"/>
        <v>0</v>
      </c>
      <c r="ISJ63" s="44">
        <f t="shared" si="221"/>
        <v>0</v>
      </c>
      <c r="ISK63" s="44">
        <f t="shared" si="221"/>
        <v>0</v>
      </c>
      <c r="ISL63" s="44">
        <f t="shared" si="221"/>
        <v>0</v>
      </c>
      <c r="ISM63" s="44">
        <f t="shared" si="221"/>
        <v>0</v>
      </c>
      <c r="ISN63" s="44">
        <f t="shared" si="221"/>
        <v>0</v>
      </c>
      <c r="ISO63" s="44">
        <f t="shared" si="221"/>
        <v>0</v>
      </c>
      <c r="ISP63" s="44">
        <f t="shared" si="221"/>
        <v>0</v>
      </c>
      <c r="ISQ63" s="44">
        <f t="shared" si="221"/>
        <v>0</v>
      </c>
      <c r="ISR63" s="44">
        <f t="shared" si="221"/>
        <v>0</v>
      </c>
      <c r="ISS63" s="44">
        <f t="shared" si="221"/>
        <v>0</v>
      </c>
      <c r="IST63" s="44">
        <f t="shared" si="221"/>
        <v>0</v>
      </c>
      <c r="ISU63" s="44">
        <f t="shared" si="221"/>
        <v>0</v>
      </c>
      <c r="ISV63" s="44">
        <f t="shared" si="221"/>
        <v>0</v>
      </c>
      <c r="ISW63" s="44">
        <f t="shared" si="221"/>
        <v>0</v>
      </c>
      <c r="ISX63" s="44">
        <f t="shared" si="221"/>
        <v>0</v>
      </c>
      <c r="ISY63" s="44">
        <f t="shared" si="221"/>
        <v>0</v>
      </c>
      <c r="ISZ63" s="44">
        <f t="shared" si="221"/>
        <v>0</v>
      </c>
      <c r="ITA63" s="44">
        <f t="shared" si="221"/>
        <v>0</v>
      </c>
      <c r="ITB63" s="44">
        <f t="shared" si="221"/>
        <v>0</v>
      </c>
      <c r="ITC63" s="44">
        <f t="shared" si="221"/>
        <v>0</v>
      </c>
      <c r="ITD63" s="44">
        <f t="shared" si="221"/>
        <v>0</v>
      </c>
      <c r="ITE63" s="44">
        <f t="shared" si="221"/>
        <v>0</v>
      </c>
      <c r="ITF63" s="44">
        <f t="shared" si="221"/>
        <v>0</v>
      </c>
      <c r="ITG63" s="44">
        <f t="shared" si="221"/>
        <v>0</v>
      </c>
      <c r="ITH63" s="44">
        <f t="shared" si="221"/>
        <v>0</v>
      </c>
      <c r="ITI63" s="44">
        <f t="shared" si="221"/>
        <v>0</v>
      </c>
      <c r="ITJ63" s="44">
        <f t="shared" ref="ITJ63:IVU63" si="222">SUM(ITJ56:ITJ57)</f>
        <v>0</v>
      </c>
      <c r="ITK63" s="44">
        <f t="shared" si="222"/>
        <v>0</v>
      </c>
      <c r="ITL63" s="44">
        <f t="shared" si="222"/>
        <v>0</v>
      </c>
      <c r="ITM63" s="44">
        <f t="shared" si="222"/>
        <v>0</v>
      </c>
      <c r="ITN63" s="44">
        <f t="shared" si="222"/>
        <v>0</v>
      </c>
      <c r="ITO63" s="44">
        <f t="shared" si="222"/>
        <v>0</v>
      </c>
      <c r="ITP63" s="44">
        <f t="shared" si="222"/>
        <v>0</v>
      </c>
      <c r="ITQ63" s="44">
        <f t="shared" si="222"/>
        <v>0</v>
      </c>
      <c r="ITR63" s="44">
        <f t="shared" si="222"/>
        <v>0</v>
      </c>
      <c r="ITS63" s="44">
        <f t="shared" si="222"/>
        <v>0</v>
      </c>
      <c r="ITT63" s="44">
        <f t="shared" si="222"/>
        <v>0</v>
      </c>
      <c r="ITU63" s="44">
        <f t="shared" si="222"/>
        <v>0</v>
      </c>
      <c r="ITV63" s="44">
        <f t="shared" si="222"/>
        <v>0</v>
      </c>
      <c r="ITW63" s="44">
        <f t="shared" si="222"/>
        <v>0</v>
      </c>
      <c r="ITX63" s="44">
        <f t="shared" si="222"/>
        <v>0</v>
      </c>
      <c r="ITY63" s="44">
        <f t="shared" si="222"/>
        <v>0</v>
      </c>
      <c r="ITZ63" s="44">
        <f t="shared" si="222"/>
        <v>0</v>
      </c>
      <c r="IUA63" s="44">
        <f t="shared" si="222"/>
        <v>0</v>
      </c>
      <c r="IUB63" s="44">
        <f t="shared" si="222"/>
        <v>0</v>
      </c>
      <c r="IUC63" s="44">
        <f t="shared" si="222"/>
        <v>0</v>
      </c>
      <c r="IUD63" s="44">
        <f t="shared" si="222"/>
        <v>0</v>
      </c>
      <c r="IUE63" s="44">
        <f t="shared" si="222"/>
        <v>0</v>
      </c>
      <c r="IUF63" s="44">
        <f t="shared" si="222"/>
        <v>0</v>
      </c>
      <c r="IUG63" s="44">
        <f t="shared" si="222"/>
        <v>0</v>
      </c>
      <c r="IUH63" s="44">
        <f t="shared" si="222"/>
        <v>0</v>
      </c>
      <c r="IUI63" s="44">
        <f t="shared" si="222"/>
        <v>0</v>
      </c>
      <c r="IUJ63" s="44">
        <f t="shared" si="222"/>
        <v>0</v>
      </c>
      <c r="IUK63" s="44">
        <f t="shared" si="222"/>
        <v>0</v>
      </c>
      <c r="IUL63" s="44">
        <f t="shared" si="222"/>
        <v>0</v>
      </c>
      <c r="IUM63" s="44">
        <f t="shared" si="222"/>
        <v>0</v>
      </c>
      <c r="IUN63" s="44">
        <f t="shared" si="222"/>
        <v>0</v>
      </c>
      <c r="IUO63" s="44">
        <f t="shared" si="222"/>
        <v>0</v>
      </c>
      <c r="IUP63" s="44">
        <f t="shared" si="222"/>
        <v>0</v>
      </c>
      <c r="IUQ63" s="44">
        <f t="shared" si="222"/>
        <v>0</v>
      </c>
      <c r="IUR63" s="44">
        <f t="shared" si="222"/>
        <v>0</v>
      </c>
      <c r="IUS63" s="44">
        <f t="shared" si="222"/>
        <v>0</v>
      </c>
      <c r="IUT63" s="44">
        <f t="shared" si="222"/>
        <v>0</v>
      </c>
      <c r="IUU63" s="44">
        <f t="shared" si="222"/>
        <v>0</v>
      </c>
      <c r="IUV63" s="44">
        <f t="shared" si="222"/>
        <v>0</v>
      </c>
      <c r="IUW63" s="44">
        <f t="shared" si="222"/>
        <v>0</v>
      </c>
      <c r="IUX63" s="44">
        <f t="shared" si="222"/>
        <v>0</v>
      </c>
      <c r="IUY63" s="44">
        <f t="shared" si="222"/>
        <v>0</v>
      </c>
      <c r="IUZ63" s="44">
        <f t="shared" si="222"/>
        <v>0</v>
      </c>
      <c r="IVA63" s="44">
        <f t="shared" si="222"/>
        <v>0</v>
      </c>
      <c r="IVB63" s="44">
        <f t="shared" si="222"/>
        <v>0</v>
      </c>
      <c r="IVC63" s="44">
        <f t="shared" si="222"/>
        <v>0</v>
      </c>
      <c r="IVD63" s="44">
        <f t="shared" si="222"/>
        <v>0</v>
      </c>
      <c r="IVE63" s="44">
        <f t="shared" si="222"/>
        <v>0</v>
      </c>
      <c r="IVF63" s="44">
        <f t="shared" si="222"/>
        <v>0</v>
      </c>
      <c r="IVG63" s="44">
        <f t="shared" si="222"/>
        <v>0</v>
      </c>
      <c r="IVH63" s="44">
        <f t="shared" si="222"/>
        <v>0</v>
      </c>
      <c r="IVI63" s="44">
        <f t="shared" si="222"/>
        <v>0</v>
      </c>
      <c r="IVJ63" s="44">
        <f t="shared" si="222"/>
        <v>0</v>
      </c>
      <c r="IVK63" s="44">
        <f t="shared" si="222"/>
        <v>0</v>
      </c>
      <c r="IVL63" s="44">
        <f t="shared" si="222"/>
        <v>0</v>
      </c>
      <c r="IVM63" s="44">
        <f t="shared" si="222"/>
        <v>0</v>
      </c>
      <c r="IVN63" s="44">
        <f t="shared" si="222"/>
        <v>0</v>
      </c>
      <c r="IVO63" s="44">
        <f t="shared" si="222"/>
        <v>0</v>
      </c>
      <c r="IVP63" s="44">
        <f t="shared" si="222"/>
        <v>0</v>
      </c>
      <c r="IVQ63" s="44">
        <f t="shared" si="222"/>
        <v>0</v>
      </c>
      <c r="IVR63" s="44">
        <f t="shared" si="222"/>
        <v>0</v>
      </c>
      <c r="IVS63" s="44">
        <f t="shared" si="222"/>
        <v>0</v>
      </c>
      <c r="IVT63" s="44">
        <f t="shared" si="222"/>
        <v>0</v>
      </c>
      <c r="IVU63" s="44">
        <f t="shared" si="222"/>
        <v>0</v>
      </c>
      <c r="IVV63" s="44">
        <f t="shared" ref="IVV63:IYG63" si="223">SUM(IVV56:IVV57)</f>
        <v>0</v>
      </c>
      <c r="IVW63" s="44">
        <f t="shared" si="223"/>
        <v>0</v>
      </c>
      <c r="IVX63" s="44">
        <f t="shared" si="223"/>
        <v>0</v>
      </c>
      <c r="IVY63" s="44">
        <f t="shared" si="223"/>
        <v>0</v>
      </c>
      <c r="IVZ63" s="44">
        <f t="shared" si="223"/>
        <v>0</v>
      </c>
      <c r="IWA63" s="44">
        <f t="shared" si="223"/>
        <v>0</v>
      </c>
      <c r="IWB63" s="44">
        <f t="shared" si="223"/>
        <v>0</v>
      </c>
      <c r="IWC63" s="44">
        <f t="shared" si="223"/>
        <v>0</v>
      </c>
      <c r="IWD63" s="44">
        <f t="shared" si="223"/>
        <v>0</v>
      </c>
      <c r="IWE63" s="44">
        <f t="shared" si="223"/>
        <v>0</v>
      </c>
      <c r="IWF63" s="44">
        <f t="shared" si="223"/>
        <v>0</v>
      </c>
      <c r="IWG63" s="44">
        <f t="shared" si="223"/>
        <v>0</v>
      </c>
      <c r="IWH63" s="44">
        <f t="shared" si="223"/>
        <v>0</v>
      </c>
      <c r="IWI63" s="44">
        <f t="shared" si="223"/>
        <v>0</v>
      </c>
      <c r="IWJ63" s="44">
        <f t="shared" si="223"/>
        <v>0</v>
      </c>
      <c r="IWK63" s="44">
        <f t="shared" si="223"/>
        <v>0</v>
      </c>
      <c r="IWL63" s="44">
        <f t="shared" si="223"/>
        <v>0</v>
      </c>
      <c r="IWM63" s="44">
        <f t="shared" si="223"/>
        <v>0</v>
      </c>
      <c r="IWN63" s="44">
        <f t="shared" si="223"/>
        <v>0</v>
      </c>
      <c r="IWO63" s="44">
        <f t="shared" si="223"/>
        <v>0</v>
      </c>
      <c r="IWP63" s="44">
        <f t="shared" si="223"/>
        <v>0</v>
      </c>
      <c r="IWQ63" s="44">
        <f t="shared" si="223"/>
        <v>0</v>
      </c>
      <c r="IWR63" s="44">
        <f t="shared" si="223"/>
        <v>0</v>
      </c>
      <c r="IWS63" s="44">
        <f t="shared" si="223"/>
        <v>0</v>
      </c>
      <c r="IWT63" s="44">
        <f t="shared" si="223"/>
        <v>0</v>
      </c>
      <c r="IWU63" s="44">
        <f t="shared" si="223"/>
        <v>0</v>
      </c>
      <c r="IWV63" s="44">
        <f t="shared" si="223"/>
        <v>0</v>
      </c>
      <c r="IWW63" s="44">
        <f t="shared" si="223"/>
        <v>0</v>
      </c>
      <c r="IWX63" s="44">
        <f t="shared" si="223"/>
        <v>0</v>
      </c>
      <c r="IWY63" s="44">
        <f t="shared" si="223"/>
        <v>0</v>
      </c>
      <c r="IWZ63" s="44">
        <f t="shared" si="223"/>
        <v>0</v>
      </c>
      <c r="IXA63" s="44">
        <f t="shared" si="223"/>
        <v>0</v>
      </c>
      <c r="IXB63" s="44">
        <f t="shared" si="223"/>
        <v>0</v>
      </c>
      <c r="IXC63" s="44">
        <f t="shared" si="223"/>
        <v>0</v>
      </c>
      <c r="IXD63" s="44">
        <f t="shared" si="223"/>
        <v>0</v>
      </c>
      <c r="IXE63" s="44">
        <f t="shared" si="223"/>
        <v>0</v>
      </c>
      <c r="IXF63" s="44">
        <f t="shared" si="223"/>
        <v>0</v>
      </c>
      <c r="IXG63" s="44">
        <f t="shared" si="223"/>
        <v>0</v>
      </c>
      <c r="IXH63" s="44">
        <f t="shared" si="223"/>
        <v>0</v>
      </c>
      <c r="IXI63" s="44">
        <f t="shared" si="223"/>
        <v>0</v>
      </c>
      <c r="IXJ63" s="44">
        <f t="shared" si="223"/>
        <v>0</v>
      </c>
      <c r="IXK63" s="44">
        <f t="shared" si="223"/>
        <v>0</v>
      </c>
      <c r="IXL63" s="44">
        <f t="shared" si="223"/>
        <v>0</v>
      </c>
      <c r="IXM63" s="44">
        <f t="shared" si="223"/>
        <v>0</v>
      </c>
      <c r="IXN63" s="44">
        <f t="shared" si="223"/>
        <v>0</v>
      </c>
      <c r="IXO63" s="44">
        <f t="shared" si="223"/>
        <v>0</v>
      </c>
      <c r="IXP63" s="44">
        <f t="shared" si="223"/>
        <v>0</v>
      </c>
      <c r="IXQ63" s="44">
        <f t="shared" si="223"/>
        <v>0</v>
      </c>
      <c r="IXR63" s="44">
        <f t="shared" si="223"/>
        <v>0</v>
      </c>
      <c r="IXS63" s="44">
        <f t="shared" si="223"/>
        <v>0</v>
      </c>
      <c r="IXT63" s="44">
        <f t="shared" si="223"/>
        <v>0</v>
      </c>
      <c r="IXU63" s="44">
        <f t="shared" si="223"/>
        <v>0</v>
      </c>
      <c r="IXV63" s="44">
        <f t="shared" si="223"/>
        <v>0</v>
      </c>
      <c r="IXW63" s="44">
        <f t="shared" si="223"/>
        <v>0</v>
      </c>
      <c r="IXX63" s="44">
        <f t="shared" si="223"/>
        <v>0</v>
      </c>
      <c r="IXY63" s="44">
        <f t="shared" si="223"/>
        <v>0</v>
      </c>
      <c r="IXZ63" s="44">
        <f t="shared" si="223"/>
        <v>0</v>
      </c>
      <c r="IYA63" s="44">
        <f t="shared" si="223"/>
        <v>0</v>
      </c>
      <c r="IYB63" s="44">
        <f t="shared" si="223"/>
        <v>0</v>
      </c>
      <c r="IYC63" s="44">
        <f t="shared" si="223"/>
        <v>0</v>
      </c>
      <c r="IYD63" s="44">
        <f t="shared" si="223"/>
        <v>0</v>
      </c>
      <c r="IYE63" s="44">
        <f t="shared" si="223"/>
        <v>0</v>
      </c>
      <c r="IYF63" s="44">
        <f t="shared" si="223"/>
        <v>0</v>
      </c>
      <c r="IYG63" s="44">
        <f t="shared" si="223"/>
        <v>0</v>
      </c>
      <c r="IYH63" s="44">
        <f t="shared" ref="IYH63:JAS63" si="224">SUM(IYH56:IYH57)</f>
        <v>0</v>
      </c>
      <c r="IYI63" s="44">
        <f t="shared" si="224"/>
        <v>0</v>
      </c>
      <c r="IYJ63" s="44">
        <f t="shared" si="224"/>
        <v>0</v>
      </c>
      <c r="IYK63" s="44">
        <f t="shared" si="224"/>
        <v>0</v>
      </c>
      <c r="IYL63" s="44">
        <f t="shared" si="224"/>
        <v>0</v>
      </c>
      <c r="IYM63" s="44">
        <f t="shared" si="224"/>
        <v>0</v>
      </c>
      <c r="IYN63" s="44">
        <f t="shared" si="224"/>
        <v>0</v>
      </c>
      <c r="IYO63" s="44">
        <f t="shared" si="224"/>
        <v>0</v>
      </c>
      <c r="IYP63" s="44">
        <f t="shared" si="224"/>
        <v>0</v>
      </c>
      <c r="IYQ63" s="44">
        <f t="shared" si="224"/>
        <v>0</v>
      </c>
      <c r="IYR63" s="44">
        <f t="shared" si="224"/>
        <v>0</v>
      </c>
      <c r="IYS63" s="44">
        <f t="shared" si="224"/>
        <v>0</v>
      </c>
      <c r="IYT63" s="44">
        <f t="shared" si="224"/>
        <v>0</v>
      </c>
      <c r="IYU63" s="44">
        <f t="shared" si="224"/>
        <v>0</v>
      </c>
      <c r="IYV63" s="44">
        <f t="shared" si="224"/>
        <v>0</v>
      </c>
      <c r="IYW63" s="44">
        <f t="shared" si="224"/>
        <v>0</v>
      </c>
      <c r="IYX63" s="44">
        <f t="shared" si="224"/>
        <v>0</v>
      </c>
      <c r="IYY63" s="44">
        <f t="shared" si="224"/>
        <v>0</v>
      </c>
      <c r="IYZ63" s="44">
        <f t="shared" si="224"/>
        <v>0</v>
      </c>
      <c r="IZA63" s="44">
        <f t="shared" si="224"/>
        <v>0</v>
      </c>
      <c r="IZB63" s="44">
        <f t="shared" si="224"/>
        <v>0</v>
      </c>
      <c r="IZC63" s="44">
        <f t="shared" si="224"/>
        <v>0</v>
      </c>
      <c r="IZD63" s="44">
        <f t="shared" si="224"/>
        <v>0</v>
      </c>
      <c r="IZE63" s="44">
        <f t="shared" si="224"/>
        <v>0</v>
      </c>
      <c r="IZF63" s="44">
        <f t="shared" si="224"/>
        <v>0</v>
      </c>
      <c r="IZG63" s="44">
        <f t="shared" si="224"/>
        <v>0</v>
      </c>
      <c r="IZH63" s="44">
        <f t="shared" si="224"/>
        <v>0</v>
      </c>
      <c r="IZI63" s="44">
        <f t="shared" si="224"/>
        <v>0</v>
      </c>
      <c r="IZJ63" s="44">
        <f t="shared" si="224"/>
        <v>0</v>
      </c>
      <c r="IZK63" s="44">
        <f t="shared" si="224"/>
        <v>0</v>
      </c>
      <c r="IZL63" s="44">
        <f t="shared" si="224"/>
        <v>0</v>
      </c>
      <c r="IZM63" s="44">
        <f t="shared" si="224"/>
        <v>0</v>
      </c>
      <c r="IZN63" s="44">
        <f t="shared" si="224"/>
        <v>0</v>
      </c>
      <c r="IZO63" s="44">
        <f t="shared" si="224"/>
        <v>0</v>
      </c>
      <c r="IZP63" s="44">
        <f t="shared" si="224"/>
        <v>0</v>
      </c>
      <c r="IZQ63" s="44">
        <f t="shared" si="224"/>
        <v>0</v>
      </c>
      <c r="IZR63" s="44">
        <f t="shared" si="224"/>
        <v>0</v>
      </c>
      <c r="IZS63" s="44">
        <f t="shared" si="224"/>
        <v>0</v>
      </c>
      <c r="IZT63" s="44">
        <f t="shared" si="224"/>
        <v>0</v>
      </c>
      <c r="IZU63" s="44">
        <f t="shared" si="224"/>
        <v>0</v>
      </c>
      <c r="IZV63" s="44">
        <f t="shared" si="224"/>
        <v>0</v>
      </c>
      <c r="IZW63" s="44">
        <f t="shared" si="224"/>
        <v>0</v>
      </c>
      <c r="IZX63" s="44">
        <f t="shared" si="224"/>
        <v>0</v>
      </c>
      <c r="IZY63" s="44">
        <f t="shared" si="224"/>
        <v>0</v>
      </c>
      <c r="IZZ63" s="44">
        <f t="shared" si="224"/>
        <v>0</v>
      </c>
      <c r="JAA63" s="44">
        <f t="shared" si="224"/>
        <v>0</v>
      </c>
      <c r="JAB63" s="44">
        <f t="shared" si="224"/>
        <v>0</v>
      </c>
      <c r="JAC63" s="44">
        <f t="shared" si="224"/>
        <v>0</v>
      </c>
      <c r="JAD63" s="44">
        <f t="shared" si="224"/>
        <v>0</v>
      </c>
      <c r="JAE63" s="44">
        <f t="shared" si="224"/>
        <v>0</v>
      </c>
      <c r="JAF63" s="44">
        <f t="shared" si="224"/>
        <v>0</v>
      </c>
      <c r="JAG63" s="44">
        <f t="shared" si="224"/>
        <v>0</v>
      </c>
      <c r="JAH63" s="44">
        <f t="shared" si="224"/>
        <v>0</v>
      </c>
      <c r="JAI63" s="44">
        <f t="shared" si="224"/>
        <v>0</v>
      </c>
      <c r="JAJ63" s="44">
        <f t="shared" si="224"/>
        <v>0</v>
      </c>
      <c r="JAK63" s="44">
        <f t="shared" si="224"/>
        <v>0</v>
      </c>
      <c r="JAL63" s="44">
        <f t="shared" si="224"/>
        <v>0</v>
      </c>
      <c r="JAM63" s="44">
        <f t="shared" si="224"/>
        <v>0</v>
      </c>
      <c r="JAN63" s="44">
        <f t="shared" si="224"/>
        <v>0</v>
      </c>
      <c r="JAO63" s="44">
        <f t="shared" si="224"/>
        <v>0</v>
      </c>
      <c r="JAP63" s="44">
        <f t="shared" si="224"/>
        <v>0</v>
      </c>
      <c r="JAQ63" s="44">
        <f t="shared" si="224"/>
        <v>0</v>
      </c>
      <c r="JAR63" s="44">
        <f t="shared" si="224"/>
        <v>0</v>
      </c>
      <c r="JAS63" s="44">
        <f t="shared" si="224"/>
        <v>0</v>
      </c>
      <c r="JAT63" s="44">
        <f t="shared" ref="JAT63:JDE63" si="225">SUM(JAT56:JAT57)</f>
        <v>0</v>
      </c>
      <c r="JAU63" s="44">
        <f t="shared" si="225"/>
        <v>0</v>
      </c>
      <c r="JAV63" s="44">
        <f t="shared" si="225"/>
        <v>0</v>
      </c>
      <c r="JAW63" s="44">
        <f t="shared" si="225"/>
        <v>0</v>
      </c>
      <c r="JAX63" s="44">
        <f t="shared" si="225"/>
        <v>0</v>
      </c>
      <c r="JAY63" s="44">
        <f t="shared" si="225"/>
        <v>0</v>
      </c>
      <c r="JAZ63" s="44">
        <f t="shared" si="225"/>
        <v>0</v>
      </c>
      <c r="JBA63" s="44">
        <f t="shared" si="225"/>
        <v>0</v>
      </c>
      <c r="JBB63" s="44">
        <f t="shared" si="225"/>
        <v>0</v>
      </c>
      <c r="JBC63" s="44">
        <f t="shared" si="225"/>
        <v>0</v>
      </c>
      <c r="JBD63" s="44">
        <f t="shared" si="225"/>
        <v>0</v>
      </c>
      <c r="JBE63" s="44">
        <f t="shared" si="225"/>
        <v>0</v>
      </c>
      <c r="JBF63" s="44">
        <f t="shared" si="225"/>
        <v>0</v>
      </c>
      <c r="JBG63" s="44">
        <f t="shared" si="225"/>
        <v>0</v>
      </c>
      <c r="JBH63" s="44">
        <f t="shared" si="225"/>
        <v>0</v>
      </c>
      <c r="JBI63" s="44">
        <f t="shared" si="225"/>
        <v>0</v>
      </c>
      <c r="JBJ63" s="44">
        <f t="shared" si="225"/>
        <v>0</v>
      </c>
      <c r="JBK63" s="44">
        <f t="shared" si="225"/>
        <v>0</v>
      </c>
      <c r="JBL63" s="44">
        <f t="shared" si="225"/>
        <v>0</v>
      </c>
      <c r="JBM63" s="44">
        <f t="shared" si="225"/>
        <v>0</v>
      </c>
      <c r="JBN63" s="44">
        <f t="shared" si="225"/>
        <v>0</v>
      </c>
      <c r="JBO63" s="44">
        <f t="shared" si="225"/>
        <v>0</v>
      </c>
      <c r="JBP63" s="44">
        <f t="shared" si="225"/>
        <v>0</v>
      </c>
      <c r="JBQ63" s="44">
        <f t="shared" si="225"/>
        <v>0</v>
      </c>
      <c r="JBR63" s="44">
        <f t="shared" si="225"/>
        <v>0</v>
      </c>
      <c r="JBS63" s="44">
        <f t="shared" si="225"/>
        <v>0</v>
      </c>
      <c r="JBT63" s="44">
        <f t="shared" si="225"/>
        <v>0</v>
      </c>
      <c r="JBU63" s="44">
        <f t="shared" si="225"/>
        <v>0</v>
      </c>
      <c r="JBV63" s="44">
        <f t="shared" si="225"/>
        <v>0</v>
      </c>
      <c r="JBW63" s="44">
        <f t="shared" si="225"/>
        <v>0</v>
      </c>
      <c r="JBX63" s="44">
        <f t="shared" si="225"/>
        <v>0</v>
      </c>
      <c r="JBY63" s="44">
        <f t="shared" si="225"/>
        <v>0</v>
      </c>
      <c r="JBZ63" s="44">
        <f t="shared" si="225"/>
        <v>0</v>
      </c>
      <c r="JCA63" s="44">
        <f t="shared" si="225"/>
        <v>0</v>
      </c>
      <c r="JCB63" s="44">
        <f t="shared" si="225"/>
        <v>0</v>
      </c>
      <c r="JCC63" s="44">
        <f t="shared" si="225"/>
        <v>0</v>
      </c>
      <c r="JCD63" s="44">
        <f t="shared" si="225"/>
        <v>0</v>
      </c>
      <c r="JCE63" s="44">
        <f t="shared" si="225"/>
        <v>0</v>
      </c>
      <c r="JCF63" s="44">
        <f t="shared" si="225"/>
        <v>0</v>
      </c>
      <c r="JCG63" s="44">
        <f t="shared" si="225"/>
        <v>0</v>
      </c>
      <c r="JCH63" s="44">
        <f t="shared" si="225"/>
        <v>0</v>
      </c>
      <c r="JCI63" s="44">
        <f t="shared" si="225"/>
        <v>0</v>
      </c>
      <c r="JCJ63" s="44">
        <f t="shared" si="225"/>
        <v>0</v>
      </c>
      <c r="JCK63" s="44">
        <f t="shared" si="225"/>
        <v>0</v>
      </c>
      <c r="JCL63" s="44">
        <f t="shared" si="225"/>
        <v>0</v>
      </c>
      <c r="JCM63" s="44">
        <f t="shared" si="225"/>
        <v>0</v>
      </c>
      <c r="JCN63" s="44">
        <f t="shared" si="225"/>
        <v>0</v>
      </c>
      <c r="JCO63" s="44">
        <f t="shared" si="225"/>
        <v>0</v>
      </c>
      <c r="JCP63" s="44">
        <f t="shared" si="225"/>
        <v>0</v>
      </c>
      <c r="JCQ63" s="44">
        <f t="shared" si="225"/>
        <v>0</v>
      </c>
      <c r="JCR63" s="44">
        <f t="shared" si="225"/>
        <v>0</v>
      </c>
      <c r="JCS63" s="44">
        <f t="shared" si="225"/>
        <v>0</v>
      </c>
      <c r="JCT63" s="44">
        <f t="shared" si="225"/>
        <v>0</v>
      </c>
      <c r="JCU63" s="44">
        <f t="shared" si="225"/>
        <v>0</v>
      </c>
      <c r="JCV63" s="44">
        <f t="shared" si="225"/>
        <v>0</v>
      </c>
      <c r="JCW63" s="44">
        <f t="shared" si="225"/>
        <v>0</v>
      </c>
      <c r="JCX63" s="44">
        <f t="shared" si="225"/>
        <v>0</v>
      </c>
      <c r="JCY63" s="44">
        <f t="shared" si="225"/>
        <v>0</v>
      </c>
      <c r="JCZ63" s="44">
        <f t="shared" si="225"/>
        <v>0</v>
      </c>
      <c r="JDA63" s="44">
        <f t="shared" si="225"/>
        <v>0</v>
      </c>
      <c r="JDB63" s="44">
        <f t="shared" si="225"/>
        <v>0</v>
      </c>
      <c r="JDC63" s="44">
        <f t="shared" si="225"/>
        <v>0</v>
      </c>
      <c r="JDD63" s="44">
        <f t="shared" si="225"/>
        <v>0</v>
      </c>
      <c r="JDE63" s="44">
        <f t="shared" si="225"/>
        <v>0</v>
      </c>
      <c r="JDF63" s="44">
        <f t="shared" ref="JDF63:JFQ63" si="226">SUM(JDF56:JDF57)</f>
        <v>0</v>
      </c>
      <c r="JDG63" s="44">
        <f t="shared" si="226"/>
        <v>0</v>
      </c>
      <c r="JDH63" s="44">
        <f t="shared" si="226"/>
        <v>0</v>
      </c>
      <c r="JDI63" s="44">
        <f t="shared" si="226"/>
        <v>0</v>
      </c>
      <c r="JDJ63" s="44">
        <f t="shared" si="226"/>
        <v>0</v>
      </c>
      <c r="JDK63" s="44">
        <f t="shared" si="226"/>
        <v>0</v>
      </c>
      <c r="JDL63" s="44">
        <f t="shared" si="226"/>
        <v>0</v>
      </c>
      <c r="JDM63" s="44">
        <f t="shared" si="226"/>
        <v>0</v>
      </c>
      <c r="JDN63" s="44">
        <f t="shared" si="226"/>
        <v>0</v>
      </c>
      <c r="JDO63" s="44">
        <f t="shared" si="226"/>
        <v>0</v>
      </c>
      <c r="JDP63" s="44">
        <f t="shared" si="226"/>
        <v>0</v>
      </c>
      <c r="JDQ63" s="44">
        <f t="shared" si="226"/>
        <v>0</v>
      </c>
      <c r="JDR63" s="44">
        <f t="shared" si="226"/>
        <v>0</v>
      </c>
      <c r="JDS63" s="44">
        <f t="shared" si="226"/>
        <v>0</v>
      </c>
      <c r="JDT63" s="44">
        <f t="shared" si="226"/>
        <v>0</v>
      </c>
      <c r="JDU63" s="44">
        <f t="shared" si="226"/>
        <v>0</v>
      </c>
      <c r="JDV63" s="44">
        <f t="shared" si="226"/>
        <v>0</v>
      </c>
      <c r="JDW63" s="44">
        <f t="shared" si="226"/>
        <v>0</v>
      </c>
      <c r="JDX63" s="44">
        <f t="shared" si="226"/>
        <v>0</v>
      </c>
      <c r="JDY63" s="44">
        <f t="shared" si="226"/>
        <v>0</v>
      </c>
      <c r="JDZ63" s="44">
        <f t="shared" si="226"/>
        <v>0</v>
      </c>
      <c r="JEA63" s="44">
        <f t="shared" si="226"/>
        <v>0</v>
      </c>
      <c r="JEB63" s="44">
        <f t="shared" si="226"/>
        <v>0</v>
      </c>
      <c r="JEC63" s="44">
        <f t="shared" si="226"/>
        <v>0</v>
      </c>
      <c r="JED63" s="44">
        <f t="shared" si="226"/>
        <v>0</v>
      </c>
      <c r="JEE63" s="44">
        <f t="shared" si="226"/>
        <v>0</v>
      </c>
      <c r="JEF63" s="44">
        <f t="shared" si="226"/>
        <v>0</v>
      </c>
      <c r="JEG63" s="44">
        <f t="shared" si="226"/>
        <v>0</v>
      </c>
      <c r="JEH63" s="44">
        <f t="shared" si="226"/>
        <v>0</v>
      </c>
      <c r="JEI63" s="44">
        <f t="shared" si="226"/>
        <v>0</v>
      </c>
      <c r="JEJ63" s="44">
        <f t="shared" si="226"/>
        <v>0</v>
      </c>
      <c r="JEK63" s="44">
        <f t="shared" si="226"/>
        <v>0</v>
      </c>
      <c r="JEL63" s="44">
        <f t="shared" si="226"/>
        <v>0</v>
      </c>
      <c r="JEM63" s="44">
        <f t="shared" si="226"/>
        <v>0</v>
      </c>
      <c r="JEN63" s="44">
        <f t="shared" si="226"/>
        <v>0</v>
      </c>
      <c r="JEO63" s="44">
        <f t="shared" si="226"/>
        <v>0</v>
      </c>
      <c r="JEP63" s="44">
        <f t="shared" si="226"/>
        <v>0</v>
      </c>
      <c r="JEQ63" s="44">
        <f t="shared" si="226"/>
        <v>0</v>
      </c>
      <c r="JER63" s="44">
        <f t="shared" si="226"/>
        <v>0</v>
      </c>
      <c r="JES63" s="44">
        <f t="shared" si="226"/>
        <v>0</v>
      </c>
      <c r="JET63" s="44">
        <f t="shared" si="226"/>
        <v>0</v>
      </c>
      <c r="JEU63" s="44">
        <f t="shared" si="226"/>
        <v>0</v>
      </c>
      <c r="JEV63" s="44">
        <f t="shared" si="226"/>
        <v>0</v>
      </c>
      <c r="JEW63" s="44">
        <f t="shared" si="226"/>
        <v>0</v>
      </c>
      <c r="JEX63" s="44">
        <f t="shared" si="226"/>
        <v>0</v>
      </c>
      <c r="JEY63" s="44">
        <f t="shared" si="226"/>
        <v>0</v>
      </c>
      <c r="JEZ63" s="44">
        <f t="shared" si="226"/>
        <v>0</v>
      </c>
      <c r="JFA63" s="44">
        <f t="shared" si="226"/>
        <v>0</v>
      </c>
      <c r="JFB63" s="44">
        <f t="shared" si="226"/>
        <v>0</v>
      </c>
      <c r="JFC63" s="44">
        <f t="shared" si="226"/>
        <v>0</v>
      </c>
      <c r="JFD63" s="44">
        <f t="shared" si="226"/>
        <v>0</v>
      </c>
      <c r="JFE63" s="44">
        <f t="shared" si="226"/>
        <v>0</v>
      </c>
      <c r="JFF63" s="44">
        <f t="shared" si="226"/>
        <v>0</v>
      </c>
      <c r="JFG63" s="44">
        <f t="shared" si="226"/>
        <v>0</v>
      </c>
      <c r="JFH63" s="44">
        <f t="shared" si="226"/>
        <v>0</v>
      </c>
      <c r="JFI63" s="44">
        <f t="shared" si="226"/>
        <v>0</v>
      </c>
      <c r="JFJ63" s="44">
        <f t="shared" si="226"/>
        <v>0</v>
      </c>
      <c r="JFK63" s="44">
        <f t="shared" si="226"/>
        <v>0</v>
      </c>
      <c r="JFL63" s="44">
        <f t="shared" si="226"/>
        <v>0</v>
      </c>
      <c r="JFM63" s="44">
        <f t="shared" si="226"/>
        <v>0</v>
      </c>
      <c r="JFN63" s="44">
        <f t="shared" si="226"/>
        <v>0</v>
      </c>
      <c r="JFO63" s="44">
        <f t="shared" si="226"/>
        <v>0</v>
      </c>
      <c r="JFP63" s="44">
        <f t="shared" si="226"/>
        <v>0</v>
      </c>
      <c r="JFQ63" s="44">
        <f t="shared" si="226"/>
        <v>0</v>
      </c>
      <c r="JFR63" s="44">
        <f t="shared" ref="JFR63:JIC63" si="227">SUM(JFR56:JFR57)</f>
        <v>0</v>
      </c>
      <c r="JFS63" s="44">
        <f t="shared" si="227"/>
        <v>0</v>
      </c>
      <c r="JFT63" s="44">
        <f t="shared" si="227"/>
        <v>0</v>
      </c>
      <c r="JFU63" s="44">
        <f t="shared" si="227"/>
        <v>0</v>
      </c>
      <c r="JFV63" s="44">
        <f t="shared" si="227"/>
        <v>0</v>
      </c>
      <c r="JFW63" s="44">
        <f t="shared" si="227"/>
        <v>0</v>
      </c>
      <c r="JFX63" s="44">
        <f t="shared" si="227"/>
        <v>0</v>
      </c>
      <c r="JFY63" s="44">
        <f t="shared" si="227"/>
        <v>0</v>
      </c>
      <c r="JFZ63" s="44">
        <f t="shared" si="227"/>
        <v>0</v>
      </c>
      <c r="JGA63" s="44">
        <f t="shared" si="227"/>
        <v>0</v>
      </c>
      <c r="JGB63" s="44">
        <f t="shared" si="227"/>
        <v>0</v>
      </c>
      <c r="JGC63" s="44">
        <f t="shared" si="227"/>
        <v>0</v>
      </c>
      <c r="JGD63" s="44">
        <f t="shared" si="227"/>
        <v>0</v>
      </c>
      <c r="JGE63" s="44">
        <f t="shared" si="227"/>
        <v>0</v>
      </c>
      <c r="JGF63" s="44">
        <f t="shared" si="227"/>
        <v>0</v>
      </c>
      <c r="JGG63" s="44">
        <f t="shared" si="227"/>
        <v>0</v>
      </c>
      <c r="JGH63" s="44">
        <f t="shared" si="227"/>
        <v>0</v>
      </c>
      <c r="JGI63" s="44">
        <f t="shared" si="227"/>
        <v>0</v>
      </c>
      <c r="JGJ63" s="44">
        <f t="shared" si="227"/>
        <v>0</v>
      </c>
      <c r="JGK63" s="44">
        <f t="shared" si="227"/>
        <v>0</v>
      </c>
      <c r="JGL63" s="44">
        <f t="shared" si="227"/>
        <v>0</v>
      </c>
      <c r="JGM63" s="44">
        <f t="shared" si="227"/>
        <v>0</v>
      </c>
      <c r="JGN63" s="44">
        <f t="shared" si="227"/>
        <v>0</v>
      </c>
      <c r="JGO63" s="44">
        <f t="shared" si="227"/>
        <v>0</v>
      </c>
      <c r="JGP63" s="44">
        <f t="shared" si="227"/>
        <v>0</v>
      </c>
      <c r="JGQ63" s="44">
        <f t="shared" si="227"/>
        <v>0</v>
      </c>
      <c r="JGR63" s="44">
        <f t="shared" si="227"/>
        <v>0</v>
      </c>
      <c r="JGS63" s="44">
        <f t="shared" si="227"/>
        <v>0</v>
      </c>
      <c r="JGT63" s="44">
        <f t="shared" si="227"/>
        <v>0</v>
      </c>
      <c r="JGU63" s="44">
        <f t="shared" si="227"/>
        <v>0</v>
      </c>
      <c r="JGV63" s="44">
        <f t="shared" si="227"/>
        <v>0</v>
      </c>
      <c r="JGW63" s="44">
        <f t="shared" si="227"/>
        <v>0</v>
      </c>
      <c r="JGX63" s="44">
        <f t="shared" si="227"/>
        <v>0</v>
      </c>
      <c r="JGY63" s="44">
        <f t="shared" si="227"/>
        <v>0</v>
      </c>
      <c r="JGZ63" s="44">
        <f t="shared" si="227"/>
        <v>0</v>
      </c>
      <c r="JHA63" s="44">
        <f t="shared" si="227"/>
        <v>0</v>
      </c>
      <c r="JHB63" s="44">
        <f t="shared" si="227"/>
        <v>0</v>
      </c>
      <c r="JHC63" s="44">
        <f t="shared" si="227"/>
        <v>0</v>
      </c>
      <c r="JHD63" s="44">
        <f t="shared" si="227"/>
        <v>0</v>
      </c>
      <c r="JHE63" s="44">
        <f t="shared" si="227"/>
        <v>0</v>
      </c>
      <c r="JHF63" s="44">
        <f t="shared" si="227"/>
        <v>0</v>
      </c>
      <c r="JHG63" s="44">
        <f t="shared" si="227"/>
        <v>0</v>
      </c>
      <c r="JHH63" s="44">
        <f t="shared" si="227"/>
        <v>0</v>
      </c>
      <c r="JHI63" s="44">
        <f t="shared" si="227"/>
        <v>0</v>
      </c>
      <c r="JHJ63" s="44">
        <f t="shared" si="227"/>
        <v>0</v>
      </c>
      <c r="JHK63" s="44">
        <f t="shared" si="227"/>
        <v>0</v>
      </c>
      <c r="JHL63" s="44">
        <f t="shared" si="227"/>
        <v>0</v>
      </c>
      <c r="JHM63" s="44">
        <f t="shared" si="227"/>
        <v>0</v>
      </c>
      <c r="JHN63" s="44">
        <f t="shared" si="227"/>
        <v>0</v>
      </c>
      <c r="JHO63" s="44">
        <f t="shared" si="227"/>
        <v>0</v>
      </c>
      <c r="JHP63" s="44">
        <f t="shared" si="227"/>
        <v>0</v>
      </c>
      <c r="JHQ63" s="44">
        <f t="shared" si="227"/>
        <v>0</v>
      </c>
      <c r="JHR63" s="44">
        <f t="shared" si="227"/>
        <v>0</v>
      </c>
      <c r="JHS63" s="44">
        <f t="shared" si="227"/>
        <v>0</v>
      </c>
      <c r="JHT63" s="44">
        <f t="shared" si="227"/>
        <v>0</v>
      </c>
      <c r="JHU63" s="44">
        <f t="shared" si="227"/>
        <v>0</v>
      </c>
      <c r="JHV63" s="44">
        <f t="shared" si="227"/>
        <v>0</v>
      </c>
      <c r="JHW63" s="44">
        <f t="shared" si="227"/>
        <v>0</v>
      </c>
      <c r="JHX63" s="44">
        <f t="shared" si="227"/>
        <v>0</v>
      </c>
      <c r="JHY63" s="44">
        <f t="shared" si="227"/>
        <v>0</v>
      </c>
      <c r="JHZ63" s="44">
        <f t="shared" si="227"/>
        <v>0</v>
      </c>
      <c r="JIA63" s="44">
        <f t="shared" si="227"/>
        <v>0</v>
      </c>
      <c r="JIB63" s="44">
        <f t="shared" si="227"/>
        <v>0</v>
      </c>
      <c r="JIC63" s="44">
        <f t="shared" si="227"/>
        <v>0</v>
      </c>
      <c r="JID63" s="44">
        <f t="shared" ref="JID63:JKO63" si="228">SUM(JID56:JID57)</f>
        <v>0</v>
      </c>
      <c r="JIE63" s="44">
        <f t="shared" si="228"/>
        <v>0</v>
      </c>
      <c r="JIF63" s="44">
        <f t="shared" si="228"/>
        <v>0</v>
      </c>
      <c r="JIG63" s="44">
        <f t="shared" si="228"/>
        <v>0</v>
      </c>
      <c r="JIH63" s="44">
        <f t="shared" si="228"/>
        <v>0</v>
      </c>
      <c r="JII63" s="44">
        <f t="shared" si="228"/>
        <v>0</v>
      </c>
      <c r="JIJ63" s="44">
        <f t="shared" si="228"/>
        <v>0</v>
      </c>
      <c r="JIK63" s="44">
        <f t="shared" si="228"/>
        <v>0</v>
      </c>
      <c r="JIL63" s="44">
        <f t="shared" si="228"/>
        <v>0</v>
      </c>
      <c r="JIM63" s="44">
        <f t="shared" si="228"/>
        <v>0</v>
      </c>
      <c r="JIN63" s="44">
        <f t="shared" si="228"/>
        <v>0</v>
      </c>
      <c r="JIO63" s="44">
        <f t="shared" si="228"/>
        <v>0</v>
      </c>
      <c r="JIP63" s="44">
        <f t="shared" si="228"/>
        <v>0</v>
      </c>
      <c r="JIQ63" s="44">
        <f t="shared" si="228"/>
        <v>0</v>
      </c>
      <c r="JIR63" s="44">
        <f t="shared" si="228"/>
        <v>0</v>
      </c>
      <c r="JIS63" s="44">
        <f t="shared" si="228"/>
        <v>0</v>
      </c>
      <c r="JIT63" s="44">
        <f t="shared" si="228"/>
        <v>0</v>
      </c>
      <c r="JIU63" s="44">
        <f t="shared" si="228"/>
        <v>0</v>
      </c>
      <c r="JIV63" s="44">
        <f t="shared" si="228"/>
        <v>0</v>
      </c>
      <c r="JIW63" s="44">
        <f t="shared" si="228"/>
        <v>0</v>
      </c>
      <c r="JIX63" s="44">
        <f t="shared" si="228"/>
        <v>0</v>
      </c>
      <c r="JIY63" s="44">
        <f t="shared" si="228"/>
        <v>0</v>
      </c>
      <c r="JIZ63" s="44">
        <f t="shared" si="228"/>
        <v>0</v>
      </c>
      <c r="JJA63" s="44">
        <f t="shared" si="228"/>
        <v>0</v>
      </c>
      <c r="JJB63" s="44">
        <f t="shared" si="228"/>
        <v>0</v>
      </c>
      <c r="JJC63" s="44">
        <f t="shared" si="228"/>
        <v>0</v>
      </c>
      <c r="JJD63" s="44">
        <f t="shared" si="228"/>
        <v>0</v>
      </c>
      <c r="JJE63" s="44">
        <f t="shared" si="228"/>
        <v>0</v>
      </c>
      <c r="JJF63" s="44">
        <f t="shared" si="228"/>
        <v>0</v>
      </c>
      <c r="JJG63" s="44">
        <f t="shared" si="228"/>
        <v>0</v>
      </c>
      <c r="JJH63" s="44">
        <f t="shared" si="228"/>
        <v>0</v>
      </c>
      <c r="JJI63" s="44">
        <f t="shared" si="228"/>
        <v>0</v>
      </c>
      <c r="JJJ63" s="44">
        <f t="shared" si="228"/>
        <v>0</v>
      </c>
      <c r="JJK63" s="44">
        <f t="shared" si="228"/>
        <v>0</v>
      </c>
      <c r="JJL63" s="44">
        <f t="shared" si="228"/>
        <v>0</v>
      </c>
      <c r="JJM63" s="44">
        <f t="shared" si="228"/>
        <v>0</v>
      </c>
      <c r="JJN63" s="44">
        <f t="shared" si="228"/>
        <v>0</v>
      </c>
      <c r="JJO63" s="44">
        <f t="shared" si="228"/>
        <v>0</v>
      </c>
      <c r="JJP63" s="44">
        <f t="shared" si="228"/>
        <v>0</v>
      </c>
      <c r="JJQ63" s="44">
        <f t="shared" si="228"/>
        <v>0</v>
      </c>
      <c r="JJR63" s="44">
        <f t="shared" si="228"/>
        <v>0</v>
      </c>
      <c r="JJS63" s="44">
        <f t="shared" si="228"/>
        <v>0</v>
      </c>
      <c r="JJT63" s="44">
        <f t="shared" si="228"/>
        <v>0</v>
      </c>
      <c r="JJU63" s="44">
        <f t="shared" si="228"/>
        <v>0</v>
      </c>
      <c r="JJV63" s="44">
        <f t="shared" si="228"/>
        <v>0</v>
      </c>
      <c r="JJW63" s="44">
        <f t="shared" si="228"/>
        <v>0</v>
      </c>
      <c r="JJX63" s="44">
        <f t="shared" si="228"/>
        <v>0</v>
      </c>
      <c r="JJY63" s="44">
        <f t="shared" si="228"/>
        <v>0</v>
      </c>
      <c r="JJZ63" s="44">
        <f t="shared" si="228"/>
        <v>0</v>
      </c>
      <c r="JKA63" s="44">
        <f t="shared" si="228"/>
        <v>0</v>
      </c>
      <c r="JKB63" s="44">
        <f t="shared" si="228"/>
        <v>0</v>
      </c>
      <c r="JKC63" s="44">
        <f t="shared" si="228"/>
        <v>0</v>
      </c>
      <c r="JKD63" s="44">
        <f t="shared" si="228"/>
        <v>0</v>
      </c>
      <c r="JKE63" s="44">
        <f t="shared" si="228"/>
        <v>0</v>
      </c>
      <c r="JKF63" s="44">
        <f t="shared" si="228"/>
        <v>0</v>
      </c>
      <c r="JKG63" s="44">
        <f t="shared" si="228"/>
        <v>0</v>
      </c>
      <c r="JKH63" s="44">
        <f t="shared" si="228"/>
        <v>0</v>
      </c>
      <c r="JKI63" s="44">
        <f t="shared" si="228"/>
        <v>0</v>
      </c>
      <c r="JKJ63" s="44">
        <f t="shared" si="228"/>
        <v>0</v>
      </c>
      <c r="JKK63" s="44">
        <f t="shared" si="228"/>
        <v>0</v>
      </c>
      <c r="JKL63" s="44">
        <f t="shared" si="228"/>
        <v>0</v>
      </c>
      <c r="JKM63" s="44">
        <f t="shared" si="228"/>
        <v>0</v>
      </c>
      <c r="JKN63" s="44">
        <f t="shared" si="228"/>
        <v>0</v>
      </c>
      <c r="JKO63" s="44">
        <f t="shared" si="228"/>
        <v>0</v>
      </c>
      <c r="JKP63" s="44">
        <f t="shared" ref="JKP63:JNA63" si="229">SUM(JKP56:JKP57)</f>
        <v>0</v>
      </c>
      <c r="JKQ63" s="44">
        <f t="shared" si="229"/>
        <v>0</v>
      </c>
      <c r="JKR63" s="44">
        <f t="shared" si="229"/>
        <v>0</v>
      </c>
      <c r="JKS63" s="44">
        <f t="shared" si="229"/>
        <v>0</v>
      </c>
      <c r="JKT63" s="44">
        <f t="shared" si="229"/>
        <v>0</v>
      </c>
      <c r="JKU63" s="44">
        <f t="shared" si="229"/>
        <v>0</v>
      </c>
      <c r="JKV63" s="44">
        <f t="shared" si="229"/>
        <v>0</v>
      </c>
      <c r="JKW63" s="44">
        <f t="shared" si="229"/>
        <v>0</v>
      </c>
      <c r="JKX63" s="44">
        <f t="shared" si="229"/>
        <v>0</v>
      </c>
      <c r="JKY63" s="44">
        <f t="shared" si="229"/>
        <v>0</v>
      </c>
      <c r="JKZ63" s="44">
        <f t="shared" si="229"/>
        <v>0</v>
      </c>
      <c r="JLA63" s="44">
        <f t="shared" si="229"/>
        <v>0</v>
      </c>
      <c r="JLB63" s="44">
        <f t="shared" si="229"/>
        <v>0</v>
      </c>
      <c r="JLC63" s="44">
        <f t="shared" si="229"/>
        <v>0</v>
      </c>
      <c r="JLD63" s="44">
        <f t="shared" si="229"/>
        <v>0</v>
      </c>
      <c r="JLE63" s="44">
        <f t="shared" si="229"/>
        <v>0</v>
      </c>
      <c r="JLF63" s="44">
        <f t="shared" si="229"/>
        <v>0</v>
      </c>
      <c r="JLG63" s="44">
        <f t="shared" si="229"/>
        <v>0</v>
      </c>
      <c r="JLH63" s="44">
        <f t="shared" si="229"/>
        <v>0</v>
      </c>
      <c r="JLI63" s="44">
        <f t="shared" si="229"/>
        <v>0</v>
      </c>
      <c r="JLJ63" s="44">
        <f t="shared" si="229"/>
        <v>0</v>
      </c>
      <c r="JLK63" s="44">
        <f t="shared" si="229"/>
        <v>0</v>
      </c>
      <c r="JLL63" s="44">
        <f t="shared" si="229"/>
        <v>0</v>
      </c>
      <c r="JLM63" s="44">
        <f t="shared" si="229"/>
        <v>0</v>
      </c>
      <c r="JLN63" s="44">
        <f t="shared" si="229"/>
        <v>0</v>
      </c>
      <c r="JLO63" s="44">
        <f t="shared" si="229"/>
        <v>0</v>
      </c>
      <c r="JLP63" s="44">
        <f t="shared" si="229"/>
        <v>0</v>
      </c>
      <c r="JLQ63" s="44">
        <f t="shared" si="229"/>
        <v>0</v>
      </c>
      <c r="JLR63" s="44">
        <f t="shared" si="229"/>
        <v>0</v>
      </c>
      <c r="JLS63" s="44">
        <f t="shared" si="229"/>
        <v>0</v>
      </c>
      <c r="JLT63" s="44">
        <f t="shared" si="229"/>
        <v>0</v>
      </c>
      <c r="JLU63" s="44">
        <f t="shared" si="229"/>
        <v>0</v>
      </c>
      <c r="JLV63" s="44">
        <f t="shared" si="229"/>
        <v>0</v>
      </c>
      <c r="JLW63" s="44">
        <f t="shared" si="229"/>
        <v>0</v>
      </c>
      <c r="JLX63" s="44">
        <f t="shared" si="229"/>
        <v>0</v>
      </c>
      <c r="JLY63" s="44">
        <f t="shared" si="229"/>
        <v>0</v>
      </c>
      <c r="JLZ63" s="44">
        <f t="shared" si="229"/>
        <v>0</v>
      </c>
      <c r="JMA63" s="44">
        <f t="shared" si="229"/>
        <v>0</v>
      </c>
      <c r="JMB63" s="44">
        <f t="shared" si="229"/>
        <v>0</v>
      </c>
      <c r="JMC63" s="44">
        <f t="shared" si="229"/>
        <v>0</v>
      </c>
      <c r="JMD63" s="44">
        <f t="shared" si="229"/>
        <v>0</v>
      </c>
      <c r="JME63" s="44">
        <f t="shared" si="229"/>
        <v>0</v>
      </c>
      <c r="JMF63" s="44">
        <f t="shared" si="229"/>
        <v>0</v>
      </c>
      <c r="JMG63" s="44">
        <f t="shared" si="229"/>
        <v>0</v>
      </c>
      <c r="JMH63" s="44">
        <f t="shared" si="229"/>
        <v>0</v>
      </c>
      <c r="JMI63" s="44">
        <f t="shared" si="229"/>
        <v>0</v>
      </c>
      <c r="JMJ63" s="44">
        <f t="shared" si="229"/>
        <v>0</v>
      </c>
      <c r="JMK63" s="44">
        <f t="shared" si="229"/>
        <v>0</v>
      </c>
      <c r="JML63" s="44">
        <f t="shared" si="229"/>
        <v>0</v>
      </c>
      <c r="JMM63" s="44">
        <f t="shared" si="229"/>
        <v>0</v>
      </c>
      <c r="JMN63" s="44">
        <f t="shared" si="229"/>
        <v>0</v>
      </c>
      <c r="JMO63" s="44">
        <f t="shared" si="229"/>
        <v>0</v>
      </c>
      <c r="JMP63" s="44">
        <f t="shared" si="229"/>
        <v>0</v>
      </c>
      <c r="JMQ63" s="44">
        <f t="shared" si="229"/>
        <v>0</v>
      </c>
      <c r="JMR63" s="44">
        <f t="shared" si="229"/>
        <v>0</v>
      </c>
      <c r="JMS63" s="44">
        <f t="shared" si="229"/>
        <v>0</v>
      </c>
      <c r="JMT63" s="44">
        <f t="shared" si="229"/>
        <v>0</v>
      </c>
      <c r="JMU63" s="44">
        <f t="shared" si="229"/>
        <v>0</v>
      </c>
      <c r="JMV63" s="44">
        <f t="shared" si="229"/>
        <v>0</v>
      </c>
      <c r="JMW63" s="44">
        <f t="shared" si="229"/>
        <v>0</v>
      </c>
      <c r="JMX63" s="44">
        <f t="shared" si="229"/>
        <v>0</v>
      </c>
      <c r="JMY63" s="44">
        <f t="shared" si="229"/>
        <v>0</v>
      </c>
      <c r="JMZ63" s="44">
        <f t="shared" si="229"/>
        <v>0</v>
      </c>
      <c r="JNA63" s="44">
        <f t="shared" si="229"/>
        <v>0</v>
      </c>
      <c r="JNB63" s="44">
        <f t="shared" ref="JNB63:JPM63" si="230">SUM(JNB56:JNB57)</f>
        <v>0</v>
      </c>
      <c r="JNC63" s="44">
        <f t="shared" si="230"/>
        <v>0</v>
      </c>
      <c r="JND63" s="44">
        <f t="shared" si="230"/>
        <v>0</v>
      </c>
      <c r="JNE63" s="44">
        <f t="shared" si="230"/>
        <v>0</v>
      </c>
      <c r="JNF63" s="44">
        <f t="shared" si="230"/>
        <v>0</v>
      </c>
      <c r="JNG63" s="44">
        <f t="shared" si="230"/>
        <v>0</v>
      </c>
      <c r="JNH63" s="44">
        <f t="shared" si="230"/>
        <v>0</v>
      </c>
      <c r="JNI63" s="44">
        <f t="shared" si="230"/>
        <v>0</v>
      </c>
      <c r="JNJ63" s="44">
        <f t="shared" si="230"/>
        <v>0</v>
      </c>
      <c r="JNK63" s="44">
        <f t="shared" si="230"/>
        <v>0</v>
      </c>
      <c r="JNL63" s="44">
        <f t="shared" si="230"/>
        <v>0</v>
      </c>
      <c r="JNM63" s="44">
        <f t="shared" si="230"/>
        <v>0</v>
      </c>
      <c r="JNN63" s="44">
        <f t="shared" si="230"/>
        <v>0</v>
      </c>
      <c r="JNO63" s="44">
        <f t="shared" si="230"/>
        <v>0</v>
      </c>
      <c r="JNP63" s="44">
        <f t="shared" si="230"/>
        <v>0</v>
      </c>
      <c r="JNQ63" s="44">
        <f t="shared" si="230"/>
        <v>0</v>
      </c>
      <c r="JNR63" s="44">
        <f t="shared" si="230"/>
        <v>0</v>
      </c>
      <c r="JNS63" s="44">
        <f t="shared" si="230"/>
        <v>0</v>
      </c>
      <c r="JNT63" s="44">
        <f t="shared" si="230"/>
        <v>0</v>
      </c>
      <c r="JNU63" s="44">
        <f t="shared" si="230"/>
        <v>0</v>
      </c>
      <c r="JNV63" s="44">
        <f t="shared" si="230"/>
        <v>0</v>
      </c>
      <c r="JNW63" s="44">
        <f t="shared" si="230"/>
        <v>0</v>
      </c>
      <c r="JNX63" s="44">
        <f t="shared" si="230"/>
        <v>0</v>
      </c>
      <c r="JNY63" s="44">
        <f t="shared" si="230"/>
        <v>0</v>
      </c>
      <c r="JNZ63" s="44">
        <f t="shared" si="230"/>
        <v>0</v>
      </c>
      <c r="JOA63" s="44">
        <f t="shared" si="230"/>
        <v>0</v>
      </c>
      <c r="JOB63" s="44">
        <f t="shared" si="230"/>
        <v>0</v>
      </c>
      <c r="JOC63" s="44">
        <f t="shared" si="230"/>
        <v>0</v>
      </c>
      <c r="JOD63" s="44">
        <f t="shared" si="230"/>
        <v>0</v>
      </c>
      <c r="JOE63" s="44">
        <f t="shared" si="230"/>
        <v>0</v>
      </c>
      <c r="JOF63" s="44">
        <f t="shared" si="230"/>
        <v>0</v>
      </c>
      <c r="JOG63" s="44">
        <f t="shared" si="230"/>
        <v>0</v>
      </c>
      <c r="JOH63" s="44">
        <f t="shared" si="230"/>
        <v>0</v>
      </c>
      <c r="JOI63" s="44">
        <f t="shared" si="230"/>
        <v>0</v>
      </c>
      <c r="JOJ63" s="44">
        <f t="shared" si="230"/>
        <v>0</v>
      </c>
      <c r="JOK63" s="44">
        <f t="shared" si="230"/>
        <v>0</v>
      </c>
      <c r="JOL63" s="44">
        <f t="shared" si="230"/>
        <v>0</v>
      </c>
      <c r="JOM63" s="44">
        <f t="shared" si="230"/>
        <v>0</v>
      </c>
      <c r="JON63" s="44">
        <f t="shared" si="230"/>
        <v>0</v>
      </c>
      <c r="JOO63" s="44">
        <f t="shared" si="230"/>
        <v>0</v>
      </c>
      <c r="JOP63" s="44">
        <f t="shared" si="230"/>
        <v>0</v>
      </c>
      <c r="JOQ63" s="44">
        <f t="shared" si="230"/>
        <v>0</v>
      </c>
      <c r="JOR63" s="44">
        <f t="shared" si="230"/>
        <v>0</v>
      </c>
      <c r="JOS63" s="44">
        <f t="shared" si="230"/>
        <v>0</v>
      </c>
      <c r="JOT63" s="44">
        <f t="shared" si="230"/>
        <v>0</v>
      </c>
      <c r="JOU63" s="44">
        <f t="shared" si="230"/>
        <v>0</v>
      </c>
      <c r="JOV63" s="44">
        <f t="shared" si="230"/>
        <v>0</v>
      </c>
      <c r="JOW63" s="44">
        <f t="shared" si="230"/>
        <v>0</v>
      </c>
      <c r="JOX63" s="44">
        <f t="shared" si="230"/>
        <v>0</v>
      </c>
      <c r="JOY63" s="44">
        <f t="shared" si="230"/>
        <v>0</v>
      </c>
      <c r="JOZ63" s="44">
        <f t="shared" si="230"/>
        <v>0</v>
      </c>
      <c r="JPA63" s="44">
        <f t="shared" si="230"/>
        <v>0</v>
      </c>
      <c r="JPB63" s="44">
        <f t="shared" si="230"/>
        <v>0</v>
      </c>
      <c r="JPC63" s="44">
        <f t="shared" si="230"/>
        <v>0</v>
      </c>
      <c r="JPD63" s="44">
        <f t="shared" si="230"/>
        <v>0</v>
      </c>
      <c r="JPE63" s="44">
        <f t="shared" si="230"/>
        <v>0</v>
      </c>
      <c r="JPF63" s="44">
        <f t="shared" si="230"/>
        <v>0</v>
      </c>
      <c r="JPG63" s="44">
        <f t="shared" si="230"/>
        <v>0</v>
      </c>
      <c r="JPH63" s="44">
        <f t="shared" si="230"/>
        <v>0</v>
      </c>
      <c r="JPI63" s="44">
        <f t="shared" si="230"/>
        <v>0</v>
      </c>
      <c r="JPJ63" s="44">
        <f t="shared" si="230"/>
        <v>0</v>
      </c>
      <c r="JPK63" s="44">
        <f t="shared" si="230"/>
        <v>0</v>
      </c>
      <c r="JPL63" s="44">
        <f t="shared" si="230"/>
        <v>0</v>
      </c>
      <c r="JPM63" s="44">
        <f t="shared" si="230"/>
        <v>0</v>
      </c>
      <c r="JPN63" s="44">
        <f t="shared" ref="JPN63:JRY63" si="231">SUM(JPN56:JPN57)</f>
        <v>0</v>
      </c>
      <c r="JPO63" s="44">
        <f t="shared" si="231"/>
        <v>0</v>
      </c>
      <c r="JPP63" s="44">
        <f t="shared" si="231"/>
        <v>0</v>
      </c>
      <c r="JPQ63" s="44">
        <f t="shared" si="231"/>
        <v>0</v>
      </c>
      <c r="JPR63" s="44">
        <f t="shared" si="231"/>
        <v>0</v>
      </c>
      <c r="JPS63" s="44">
        <f t="shared" si="231"/>
        <v>0</v>
      </c>
      <c r="JPT63" s="44">
        <f t="shared" si="231"/>
        <v>0</v>
      </c>
      <c r="JPU63" s="44">
        <f t="shared" si="231"/>
        <v>0</v>
      </c>
      <c r="JPV63" s="44">
        <f t="shared" si="231"/>
        <v>0</v>
      </c>
      <c r="JPW63" s="44">
        <f t="shared" si="231"/>
        <v>0</v>
      </c>
      <c r="JPX63" s="44">
        <f t="shared" si="231"/>
        <v>0</v>
      </c>
      <c r="JPY63" s="44">
        <f t="shared" si="231"/>
        <v>0</v>
      </c>
      <c r="JPZ63" s="44">
        <f t="shared" si="231"/>
        <v>0</v>
      </c>
      <c r="JQA63" s="44">
        <f t="shared" si="231"/>
        <v>0</v>
      </c>
      <c r="JQB63" s="44">
        <f t="shared" si="231"/>
        <v>0</v>
      </c>
      <c r="JQC63" s="44">
        <f t="shared" si="231"/>
        <v>0</v>
      </c>
      <c r="JQD63" s="44">
        <f t="shared" si="231"/>
        <v>0</v>
      </c>
      <c r="JQE63" s="44">
        <f t="shared" si="231"/>
        <v>0</v>
      </c>
      <c r="JQF63" s="44">
        <f t="shared" si="231"/>
        <v>0</v>
      </c>
      <c r="JQG63" s="44">
        <f t="shared" si="231"/>
        <v>0</v>
      </c>
      <c r="JQH63" s="44">
        <f t="shared" si="231"/>
        <v>0</v>
      </c>
      <c r="JQI63" s="44">
        <f t="shared" si="231"/>
        <v>0</v>
      </c>
      <c r="JQJ63" s="44">
        <f t="shared" si="231"/>
        <v>0</v>
      </c>
      <c r="JQK63" s="44">
        <f t="shared" si="231"/>
        <v>0</v>
      </c>
      <c r="JQL63" s="44">
        <f t="shared" si="231"/>
        <v>0</v>
      </c>
      <c r="JQM63" s="44">
        <f t="shared" si="231"/>
        <v>0</v>
      </c>
      <c r="JQN63" s="44">
        <f t="shared" si="231"/>
        <v>0</v>
      </c>
      <c r="JQO63" s="44">
        <f t="shared" si="231"/>
        <v>0</v>
      </c>
      <c r="JQP63" s="44">
        <f t="shared" si="231"/>
        <v>0</v>
      </c>
      <c r="JQQ63" s="44">
        <f t="shared" si="231"/>
        <v>0</v>
      </c>
      <c r="JQR63" s="44">
        <f t="shared" si="231"/>
        <v>0</v>
      </c>
      <c r="JQS63" s="44">
        <f t="shared" si="231"/>
        <v>0</v>
      </c>
      <c r="JQT63" s="44">
        <f t="shared" si="231"/>
        <v>0</v>
      </c>
      <c r="JQU63" s="44">
        <f t="shared" si="231"/>
        <v>0</v>
      </c>
      <c r="JQV63" s="44">
        <f t="shared" si="231"/>
        <v>0</v>
      </c>
      <c r="JQW63" s="44">
        <f t="shared" si="231"/>
        <v>0</v>
      </c>
      <c r="JQX63" s="44">
        <f t="shared" si="231"/>
        <v>0</v>
      </c>
      <c r="JQY63" s="44">
        <f t="shared" si="231"/>
        <v>0</v>
      </c>
      <c r="JQZ63" s="44">
        <f t="shared" si="231"/>
        <v>0</v>
      </c>
      <c r="JRA63" s="44">
        <f t="shared" si="231"/>
        <v>0</v>
      </c>
      <c r="JRB63" s="44">
        <f t="shared" si="231"/>
        <v>0</v>
      </c>
      <c r="JRC63" s="44">
        <f t="shared" si="231"/>
        <v>0</v>
      </c>
      <c r="JRD63" s="44">
        <f t="shared" si="231"/>
        <v>0</v>
      </c>
      <c r="JRE63" s="44">
        <f t="shared" si="231"/>
        <v>0</v>
      </c>
      <c r="JRF63" s="44">
        <f t="shared" si="231"/>
        <v>0</v>
      </c>
      <c r="JRG63" s="44">
        <f t="shared" si="231"/>
        <v>0</v>
      </c>
      <c r="JRH63" s="44">
        <f t="shared" si="231"/>
        <v>0</v>
      </c>
      <c r="JRI63" s="44">
        <f t="shared" si="231"/>
        <v>0</v>
      </c>
      <c r="JRJ63" s="44">
        <f t="shared" si="231"/>
        <v>0</v>
      </c>
      <c r="JRK63" s="44">
        <f t="shared" si="231"/>
        <v>0</v>
      </c>
      <c r="JRL63" s="44">
        <f t="shared" si="231"/>
        <v>0</v>
      </c>
      <c r="JRM63" s="44">
        <f t="shared" si="231"/>
        <v>0</v>
      </c>
      <c r="JRN63" s="44">
        <f t="shared" si="231"/>
        <v>0</v>
      </c>
      <c r="JRO63" s="44">
        <f t="shared" si="231"/>
        <v>0</v>
      </c>
      <c r="JRP63" s="44">
        <f t="shared" si="231"/>
        <v>0</v>
      </c>
      <c r="JRQ63" s="44">
        <f t="shared" si="231"/>
        <v>0</v>
      </c>
      <c r="JRR63" s="44">
        <f t="shared" si="231"/>
        <v>0</v>
      </c>
      <c r="JRS63" s="44">
        <f t="shared" si="231"/>
        <v>0</v>
      </c>
      <c r="JRT63" s="44">
        <f t="shared" si="231"/>
        <v>0</v>
      </c>
      <c r="JRU63" s="44">
        <f t="shared" si="231"/>
        <v>0</v>
      </c>
      <c r="JRV63" s="44">
        <f t="shared" si="231"/>
        <v>0</v>
      </c>
      <c r="JRW63" s="44">
        <f t="shared" si="231"/>
        <v>0</v>
      </c>
      <c r="JRX63" s="44">
        <f t="shared" si="231"/>
        <v>0</v>
      </c>
      <c r="JRY63" s="44">
        <f t="shared" si="231"/>
        <v>0</v>
      </c>
      <c r="JRZ63" s="44">
        <f t="shared" ref="JRZ63:JUK63" si="232">SUM(JRZ56:JRZ57)</f>
        <v>0</v>
      </c>
      <c r="JSA63" s="44">
        <f t="shared" si="232"/>
        <v>0</v>
      </c>
      <c r="JSB63" s="44">
        <f t="shared" si="232"/>
        <v>0</v>
      </c>
      <c r="JSC63" s="44">
        <f t="shared" si="232"/>
        <v>0</v>
      </c>
      <c r="JSD63" s="44">
        <f t="shared" si="232"/>
        <v>0</v>
      </c>
      <c r="JSE63" s="44">
        <f t="shared" si="232"/>
        <v>0</v>
      </c>
      <c r="JSF63" s="44">
        <f t="shared" si="232"/>
        <v>0</v>
      </c>
      <c r="JSG63" s="44">
        <f t="shared" si="232"/>
        <v>0</v>
      </c>
      <c r="JSH63" s="44">
        <f t="shared" si="232"/>
        <v>0</v>
      </c>
      <c r="JSI63" s="44">
        <f t="shared" si="232"/>
        <v>0</v>
      </c>
      <c r="JSJ63" s="44">
        <f t="shared" si="232"/>
        <v>0</v>
      </c>
      <c r="JSK63" s="44">
        <f t="shared" si="232"/>
        <v>0</v>
      </c>
      <c r="JSL63" s="44">
        <f t="shared" si="232"/>
        <v>0</v>
      </c>
      <c r="JSM63" s="44">
        <f t="shared" si="232"/>
        <v>0</v>
      </c>
      <c r="JSN63" s="44">
        <f t="shared" si="232"/>
        <v>0</v>
      </c>
      <c r="JSO63" s="44">
        <f t="shared" si="232"/>
        <v>0</v>
      </c>
      <c r="JSP63" s="44">
        <f t="shared" si="232"/>
        <v>0</v>
      </c>
      <c r="JSQ63" s="44">
        <f t="shared" si="232"/>
        <v>0</v>
      </c>
      <c r="JSR63" s="44">
        <f t="shared" si="232"/>
        <v>0</v>
      </c>
      <c r="JSS63" s="44">
        <f t="shared" si="232"/>
        <v>0</v>
      </c>
      <c r="JST63" s="44">
        <f t="shared" si="232"/>
        <v>0</v>
      </c>
      <c r="JSU63" s="44">
        <f t="shared" si="232"/>
        <v>0</v>
      </c>
      <c r="JSV63" s="44">
        <f t="shared" si="232"/>
        <v>0</v>
      </c>
      <c r="JSW63" s="44">
        <f t="shared" si="232"/>
        <v>0</v>
      </c>
      <c r="JSX63" s="44">
        <f t="shared" si="232"/>
        <v>0</v>
      </c>
      <c r="JSY63" s="44">
        <f t="shared" si="232"/>
        <v>0</v>
      </c>
      <c r="JSZ63" s="44">
        <f t="shared" si="232"/>
        <v>0</v>
      </c>
      <c r="JTA63" s="44">
        <f t="shared" si="232"/>
        <v>0</v>
      </c>
      <c r="JTB63" s="44">
        <f t="shared" si="232"/>
        <v>0</v>
      </c>
      <c r="JTC63" s="44">
        <f t="shared" si="232"/>
        <v>0</v>
      </c>
      <c r="JTD63" s="44">
        <f t="shared" si="232"/>
        <v>0</v>
      </c>
      <c r="JTE63" s="44">
        <f t="shared" si="232"/>
        <v>0</v>
      </c>
      <c r="JTF63" s="44">
        <f t="shared" si="232"/>
        <v>0</v>
      </c>
      <c r="JTG63" s="44">
        <f t="shared" si="232"/>
        <v>0</v>
      </c>
      <c r="JTH63" s="44">
        <f t="shared" si="232"/>
        <v>0</v>
      </c>
      <c r="JTI63" s="44">
        <f t="shared" si="232"/>
        <v>0</v>
      </c>
      <c r="JTJ63" s="44">
        <f t="shared" si="232"/>
        <v>0</v>
      </c>
      <c r="JTK63" s="44">
        <f t="shared" si="232"/>
        <v>0</v>
      </c>
      <c r="JTL63" s="44">
        <f t="shared" si="232"/>
        <v>0</v>
      </c>
      <c r="JTM63" s="44">
        <f t="shared" si="232"/>
        <v>0</v>
      </c>
      <c r="JTN63" s="44">
        <f t="shared" si="232"/>
        <v>0</v>
      </c>
      <c r="JTO63" s="44">
        <f t="shared" si="232"/>
        <v>0</v>
      </c>
      <c r="JTP63" s="44">
        <f t="shared" si="232"/>
        <v>0</v>
      </c>
      <c r="JTQ63" s="44">
        <f t="shared" si="232"/>
        <v>0</v>
      </c>
      <c r="JTR63" s="44">
        <f t="shared" si="232"/>
        <v>0</v>
      </c>
      <c r="JTS63" s="44">
        <f t="shared" si="232"/>
        <v>0</v>
      </c>
      <c r="JTT63" s="44">
        <f t="shared" si="232"/>
        <v>0</v>
      </c>
      <c r="JTU63" s="44">
        <f t="shared" si="232"/>
        <v>0</v>
      </c>
      <c r="JTV63" s="44">
        <f t="shared" si="232"/>
        <v>0</v>
      </c>
      <c r="JTW63" s="44">
        <f t="shared" si="232"/>
        <v>0</v>
      </c>
      <c r="JTX63" s="44">
        <f t="shared" si="232"/>
        <v>0</v>
      </c>
      <c r="JTY63" s="44">
        <f t="shared" si="232"/>
        <v>0</v>
      </c>
      <c r="JTZ63" s="44">
        <f t="shared" si="232"/>
        <v>0</v>
      </c>
      <c r="JUA63" s="44">
        <f t="shared" si="232"/>
        <v>0</v>
      </c>
      <c r="JUB63" s="44">
        <f t="shared" si="232"/>
        <v>0</v>
      </c>
      <c r="JUC63" s="44">
        <f t="shared" si="232"/>
        <v>0</v>
      </c>
      <c r="JUD63" s="44">
        <f t="shared" si="232"/>
        <v>0</v>
      </c>
      <c r="JUE63" s="44">
        <f t="shared" si="232"/>
        <v>0</v>
      </c>
      <c r="JUF63" s="44">
        <f t="shared" si="232"/>
        <v>0</v>
      </c>
      <c r="JUG63" s="44">
        <f t="shared" si="232"/>
        <v>0</v>
      </c>
      <c r="JUH63" s="44">
        <f t="shared" si="232"/>
        <v>0</v>
      </c>
      <c r="JUI63" s="44">
        <f t="shared" si="232"/>
        <v>0</v>
      </c>
      <c r="JUJ63" s="44">
        <f t="shared" si="232"/>
        <v>0</v>
      </c>
      <c r="JUK63" s="44">
        <f t="shared" si="232"/>
        <v>0</v>
      </c>
      <c r="JUL63" s="44">
        <f t="shared" ref="JUL63:JWW63" si="233">SUM(JUL56:JUL57)</f>
        <v>0</v>
      </c>
      <c r="JUM63" s="44">
        <f t="shared" si="233"/>
        <v>0</v>
      </c>
      <c r="JUN63" s="44">
        <f t="shared" si="233"/>
        <v>0</v>
      </c>
      <c r="JUO63" s="44">
        <f t="shared" si="233"/>
        <v>0</v>
      </c>
      <c r="JUP63" s="44">
        <f t="shared" si="233"/>
        <v>0</v>
      </c>
      <c r="JUQ63" s="44">
        <f t="shared" si="233"/>
        <v>0</v>
      </c>
      <c r="JUR63" s="44">
        <f t="shared" si="233"/>
        <v>0</v>
      </c>
      <c r="JUS63" s="44">
        <f t="shared" si="233"/>
        <v>0</v>
      </c>
      <c r="JUT63" s="44">
        <f t="shared" si="233"/>
        <v>0</v>
      </c>
      <c r="JUU63" s="44">
        <f t="shared" si="233"/>
        <v>0</v>
      </c>
      <c r="JUV63" s="44">
        <f t="shared" si="233"/>
        <v>0</v>
      </c>
      <c r="JUW63" s="44">
        <f t="shared" si="233"/>
        <v>0</v>
      </c>
      <c r="JUX63" s="44">
        <f t="shared" si="233"/>
        <v>0</v>
      </c>
      <c r="JUY63" s="44">
        <f t="shared" si="233"/>
        <v>0</v>
      </c>
      <c r="JUZ63" s="44">
        <f t="shared" si="233"/>
        <v>0</v>
      </c>
      <c r="JVA63" s="44">
        <f t="shared" si="233"/>
        <v>0</v>
      </c>
      <c r="JVB63" s="44">
        <f t="shared" si="233"/>
        <v>0</v>
      </c>
      <c r="JVC63" s="44">
        <f t="shared" si="233"/>
        <v>0</v>
      </c>
      <c r="JVD63" s="44">
        <f t="shared" si="233"/>
        <v>0</v>
      </c>
      <c r="JVE63" s="44">
        <f t="shared" si="233"/>
        <v>0</v>
      </c>
      <c r="JVF63" s="44">
        <f t="shared" si="233"/>
        <v>0</v>
      </c>
      <c r="JVG63" s="44">
        <f t="shared" si="233"/>
        <v>0</v>
      </c>
      <c r="JVH63" s="44">
        <f t="shared" si="233"/>
        <v>0</v>
      </c>
      <c r="JVI63" s="44">
        <f t="shared" si="233"/>
        <v>0</v>
      </c>
      <c r="JVJ63" s="44">
        <f t="shared" si="233"/>
        <v>0</v>
      </c>
      <c r="JVK63" s="44">
        <f t="shared" si="233"/>
        <v>0</v>
      </c>
      <c r="JVL63" s="44">
        <f t="shared" si="233"/>
        <v>0</v>
      </c>
      <c r="JVM63" s="44">
        <f t="shared" si="233"/>
        <v>0</v>
      </c>
      <c r="JVN63" s="44">
        <f t="shared" si="233"/>
        <v>0</v>
      </c>
      <c r="JVO63" s="44">
        <f t="shared" si="233"/>
        <v>0</v>
      </c>
      <c r="JVP63" s="44">
        <f t="shared" si="233"/>
        <v>0</v>
      </c>
      <c r="JVQ63" s="44">
        <f t="shared" si="233"/>
        <v>0</v>
      </c>
      <c r="JVR63" s="44">
        <f t="shared" si="233"/>
        <v>0</v>
      </c>
      <c r="JVS63" s="44">
        <f t="shared" si="233"/>
        <v>0</v>
      </c>
      <c r="JVT63" s="44">
        <f t="shared" si="233"/>
        <v>0</v>
      </c>
      <c r="JVU63" s="44">
        <f t="shared" si="233"/>
        <v>0</v>
      </c>
      <c r="JVV63" s="44">
        <f t="shared" si="233"/>
        <v>0</v>
      </c>
      <c r="JVW63" s="44">
        <f t="shared" si="233"/>
        <v>0</v>
      </c>
      <c r="JVX63" s="44">
        <f t="shared" si="233"/>
        <v>0</v>
      </c>
      <c r="JVY63" s="44">
        <f t="shared" si="233"/>
        <v>0</v>
      </c>
      <c r="JVZ63" s="44">
        <f t="shared" si="233"/>
        <v>0</v>
      </c>
      <c r="JWA63" s="44">
        <f t="shared" si="233"/>
        <v>0</v>
      </c>
      <c r="JWB63" s="44">
        <f t="shared" si="233"/>
        <v>0</v>
      </c>
      <c r="JWC63" s="44">
        <f t="shared" si="233"/>
        <v>0</v>
      </c>
      <c r="JWD63" s="44">
        <f t="shared" si="233"/>
        <v>0</v>
      </c>
      <c r="JWE63" s="44">
        <f t="shared" si="233"/>
        <v>0</v>
      </c>
      <c r="JWF63" s="44">
        <f t="shared" si="233"/>
        <v>0</v>
      </c>
      <c r="JWG63" s="44">
        <f t="shared" si="233"/>
        <v>0</v>
      </c>
      <c r="JWH63" s="44">
        <f t="shared" si="233"/>
        <v>0</v>
      </c>
      <c r="JWI63" s="44">
        <f t="shared" si="233"/>
        <v>0</v>
      </c>
      <c r="JWJ63" s="44">
        <f t="shared" si="233"/>
        <v>0</v>
      </c>
      <c r="JWK63" s="44">
        <f t="shared" si="233"/>
        <v>0</v>
      </c>
      <c r="JWL63" s="44">
        <f t="shared" si="233"/>
        <v>0</v>
      </c>
      <c r="JWM63" s="44">
        <f t="shared" si="233"/>
        <v>0</v>
      </c>
      <c r="JWN63" s="44">
        <f t="shared" si="233"/>
        <v>0</v>
      </c>
      <c r="JWO63" s="44">
        <f t="shared" si="233"/>
        <v>0</v>
      </c>
      <c r="JWP63" s="44">
        <f t="shared" si="233"/>
        <v>0</v>
      </c>
      <c r="JWQ63" s="44">
        <f t="shared" si="233"/>
        <v>0</v>
      </c>
      <c r="JWR63" s="44">
        <f t="shared" si="233"/>
        <v>0</v>
      </c>
      <c r="JWS63" s="44">
        <f t="shared" si="233"/>
        <v>0</v>
      </c>
      <c r="JWT63" s="44">
        <f t="shared" si="233"/>
        <v>0</v>
      </c>
      <c r="JWU63" s="44">
        <f t="shared" si="233"/>
        <v>0</v>
      </c>
      <c r="JWV63" s="44">
        <f t="shared" si="233"/>
        <v>0</v>
      </c>
      <c r="JWW63" s="44">
        <f t="shared" si="233"/>
        <v>0</v>
      </c>
      <c r="JWX63" s="44">
        <f t="shared" ref="JWX63:JZI63" si="234">SUM(JWX56:JWX57)</f>
        <v>0</v>
      </c>
      <c r="JWY63" s="44">
        <f t="shared" si="234"/>
        <v>0</v>
      </c>
      <c r="JWZ63" s="44">
        <f t="shared" si="234"/>
        <v>0</v>
      </c>
      <c r="JXA63" s="44">
        <f t="shared" si="234"/>
        <v>0</v>
      </c>
      <c r="JXB63" s="44">
        <f t="shared" si="234"/>
        <v>0</v>
      </c>
      <c r="JXC63" s="44">
        <f t="shared" si="234"/>
        <v>0</v>
      </c>
      <c r="JXD63" s="44">
        <f t="shared" si="234"/>
        <v>0</v>
      </c>
      <c r="JXE63" s="44">
        <f t="shared" si="234"/>
        <v>0</v>
      </c>
      <c r="JXF63" s="44">
        <f t="shared" si="234"/>
        <v>0</v>
      </c>
      <c r="JXG63" s="44">
        <f t="shared" si="234"/>
        <v>0</v>
      </c>
      <c r="JXH63" s="44">
        <f t="shared" si="234"/>
        <v>0</v>
      </c>
      <c r="JXI63" s="44">
        <f t="shared" si="234"/>
        <v>0</v>
      </c>
      <c r="JXJ63" s="44">
        <f t="shared" si="234"/>
        <v>0</v>
      </c>
      <c r="JXK63" s="44">
        <f t="shared" si="234"/>
        <v>0</v>
      </c>
      <c r="JXL63" s="44">
        <f t="shared" si="234"/>
        <v>0</v>
      </c>
      <c r="JXM63" s="44">
        <f t="shared" si="234"/>
        <v>0</v>
      </c>
      <c r="JXN63" s="44">
        <f t="shared" si="234"/>
        <v>0</v>
      </c>
      <c r="JXO63" s="44">
        <f t="shared" si="234"/>
        <v>0</v>
      </c>
      <c r="JXP63" s="44">
        <f t="shared" si="234"/>
        <v>0</v>
      </c>
      <c r="JXQ63" s="44">
        <f t="shared" si="234"/>
        <v>0</v>
      </c>
      <c r="JXR63" s="44">
        <f t="shared" si="234"/>
        <v>0</v>
      </c>
      <c r="JXS63" s="44">
        <f t="shared" si="234"/>
        <v>0</v>
      </c>
      <c r="JXT63" s="44">
        <f t="shared" si="234"/>
        <v>0</v>
      </c>
      <c r="JXU63" s="44">
        <f t="shared" si="234"/>
        <v>0</v>
      </c>
      <c r="JXV63" s="44">
        <f t="shared" si="234"/>
        <v>0</v>
      </c>
      <c r="JXW63" s="44">
        <f t="shared" si="234"/>
        <v>0</v>
      </c>
      <c r="JXX63" s="44">
        <f t="shared" si="234"/>
        <v>0</v>
      </c>
      <c r="JXY63" s="44">
        <f t="shared" si="234"/>
        <v>0</v>
      </c>
      <c r="JXZ63" s="44">
        <f t="shared" si="234"/>
        <v>0</v>
      </c>
      <c r="JYA63" s="44">
        <f t="shared" si="234"/>
        <v>0</v>
      </c>
      <c r="JYB63" s="44">
        <f t="shared" si="234"/>
        <v>0</v>
      </c>
      <c r="JYC63" s="44">
        <f t="shared" si="234"/>
        <v>0</v>
      </c>
      <c r="JYD63" s="44">
        <f t="shared" si="234"/>
        <v>0</v>
      </c>
      <c r="JYE63" s="44">
        <f t="shared" si="234"/>
        <v>0</v>
      </c>
      <c r="JYF63" s="44">
        <f t="shared" si="234"/>
        <v>0</v>
      </c>
      <c r="JYG63" s="44">
        <f t="shared" si="234"/>
        <v>0</v>
      </c>
      <c r="JYH63" s="44">
        <f t="shared" si="234"/>
        <v>0</v>
      </c>
      <c r="JYI63" s="44">
        <f t="shared" si="234"/>
        <v>0</v>
      </c>
      <c r="JYJ63" s="44">
        <f t="shared" si="234"/>
        <v>0</v>
      </c>
      <c r="JYK63" s="44">
        <f t="shared" si="234"/>
        <v>0</v>
      </c>
      <c r="JYL63" s="44">
        <f t="shared" si="234"/>
        <v>0</v>
      </c>
      <c r="JYM63" s="44">
        <f t="shared" si="234"/>
        <v>0</v>
      </c>
      <c r="JYN63" s="44">
        <f t="shared" si="234"/>
        <v>0</v>
      </c>
      <c r="JYO63" s="44">
        <f t="shared" si="234"/>
        <v>0</v>
      </c>
      <c r="JYP63" s="44">
        <f t="shared" si="234"/>
        <v>0</v>
      </c>
      <c r="JYQ63" s="44">
        <f t="shared" si="234"/>
        <v>0</v>
      </c>
      <c r="JYR63" s="44">
        <f t="shared" si="234"/>
        <v>0</v>
      </c>
      <c r="JYS63" s="44">
        <f t="shared" si="234"/>
        <v>0</v>
      </c>
      <c r="JYT63" s="44">
        <f t="shared" si="234"/>
        <v>0</v>
      </c>
      <c r="JYU63" s="44">
        <f t="shared" si="234"/>
        <v>0</v>
      </c>
      <c r="JYV63" s="44">
        <f t="shared" si="234"/>
        <v>0</v>
      </c>
      <c r="JYW63" s="44">
        <f t="shared" si="234"/>
        <v>0</v>
      </c>
      <c r="JYX63" s="44">
        <f t="shared" si="234"/>
        <v>0</v>
      </c>
      <c r="JYY63" s="44">
        <f t="shared" si="234"/>
        <v>0</v>
      </c>
      <c r="JYZ63" s="44">
        <f t="shared" si="234"/>
        <v>0</v>
      </c>
      <c r="JZA63" s="44">
        <f t="shared" si="234"/>
        <v>0</v>
      </c>
      <c r="JZB63" s="44">
        <f t="shared" si="234"/>
        <v>0</v>
      </c>
      <c r="JZC63" s="44">
        <f t="shared" si="234"/>
        <v>0</v>
      </c>
      <c r="JZD63" s="44">
        <f t="shared" si="234"/>
        <v>0</v>
      </c>
      <c r="JZE63" s="44">
        <f t="shared" si="234"/>
        <v>0</v>
      </c>
      <c r="JZF63" s="44">
        <f t="shared" si="234"/>
        <v>0</v>
      </c>
      <c r="JZG63" s="44">
        <f t="shared" si="234"/>
        <v>0</v>
      </c>
      <c r="JZH63" s="44">
        <f t="shared" si="234"/>
        <v>0</v>
      </c>
      <c r="JZI63" s="44">
        <f t="shared" si="234"/>
        <v>0</v>
      </c>
      <c r="JZJ63" s="44">
        <f t="shared" ref="JZJ63:KBU63" si="235">SUM(JZJ56:JZJ57)</f>
        <v>0</v>
      </c>
      <c r="JZK63" s="44">
        <f t="shared" si="235"/>
        <v>0</v>
      </c>
      <c r="JZL63" s="44">
        <f t="shared" si="235"/>
        <v>0</v>
      </c>
      <c r="JZM63" s="44">
        <f t="shared" si="235"/>
        <v>0</v>
      </c>
      <c r="JZN63" s="44">
        <f t="shared" si="235"/>
        <v>0</v>
      </c>
      <c r="JZO63" s="44">
        <f t="shared" si="235"/>
        <v>0</v>
      </c>
      <c r="JZP63" s="44">
        <f t="shared" si="235"/>
        <v>0</v>
      </c>
      <c r="JZQ63" s="44">
        <f t="shared" si="235"/>
        <v>0</v>
      </c>
      <c r="JZR63" s="44">
        <f t="shared" si="235"/>
        <v>0</v>
      </c>
      <c r="JZS63" s="44">
        <f t="shared" si="235"/>
        <v>0</v>
      </c>
      <c r="JZT63" s="44">
        <f t="shared" si="235"/>
        <v>0</v>
      </c>
      <c r="JZU63" s="44">
        <f t="shared" si="235"/>
        <v>0</v>
      </c>
      <c r="JZV63" s="44">
        <f t="shared" si="235"/>
        <v>0</v>
      </c>
      <c r="JZW63" s="44">
        <f t="shared" si="235"/>
        <v>0</v>
      </c>
      <c r="JZX63" s="44">
        <f t="shared" si="235"/>
        <v>0</v>
      </c>
      <c r="JZY63" s="44">
        <f t="shared" si="235"/>
        <v>0</v>
      </c>
      <c r="JZZ63" s="44">
        <f t="shared" si="235"/>
        <v>0</v>
      </c>
      <c r="KAA63" s="44">
        <f t="shared" si="235"/>
        <v>0</v>
      </c>
      <c r="KAB63" s="44">
        <f t="shared" si="235"/>
        <v>0</v>
      </c>
      <c r="KAC63" s="44">
        <f t="shared" si="235"/>
        <v>0</v>
      </c>
      <c r="KAD63" s="44">
        <f t="shared" si="235"/>
        <v>0</v>
      </c>
      <c r="KAE63" s="44">
        <f t="shared" si="235"/>
        <v>0</v>
      </c>
      <c r="KAF63" s="44">
        <f t="shared" si="235"/>
        <v>0</v>
      </c>
      <c r="KAG63" s="44">
        <f t="shared" si="235"/>
        <v>0</v>
      </c>
      <c r="KAH63" s="44">
        <f t="shared" si="235"/>
        <v>0</v>
      </c>
      <c r="KAI63" s="44">
        <f t="shared" si="235"/>
        <v>0</v>
      </c>
      <c r="KAJ63" s="44">
        <f t="shared" si="235"/>
        <v>0</v>
      </c>
      <c r="KAK63" s="44">
        <f t="shared" si="235"/>
        <v>0</v>
      </c>
      <c r="KAL63" s="44">
        <f t="shared" si="235"/>
        <v>0</v>
      </c>
      <c r="KAM63" s="44">
        <f t="shared" si="235"/>
        <v>0</v>
      </c>
      <c r="KAN63" s="44">
        <f t="shared" si="235"/>
        <v>0</v>
      </c>
      <c r="KAO63" s="44">
        <f t="shared" si="235"/>
        <v>0</v>
      </c>
      <c r="KAP63" s="44">
        <f t="shared" si="235"/>
        <v>0</v>
      </c>
      <c r="KAQ63" s="44">
        <f t="shared" si="235"/>
        <v>0</v>
      </c>
      <c r="KAR63" s="44">
        <f t="shared" si="235"/>
        <v>0</v>
      </c>
      <c r="KAS63" s="44">
        <f t="shared" si="235"/>
        <v>0</v>
      </c>
      <c r="KAT63" s="44">
        <f t="shared" si="235"/>
        <v>0</v>
      </c>
      <c r="KAU63" s="44">
        <f t="shared" si="235"/>
        <v>0</v>
      </c>
      <c r="KAV63" s="44">
        <f t="shared" si="235"/>
        <v>0</v>
      </c>
      <c r="KAW63" s="44">
        <f t="shared" si="235"/>
        <v>0</v>
      </c>
      <c r="KAX63" s="44">
        <f t="shared" si="235"/>
        <v>0</v>
      </c>
      <c r="KAY63" s="44">
        <f t="shared" si="235"/>
        <v>0</v>
      </c>
      <c r="KAZ63" s="44">
        <f t="shared" si="235"/>
        <v>0</v>
      </c>
      <c r="KBA63" s="44">
        <f t="shared" si="235"/>
        <v>0</v>
      </c>
      <c r="KBB63" s="44">
        <f t="shared" si="235"/>
        <v>0</v>
      </c>
      <c r="KBC63" s="44">
        <f t="shared" si="235"/>
        <v>0</v>
      </c>
      <c r="KBD63" s="44">
        <f t="shared" si="235"/>
        <v>0</v>
      </c>
      <c r="KBE63" s="44">
        <f t="shared" si="235"/>
        <v>0</v>
      </c>
      <c r="KBF63" s="44">
        <f t="shared" si="235"/>
        <v>0</v>
      </c>
      <c r="KBG63" s="44">
        <f t="shared" si="235"/>
        <v>0</v>
      </c>
      <c r="KBH63" s="44">
        <f t="shared" si="235"/>
        <v>0</v>
      </c>
      <c r="KBI63" s="44">
        <f t="shared" si="235"/>
        <v>0</v>
      </c>
      <c r="KBJ63" s="44">
        <f t="shared" si="235"/>
        <v>0</v>
      </c>
      <c r="KBK63" s="44">
        <f t="shared" si="235"/>
        <v>0</v>
      </c>
      <c r="KBL63" s="44">
        <f t="shared" si="235"/>
        <v>0</v>
      </c>
      <c r="KBM63" s="44">
        <f t="shared" si="235"/>
        <v>0</v>
      </c>
      <c r="KBN63" s="44">
        <f t="shared" si="235"/>
        <v>0</v>
      </c>
      <c r="KBO63" s="44">
        <f t="shared" si="235"/>
        <v>0</v>
      </c>
      <c r="KBP63" s="44">
        <f t="shared" si="235"/>
        <v>0</v>
      </c>
      <c r="KBQ63" s="44">
        <f t="shared" si="235"/>
        <v>0</v>
      </c>
      <c r="KBR63" s="44">
        <f t="shared" si="235"/>
        <v>0</v>
      </c>
      <c r="KBS63" s="44">
        <f t="shared" si="235"/>
        <v>0</v>
      </c>
      <c r="KBT63" s="44">
        <f t="shared" si="235"/>
        <v>0</v>
      </c>
      <c r="KBU63" s="44">
        <f t="shared" si="235"/>
        <v>0</v>
      </c>
      <c r="KBV63" s="44">
        <f t="shared" ref="KBV63:KEG63" si="236">SUM(KBV56:KBV57)</f>
        <v>0</v>
      </c>
      <c r="KBW63" s="44">
        <f t="shared" si="236"/>
        <v>0</v>
      </c>
      <c r="KBX63" s="44">
        <f t="shared" si="236"/>
        <v>0</v>
      </c>
      <c r="KBY63" s="44">
        <f t="shared" si="236"/>
        <v>0</v>
      </c>
      <c r="KBZ63" s="44">
        <f t="shared" si="236"/>
        <v>0</v>
      </c>
      <c r="KCA63" s="44">
        <f t="shared" si="236"/>
        <v>0</v>
      </c>
      <c r="KCB63" s="44">
        <f t="shared" si="236"/>
        <v>0</v>
      </c>
      <c r="KCC63" s="44">
        <f t="shared" si="236"/>
        <v>0</v>
      </c>
      <c r="KCD63" s="44">
        <f t="shared" si="236"/>
        <v>0</v>
      </c>
      <c r="KCE63" s="44">
        <f t="shared" si="236"/>
        <v>0</v>
      </c>
      <c r="KCF63" s="44">
        <f t="shared" si="236"/>
        <v>0</v>
      </c>
      <c r="KCG63" s="44">
        <f t="shared" si="236"/>
        <v>0</v>
      </c>
      <c r="KCH63" s="44">
        <f t="shared" si="236"/>
        <v>0</v>
      </c>
      <c r="KCI63" s="44">
        <f t="shared" si="236"/>
        <v>0</v>
      </c>
      <c r="KCJ63" s="44">
        <f t="shared" si="236"/>
        <v>0</v>
      </c>
      <c r="KCK63" s="44">
        <f t="shared" si="236"/>
        <v>0</v>
      </c>
      <c r="KCL63" s="44">
        <f t="shared" si="236"/>
        <v>0</v>
      </c>
      <c r="KCM63" s="44">
        <f t="shared" si="236"/>
        <v>0</v>
      </c>
      <c r="KCN63" s="44">
        <f t="shared" si="236"/>
        <v>0</v>
      </c>
      <c r="KCO63" s="44">
        <f t="shared" si="236"/>
        <v>0</v>
      </c>
      <c r="KCP63" s="44">
        <f t="shared" si="236"/>
        <v>0</v>
      </c>
      <c r="KCQ63" s="44">
        <f t="shared" si="236"/>
        <v>0</v>
      </c>
      <c r="KCR63" s="44">
        <f t="shared" si="236"/>
        <v>0</v>
      </c>
      <c r="KCS63" s="44">
        <f t="shared" si="236"/>
        <v>0</v>
      </c>
      <c r="KCT63" s="44">
        <f t="shared" si="236"/>
        <v>0</v>
      </c>
      <c r="KCU63" s="44">
        <f t="shared" si="236"/>
        <v>0</v>
      </c>
      <c r="KCV63" s="44">
        <f t="shared" si="236"/>
        <v>0</v>
      </c>
      <c r="KCW63" s="44">
        <f t="shared" si="236"/>
        <v>0</v>
      </c>
      <c r="KCX63" s="44">
        <f t="shared" si="236"/>
        <v>0</v>
      </c>
      <c r="KCY63" s="44">
        <f t="shared" si="236"/>
        <v>0</v>
      </c>
      <c r="KCZ63" s="44">
        <f t="shared" si="236"/>
        <v>0</v>
      </c>
      <c r="KDA63" s="44">
        <f t="shared" si="236"/>
        <v>0</v>
      </c>
      <c r="KDB63" s="44">
        <f t="shared" si="236"/>
        <v>0</v>
      </c>
      <c r="KDC63" s="44">
        <f t="shared" si="236"/>
        <v>0</v>
      </c>
      <c r="KDD63" s="44">
        <f t="shared" si="236"/>
        <v>0</v>
      </c>
      <c r="KDE63" s="44">
        <f t="shared" si="236"/>
        <v>0</v>
      </c>
      <c r="KDF63" s="44">
        <f t="shared" si="236"/>
        <v>0</v>
      </c>
      <c r="KDG63" s="44">
        <f t="shared" si="236"/>
        <v>0</v>
      </c>
      <c r="KDH63" s="44">
        <f t="shared" si="236"/>
        <v>0</v>
      </c>
      <c r="KDI63" s="44">
        <f t="shared" si="236"/>
        <v>0</v>
      </c>
      <c r="KDJ63" s="44">
        <f t="shared" si="236"/>
        <v>0</v>
      </c>
      <c r="KDK63" s="44">
        <f t="shared" si="236"/>
        <v>0</v>
      </c>
      <c r="KDL63" s="44">
        <f t="shared" si="236"/>
        <v>0</v>
      </c>
      <c r="KDM63" s="44">
        <f t="shared" si="236"/>
        <v>0</v>
      </c>
      <c r="KDN63" s="44">
        <f t="shared" si="236"/>
        <v>0</v>
      </c>
      <c r="KDO63" s="44">
        <f t="shared" si="236"/>
        <v>0</v>
      </c>
      <c r="KDP63" s="44">
        <f t="shared" si="236"/>
        <v>0</v>
      </c>
      <c r="KDQ63" s="44">
        <f t="shared" si="236"/>
        <v>0</v>
      </c>
      <c r="KDR63" s="44">
        <f t="shared" si="236"/>
        <v>0</v>
      </c>
      <c r="KDS63" s="44">
        <f t="shared" si="236"/>
        <v>0</v>
      </c>
      <c r="KDT63" s="44">
        <f t="shared" si="236"/>
        <v>0</v>
      </c>
      <c r="KDU63" s="44">
        <f t="shared" si="236"/>
        <v>0</v>
      </c>
      <c r="KDV63" s="44">
        <f t="shared" si="236"/>
        <v>0</v>
      </c>
      <c r="KDW63" s="44">
        <f t="shared" si="236"/>
        <v>0</v>
      </c>
      <c r="KDX63" s="44">
        <f t="shared" si="236"/>
        <v>0</v>
      </c>
      <c r="KDY63" s="44">
        <f t="shared" si="236"/>
        <v>0</v>
      </c>
      <c r="KDZ63" s="44">
        <f t="shared" si="236"/>
        <v>0</v>
      </c>
      <c r="KEA63" s="44">
        <f t="shared" si="236"/>
        <v>0</v>
      </c>
      <c r="KEB63" s="44">
        <f t="shared" si="236"/>
        <v>0</v>
      </c>
      <c r="KEC63" s="44">
        <f t="shared" si="236"/>
        <v>0</v>
      </c>
      <c r="KED63" s="44">
        <f t="shared" si="236"/>
        <v>0</v>
      </c>
      <c r="KEE63" s="44">
        <f t="shared" si="236"/>
        <v>0</v>
      </c>
      <c r="KEF63" s="44">
        <f t="shared" si="236"/>
        <v>0</v>
      </c>
      <c r="KEG63" s="44">
        <f t="shared" si="236"/>
        <v>0</v>
      </c>
      <c r="KEH63" s="44">
        <f t="shared" ref="KEH63:KGS63" si="237">SUM(KEH56:KEH57)</f>
        <v>0</v>
      </c>
      <c r="KEI63" s="44">
        <f t="shared" si="237"/>
        <v>0</v>
      </c>
      <c r="KEJ63" s="44">
        <f t="shared" si="237"/>
        <v>0</v>
      </c>
      <c r="KEK63" s="44">
        <f t="shared" si="237"/>
        <v>0</v>
      </c>
      <c r="KEL63" s="44">
        <f t="shared" si="237"/>
        <v>0</v>
      </c>
      <c r="KEM63" s="44">
        <f t="shared" si="237"/>
        <v>0</v>
      </c>
      <c r="KEN63" s="44">
        <f t="shared" si="237"/>
        <v>0</v>
      </c>
      <c r="KEO63" s="44">
        <f t="shared" si="237"/>
        <v>0</v>
      </c>
      <c r="KEP63" s="44">
        <f t="shared" si="237"/>
        <v>0</v>
      </c>
      <c r="KEQ63" s="44">
        <f t="shared" si="237"/>
        <v>0</v>
      </c>
      <c r="KER63" s="44">
        <f t="shared" si="237"/>
        <v>0</v>
      </c>
      <c r="KES63" s="44">
        <f t="shared" si="237"/>
        <v>0</v>
      </c>
      <c r="KET63" s="44">
        <f t="shared" si="237"/>
        <v>0</v>
      </c>
      <c r="KEU63" s="44">
        <f t="shared" si="237"/>
        <v>0</v>
      </c>
      <c r="KEV63" s="44">
        <f t="shared" si="237"/>
        <v>0</v>
      </c>
      <c r="KEW63" s="44">
        <f t="shared" si="237"/>
        <v>0</v>
      </c>
      <c r="KEX63" s="44">
        <f t="shared" si="237"/>
        <v>0</v>
      </c>
      <c r="KEY63" s="44">
        <f t="shared" si="237"/>
        <v>0</v>
      </c>
      <c r="KEZ63" s="44">
        <f t="shared" si="237"/>
        <v>0</v>
      </c>
      <c r="KFA63" s="44">
        <f t="shared" si="237"/>
        <v>0</v>
      </c>
      <c r="KFB63" s="44">
        <f t="shared" si="237"/>
        <v>0</v>
      </c>
      <c r="KFC63" s="44">
        <f t="shared" si="237"/>
        <v>0</v>
      </c>
      <c r="KFD63" s="44">
        <f t="shared" si="237"/>
        <v>0</v>
      </c>
      <c r="KFE63" s="44">
        <f t="shared" si="237"/>
        <v>0</v>
      </c>
      <c r="KFF63" s="44">
        <f t="shared" si="237"/>
        <v>0</v>
      </c>
      <c r="KFG63" s="44">
        <f t="shared" si="237"/>
        <v>0</v>
      </c>
      <c r="KFH63" s="44">
        <f t="shared" si="237"/>
        <v>0</v>
      </c>
      <c r="KFI63" s="44">
        <f t="shared" si="237"/>
        <v>0</v>
      </c>
      <c r="KFJ63" s="44">
        <f t="shared" si="237"/>
        <v>0</v>
      </c>
      <c r="KFK63" s="44">
        <f t="shared" si="237"/>
        <v>0</v>
      </c>
      <c r="KFL63" s="44">
        <f t="shared" si="237"/>
        <v>0</v>
      </c>
      <c r="KFM63" s="44">
        <f t="shared" si="237"/>
        <v>0</v>
      </c>
      <c r="KFN63" s="44">
        <f t="shared" si="237"/>
        <v>0</v>
      </c>
      <c r="KFO63" s="44">
        <f t="shared" si="237"/>
        <v>0</v>
      </c>
      <c r="KFP63" s="44">
        <f t="shared" si="237"/>
        <v>0</v>
      </c>
      <c r="KFQ63" s="44">
        <f t="shared" si="237"/>
        <v>0</v>
      </c>
      <c r="KFR63" s="44">
        <f t="shared" si="237"/>
        <v>0</v>
      </c>
      <c r="KFS63" s="44">
        <f t="shared" si="237"/>
        <v>0</v>
      </c>
      <c r="KFT63" s="44">
        <f t="shared" si="237"/>
        <v>0</v>
      </c>
      <c r="KFU63" s="44">
        <f t="shared" si="237"/>
        <v>0</v>
      </c>
      <c r="KFV63" s="44">
        <f t="shared" si="237"/>
        <v>0</v>
      </c>
      <c r="KFW63" s="44">
        <f t="shared" si="237"/>
        <v>0</v>
      </c>
      <c r="KFX63" s="44">
        <f t="shared" si="237"/>
        <v>0</v>
      </c>
      <c r="KFY63" s="44">
        <f t="shared" si="237"/>
        <v>0</v>
      </c>
      <c r="KFZ63" s="44">
        <f t="shared" si="237"/>
        <v>0</v>
      </c>
      <c r="KGA63" s="44">
        <f t="shared" si="237"/>
        <v>0</v>
      </c>
      <c r="KGB63" s="44">
        <f t="shared" si="237"/>
        <v>0</v>
      </c>
      <c r="KGC63" s="44">
        <f t="shared" si="237"/>
        <v>0</v>
      </c>
      <c r="KGD63" s="44">
        <f t="shared" si="237"/>
        <v>0</v>
      </c>
      <c r="KGE63" s="44">
        <f t="shared" si="237"/>
        <v>0</v>
      </c>
      <c r="KGF63" s="44">
        <f t="shared" si="237"/>
        <v>0</v>
      </c>
      <c r="KGG63" s="44">
        <f t="shared" si="237"/>
        <v>0</v>
      </c>
      <c r="KGH63" s="44">
        <f t="shared" si="237"/>
        <v>0</v>
      </c>
      <c r="KGI63" s="44">
        <f t="shared" si="237"/>
        <v>0</v>
      </c>
      <c r="KGJ63" s="44">
        <f t="shared" si="237"/>
        <v>0</v>
      </c>
      <c r="KGK63" s="44">
        <f t="shared" si="237"/>
        <v>0</v>
      </c>
      <c r="KGL63" s="44">
        <f t="shared" si="237"/>
        <v>0</v>
      </c>
      <c r="KGM63" s="44">
        <f t="shared" si="237"/>
        <v>0</v>
      </c>
      <c r="KGN63" s="44">
        <f t="shared" si="237"/>
        <v>0</v>
      </c>
      <c r="KGO63" s="44">
        <f t="shared" si="237"/>
        <v>0</v>
      </c>
      <c r="KGP63" s="44">
        <f t="shared" si="237"/>
        <v>0</v>
      </c>
      <c r="KGQ63" s="44">
        <f t="shared" si="237"/>
        <v>0</v>
      </c>
      <c r="KGR63" s="44">
        <f t="shared" si="237"/>
        <v>0</v>
      </c>
      <c r="KGS63" s="44">
        <f t="shared" si="237"/>
        <v>0</v>
      </c>
      <c r="KGT63" s="44">
        <f t="shared" ref="KGT63:KJE63" si="238">SUM(KGT56:KGT57)</f>
        <v>0</v>
      </c>
      <c r="KGU63" s="44">
        <f t="shared" si="238"/>
        <v>0</v>
      </c>
      <c r="KGV63" s="44">
        <f t="shared" si="238"/>
        <v>0</v>
      </c>
      <c r="KGW63" s="44">
        <f t="shared" si="238"/>
        <v>0</v>
      </c>
      <c r="KGX63" s="44">
        <f t="shared" si="238"/>
        <v>0</v>
      </c>
      <c r="KGY63" s="44">
        <f t="shared" si="238"/>
        <v>0</v>
      </c>
      <c r="KGZ63" s="44">
        <f t="shared" si="238"/>
        <v>0</v>
      </c>
      <c r="KHA63" s="44">
        <f t="shared" si="238"/>
        <v>0</v>
      </c>
      <c r="KHB63" s="44">
        <f t="shared" si="238"/>
        <v>0</v>
      </c>
      <c r="KHC63" s="44">
        <f t="shared" si="238"/>
        <v>0</v>
      </c>
      <c r="KHD63" s="44">
        <f t="shared" si="238"/>
        <v>0</v>
      </c>
      <c r="KHE63" s="44">
        <f t="shared" si="238"/>
        <v>0</v>
      </c>
      <c r="KHF63" s="44">
        <f t="shared" si="238"/>
        <v>0</v>
      </c>
      <c r="KHG63" s="44">
        <f t="shared" si="238"/>
        <v>0</v>
      </c>
      <c r="KHH63" s="44">
        <f t="shared" si="238"/>
        <v>0</v>
      </c>
      <c r="KHI63" s="44">
        <f t="shared" si="238"/>
        <v>0</v>
      </c>
      <c r="KHJ63" s="44">
        <f t="shared" si="238"/>
        <v>0</v>
      </c>
      <c r="KHK63" s="44">
        <f t="shared" si="238"/>
        <v>0</v>
      </c>
      <c r="KHL63" s="44">
        <f t="shared" si="238"/>
        <v>0</v>
      </c>
      <c r="KHM63" s="44">
        <f t="shared" si="238"/>
        <v>0</v>
      </c>
      <c r="KHN63" s="44">
        <f t="shared" si="238"/>
        <v>0</v>
      </c>
      <c r="KHO63" s="44">
        <f t="shared" si="238"/>
        <v>0</v>
      </c>
      <c r="KHP63" s="44">
        <f t="shared" si="238"/>
        <v>0</v>
      </c>
      <c r="KHQ63" s="44">
        <f t="shared" si="238"/>
        <v>0</v>
      </c>
      <c r="KHR63" s="44">
        <f t="shared" si="238"/>
        <v>0</v>
      </c>
      <c r="KHS63" s="44">
        <f t="shared" si="238"/>
        <v>0</v>
      </c>
      <c r="KHT63" s="44">
        <f t="shared" si="238"/>
        <v>0</v>
      </c>
      <c r="KHU63" s="44">
        <f t="shared" si="238"/>
        <v>0</v>
      </c>
      <c r="KHV63" s="44">
        <f t="shared" si="238"/>
        <v>0</v>
      </c>
      <c r="KHW63" s="44">
        <f t="shared" si="238"/>
        <v>0</v>
      </c>
      <c r="KHX63" s="44">
        <f t="shared" si="238"/>
        <v>0</v>
      </c>
      <c r="KHY63" s="44">
        <f t="shared" si="238"/>
        <v>0</v>
      </c>
      <c r="KHZ63" s="44">
        <f t="shared" si="238"/>
        <v>0</v>
      </c>
      <c r="KIA63" s="44">
        <f t="shared" si="238"/>
        <v>0</v>
      </c>
      <c r="KIB63" s="44">
        <f t="shared" si="238"/>
        <v>0</v>
      </c>
      <c r="KIC63" s="44">
        <f t="shared" si="238"/>
        <v>0</v>
      </c>
      <c r="KID63" s="44">
        <f t="shared" si="238"/>
        <v>0</v>
      </c>
      <c r="KIE63" s="44">
        <f t="shared" si="238"/>
        <v>0</v>
      </c>
      <c r="KIF63" s="44">
        <f t="shared" si="238"/>
        <v>0</v>
      </c>
      <c r="KIG63" s="44">
        <f t="shared" si="238"/>
        <v>0</v>
      </c>
      <c r="KIH63" s="44">
        <f t="shared" si="238"/>
        <v>0</v>
      </c>
      <c r="KII63" s="44">
        <f t="shared" si="238"/>
        <v>0</v>
      </c>
      <c r="KIJ63" s="44">
        <f t="shared" si="238"/>
        <v>0</v>
      </c>
      <c r="KIK63" s="44">
        <f t="shared" si="238"/>
        <v>0</v>
      </c>
      <c r="KIL63" s="44">
        <f t="shared" si="238"/>
        <v>0</v>
      </c>
      <c r="KIM63" s="44">
        <f t="shared" si="238"/>
        <v>0</v>
      </c>
      <c r="KIN63" s="44">
        <f t="shared" si="238"/>
        <v>0</v>
      </c>
      <c r="KIO63" s="44">
        <f t="shared" si="238"/>
        <v>0</v>
      </c>
      <c r="KIP63" s="44">
        <f t="shared" si="238"/>
        <v>0</v>
      </c>
      <c r="KIQ63" s="44">
        <f t="shared" si="238"/>
        <v>0</v>
      </c>
      <c r="KIR63" s="44">
        <f t="shared" si="238"/>
        <v>0</v>
      </c>
      <c r="KIS63" s="44">
        <f t="shared" si="238"/>
        <v>0</v>
      </c>
      <c r="KIT63" s="44">
        <f t="shared" si="238"/>
        <v>0</v>
      </c>
      <c r="KIU63" s="44">
        <f t="shared" si="238"/>
        <v>0</v>
      </c>
      <c r="KIV63" s="44">
        <f t="shared" si="238"/>
        <v>0</v>
      </c>
      <c r="KIW63" s="44">
        <f t="shared" si="238"/>
        <v>0</v>
      </c>
      <c r="KIX63" s="44">
        <f t="shared" si="238"/>
        <v>0</v>
      </c>
      <c r="KIY63" s="44">
        <f t="shared" si="238"/>
        <v>0</v>
      </c>
      <c r="KIZ63" s="44">
        <f t="shared" si="238"/>
        <v>0</v>
      </c>
      <c r="KJA63" s="44">
        <f t="shared" si="238"/>
        <v>0</v>
      </c>
      <c r="KJB63" s="44">
        <f t="shared" si="238"/>
        <v>0</v>
      </c>
      <c r="KJC63" s="44">
        <f t="shared" si="238"/>
        <v>0</v>
      </c>
      <c r="KJD63" s="44">
        <f t="shared" si="238"/>
        <v>0</v>
      </c>
      <c r="KJE63" s="44">
        <f t="shared" si="238"/>
        <v>0</v>
      </c>
      <c r="KJF63" s="44">
        <f t="shared" ref="KJF63:KLQ63" si="239">SUM(KJF56:KJF57)</f>
        <v>0</v>
      </c>
      <c r="KJG63" s="44">
        <f t="shared" si="239"/>
        <v>0</v>
      </c>
      <c r="KJH63" s="44">
        <f t="shared" si="239"/>
        <v>0</v>
      </c>
      <c r="KJI63" s="44">
        <f t="shared" si="239"/>
        <v>0</v>
      </c>
      <c r="KJJ63" s="44">
        <f t="shared" si="239"/>
        <v>0</v>
      </c>
      <c r="KJK63" s="44">
        <f t="shared" si="239"/>
        <v>0</v>
      </c>
      <c r="KJL63" s="44">
        <f t="shared" si="239"/>
        <v>0</v>
      </c>
      <c r="KJM63" s="44">
        <f t="shared" si="239"/>
        <v>0</v>
      </c>
      <c r="KJN63" s="44">
        <f t="shared" si="239"/>
        <v>0</v>
      </c>
      <c r="KJO63" s="44">
        <f t="shared" si="239"/>
        <v>0</v>
      </c>
      <c r="KJP63" s="44">
        <f t="shared" si="239"/>
        <v>0</v>
      </c>
      <c r="KJQ63" s="44">
        <f t="shared" si="239"/>
        <v>0</v>
      </c>
      <c r="KJR63" s="44">
        <f t="shared" si="239"/>
        <v>0</v>
      </c>
      <c r="KJS63" s="44">
        <f t="shared" si="239"/>
        <v>0</v>
      </c>
      <c r="KJT63" s="44">
        <f t="shared" si="239"/>
        <v>0</v>
      </c>
      <c r="KJU63" s="44">
        <f t="shared" si="239"/>
        <v>0</v>
      </c>
      <c r="KJV63" s="44">
        <f t="shared" si="239"/>
        <v>0</v>
      </c>
      <c r="KJW63" s="44">
        <f t="shared" si="239"/>
        <v>0</v>
      </c>
      <c r="KJX63" s="44">
        <f t="shared" si="239"/>
        <v>0</v>
      </c>
      <c r="KJY63" s="44">
        <f t="shared" si="239"/>
        <v>0</v>
      </c>
      <c r="KJZ63" s="44">
        <f t="shared" si="239"/>
        <v>0</v>
      </c>
      <c r="KKA63" s="44">
        <f t="shared" si="239"/>
        <v>0</v>
      </c>
      <c r="KKB63" s="44">
        <f t="shared" si="239"/>
        <v>0</v>
      </c>
      <c r="KKC63" s="44">
        <f t="shared" si="239"/>
        <v>0</v>
      </c>
      <c r="KKD63" s="44">
        <f t="shared" si="239"/>
        <v>0</v>
      </c>
      <c r="KKE63" s="44">
        <f t="shared" si="239"/>
        <v>0</v>
      </c>
      <c r="KKF63" s="44">
        <f t="shared" si="239"/>
        <v>0</v>
      </c>
      <c r="KKG63" s="44">
        <f t="shared" si="239"/>
        <v>0</v>
      </c>
      <c r="KKH63" s="44">
        <f t="shared" si="239"/>
        <v>0</v>
      </c>
      <c r="KKI63" s="44">
        <f t="shared" si="239"/>
        <v>0</v>
      </c>
      <c r="KKJ63" s="44">
        <f t="shared" si="239"/>
        <v>0</v>
      </c>
      <c r="KKK63" s="44">
        <f t="shared" si="239"/>
        <v>0</v>
      </c>
      <c r="KKL63" s="44">
        <f t="shared" si="239"/>
        <v>0</v>
      </c>
      <c r="KKM63" s="44">
        <f t="shared" si="239"/>
        <v>0</v>
      </c>
      <c r="KKN63" s="44">
        <f t="shared" si="239"/>
        <v>0</v>
      </c>
      <c r="KKO63" s="44">
        <f t="shared" si="239"/>
        <v>0</v>
      </c>
      <c r="KKP63" s="44">
        <f t="shared" si="239"/>
        <v>0</v>
      </c>
      <c r="KKQ63" s="44">
        <f t="shared" si="239"/>
        <v>0</v>
      </c>
      <c r="KKR63" s="44">
        <f t="shared" si="239"/>
        <v>0</v>
      </c>
      <c r="KKS63" s="44">
        <f t="shared" si="239"/>
        <v>0</v>
      </c>
      <c r="KKT63" s="44">
        <f t="shared" si="239"/>
        <v>0</v>
      </c>
      <c r="KKU63" s="44">
        <f t="shared" si="239"/>
        <v>0</v>
      </c>
      <c r="KKV63" s="44">
        <f t="shared" si="239"/>
        <v>0</v>
      </c>
      <c r="KKW63" s="44">
        <f t="shared" si="239"/>
        <v>0</v>
      </c>
      <c r="KKX63" s="44">
        <f t="shared" si="239"/>
        <v>0</v>
      </c>
      <c r="KKY63" s="44">
        <f t="shared" si="239"/>
        <v>0</v>
      </c>
      <c r="KKZ63" s="44">
        <f t="shared" si="239"/>
        <v>0</v>
      </c>
      <c r="KLA63" s="44">
        <f t="shared" si="239"/>
        <v>0</v>
      </c>
      <c r="KLB63" s="44">
        <f t="shared" si="239"/>
        <v>0</v>
      </c>
      <c r="KLC63" s="44">
        <f t="shared" si="239"/>
        <v>0</v>
      </c>
      <c r="KLD63" s="44">
        <f t="shared" si="239"/>
        <v>0</v>
      </c>
      <c r="KLE63" s="44">
        <f t="shared" si="239"/>
        <v>0</v>
      </c>
      <c r="KLF63" s="44">
        <f t="shared" si="239"/>
        <v>0</v>
      </c>
      <c r="KLG63" s="44">
        <f t="shared" si="239"/>
        <v>0</v>
      </c>
      <c r="KLH63" s="44">
        <f t="shared" si="239"/>
        <v>0</v>
      </c>
      <c r="KLI63" s="44">
        <f t="shared" si="239"/>
        <v>0</v>
      </c>
      <c r="KLJ63" s="44">
        <f t="shared" si="239"/>
        <v>0</v>
      </c>
      <c r="KLK63" s="44">
        <f t="shared" si="239"/>
        <v>0</v>
      </c>
      <c r="KLL63" s="44">
        <f t="shared" si="239"/>
        <v>0</v>
      </c>
      <c r="KLM63" s="44">
        <f t="shared" si="239"/>
        <v>0</v>
      </c>
      <c r="KLN63" s="44">
        <f t="shared" si="239"/>
        <v>0</v>
      </c>
      <c r="KLO63" s="44">
        <f t="shared" si="239"/>
        <v>0</v>
      </c>
      <c r="KLP63" s="44">
        <f t="shared" si="239"/>
        <v>0</v>
      </c>
      <c r="KLQ63" s="44">
        <f t="shared" si="239"/>
        <v>0</v>
      </c>
      <c r="KLR63" s="44">
        <f t="shared" ref="KLR63:KOC63" si="240">SUM(KLR56:KLR57)</f>
        <v>0</v>
      </c>
      <c r="KLS63" s="44">
        <f t="shared" si="240"/>
        <v>0</v>
      </c>
      <c r="KLT63" s="44">
        <f t="shared" si="240"/>
        <v>0</v>
      </c>
      <c r="KLU63" s="44">
        <f t="shared" si="240"/>
        <v>0</v>
      </c>
      <c r="KLV63" s="44">
        <f t="shared" si="240"/>
        <v>0</v>
      </c>
      <c r="KLW63" s="44">
        <f t="shared" si="240"/>
        <v>0</v>
      </c>
      <c r="KLX63" s="44">
        <f t="shared" si="240"/>
        <v>0</v>
      </c>
      <c r="KLY63" s="44">
        <f t="shared" si="240"/>
        <v>0</v>
      </c>
      <c r="KLZ63" s="44">
        <f t="shared" si="240"/>
        <v>0</v>
      </c>
      <c r="KMA63" s="44">
        <f t="shared" si="240"/>
        <v>0</v>
      </c>
      <c r="KMB63" s="44">
        <f t="shared" si="240"/>
        <v>0</v>
      </c>
      <c r="KMC63" s="44">
        <f t="shared" si="240"/>
        <v>0</v>
      </c>
      <c r="KMD63" s="44">
        <f t="shared" si="240"/>
        <v>0</v>
      </c>
      <c r="KME63" s="44">
        <f t="shared" si="240"/>
        <v>0</v>
      </c>
      <c r="KMF63" s="44">
        <f t="shared" si="240"/>
        <v>0</v>
      </c>
      <c r="KMG63" s="44">
        <f t="shared" si="240"/>
        <v>0</v>
      </c>
      <c r="KMH63" s="44">
        <f t="shared" si="240"/>
        <v>0</v>
      </c>
      <c r="KMI63" s="44">
        <f t="shared" si="240"/>
        <v>0</v>
      </c>
      <c r="KMJ63" s="44">
        <f t="shared" si="240"/>
        <v>0</v>
      </c>
      <c r="KMK63" s="44">
        <f t="shared" si="240"/>
        <v>0</v>
      </c>
      <c r="KML63" s="44">
        <f t="shared" si="240"/>
        <v>0</v>
      </c>
      <c r="KMM63" s="44">
        <f t="shared" si="240"/>
        <v>0</v>
      </c>
      <c r="KMN63" s="44">
        <f t="shared" si="240"/>
        <v>0</v>
      </c>
      <c r="KMO63" s="44">
        <f t="shared" si="240"/>
        <v>0</v>
      </c>
      <c r="KMP63" s="44">
        <f t="shared" si="240"/>
        <v>0</v>
      </c>
      <c r="KMQ63" s="44">
        <f t="shared" si="240"/>
        <v>0</v>
      </c>
      <c r="KMR63" s="44">
        <f t="shared" si="240"/>
        <v>0</v>
      </c>
      <c r="KMS63" s="44">
        <f t="shared" si="240"/>
        <v>0</v>
      </c>
      <c r="KMT63" s="44">
        <f t="shared" si="240"/>
        <v>0</v>
      </c>
      <c r="KMU63" s="44">
        <f t="shared" si="240"/>
        <v>0</v>
      </c>
      <c r="KMV63" s="44">
        <f t="shared" si="240"/>
        <v>0</v>
      </c>
      <c r="KMW63" s="44">
        <f t="shared" si="240"/>
        <v>0</v>
      </c>
      <c r="KMX63" s="44">
        <f t="shared" si="240"/>
        <v>0</v>
      </c>
      <c r="KMY63" s="44">
        <f t="shared" si="240"/>
        <v>0</v>
      </c>
      <c r="KMZ63" s="44">
        <f t="shared" si="240"/>
        <v>0</v>
      </c>
      <c r="KNA63" s="44">
        <f t="shared" si="240"/>
        <v>0</v>
      </c>
      <c r="KNB63" s="44">
        <f t="shared" si="240"/>
        <v>0</v>
      </c>
      <c r="KNC63" s="44">
        <f t="shared" si="240"/>
        <v>0</v>
      </c>
      <c r="KND63" s="44">
        <f t="shared" si="240"/>
        <v>0</v>
      </c>
      <c r="KNE63" s="44">
        <f t="shared" si="240"/>
        <v>0</v>
      </c>
      <c r="KNF63" s="44">
        <f t="shared" si="240"/>
        <v>0</v>
      </c>
      <c r="KNG63" s="44">
        <f t="shared" si="240"/>
        <v>0</v>
      </c>
      <c r="KNH63" s="44">
        <f t="shared" si="240"/>
        <v>0</v>
      </c>
      <c r="KNI63" s="44">
        <f t="shared" si="240"/>
        <v>0</v>
      </c>
      <c r="KNJ63" s="44">
        <f t="shared" si="240"/>
        <v>0</v>
      </c>
      <c r="KNK63" s="44">
        <f t="shared" si="240"/>
        <v>0</v>
      </c>
      <c r="KNL63" s="44">
        <f t="shared" si="240"/>
        <v>0</v>
      </c>
      <c r="KNM63" s="44">
        <f t="shared" si="240"/>
        <v>0</v>
      </c>
      <c r="KNN63" s="44">
        <f t="shared" si="240"/>
        <v>0</v>
      </c>
      <c r="KNO63" s="44">
        <f t="shared" si="240"/>
        <v>0</v>
      </c>
      <c r="KNP63" s="44">
        <f t="shared" si="240"/>
        <v>0</v>
      </c>
      <c r="KNQ63" s="44">
        <f t="shared" si="240"/>
        <v>0</v>
      </c>
      <c r="KNR63" s="44">
        <f t="shared" si="240"/>
        <v>0</v>
      </c>
      <c r="KNS63" s="44">
        <f t="shared" si="240"/>
        <v>0</v>
      </c>
      <c r="KNT63" s="44">
        <f t="shared" si="240"/>
        <v>0</v>
      </c>
      <c r="KNU63" s="44">
        <f t="shared" si="240"/>
        <v>0</v>
      </c>
      <c r="KNV63" s="44">
        <f t="shared" si="240"/>
        <v>0</v>
      </c>
      <c r="KNW63" s="44">
        <f t="shared" si="240"/>
        <v>0</v>
      </c>
      <c r="KNX63" s="44">
        <f t="shared" si="240"/>
        <v>0</v>
      </c>
      <c r="KNY63" s="44">
        <f t="shared" si="240"/>
        <v>0</v>
      </c>
      <c r="KNZ63" s="44">
        <f t="shared" si="240"/>
        <v>0</v>
      </c>
      <c r="KOA63" s="44">
        <f t="shared" si="240"/>
        <v>0</v>
      </c>
      <c r="KOB63" s="44">
        <f t="shared" si="240"/>
        <v>0</v>
      </c>
      <c r="KOC63" s="44">
        <f t="shared" si="240"/>
        <v>0</v>
      </c>
      <c r="KOD63" s="44">
        <f t="shared" ref="KOD63:KQO63" si="241">SUM(KOD56:KOD57)</f>
        <v>0</v>
      </c>
      <c r="KOE63" s="44">
        <f t="shared" si="241"/>
        <v>0</v>
      </c>
      <c r="KOF63" s="44">
        <f t="shared" si="241"/>
        <v>0</v>
      </c>
      <c r="KOG63" s="44">
        <f t="shared" si="241"/>
        <v>0</v>
      </c>
      <c r="KOH63" s="44">
        <f t="shared" si="241"/>
        <v>0</v>
      </c>
      <c r="KOI63" s="44">
        <f t="shared" si="241"/>
        <v>0</v>
      </c>
      <c r="KOJ63" s="44">
        <f t="shared" si="241"/>
        <v>0</v>
      </c>
      <c r="KOK63" s="44">
        <f t="shared" si="241"/>
        <v>0</v>
      </c>
      <c r="KOL63" s="44">
        <f t="shared" si="241"/>
        <v>0</v>
      </c>
      <c r="KOM63" s="44">
        <f t="shared" si="241"/>
        <v>0</v>
      </c>
      <c r="KON63" s="44">
        <f t="shared" si="241"/>
        <v>0</v>
      </c>
      <c r="KOO63" s="44">
        <f t="shared" si="241"/>
        <v>0</v>
      </c>
      <c r="KOP63" s="44">
        <f t="shared" si="241"/>
        <v>0</v>
      </c>
      <c r="KOQ63" s="44">
        <f t="shared" si="241"/>
        <v>0</v>
      </c>
      <c r="KOR63" s="44">
        <f t="shared" si="241"/>
        <v>0</v>
      </c>
      <c r="KOS63" s="44">
        <f t="shared" si="241"/>
        <v>0</v>
      </c>
      <c r="KOT63" s="44">
        <f t="shared" si="241"/>
        <v>0</v>
      </c>
      <c r="KOU63" s="44">
        <f t="shared" si="241"/>
        <v>0</v>
      </c>
      <c r="KOV63" s="44">
        <f t="shared" si="241"/>
        <v>0</v>
      </c>
      <c r="KOW63" s="44">
        <f t="shared" si="241"/>
        <v>0</v>
      </c>
      <c r="KOX63" s="44">
        <f t="shared" si="241"/>
        <v>0</v>
      </c>
      <c r="KOY63" s="44">
        <f t="shared" si="241"/>
        <v>0</v>
      </c>
      <c r="KOZ63" s="44">
        <f t="shared" si="241"/>
        <v>0</v>
      </c>
      <c r="KPA63" s="44">
        <f t="shared" si="241"/>
        <v>0</v>
      </c>
      <c r="KPB63" s="44">
        <f t="shared" si="241"/>
        <v>0</v>
      </c>
      <c r="KPC63" s="44">
        <f t="shared" si="241"/>
        <v>0</v>
      </c>
      <c r="KPD63" s="44">
        <f t="shared" si="241"/>
        <v>0</v>
      </c>
      <c r="KPE63" s="44">
        <f t="shared" si="241"/>
        <v>0</v>
      </c>
      <c r="KPF63" s="44">
        <f t="shared" si="241"/>
        <v>0</v>
      </c>
      <c r="KPG63" s="44">
        <f t="shared" si="241"/>
        <v>0</v>
      </c>
      <c r="KPH63" s="44">
        <f t="shared" si="241"/>
        <v>0</v>
      </c>
      <c r="KPI63" s="44">
        <f t="shared" si="241"/>
        <v>0</v>
      </c>
      <c r="KPJ63" s="44">
        <f t="shared" si="241"/>
        <v>0</v>
      </c>
      <c r="KPK63" s="44">
        <f t="shared" si="241"/>
        <v>0</v>
      </c>
      <c r="KPL63" s="44">
        <f t="shared" si="241"/>
        <v>0</v>
      </c>
      <c r="KPM63" s="44">
        <f t="shared" si="241"/>
        <v>0</v>
      </c>
      <c r="KPN63" s="44">
        <f t="shared" si="241"/>
        <v>0</v>
      </c>
      <c r="KPO63" s="44">
        <f t="shared" si="241"/>
        <v>0</v>
      </c>
      <c r="KPP63" s="44">
        <f t="shared" si="241"/>
        <v>0</v>
      </c>
      <c r="KPQ63" s="44">
        <f t="shared" si="241"/>
        <v>0</v>
      </c>
      <c r="KPR63" s="44">
        <f t="shared" si="241"/>
        <v>0</v>
      </c>
      <c r="KPS63" s="44">
        <f t="shared" si="241"/>
        <v>0</v>
      </c>
      <c r="KPT63" s="44">
        <f t="shared" si="241"/>
        <v>0</v>
      </c>
      <c r="KPU63" s="44">
        <f t="shared" si="241"/>
        <v>0</v>
      </c>
      <c r="KPV63" s="44">
        <f t="shared" si="241"/>
        <v>0</v>
      </c>
      <c r="KPW63" s="44">
        <f t="shared" si="241"/>
        <v>0</v>
      </c>
      <c r="KPX63" s="44">
        <f t="shared" si="241"/>
        <v>0</v>
      </c>
      <c r="KPY63" s="44">
        <f t="shared" si="241"/>
        <v>0</v>
      </c>
      <c r="KPZ63" s="44">
        <f t="shared" si="241"/>
        <v>0</v>
      </c>
      <c r="KQA63" s="44">
        <f t="shared" si="241"/>
        <v>0</v>
      </c>
      <c r="KQB63" s="44">
        <f t="shared" si="241"/>
        <v>0</v>
      </c>
      <c r="KQC63" s="44">
        <f t="shared" si="241"/>
        <v>0</v>
      </c>
      <c r="KQD63" s="44">
        <f t="shared" si="241"/>
        <v>0</v>
      </c>
      <c r="KQE63" s="44">
        <f t="shared" si="241"/>
        <v>0</v>
      </c>
      <c r="KQF63" s="44">
        <f t="shared" si="241"/>
        <v>0</v>
      </c>
      <c r="KQG63" s="44">
        <f t="shared" si="241"/>
        <v>0</v>
      </c>
      <c r="KQH63" s="44">
        <f t="shared" si="241"/>
        <v>0</v>
      </c>
      <c r="KQI63" s="44">
        <f t="shared" si="241"/>
        <v>0</v>
      </c>
      <c r="KQJ63" s="44">
        <f t="shared" si="241"/>
        <v>0</v>
      </c>
      <c r="KQK63" s="44">
        <f t="shared" si="241"/>
        <v>0</v>
      </c>
      <c r="KQL63" s="44">
        <f t="shared" si="241"/>
        <v>0</v>
      </c>
      <c r="KQM63" s="44">
        <f t="shared" si="241"/>
        <v>0</v>
      </c>
      <c r="KQN63" s="44">
        <f t="shared" si="241"/>
        <v>0</v>
      </c>
      <c r="KQO63" s="44">
        <f t="shared" si="241"/>
        <v>0</v>
      </c>
      <c r="KQP63" s="44">
        <f t="shared" ref="KQP63:KTA63" si="242">SUM(KQP56:KQP57)</f>
        <v>0</v>
      </c>
      <c r="KQQ63" s="44">
        <f t="shared" si="242"/>
        <v>0</v>
      </c>
      <c r="KQR63" s="44">
        <f t="shared" si="242"/>
        <v>0</v>
      </c>
      <c r="KQS63" s="44">
        <f t="shared" si="242"/>
        <v>0</v>
      </c>
      <c r="KQT63" s="44">
        <f t="shared" si="242"/>
        <v>0</v>
      </c>
      <c r="KQU63" s="44">
        <f t="shared" si="242"/>
        <v>0</v>
      </c>
      <c r="KQV63" s="44">
        <f t="shared" si="242"/>
        <v>0</v>
      </c>
      <c r="KQW63" s="44">
        <f t="shared" si="242"/>
        <v>0</v>
      </c>
      <c r="KQX63" s="44">
        <f t="shared" si="242"/>
        <v>0</v>
      </c>
      <c r="KQY63" s="44">
        <f t="shared" si="242"/>
        <v>0</v>
      </c>
      <c r="KQZ63" s="44">
        <f t="shared" si="242"/>
        <v>0</v>
      </c>
      <c r="KRA63" s="44">
        <f t="shared" si="242"/>
        <v>0</v>
      </c>
      <c r="KRB63" s="44">
        <f t="shared" si="242"/>
        <v>0</v>
      </c>
      <c r="KRC63" s="44">
        <f t="shared" si="242"/>
        <v>0</v>
      </c>
      <c r="KRD63" s="44">
        <f t="shared" si="242"/>
        <v>0</v>
      </c>
      <c r="KRE63" s="44">
        <f t="shared" si="242"/>
        <v>0</v>
      </c>
      <c r="KRF63" s="44">
        <f t="shared" si="242"/>
        <v>0</v>
      </c>
      <c r="KRG63" s="44">
        <f t="shared" si="242"/>
        <v>0</v>
      </c>
      <c r="KRH63" s="44">
        <f t="shared" si="242"/>
        <v>0</v>
      </c>
      <c r="KRI63" s="44">
        <f t="shared" si="242"/>
        <v>0</v>
      </c>
      <c r="KRJ63" s="44">
        <f t="shared" si="242"/>
        <v>0</v>
      </c>
      <c r="KRK63" s="44">
        <f t="shared" si="242"/>
        <v>0</v>
      </c>
      <c r="KRL63" s="44">
        <f t="shared" si="242"/>
        <v>0</v>
      </c>
      <c r="KRM63" s="44">
        <f t="shared" si="242"/>
        <v>0</v>
      </c>
      <c r="KRN63" s="44">
        <f t="shared" si="242"/>
        <v>0</v>
      </c>
      <c r="KRO63" s="44">
        <f t="shared" si="242"/>
        <v>0</v>
      </c>
      <c r="KRP63" s="44">
        <f t="shared" si="242"/>
        <v>0</v>
      </c>
      <c r="KRQ63" s="44">
        <f t="shared" si="242"/>
        <v>0</v>
      </c>
      <c r="KRR63" s="44">
        <f t="shared" si="242"/>
        <v>0</v>
      </c>
      <c r="KRS63" s="44">
        <f t="shared" si="242"/>
        <v>0</v>
      </c>
      <c r="KRT63" s="44">
        <f t="shared" si="242"/>
        <v>0</v>
      </c>
      <c r="KRU63" s="44">
        <f t="shared" si="242"/>
        <v>0</v>
      </c>
      <c r="KRV63" s="44">
        <f t="shared" si="242"/>
        <v>0</v>
      </c>
      <c r="KRW63" s="44">
        <f t="shared" si="242"/>
        <v>0</v>
      </c>
      <c r="KRX63" s="44">
        <f t="shared" si="242"/>
        <v>0</v>
      </c>
      <c r="KRY63" s="44">
        <f t="shared" si="242"/>
        <v>0</v>
      </c>
      <c r="KRZ63" s="44">
        <f t="shared" si="242"/>
        <v>0</v>
      </c>
      <c r="KSA63" s="44">
        <f t="shared" si="242"/>
        <v>0</v>
      </c>
      <c r="KSB63" s="44">
        <f t="shared" si="242"/>
        <v>0</v>
      </c>
      <c r="KSC63" s="44">
        <f t="shared" si="242"/>
        <v>0</v>
      </c>
      <c r="KSD63" s="44">
        <f t="shared" si="242"/>
        <v>0</v>
      </c>
      <c r="KSE63" s="44">
        <f t="shared" si="242"/>
        <v>0</v>
      </c>
      <c r="KSF63" s="44">
        <f t="shared" si="242"/>
        <v>0</v>
      </c>
      <c r="KSG63" s="44">
        <f t="shared" si="242"/>
        <v>0</v>
      </c>
      <c r="KSH63" s="44">
        <f t="shared" si="242"/>
        <v>0</v>
      </c>
      <c r="KSI63" s="44">
        <f t="shared" si="242"/>
        <v>0</v>
      </c>
      <c r="KSJ63" s="44">
        <f t="shared" si="242"/>
        <v>0</v>
      </c>
      <c r="KSK63" s="44">
        <f t="shared" si="242"/>
        <v>0</v>
      </c>
      <c r="KSL63" s="44">
        <f t="shared" si="242"/>
        <v>0</v>
      </c>
      <c r="KSM63" s="44">
        <f t="shared" si="242"/>
        <v>0</v>
      </c>
      <c r="KSN63" s="44">
        <f t="shared" si="242"/>
        <v>0</v>
      </c>
      <c r="KSO63" s="44">
        <f t="shared" si="242"/>
        <v>0</v>
      </c>
      <c r="KSP63" s="44">
        <f t="shared" si="242"/>
        <v>0</v>
      </c>
      <c r="KSQ63" s="44">
        <f t="shared" si="242"/>
        <v>0</v>
      </c>
      <c r="KSR63" s="44">
        <f t="shared" si="242"/>
        <v>0</v>
      </c>
      <c r="KSS63" s="44">
        <f t="shared" si="242"/>
        <v>0</v>
      </c>
      <c r="KST63" s="44">
        <f t="shared" si="242"/>
        <v>0</v>
      </c>
      <c r="KSU63" s="44">
        <f t="shared" si="242"/>
        <v>0</v>
      </c>
      <c r="KSV63" s="44">
        <f t="shared" si="242"/>
        <v>0</v>
      </c>
      <c r="KSW63" s="44">
        <f t="shared" si="242"/>
        <v>0</v>
      </c>
      <c r="KSX63" s="44">
        <f t="shared" si="242"/>
        <v>0</v>
      </c>
      <c r="KSY63" s="44">
        <f t="shared" si="242"/>
        <v>0</v>
      </c>
      <c r="KSZ63" s="44">
        <f t="shared" si="242"/>
        <v>0</v>
      </c>
      <c r="KTA63" s="44">
        <f t="shared" si="242"/>
        <v>0</v>
      </c>
      <c r="KTB63" s="44">
        <f t="shared" ref="KTB63:KVM63" si="243">SUM(KTB56:KTB57)</f>
        <v>0</v>
      </c>
      <c r="KTC63" s="44">
        <f t="shared" si="243"/>
        <v>0</v>
      </c>
      <c r="KTD63" s="44">
        <f t="shared" si="243"/>
        <v>0</v>
      </c>
      <c r="KTE63" s="44">
        <f t="shared" si="243"/>
        <v>0</v>
      </c>
      <c r="KTF63" s="44">
        <f t="shared" si="243"/>
        <v>0</v>
      </c>
      <c r="KTG63" s="44">
        <f t="shared" si="243"/>
        <v>0</v>
      </c>
      <c r="KTH63" s="44">
        <f t="shared" si="243"/>
        <v>0</v>
      </c>
      <c r="KTI63" s="44">
        <f t="shared" si="243"/>
        <v>0</v>
      </c>
      <c r="KTJ63" s="44">
        <f t="shared" si="243"/>
        <v>0</v>
      </c>
      <c r="KTK63" s="44">
        <f t="shared" si="243"/>
        <v>0</v>
      </c>
      <c r="KTL63" s="44">
        <f t="shared" si="243"/>
        <v>0</v>
      </c>
      <c r="KTM63" s="44">
        <f t="shared" si="243"/>
        <v>0</v>
      </c>
      <c r="KTN63" s="44">
        <f t="shared" si="243"/>
        <v>0</v>
      </c>
      <c r="KTO63" s="44">
        <f t="shared" si="243"/>
        <v>0</v>
      </c>
      <c r="KTP63" s="44">
        <f t="shared" si="243"/>
        <v>0</v>
      </c>
      <c r="KTQ63" s="44">
        <f t="shared" si="243"/>
        <v>0</v>
      </c>
      <c r="KTR63" s="44">
        <f t="shared" si="243"/>
        <v>0</v>
      </c>
      <c r="KTS63" s="44">
        <f t="shared" si="243"/>
        <v>0</v>
      </c>
      <c r="KTT63" s="44">
        <f t="shared" si="243"/>
        <v>0</v>
      </c>
      <c r="KTU63" s="44">
        <f t="shared" si="243"/>
        <v>0</v>
      </c>
      <c r="KTV63" s="44">
        <f t="shared" si="243"/>
        <v>0</v>
      </c>
      <c r="KTW63" s="44">
        <f t="shared" si="243"/>
        <v>0</v>
      </c>
      <c r="KTX63" s="44">
        <f t="shared" si="243"/>
        <v>0</v>
      </c>
      <c r="KTY63" s="44">
        <f t="shared" si="243"/>
        <v>0</v>
      </c>
      <c r="KTZ63" s="44">
        <f t="shared" si="243"/>
        <v>0</v>
      </c>
      <c r="KUA63" s="44">
        <f t="shared" si="243"/>
        <v>0</v>
      </c>
      <c r="KUB63" s="44">
        <f t="shared" si="243"/>
        <v>0</v>
      </c>
      <c r="KUC63" s="44">
        <f t="shared" si="243"/>
        <v>0</v>
      </c>
      <c r="KUD63" s="44">
        <f t="shared" si="243"/>
        <v>0</v>
      </c>
      <c r="KUE63" s="44">
        <f t="shared" si="243"/>
        <v>0</v>
      </c>
      <c r="KUF63" s="44">
        <f t="shared" si="243"/>
        <v>0</v>
      </c>
      <c r="KUG63" s="44">
        <f t="shared" si="243"/>
        <v>0</v>
      </c>
      <c r="KUH63" s="44">
        <f t="shared" si="243"/>
        <v>0</v>
      </c>
      <c r="KUI63" s="44">
        <f t="shared" si="243"/>
        <v>0</v>
      </c>
      <c r="KUJ63" s="44">
        <f t="shared" si="243"/>
        <v>0</v>
      </c>
      <c r="KUK63" s="44">
        <f t="shared" si="243"/>
        <v>0</v>
      </c>
      <c r="KUL63" s="44">
        <f t="shared" si="243"/>
        <v>0</v>
      </c>
      <c r="KUM63" s="44">
        <f t="shared" si="243"/>
        <v>0</v>
      </c>
      <c r="KUN63" s="44">
        <f t="shared" si="243"/>
        <v>0</v>
      </c>
      <c r="KUO63" s="44">
        <f t="shared" si="243"/>
        <v>0</v>
      </c>
      <c r="KUP63" s="44">
        <f t="shared" si="243"/>
        <v>0</v>
      </c>
      <c r="KUQ63" s="44">
        <f t="shared" si="243"/>
        <v>0</v>
      </c>
      <c r="KUR63" s="44">
        <f t="shared" si="243"/>
        <v>0</v>
      </c>
      <c r="KUS63" s="44">
        <f t="shared" si="243"/>
        <v>0</v>
      </c>
      <c r="KUT63" s="44">
        <f t="shared" si="243"/>
        <v>0</v>
      </c>
      <c r="KUU63" s="44">
        <f t="shared" si="243"/>
        <v>0</v>
      </c>
      <c r="KUV63" s="44">
        <f t="shared" si="243"/>
        <v>0</v>
      </c>
      <c r="KUW63" s="44">
        <f t="shared" si="243"/>
        <v>0</v>
      </c>
      <c r="KUX63" s="44">
        <f t="shared" si="243"/>
        <v>0</v>
      </c>
      <c r="KUY63" s="44">
        <f t="shared" si="243"/>
        <v>0</v>
      </c>
      <c r="KUZ63" s="44">
        <f t="shared" si="243"/>
        <v>0</v>
      </c>
      <c r="KVA63" s="44">
        <f t="shared" si="243"/>
        <v>0</v>
      </c>
      <c r="KVB63" s="44">
        <f t="shared" si="243"/>
        <v>0</v>
      </c>
      <c r="KVC63" s="44">
        <f t="shared" si="243"/>
        <v>0</v>
      </c>
      <c r="KVD63" s="44">
        <f t="shared" si="243"/>
        <v>0</v>
      </c>
      <c r="KVE63" s="44">
        <f t="shared" si="243"/>
        <v>0</v>
      </c>
      <c r="KVF63" s="44">
        <f t="shared" si="243"/>
        <v>0</v>
      </c>
      <c r="KVG63" s="44">
        <f t="shared" si="243"/>
        <v>0</v>
      </c>
      <c r="KVH63" s="44">
        <f t="shared" si="243"/>
        <v>0</v>
      </c>
      <c r="KVI63" s="44">
        <f t="shared" si="243"/>
        <v>0</v>
      </c>
      <c r="KVJ63" s="44">
        <f t="shared" si="243"/>
        <v>0</v>
      </c>
      <c r="KVK63" s="44">
        <f t="shared" si="243"/>
        <v>0</v>
      </c>
      <c r="KVL63" s="44">
        <f t="shared" si="243"/>
        <v>0</v>
      </c>
      <c r="KVM63" s="44">
        <f t="shared" si="243"/>
        <v>0</v>
      </c>
      <c r="KVN63" s="44">
        <f t="shared" ref="KVN63:KXY63" si="244">SUM(KVN56:KVN57)</f>
        <v>0</v>
      </c>
      <c r="KVO63" s="44">
        <f t="shared" si="244"/>
        <v>0</v>
      </c>
      <c r="KVP63" s="44">
        <f t="shared" si="244"/>
        <v>0</v>
      </c>
      <c r="KVQ63" s="44">
        <f t="shared" si="244"/>
        <v>0</v>
      </c>
      <c r="KVR63" s="44">
        <f t="shared" si="244"/>
        <v>0</v>
      </c>
      <c r="KVS63" s="44">
        <f t="shared" si="244"/>
        <v>0</v>
      </c>
      <c r="KVT63" s="44">
        <f t="shared" si="244"/>
        <v>0</v>
      </c>
      <c r="KVU63" s="44">
        <f t="shared" si="244"/>
        <v>0</v>
      </c>
      <c r="KVV63" s="44">
        <f t="shared" si="244"/>
        <v>0</v>
      </c>
      <c r="KVW63" s="44">
        <f t="shared" si="244"/>
        <v>0</v>
      </c>
      <c r="KVX63" s="44">
        <f t="shared" si="244"/>
        <v>0</v>
      </c>
      <c r="KVY63" s="44">
        <f t="shared" si="244"/>
        <v>0</v>
      </c>
      <c r="KVZ63" s="44">
        <f t="shared" si="244"/>
        <v>0</v>
      </c>
      <c r="KWA63" s="44">
        <f t="shared" si="244"/>
        <v>0</v>
      </c>
      <c r="KWB63" s="44">
        <f t="shared" si="244"/>
        <v>0</v>
      </c>
      <c r="KWC63" s="44">
        <f t="shared" si="244"/>
        <v>0</v>
      </c>
      <c r="KWD63" s="44">
        <f t="shared" si="244"/>
        <v>0</v>
      </c>
      <c r="KWE63" s="44">
        <f t="shared" si="244"/>
        <v>0</v>
      </c>
      <c r="KWF63" s="44">
        <f t="shared" si="244"/>
        <v>0</v>
      </c>
      <c r="KWG63" s="44">
        <f t="shared" si="244"/>
        <v>0</v>
      </c>
      <c r="KWH63" s="44">
        <f t="shared" si="244"/>
        <v>0</v>
      </c>
      <c r="KWI63" s="44">
        <f t="shared" si="244"/>
        <v>0</v>
      </c>
      <c r="KWJ63" s="44">
        <f t="shared" si="244"/>
        <v>0</v>
      </c>
      <c r="KWK63" s="44">
        <f t="shared" si="244"/>
        <v>0</v>
      </c>
      <c r="KWL63" s="44">
        <f t="shared" si="244"/>
        <v>0</v>
      </c>
      <c r="KWM63" s="44">
        <f t="shared" si="244"/>
        <v>0</v>
      </c>
      <c r="KWN63" s="44">
        <f t="shared" si="244"/>
        <v>0</v>
      </c>
      <c r="KWO63" s="44">
        <f t="shared" si="244"/>
        <v>0</v>
      </c>
      <c r="KWP63" s="44">
        <f t="shared" si="244"/>
        <v>0</v>
      </c>
      <c r="KWQ63" s="44">
        <f t="shared" si="244"/>
        <v>0</v>
      </c>
      <c r="KWR63" s="44">
        <f t="shared" si="244"/>
        <v>0</v>
      </c>
      <c r="KWS63" s="44">
        <f t="shared" si="244"/>
        <v>0</v>
      </c>
      <c r="KWT63" s="44">
        <f t="shared" si="244"/>
        <v>0</v>
      </c>
      <c r="KWU63" s="44">
        <f t="shared" si="244"/>
        <v>0</v>
      </c>
      <c r="KWV63" s="44">
        <f t="shared" si="244"/>
        <v>0</v>
      </c>
      <c r="KWW63" s="44">
        <f t="shared" si="244"/>
        <v>0</v>
      </c>
      <c r="KWX63" s="44">
        <f t="shared" si="244"/>
        <v>0</v>
      </c>
      <c r="KWY63" s="44">
        <f t="shared" si="244"/>
        <v>0</v>
      </c>
      <c r="KWZ63" s="44">
        <f t="shared" si="244"/>
        <v>0</v>
      </c>
      <c r="KXA63" s="44">
        <f t="shared" si="244"/>
        <v>0</v>
      </c>
      <c r="KXB63" s="44">
        <f t="shared" si="244"/>
        <v>0</v>
      </c>
      <c r="KXC63" s="44">
        <f t="shared" si="244"/>
        <v>0</v>
      </c>
      <c r="KXD63" s="44">
        <f t="shared" si="244"/>
        <v>0</v>
      </c>
      <c r="KXE63" s="44">
        <f t="shared" si="244"/>
        <v>0</v>
      </c>
      <c r="KXF63" s="44">
        <f t="shared" si="244"/>
        <v>0</v>
      </c>
      <c r="KXG63" s="44">
        <f t="shared" si="244"/>
        <v>0</v>
      </c>
      <c r="KXH63" s="44">
        <f t="shared" si="244"/>
        <v>0</v>
      </c>
      <c r="KXI63" s="44">
        <f t="shared" si="244"/>
        <v>0</v>
      </c>
      <c r="KXJ63" s="44">
        <f t="shared" si="244"/>
        <v>0</v>
      </c>
      <c r="KXK63" s="44">
        <f t="shared" si="244"/>
        <v>0</v>
      </c>
      <c r="KXL63" s="44">
        <f t="shared" si="244"/>
        <v>0</v>
      </c>
      <c r="KXM63" s="44">
        <f t="shared" si="244"/>
        <v>0</v>
      </c>
      <c r="KXN63" s="44">
        <f t="shared" si="244"/>
        <v>0</v>
      </c>
      <c r="KXO63" s="44">
        <f t="shared" si="244"/>
        <v>0</v>
      </c>
      <c r="KXP63" s="44">
        <f t="shared" si="244"/>
        <v>0</v>
      </c>
      <c r="KXQ63" s="44">
        <f t="shared" si="244"/>
        <v>0</v>
      </c>
      <c r="KXR63" s="44">
        <f t="shared" si="244"/>
        <v>0</v>
      </c>
      <c r="KXS63" s="44">
        <f t="shared" si="244"/>
        <v>0</v>
      </c>
      <c r="KXT63" s="44">
        <f t="shared" si="244"/>
        <v>0</v>
      </c>
      <c r="KXU63" s="44">
        <f t="shared" si="244"/>
        <v>0</v>
      </c>
      <c r="KXV63" s="44">
        <f t="shared" si="244"/>
        <v>0</v>
      </c>
      <c r="KXW63" s="44">
        <f t="shared" si="244"/>
        <v>0</v>
      </c>
      <c r="KXX63" s="44">
        <f t="shared" si="244"/>
        <v>0</v>
      </c>
      <c r="KXY63" s="44">
        <f t="shared" si="244"/>
        <v>0</v>
      </c>
      <c r="KXZ63" s="44">
        <f t="shared" ref="KXZ63:LAK63" si="245">SUM(KXZ56:KXZ57)</f>
        <v>0</v>
      </c>
      <c r="KYA63" s="44">
        <f t="shared" si="245"/>
        <v>0</v>
      </c>
      <c r="KYB63" s="44">
        <f t="shared" si="245"/>
        <v>0</v>
      </c>
      <c r="KYC63" s="44">
        <f t="shared" si="245"/>
        <v>0</v>
      </c>
      <c r="KYD63" s="44">
        <f t="shared" si="245"/>
        <v>0</v>
      </c>
      <c r="KYE63" s="44">
        <f t="shared" si="245"/>
        <v>0</v>
      </c>
      <c r="KYF63" s="44">
        <f t="shared" si="245"/>
        <v>0</v>
      </c>
      <c r="KYG63" s="44">
        <f t="shared" si="245"/>
        <v>0</v>
      </c>
      <c r="KYH63" s="44">
        <f t="shared" si="245"/>
        <v>0</v>
      </c>
      <c r="KYI63" s="44">
        <f t="shared" si="245"/>
        <v>0</v>
      </c>
      <c r="KYJ63" s="44">
        <f t="shared" si="245"/>
        <v>0</v>
      </c>
      <c r="KYK63" s="44">
        <f t="shared" si="245"/>
        <v>0</v>
      </c>
      <c r="KYL63" s="44">
        <f t="shared" si="245"/>
        <v>0</v>
      </c>
      <c r="KYM63" s="44">
        <f t="shared" si="245"/>
        <v>0</v>
      </c>
      <c r="KYN63" s="44">
        <f t="shared" si="245"/>
        <v>0</v>
      </c>
      <c r="KYO63" s="44">
        <f t="shared" si="245"/>
        <v>0</v>
      </c>
      <c r="KYP63" s="44">
        <f t="shared" si="245"/>
        <v>0</v>
      </c>
      <c r="KYQ63" s="44">
        <f t="shared" si="245"/>
        <v>0</v>
      </c>
      <c r="KYR63" s="44">
        <f t="shared" si="245"/>
        <v>0</v>
      </c>
      <c r="KYS63" s="44">
        <f t="shared" si="245"/>
        <v>0</v>
      </c>
      <c r="KYT63" s="44">
        <f t="shared" si="245"/>
        <v>0</v>
      </c>
      <c r="KYU63" s="44">
        <f t="shared" si="245"/>
        <v>0</v>
      </c>
      <c r="KYV63" s="44">
        <f t="shared" si="245"/>
        <v>0</v>
      </c>
      <c r="KYW63" s="44">
        <f t="shared" si="245"/>
        <v>0</v>
      </c>
      <c r="KYX63" s="44">
        <f t="shared" si="245"/>
        <v>0</v>
      </c>
      <c r="KYY63" s="44">
        <f t="shared" si="245"/>
        <v>0</v>
      </c>
      <c r="KYZ63" s="44">
        <f t="shared" si="245"/>
        <v>0</v>
      </c>
      <c r="KZA63" s="44">
        <f t="shared" si="245"/>
        <v>0</v>
      </c>
      <c r="KZB63" s="44">
        <f t="shared" si="245"/>
        <v>0</v>
      </c>
      <c r="KZC63" s="44">
        <f t="shared" si="245"/>
        <v>0</v>
      </c>
      <c r="KZD63" s="44">
        <f t="shared" si="245"/>
        <v>0</v>
      </c>
      <c r="KZE63" s="44">
        <f t="shared" si="245"/>
        <v>0</v>
      </c>
      <c r="KZF63" s="44">
        <f t="shared" si="245"/>
        <v>0</v>
      </c>
      <c r="KZG63" s="44">
        <f t="shared" si="245"/>
        <v>0</v>
      </c>
      <c r="KZH63" s="44">
        <f t="shared" si="245"/>
        <v>0</v>
      </c>
      <c r="KZI63" s="44">
        <f t="shared" si="245"/>
        <v>0</v>
      </c>
      <c r="KZJ63" s="44">
        <f t="shared" si="245"/>
        <v>0</v>
      </c>
      <c r="KZK63" s="44">
        <f t="shared" si="245"/>
        <v>0</v>
      </c>
      <c r="KZL63" s="44">
        <f t="shared" si="245"/>
        <v>0</v>
      </c>
      <c r="KZM63" s="44">
        <f t="shared" si="245"/>
        <v>0</v>
      </c>
      <c r="KZN63" s="44">
        <f t="shared" si="245"/>
        <v>0</v>
      </c>
      <c r="KZO63" s="44">
        <f t="shared" si="245"/>
        <v>0</v>
      </c>
      <c r="KZP63" s="44">
        <f t="shared" si="245"/>
        <v>0</v>
      </c>
      <c r="KZQ63" s="44">
        <f t="shared" si="245"/>
        <v>0</v>
      </c>
      <c r="KZR63" s="44">
        <f t="shared" si="245"/>
        <v>0</v>
      </c>
      <c r="KZS63" s="44">
        <f t="shared" si="245"/>
        <v>0</v>
      </c>
      <c r="KZT63" s="44">
        <f t="shared" si="245"/>
        <v>0</v>
      </c>
      <c r="KZU63" s="44">
        <f t="shared" si="245"/>
        <v>0</v>
      </c>
      <c r="KZV63" s="44">
        <f t="shared" si="245"/>
        <v>0</v>
      </c>
      <c r="KZW63" s="44">
        <f t="shared" si="245"/>
        <v>0</v>
      </c>
      <c r="KZX63" s="44">
        <f t="shared" si="245"/>
        <v>0</v>
      </c>
      <c r="KZY63" s="44">
        <f t="shared" si="245"/>
        <v>0</v>
      </c>
      <c r="KZZ63" s="44">
        <f t="shared" si="245"/>
        <v>0</v>
      </c>
      <c r="LAA63" s="44">
        <f t="shared" si="245"/>
        <v>0</v>
      </c>
      <c r="LAB63" s="44">
        <f t="shared" si="245"/>
        <v>0</v>
      </c>
      <c r="LAC63" s="44">
        <f t="shared" si="245"/>
        <v>0</v>
      </c>
      <c r="LAD63" s="44">
        <f t="shared" si="245"/>
        <v>0</v>
      </c>
      <c r="LAE63" s="44">
        <f t="shared" si="245"/>
        <v>0</v>
      </c>
      <c r="LAF63" s="44">
        <f t="shared" si="245"/>
        <v>0</v>
      </c>
      <c r="LAG63" s="44">
        <f t="shared" si="245"/>
        <v>0</v>
      </c>
      <c r="LAH63" s="44">
        <f t="shared" si="245"/>
        <v>0</v>
      </c>
      <c r="LAI63" s="44">
        <f t="shared" si="245"/>
        <v>0</v>
      </c>
      <c r="LAJ63" s="44">
        <f t="shared" si="245"/>
        <v>0</v>
      </c>
      <c r="LAK63" s="44">
        <f t="shared" si="245"/>
        <v>0</v>
      </c>
      <c r="LAL63" s="44">
        <f t="shared" ref="LAL63:LCW63" si="246">SUM(LAL56:LAL57)</f>
        <v>0</v>
      </c>
      <c r="LAM63" s="44">
        <f t="shared" si="246"/>
        <v>0</v>
      </c>
      <c r="LAN63" s="44">
        <f t="shared" si="246"/>
        <v>0</v>
      </c>
      <c r="LAO63" s="44">
        <f t="shared" si="246"/>
        <v>0</v>
      </c>
      <c r="LAP63" s="44">
        <f t="shared" si="246"/>
        <v>0</v>
      </c>
      <c r="LAQ63" s="44">
        <f t="shared" si="246"/>
        <v>0</v>
      </c>
      <c r="LAR63" s="44">
        <f t="shared" si="246"/>
        <v>0</v>
      </c>
      <c r="LAS63" s="44">
        <f t="shared" si="246"/>
        <v>0</v>
      </c>
      <c r="LAT63" s="44">
        <f t="shared" si="246"/>
        <v>0</v>
      </c>
      <c r="LAU63" s="44">
        <f t="shared" si="246"/>
        <v>0</v>
      </c>
      <c r="LAV63" s="44">
        <f t="shared" si="246"/>
        <v>0</v>
      </c>
      <c r="LAW63" s="44">
        <f t="shared" si="246"/>
        <v>0</v>
      </c>
      <c r="LAX63" s="44">
        <f t="shared" si="246"/>
        <v>0</v>
      </c>
      <c r="LAY63" s="44">
        <f t="shared" si="246"/>
        <v>0</v>
      </c>
      <c r="LAZ63" s="44">
        <f t="shared" si="246"/>
        <v>0</v>
      </c>
      <c r="LBA63" s="44">
        <f t="shared" si="246"/>
        <v>0</v>
      </c>
      <c r="LBB63" s="44">
        <f t="shared" si="246"/>
        <v>0</v>
      </c>
      <c r="LBC63" s="44">
        <f t="shared" si="246"/>
        <v>0</v>
      </c>
      <c r="LBD63" s="44">
        <f t="shared" si="246"/>
        <v>0</v>
      </c>
      <c r="LBE63" s="44">
        <f t="shared" si="246"/>
        <v>0</v>
      </c>
      <c r="LBF63" s="44">
        <f t="shared" si="246"/>
        <v>0</v>
      </c>
      <c r="LBG63" s="44">
        <f t="shared" si="246"/>
        <v>0</v>
      </c>
      <c r="LBH63" s="44">
        <f t="shared" si="246"/>
        <v>0</v>
      </c>
      <c r="LBI63" s="44">
        <f t="shared" si="246"/>
        <v>0</v>
      </c>
      <c r="LBJ63" s="44">
        <f t="shared" si="246"/>
        <v>0</v>
      </c>
      <c r="LBK63" s="44">
        <f t="shared" si="246"/>
        <v>0</v>
      </c>
      <c r="LBL63" s="44">
        <f t="shared" si="246"/>
        <v>0</v>
      </c>
      <c r="LBM63" s="44">
        <f t="shared" si="246"/>
        <v>0</v>
      </c>
      <c r="LBN63" s="44">
        <f t="shared" si="246"/>
        <v>0</v>
      </c>
      <c r="LBO63" s="44">
        <f t="shared" si="246"/>
        <v>0</v>
      </c>
      <c r="LBP63" s="44">
        <f t="shared" si="246"/>
        <v>0</v>
      </c>
      <c r="LBQ63" s="44">
        <f t="shared" si="246"/>
        <v>0</v>
      </c>
      <c r="LBR63" s="44">
        <f t="shared" si="246"/>
        <v>0</v>
      </c>
      <c r="LBS63" s="44">
        <f t="shared" si="246"/>
        <v>0</v>
      </c>
      <c r="LBT63" s="44">
        <f t="shared" si="246"/>
        <v>0</v>
      </c>
      <c r="LBU63" s="44">
        <f t="shared" si="246"/>
        <v>0</v>
      </c>
      <c r="LBV63" s="44">
        <f t="shared" si="246"/>
        <v>0</v>
      </c>
      <c r="LBW63" s="44">
        <f t="shared" si="246"/>
        <v>0</v>
      </c>
      <c r="LBX63" s="44">
        <f t="shared" si="246"/>
        <v>0</v>
      </c>
      <c r="LBY63" s="44">
        <f t="shared" si="246"/>
        <v>0</v>
      </c>
      <c r="LBZ63" s="44">
        <f t="shared" si="246"/>
        <v>0</v>
      </c>
      <c r="LCA63" s="44">
        <f t="shared" si="246"/>
        <v>0</v>
      </c>
      <c r="LCB63" s="44">
        <f t="shared" si="246"/>
        <v>0</v>
      </c>
      <c r="LCC63" s="44">
        <f t="shared" si="246"/>
        <v>0</v>
      </c>
      <c r="LCD63" s="44">
        <f t="shared" si="246"/>
        <v>0</v>
      </c>
      <c r="LCE63" s="44">
        <f t="shared" si="246"/>
        <v>0</v>
      </c>
      <c r="LCF63" s="44">
        <f t="shared" si="246"/>
        <v>0</v>
      </c>
      <c r="LCG63" s="44">
        <f t="shared" si="246"/>
        <v>0</v>
      </c>
      <c r="LCH63" s="44">
        <f t="shared" si="246"/>
        <v>0</v>
      </c>
      <c r="LCI63" s="44">
        <f t="shared" si="246"/>
        <v>0</v>
      </c>
      <c r="LCJ63" s="44">
        <f t="shared" si="246"/>
        <v>0</v>
      </c>
      <c r="LCK63" s="44">
        <f t="shared" si="246"/>
        <v>0</v>
      </c>
      <c r="LCL63" s="44">
        <f t="shared" si="246"/>
        <v>0</v>
      </c>
      <c r="LCM63" s="44">
        <f t="shared" si="246"/>
        <v>0</v>
      </c>
      <c r="LCN63" s="44">
        <f t="shared" si="246"/>
        <v>0</v>
      </c>
      <c r="LCO63" s="44">
        <f t="shared" si="246"/>
        <v>0</v>
      </c>
      <c r="LCP63" s="44">
        <f t="shared" si="246"/>
        <v>0</v>
      </c>
      <c r="LCQ63" s="44">
        <f t="shared" si="246"/>
        <v>0</v>
      </c>
      <c r="LCR63" s="44">
        <f t="shared" si="246"/>
        <v>0</v>
      </c>
      <c r="LCS63" s="44">
        <f t="shared" si="246"/>
        <v>0</v>
      </c>
      <c r="LCT63" s="44">
        <f t="shared" si="246"/>
        <v>0</v>
      </c>
      <c r="LCU63" s="44">
        <f t="shared" si="246"/>
        <v>0</v>
      </c>
      <c r="LCV63" s="44">
        <f t="shared" si="246"/>
        <v>0</v>
      </c>
      <c r="LCW63" s="44">
        <f t="shared" si="246"/>
        <v>0</v>
      </c>
      <c r="LCX63" s="44">
        <f t="shared" ref="LCX63:LFI63" si="247">SUM(LCX56:LCX57)</f>
        <v>0</v>
      </c>
      <c r="LCY63" s="44">
        <f t="shared" si="247"/>
        <v>0</v>
      </c>
      <c r="LCZ63" s="44">
        <f t="shared" si="247"/>
        <v>0</v>
      </c>
      <c r="LDA63" s="44">
        <f t="shared" si="247"/>
        <v>0</v>
      </c>
      <c r="LDB63" s="44">
        <f t="shared" si="247"/>
        <v>0</v>
      </c>
      <c r="LDC63" s="44">
        <f t="shared" si="247"/>
        <v>0</v>
      </c>
      <c r="LDD63" s="44">
        <f t="shared" si="247"/>
        <v>0</v>
      </c>
      <c r="LDE63" s="44">
        <f t="shared" si="247"/>
        <v>0</v>
      </c>
      <c r="LDF63" s="44">
        <f t="shared" si="247"/>
        <v>0</v>
      </c>
      <c r="LDG63" s="44">
        <f t="shared" si="247"/>
        <v>0</v>
      </c>
      <c r="LDH63" s="44">
        <f t="shared" si="247"/>
        <v>0</v>
      </c>
      <c r="LDI63" s="44">
        <f t="shared" si="247"/>
        <v>0</v>
      </c>
      <c r="LDJ63" s="44">
        <f t="shared" si="247"/>
        <v>0</v>
      </c>
      <c r="LDK63" s="44">
        <f t="shared" si="247"/>
        <v>0</v>
      </c>
      <c r="LDL63" s="44">
        <f t="shared" si="247"/>
        <v>0</v>
      </c>
      <c r="LDM63" s="44">
        <f t="shared" si="247"/>
        <v>0</v>
      </c>
      <c r="LDN63" s="44">
        <f t="shared" si="247"/>
        <v>0</v>
      </c>
      <c r="LDO63" s="44">
        <f t="shared" si="247"/>
        <v>0</v>
      </c>
      <c r="LDP63" s="44">
        <f t="shared" si="247"/>
        <v>0</v>
      </c>
      <c r="LDQ63" s="44">
        <f t="shared" si="247"/>
        <v>0</v>
      </c>
      <c r="LDR63" s="44">
        <f t="shared" si="247"/>
        <v>0</v>
      </c>
      <c r="LDS63" s="44">
        <f t="shared" si="247"/>
        <v>0</v>
      </c>
      <c r="LDT63" s="44">
        <f t="shared" si="247"/>
        <v>0</v>
      </c>
      <c r="LDU63" s="44">
        <f t="shared" si="247"/>
        <v>0</v>
      </c>
      <c r="LDV63" s="44">
        <f t="shared" si="247"/>
        <v>0</v>
      </c>
      <c r="LDW63" s="44">
        <f t="shared" si="247"/>
        <v>0</v>
      </c>
      <c r="LDX63" s="44">
        <f t="shared" si="247"/>
        <v>0</v>
      </c>
      <c r="LDY63" s="44">
        <f t="shared" si="247"/>
        <v>0</v>
      </c>
      <c r="LDZ63" s="44">
        <f t="shared" si="247"/>
        <v>0</v>
      </c>
      <c r="LEA63" s="44">
        <f t="shared" si="247"/>
        <v>0</v>
      </c>
      <c r="LEB63" s="44">
        <f t="shared" si="247"/>
        <v>0</v>
      </c>
      <c r="LEC63" s="44">
        <f t="shared" si="247"/>
        <v>0</v>
      </c>
      <c r="LED63" s="44">
        <f t="shared" si="247"/>
        <v>0</v>
      </c>
      <c r="LEE63" s="44">
        <f t="shared" si="247"/>
        <v>0</v>
      </c>
      <c r="LEF63" s="44">
        <f t="shared" si="247"/>
        <v>0</v>
      </c>
      <c r="LEG63" s="44">
        <f t="shared" si="247"/>
        <v>0</v>
      </c>
      <c r="LEH63" s="44">
        <f t="shared" si="247"/>
        <v>0</v>
      </c>
      <c r="LEI63" s="44">
        <f t="shared" si="247"/>
        <v>0</v>
      </c>
      <c r="LEJ63" s="44">
        <f t="shared" si="247"/>
        <v>0</v>
      </c>
      <c r="LEK63" s="44">
        <f t="shared" si="247"/>
        <v>0</v>
      </c>
      <c r="LEL63" s="44">
        <f t="shared" si="247"/>
        <v>0</v>
      </c>
      <c r="LEM63" s="44">
        <f t="shared" si="247"/>
        <v>0</v>
      </c>
      <c r="LEN63" s="44">
        <f t="shared" si="247"/>
        <v>0</v>
      </c>
      <c r="LEO63" s="44">
        <f t="shared" si="247"/>
        <v>0</v>
      </c>
      <c r="LEP63" s="44">
        <f t="shared" si="247"/>
        <v>0</v>
      </c>
      <c r="LEQ63" s="44">
        <f t="shared" si="247"/>
        <v>0</v>
      </c>
      <c r="LER63" s="44">
        <f t="shared" si="247"/>
        <v>0</v>
      </c>
      <c r="LES63" s="44">
        <f t="shared" si="247"/>
        <v>0</v>
      </c>
      <c r="LET63" s="44">
        <f t="shared" si="247"/>
        <v>0</v>
      </c>
      <c r="LEU63" s="44">
        <f t="shared" si="247"/>
        <v>0</v>
      </c>
      <c r="LEV63" s="44">
        <f t="shared" si="247"/>
        <v>0</v>
      </c>
      <c r="LEW63" s="44">
        <f t="shared" si="247"/>
        <v>0</v>
      </c>
      <c r="LEX63" s="44">
        <f t="shared" si="247"/>
        <v>0</v>
      </c>
      <c r="LEY63" s="44">
        <f t="shared" si="247"/>
        <v>0</v>
      </c>
      <c r="LEZ63" s="44">
        <f t="shared" si="247"/>
        <v>0</v>
      </c>
      <c r="LFA63" s="44">
        <f t="shared" si="247"/>
        <v>0</v>
      </c>
      <c r="LFB63" s="44">
        <f t="shared" si="247"/>
        <v>0</v>
      </c>
      <c r="LFC63" s="44">
        <f t="shared" si="247"/>
        <v>0</v>
      </c>
      <c r="LFD63" s="44">
        <f t="shared" si="247"/>
        <v>0</v>
      </c>
      <c r="LFE63" s="44">
        <f t="shared" si="247"/>
        <v>0</v>
      </c>
      <c r="LFF63" s="44">
        <f t="shared" si="247"/>
        <v>0</v>
      </c>
      <c r="LFG63" s="44">
        <f t="shared" si="247"/>
        <v>0</v>
      </c>
      <c r="LFH63" s="44">
        <f t="shared" si="247"/>
        <v>0</v>
      </c>
      <c r="LFI63" s="44">
        <f t="shared" si="247"/>
        <v>0</v>
      </c>
      <c r="LFJ63" s="44">
        <f t="shared" ref="LFJ63:LHU63" si="248">SUM(LFJ56:LFJ57)</f>
        <v>0</v>
      </c>
      <c r="LFK63" s="44">
        <f t="shared" si="248"/>
        <v>0</v>
      </c>
      <c r="LFL63" s="44">
        <f t="shared" si="248"/>
        <v>0</v>
      </c>
      <c r="LFM63" s="44">
        <f t="shared" si="248"/>
        <v>0</v>
      </c>
      <c r="LFN63" s="44">
        <f t="shared" si="248"/>
        <v>0</v>
      </c>
      <c r="LFO63" s="44">
        <f t="shared" si="248"/>
        <v>0</v>
      </c>
      <c r="LFP63" s="44">
        <f t="shared" si="248"/>
        <v>0</v>
      </c>
      <c r="LFQ63" s="44">
        <f t="shared" si="248"/>
        <v>0</v>
      </c>
      <c r="LFR63" s="44">
        <f t="shared" si="248"/>
        <v>0</v>
      </c>
      <c r="LFS63" s="44">
        <f t="shared" si="248"/>
        <v>0</v>
      </c>
      <c r="LFT63" s="44">
        <f t="shared" si="248"/>
        <v>0</v>
      </c>
      <c r="LFU63" s="44">
        <f t="shared" si="248"/>
        <v>0</v>
      </c>
      <c r="LFV63" s="44">
        <f t="shared" si="248"/>
        <v>0</v>
      </c>
      <c r="LFW63" s="44">
        <f t="shared" si="248"/>
        <v>0</v>
      </c>
      <c r="LFX63" s="44">
        <f t="shared" si="248"/>
        <v>0</v>
      </c>
      <c r="LFY63" s="44">
        <f t="shared" si="248"/>
        <v>0</v>
      </c>
      <c r="LFZ63" s="44">
        <f t="shared" si="248"/>
        <v>0</v>
      </c>
      <c r="LGA63" s="44">
        <f t="shared" si="248"/>
        <v>0</v>
      </c>
      <c r="LGB63" s="44">
        <f t="shared" si="248"/>
        <v>0</v>
      </c>
      <c r="LGC63" s="44">
        <f t="shared" si="248"/>
        <v>0</v>
      </c>
      <c r="LGD63" s="44">
        <f t="shared" si="248"/>
        <v>0</v>
      </c>
      <c r="LGE63" s="44">
        <f t="shared" si="248"/>
        <v>0</v>
      </c>
      <c r="LGF63" s="44">
        <f t="shared" si="248"/>
        <v>0</v>
      </c>
      <c r="LGG63" s="44">
        <f t="shared" si="248"/>
        <v>0</v>
      </c>
      <c r="LGH63" s="44">
        <f t="shared" si="248"/>
        <v>0</v>
      </c>
      <c r="LGI63" s="44">
        <f t="shared" si="248"/>
        <v>0</v>
      </c>
      <c r="LGJ63" s="44">
        <f t="shared" si="248"/>
        <v>0</v>
      </c>
      <c r="LGK63" s="44">
        <f t="shared" si="248"/>
        <v>0</v>
      </c>
      <c r="LGL63" s="44">
        <f t="shared" si="248"/>
        <v>0</v>
      </c>
      <c r="LGM63" s="44">
        <f t="shared" si="248"/>
        <v>0</v>
      </c>
      <c r="LGN63" s="44">
        <f t="shared" si="248"/>
        <v>0</v>
      </c>
      <c r="LGO63" s="44">
        <f t="shared" si="248"/>
        <v>0</v>
      </c>
      <c r="LGP63" s="44">
        <f t="shared" si="248"/>
        <v>0</v>
      </c>
      <c r="LGQ63" s="44">
        <f t="shared" si="248"/>
        <v>0</v>
      </c>
      <c r="LGR63" s="44">
        <f t="shared" si="248"/>
        <v>0</v>
      </c>
      <c r="LGS63" s="44">
        <f t="shared" si="248"/>
        <v>0</v>
      </c>
      <c r="LGT63" s="44">
        <f t="shared" si="248"/>
        <v>0</v>
      </c>
      <c r="LGU63" s="44">
        <f t="shared" si="248"/>
        <v>0</v>
      </c>
      <c r="LGV63" s="44">
        <f t="shared" si="248"/>
        <v>0</v>
      </c>
      <c r="LGW63" s="44">
        <f t="shared" si="248"/>
        <v>0</v>
      </c>
      <c r="LGX63" s="44">
        <f t="shared" si="248"/>
        <v>0</v>
      </c>
      <c r="LGY63" s="44">
        <f t="shared" si="248"/>
        <v>0</v>
      </c>
      <c r="LGZ63" s="44">
        <f t="shared" si="248"/>
        <v>0</v>
      </c>
      <c r="LHA63" s="44">
        <f t="shared" si="248"/>
        <v>0</v>
      </c>
      <c r="LHB63" s="44">
        <f t="shared" si="248"/>
        <v>0</v>
      </c>
      <c r="LHC63" s="44">
        <f t="shared" si="248"/>
        <v>0</v>
      </c>
      <c r="LHD63" s="44">
        <f t="shared" si="248"/>
        <v>0</v>
      </c>
      <c r="LHE63" s="44">
        <f t="shared" si="248"/>
        <v>0</v>
      </c>
      <c r="LHF63" s="44">
        <f t="shared" si="248"/>
        <v>0</v>
      </c>
      <c r="LHG63" s="44">
        <f t="shared" si="248"/>
        <v>0</v>
      </c>
      <c r="LHH63" s="44">
        <f t="shared" si="248"/>
        <v>0</v>
      </c>
      <c r="LHI63" s="44">
        <f t="shared" si="248"/>
        <v>0</v>
      </c>
      <c r="LHJ63" s="44">
        <f t="shared" si="248"/>
        <v>0</v>
      </c>
      <c r="LHK63" s="44">
        <f t="shared" si="248"/>
        <v>0</v>
      </c>
      <c r="LHL63" s="44">
        <f t="shared" si="248"/>
        <v>0</v>
      </c>
      <c r="LHM63" s="44">
        <f t="shared" si="248"/>
        <v>0</v>
      </c>
      <c r="LHN63" s="44">
        <f t="shared" si="248"/>
        <v>0</v>
      </c>
      <c r="LHO63" s="44">
        <f t="shared" si="248"/>
        <v>0</v>
      </c>
      <c r="LHP63" s="44">
        <f t="shared" si="248"/>
        <v>0</v>
      </c>
      <c r="LHQ63" s="44">
        <f t="shared" si="248"/>
        <v>0</v>
      </c>
      <c r="LHR63" s="44">
        <f t="shared" si="248"/>
        <v>0</v>
      </c>
      <c r="LHS63" s="44">
        <f t="shared" si="248"/>
        <v>0</v>
      </c>
      <c r="LHT63" s="44">
        <f t="shared" si="248"/>
        <v>0</v>
      </c>
      <c r="LHU63" s="44">
        <f t="shared" si="248"/>
        <v>0</v>
      </c>
      <c r="LHV63" s="44">
        <f t="shared" ref="LHV63:LKG63" si="249">SUM(LHV56:LHV57)</f>
        <v>0</v>
      </c>
      <c r="LHW63" s="44">
        <f t="shared" si="249"/>
        <v>0</v>
      </c>
      <c r="LHX63" s="44">
        <f t="shared" si="249"/>
        <v>0</v>
      </c>
      <c r="LHY63" s="44">
        <f t="shared" si="249"/>
        <v>0</v>
      </c>
      <c r="LHZ63" s="44">
        <f t="shared" si="249"/>
        <v>0</v>
      </c>
      <c r="LIA63" s="44">
        <f t="shared" si="249"/>
        <v>0</v>
      </c>
      <c r="LIB63" s="44">
        <f t="shared" si="249"/>
        <v>0</v>
      </c>
      <c r="LIC63" s="44">
        <f t="shared" si="249"/>
        <v>0</v>
      </c>
      <c r="LID63" s="44">
        <f t="shared" si="249"/>
        <v>0</v>
      </c>
      <c r="LIE63" s="44">
        <f t="shared" si="249"/>
        <v>0</v>
      </c>
      <c r="LIF63" s="44">
        <f t="shared" si="249"/>
        <v>0</v>
      </c>
      <c r="LIG63" s="44">
        <f t="shared" si="249"/>
        <v>0</v>
      </c>
      <c r="LIH63" s="44">
        <f t="shared" si="249"/>
        <v>0</v>
      </c>
      <c r="LII63" s="44">
        <f t="shared" si="249"/>
        <v>0</v>
      </c>
      <c r="LIJ63" s="44">
        <f t="shared" si="249"/>
        <v>0</v>
      </c>
      <c r="LIK63" s="44">
        <f t="shared" si="249"/>
        <v>0</v>
      </c>
      <c r="LIL63" s="44">
        <f t="shared" si="249"/>
        <v>0</v>
      </c>
      <c r="LIM63" s="44">
        <f t="shared" si="249"/>
        <v>0</v>
      </c>
      <c r="LIN63" s="44">
        <f t="shared" si="249"/>
        <v>0</v>
      </c>
      <c r="LIO63" s="44">
        <f t="shared" si="249"/>
        <v>0</v>
      </c>
      <c r="LIP63" s="44">
        <f t="shared" si="249"/>
        <v>0</v>
      </c>
      <c r="LIQ63" s="44">
        <f t="shared" si="249"/>
        <v>0</v>
      </c>
      <c r="LIR63" s="44">
        <f t="shared" si="249"/>
        <v>0</v>
      </c>
      <c r="LIS63" s="44">
        <f t="shared" si="249"/>
        <v>0</v>
      </c>
      <c r="LIT63" s="44">
        <f t="shared" si="249"/>
        <v>0</v>
      </c>
      <c r="LIU63" s="44">
        <f t="shared" si="249"/>
        <v>0</v>
      </c>
      <c r="LIV63" s="44">
        <f t="shared" si="249"/>
        <v>0</v>
      </c>
      <c r="LIW63" s="44">
        <f t="shared" si="249"/>
        <v>0</v>
      </c>
      <c r="LIX63" s="44">
        <f t="shared" si="249"/>
        <v>0</v>
      </c>
      <c r="LIY63" s="44">
        <f t="shared" si="249"/>
        <v>0</v>
      </c>
      <c r="LIZ63" s="44">
        <f t="shared" si="249"/>
        <v>0</v>
      </c>
      <c r="LJA63" s="44">
        <f t="shared" si="249"/>
        <v>0</v>
      </c>
      <c r="LJB63" s="44">
        <f t="shared" si="249"/>
        <v>0</v>
      </c>
      <c r="LJC63" s="44">
        <f t="shared" si="249"/>
        <v>0</v>
      </c>
      <c r="LJD63" s="44">
        <f t="shared" si="249"/>
        <v>0</v>
      </c>
      <c r="LJE63" s="44">
        <f t="shared" si="249"/>
        <v>0</v>
      </c>
      <c r="LJF63" s="44">
        <f t="shared" si="249"/>
        <v>0</v>
      </c>
      <c r="LJG63" s="44">
        <f t="shared" si="249"/>
        <v>0</v>
      </c>
      <c r="LJH63" s="44">
        <f t="shared" si="249"/>
        <v>0</v>
      </c>
      <c r="LJI63" s="44">
        <f t="shared" si="249"/>
        <v>0</v>
      </c>
      <c r="LJJ63" s="44">
        <f t="shared" si="249"/>
        <v>0</v>
      </c>
      <c r="LJK63" s="44">
        <f t="shared" si="249"/>
        <v>0</v>
      </c>
      <c r="LJL63" s="44">
        <f t="shared" si="249"/>
        <v>0</v>
      </c>
      <c r="LJM63" s="44">
        <f t="shared" si="249"/>
        <v>0</v>
      </c>
      <c r="LJN63" s="44">
        <f t="shared" si="249"/>
        <v>0</v>
      </c>
      <c r="LJO63" s="44">
        <f t="shared" si="249"/>
        <v>0</v>
      </c>
      <c r="LJP63" s="44">
        <f t="shared" si="249"/>
        <v>0</v>
      </c>
      <c r="LJQ63" s="44">
        <f t="shared" si="249"/>
        <v>0</v>
      </c>
      <c r="LJR63" s="44">
        <f t="shared" si="249"/>
        <v>0</v>
      </c>
      <c r="LJS63" s="44">
        <f t="shared" si="249"/>
        <v>0</v>
      </c>
      <c r="LJT63" s="44">
        <f t="shared" si="249"/>
        <v>0</v>
      </c>
      <c r="LJU63" s="44">
        <f t="shared" si="249"/>
        <v>0</v>
      </c>
      <c r="LJV63" s="44">
        <f t="shared" si="249"/>
        <v>0</v>
      </c>
      <c r="LJW63" s="44">
        <f t="shared" si="249"/>
        <v>0</v>
      </c>
      <c r="LJX63" s="44">
        <f t="shared" si="249"/>
        <v>0</v>
      </c>
      <c r="LJY63" s="44">
        <f t="shared" si="249"/>
        <v>0</v>
      </c>
      <c r="LJZ63" s="44">
        <f t="shared" si="249"/>
        <v>0</v>
      </c>
      <c r="LKA63" s="44">
        <f t="shared" si="249"/>
        <v>0</v>
      </c>
      <c r="LKB63" s="44">
        <f t="shared" si="249"/>
        <v>0</v>
      </c>
      <c r="LKC63" s="44">
        <f t="shared" si="249"/>
        <v>0</v>
      </c>
      <c r="LKD63" s="44">
        <f t="shared" si="249"/>
        <v>0</v>
      </c>
      <c r="LKE63" s="44">
        <f t="shared" si="249"/>
        <v>0</v>
      </c>
      <c r="LKF63" s="44">
        <f t="shared" si="249"/>
        <v>0</v>
      </c>
      <c r="LKG63" s="44">
        <f t="shared" si="249"/>
        <v>0</v>
      </c>
      <c r="LKH63" s="44">
        <f t="shared" ref="LKH63:LMS63" si="250">SUM(LKH56:LKH57)</f>
        <v>0</v>
      </c>
      <c r="LKI63" s="44">
        <f t="shared" si="250"/>
        <v>0</v>
      </c>
      <c r="LKJ63" s="44">
        <f t="shared" si="250"/>
        <v>0</v>
      </c>
      <c r="LKK63" s="44">
        <f t="shared" si="250"/>
        <v>0</v>
      </c>
      <c r="LKL63" s="44">
        <f t="shared" si="250"/>
        <v>0</v>
      </c>
      <c r="LKM63" s="44">
        <f t="shared" si="250"/>
        <v>0</v>
      </c>
      <c r="LKN63" s="44">
        <f t="shared" si="250"/>
        <v>0</v>
      </c>
      <c r="LKO63" s="44">
        <f t="shared" si="250"/>
        <v>0</v>
      </c>
      <c r="LKP63" s="44">
        <f t="shared" si="250"/>
        <v>0</v>
      </c>
      <c r="LKQ63" s="44">
        <f t="shared" si="250"/>
        <v>0</v>
      </c>
      <c r="LKR63" s="44">
        <f t="shared" si="250"/>
        <v>0</v>
      </c>
      <c r="LKS63" s="44">
        <f t="shared" si="250"/>
        <v>0</v>
      </c>
      <c r="LKT63" s="44">
        <f t="shared" si="250"/>
        <v>0</v>
      </c>
      <c r="LKU63" s="44">
        <f t="shared" si="250"/>
        <v>0</v>
      </c>
      <c r="LKV63" s="44">
        <f t="shared" si="250"/>
        <v>0</v>
      </c>
      <c r="LKW63" s="44">
        <f t="shared" si="250"/>
        <v>0</v>
      </c>
      <c r="LKX63" s="44">
        <f t="shared" si="250"/>
        <v>0</v>
      </c>
      <c r="LKY63" s="44">
        <f t="shared" si="250"/>
        <v>0</v>
      </c>
      <c r="LKZ63" s="44">
        <f t="shared" si="250"/>
        <v>0</v>
      </c>
      <c r="LLA63" s="44">
        <f t="shared" si="250"/>
        <v>0</v>
      </c>
      <c r="LLB63" s="44">
        <f t="shared" si="250"/>
        <v>0</v>
      </c>
      <c r="LLC63" s="44">
        <f t="shared" si="250"/>
        <v>0</v>
      </c>
      <c r="LLD63" s="44">
        <f t="shared" si="250"/>
        <v>0</v>
      </c>
      <c r="LLE63" s="44">
        <f t="shared" si="250"/>
        <v>0</v>
      </c>
      <c r="LLF63" s="44">
        <f t="shared" si="250"/>
        <v>0</v>
      </c>
      <c r="LLG63" s="44">
        <f t="shared" si="250"/>
        <v>0</v>
      </c>
      <c r="LLH63" s="44">
        <f t="shared" si="250"/>
        <v>0</v>
      </c>
      <c r="LLI63" s="44">
        <f t="shared" si="250"/>
        <v>0</v>
      </c>
      <c r="LLJ63" s="44">
        <f t="shared" si="250"/>
        <v>0</v>
      </c>
      <c r="LLK63" s="44">
        <f t="shared" si="250"/>
        <v>0</v>
      </c>
      <c r="LLL63" s="44">
        <f t="shared" si="250"/>
        <v>0</v>
      </c>
      <c r="LLM63" s="44">
        <f t="shared" si="250"/>
        <v>0</v>
      </c>
      <c r="LLN63" s="44">
        <f t="shared" si="250"/>
        <v>0</v>
      </c>
      <c r="LLO63" s="44">
        <f t="shared" si="250"/>
        <v>0</v>
      </c>
      <c r="LLP63" s="44">
        <f t="shared" si="250"/>
        <v>0</v>
      </c>
      <c r="LLQ63" s="44">
        <f t="shared" si="250"/>
        <v>0</v>
      </c>
      <c r="LLR63" s="44">
        <f t="shared" si="250"/>
        <v>0</v>
      </c>
      <c r="LLS63" s="44">
        <f t="shared" si="250"/>
        <v>0</v>
      </c>
      <c r="LLT63" s="44">
        <f t="shared" si="250"/>
        <v>0</v>
      </c>
      <c r="LLU63" s="44">
        <f t="shared" si="250"/>
        <v>0</v>
      </c>
      <c r="LLV63" s="44">
        <f t="shared" si="250"/>
        <v>0</v>
      </c>
      <c r="LLW63" s="44">
        <f t="shared" si="250"/>
        <v>0</v>
      </c>
      <c r="LLX63" s="44">
        <f t="shared" si="250"/>
        <v>0</v>
      </c>
      <c r="LLY63" s="44">
        <f t="shared" si="250"/>
        <v>0</v>
      </c>
      <c r="LLZ63" s="44">
        <f t="shared" si="250"/>
        <v>0</v>
      </c>
      <c r="LMA63" s="44">
        <f t="shared" si="250"/>
        <v>0</v>
      </c>
      <c r="LMB63" s="44">
        <f t="shared" si="250"/>
        <v>0</v>
      </c>
      <c r="LMC63" s="44">
        <f t="shared" si="250"/>
        <v>0</v>
      </c>
      <c r="LMD63" s="44">
        <f t="shared" si="250"/>
        <v>0</v>
      </c>
      <c r="LME63" s="44">
        <f t="shared" si="250"/>
        <v>0</v>
      </c>
      <c r="LMF63" s="44">
        <f t="shared" si="250"/>
        <v>0</v>
      </c>
      <c r="LMG63" s="44">
        <f t="shared" si="250"/>
        <v>0</v>
      </c>
      <c r="LMH63" s="44">
        <f t="shared" si="250"/>
        <v>0</v>
      </c>
      <c r="LMI63" s="44">
        <f t="shared" si="250"/>
        <v>0</v>
      </c>
      <c r="LMJ63" s="44">
        <f t="shared" si="250"/>
        <v>0</v>
      </c>
      <c r="LMK63" s="44">
        <f t="shared" si="250"/>
        <v>0</v>
      </c>
      <c r="LML63" s="44">
        <f t="shared" si="250"/>
        <v>0</v>
      </c>
      <c r="LMM63" s="44">
        <f t="shared" si="250"/>
        <v>0</v>
      </c>
      <c r="LMN63" s="44">
        <f t="shared" si="250"/>
        <v>0</v>
      </c>
      <c r="LMO63" s="44">
        <f t="shared" si="250"/>
        <v>0</v>
      </c>
      <c r="LMP63" s="44">
        <f t="shared" si="250"/>
        <v>0</v>
      </c>
      <c r="LMQ63" s="44">
        <f t="shared" si="250"/>
        <v>0</v>
      </c>
      <c r="LMR63" s="44">
        <f t="shared" si="250"/>
        <v>0</v>
      </c>
      <c r="LMS63" s="44">
        <f t="shared" si="250"/>
        <v>0</v>
      </c>
      <c r="LMT63" s="44">
        <f t="shared" ref="LMT63:LPE63" si="251">SUM(LMT56:LMT57)</f>
        <v>0</v>
      </c>
      <c r="LMU63" s="44">
        <f t="shared" si="251"/>
        <v>0</v>
      </c>
      <c r="LMV63" s="44">
        <f t="shared" si="251"/>
        <v>0</v>
      </c>
      <c r="LMW63" s="44">
        <f t="shared" si="251"/>
        <v>0</v>
      </c>
      <c r="LMX63" s="44">
        <f t="shared" si="251"/>
        <v>0</v>
      </c>
      <c r="LMY63" s="44">
        <f t="shared" si="251"/>
        <v>0</v>
      </c>
      <c r="LMZ63" s="44">
        <f t="shared" si="251"/>
        <v>0</v>
      </c>
      <c r="LNA63" s="44">
        <f t="shared" si="251"/>
        <v>0</v>
      </c>
      <c r="LNB63" s="44">
        <f t="shared" si="251"/>
        <v>0</v>
      </c>
      <c r="LNC63" s="44">
        <f t="shared" si="251"/>
        <v>0</v>
      </c>
      <c r="LND63" s="44">
        <f t="shared" si="251"/>
        <v>0</v>
      </c>
      <c r="LNE63" s="44">
        <f t="shared" si="251"/>
        <v>0</v>
      </c>
      <c r="LNF63" s="44">
        <f t="shared" si="251"/>
        <v>0</v>
      </c>
      <c r="LNG63" s="44">
        <f t="shared" si="251"/>
        <v>0</v>
      </c>
      <c r="LNH63" s="44">
        <f t="shared" si="251"/>
        <v>0</v>
      </c>
      <c r="LNI63" s="44">
        <f t="shared" si="251"/>
        <v>0</v>
      </c>
      <c r="LNJ63" s="44">
        <f t="shared" si="251"/>
        <v>0</v>
      </c>
      <c r="LNK63" s="44">
        <f t="shared" si="251"/>
        <v>0</v>
      </c>
      <c r="LNL63" s="44">
        <f t="shared" si="251"/>
        <v>0</v>
      </c>
      <c r="LNM63" s="44">
        <f t="shared" si="251"/>
        <v>0</v>
      </c>
      <c r="LNN63" s="44">
        <f t="shared" si="251"/>
        <v>0</v>
      </c>
      <c r="LNO63" s="44">
        <f t="shared" si="251"/>
        <v>0</v>
      </c>
      <c r="LNP63" s="44">
        <f t="shared" si="251"/>
        <v>0</v>
      </c>
      <c r="LNQ63" s="44">
        <f t="shared" si="251"/>
        <v>0</v>
      </c>
      <c r="LNR63" s="44">
        <f t="shared" si="251"/>
        <v>0</v>
      </c>
      <c r="LNS63" s="44">
        <f t="shared" si="251"/>
        <v>0</v>
      </c>
      <c r="LNT63" s="44">
        <f t="shared" si="251"/>
        <v>0</v>
      </c>
      <c r="LNU63" s="44">
        <f t="shared" si="251"/>
        <v>0</v>
      </c>
      <c r="LNV63" s="44">
        <f t="shared" si="251"/>
        <v>0</v>
      </c>
      <c r="LNW63" s="44">
        <f t="shared" si="251"/>
        <v>0</v>
      </c>
      <c r="LNX63" s="44">
        <f t="shared" si="251"/>
        <v>0</v>
      </c>
      <c r="LNY63" s="44">
        <f t="shared" si="251"/>
        <v>0</v>
      </c>
      <c r="LNZ63" s="44">
        <f t="shared" si="251"/>
        <v>0</v>
      </c>
      <c r="LOA63" s="44">
        <f t="shared" si="251"/>
        <v>0</v>
      </c>
      <c r="LOB63" s="44">
        <f t="shared" si="251"/>
        <v>0</v>
      </c>
      <c r="LOC63" s="44">
        <f t="shared" si="251"/>
        <v>0</v>
      </c>
      <c r="LOD63" s="44">
        <f t="shared" si="251"/>
        <v>0</v>
      </c>
      <c r="LOE63" s="44">
        <f t="shared" si="251"/>
        <v>0</v>
      </c>
      <c r="LOF63" s="44">
        <f t="shared" si="251"/>
        <v>0</v>
      </c>
      <c r="LOG63" s="44">
        <f t="shared" si="251"/>
        <v>0</v>
      </c>
      <c r="LOH63" s="44">
        <f t="shared" si="251"/>
        <v>0</v>
      </c>
      <c r="LOI63" s="44">
        <f t="shared" si="251"/>
        <v>0</v>
      </c>
      <c r="LOJ63" s="44">
        <f t="shared" si="251"/>
        <v>0</v>
      </c>
      <c r="LOK63" s="44">
        <f t="shared" si="251"/>
        <v>0</v>
      </c>
      <c r="LOL63" s="44">
        <f t="shared" si="251"/>
        <v>0</v>
      </c>
      <c r="LOM63" s="44">
        <f t="shared" si="251"/>
        <v>0</v>
      </c>
      <c r="LON63" s="44">
        <f t="shared" si="251"/>
        <v>0</v>
      </c>
      <c r="LOO63" s="44">
        <f t="shared" si="251"/>
        <v>0</v>
      </c>
      <c r="LOP63" s="44">
        <f t="shared" si="251"/>
        <v>0</v>
      </c>
      <c r="LOQ63" s="44">
        <f t="shared" si="251"/>
        <v>0</v>
      </c>
      <c r="LOR63" s="44">
        <f t="shared" si="251"/>
        <v>0</v>
      </c>
      <c r="LOS63" s="44">
        <f t="shared" si="251"/>
        <v>0</v>
      </c>
      <c r="LOT63" s="44">
        <f t="shared" si="251"/>
        <v>0</v>
      </c>
      <c r="LOU63" s="44">
        <f t="shared" si="251"/>
        <v>0</v>
      </c>
      <c r="LOV63" s="44">
        <f t="shared" si="251"/>
        <v>0</v>
      </c>
      <c r="LOW63" s="44">
        <f t="shared" si="251"/>
        <v>0</v>
      </c>
      <c r="LOX63" s="44">
        <f t="shared" si="251"/>
        <v>0</v>
      </c>
      <c r="LOY63" s="44">
        <f t="shared" si="251"/>
        <v>0</v>
      </c>
      <c r="LOZ63" s="44">
        <f t="shared" si="251"/>
        <v>0</v>
      </c>
      <c r="LPA63" s="44">
        <f t="shared" si="251"/>
        <v>0</v>
      </c>
      <c r="LPB63" s="44">
        <f t="shared" si="251"/>
        <v>0</v>
      </c>
      <c r="LPC63" s="44">
        <f t="shared" si="251"/>
        <v>0</v>
      </c>
      <c r="LPD63" s="44">
        <f t="shared" si="251"/>
        <v>0</v>
      </c>
      <c r="LPE63" s="44">
        <f t="shared" si="251"/>
        <v>0</v>
      </c>
      <c r="LPF63" s="44">
        <f t="shared" ref="LPF63:LRQ63" si="252">SUM(LPF56:LPF57)</f>
        <v>0</v>
      </c>
      <c r="LPG63" s="44">
        <f t="shared" si="252"/>
        <v>0</v>
      </c>
      <c r="LPH63" s="44">
        <f t="shared" si="252"/>
        <v>0</v>
      </c>
      <c r="LPI63" s="44">
        <f t="shared" si="252"/>
        <v>0</v>
      </c>
      <c r="LPJ63" s="44">
        <f t="shared" si="252"/>
        <v>0</v>
      </c>
      <c r="LPK63" s="44">
        <f t="shared" si="252"/>
        <v>0</v>
      </c>
      <c r="LPL63" s="44">
        <f t="shared" si="252"/>
        <v>0</v>
      </c>
      <c r="LPM63" s="44">
        <f t="shared" si="252"/>
        <v>0</v>
      </c>
      <c r="LPN63" s="44">
        <f t="shared" si="252"/>
        <v>0</v>
      </c>
      <c r="LPO63" s="44">
        <f t="shared" si="252"/>
        <v>0</v>
      </c>
      <c r="LPP63" s="44">
        <f t="shared" si="252"/>
        <v>0</v>
      </c>
      <c r="LPQ63" s="44">
        <f t="shared" si="252"/>
        <v>0</v>
      </c>
      <c r="LPR63" s="44">
        <f t="shared" si="252"/>
        <v>0</v>
      </c>
      <c r="LPS63" s="44">
        <f t="shared" si="252"/>
        <v>0</v>
      </c>
      <c r="LPT63" s="44">
        <f t="shared" si="252"/>
        <v>0</v>
      </c>
      <c r="LPU63" s="44">
        <f t="shared" si="252"/>
        <v>0</v>
      </c>
      <c r="LPV63" s="44">
        <f t="shared" si="252"/>
        <v>0</v>
      </c>
      <c r="LPW63" s="44">
        <f t="shared" si="252"/>
        <v>0</v>
      </c>
      <c r="LPX63" s="44">
        <f t="shared" si="252"/>
        <v>0</v>
      </c>
      <c r="LPY63" s="44">
        <f t="shared" si="252"/>
        <v>0</v>
      </c>
      <c r="LPZ63" s="44">
        <f t="shared" si="252"/>
        <v>0</v>
      </c>
      <c r="LQA63" s="44">
        <f t="shared" si="252"/>
        <v>0</v>
      </c>
      <c r="LQB63" s="44">
        <f t="shared" si="252"/>
        <v>0</v>
      </c>
      <c r="LQC63" s="44">
        <f t="shared" si="252"/>
        <v>0</v>
      </c>
      <c r="LQD63" s="44">
        <f t="shared" si="252"/>
        <v>0</v>
      </c>
      <c r="LQE63" s="44">
        <f t="shared" si="252"/>
        <v>0</v>
      </c>
      <c r="LQF63" s="44">
        <f t="shared" si="252"/>
        <v>0</v>
      </c>
      <c r="LQG63" s="44">
        <f t="shared" si="252"/>
        <v>0</v>
      </c>
      <c r="LQH63" s="44">
        <f t="shared" si="252"/>
        <v>0</v>
      </c>
      <c r="LQI63" s="44">
        <f t="shared" si="252"/>
        <v>0</v>
      </c>
      <c r="LQJ63" s="44">
        <f t="shared" si="252"/>
        <v>0</v>
      </c>
      <c r="LQK63" s="44">
        <f t="shared" si="252"/>
        <v>0</v>
      </c>
      <c r="LQL63" s="44">
        <f t="shared" si="252"/>
        <v>0</v>
      </c>
      <c r="LQM63" s="44">
        <f t="shared" si="252"/>
        <v>0</v>
      </c>
      <c r="LQN63" s="44">
        <f t="shared" si="252"/>
        <v>0</v>
      </c>
      <c r="LQO63" s="44">
        <f t="shared" si="252"/>
        <v>0</v>
      </c>
      <c r="LQP63" s="44">
        <f t="shared" si="252"/>
        <v>0</v>
      </c>
      <c r="LQQ63" s="44">
        <f t="shared" si="252"/>
        <v>0</v>
      </c>
      <c r="LQR63" s="44">
        <f t="shared" si="252"/>
        <v>0</v>
      </c>
      <c r="LQS63" s="44">
        <f t="shared" si="252"/>
        <v>0</v>
      </c>
      <c r="LQT63" s="44">
        <f t="shared" si="252"/>
        <v>0</v>
      </c>
      <c r="LQU63" s="44">
        <f t="shared" si="252"/>
        <v>0</v>
      </c>
      <c r="LQV63" s="44">
        <f t="shared" si="252"/>
        <v>0</v>
      </c>
      <c r="LQW63" s="44">
        <f t="shared" si="252"/>
        <v>0</v>
      </c>
      <c r="LQX63" s="44">
        <f t="shared" si="252"/>
        <v>0</v>
      </c>
      <c r="LQY63" s="44">
        <f t="shared" si="252"/>
        <v>0</v>
      </c>
      <c r="LQZ63" s="44">
        <f t="shared" si="252"/>
        <v>0</v>
      </c>
      <c r="LRA63" s="44">
        <f t="shared" si="252"/>
        <v>0</v>
      </c>
      <c r="LRB63" s="44">
        <f t="shared" si="252"/>
        <v>0</v>
      </c>
      <c r="LRC63" s="44">
        <f t="shared" si="252"/>
        <v>0</v>
      </c>
      <c r="LRD63" s="44">
        <f t="shared" si="252"/>
        <v>0</v>
      </c>
      <c r="LRE63" s="44">
        <f t="shared" si="252"/>
        <v>0</v>
      </c>
      <c r="LRF63" s="44">
        <f t="shared" si="252"/>
        <v>0</v>
      </c>
      <c r="LRG63" s="44">
        <f t="shared" si="252"/>
        <v>0</v>
      </c>
      <c r="LRH63" s="44">
        <f t="shared" si="252"/>
        <v>0</v>
      </c>
      <c r="LRI63" s="44">
        <f t="shared" si="252"/>
        <v>0</v>
      </c>
      <c r="LRJ63" s="44">
        <f t="shared" si="252"/>
        <v>0</v>
      </c>
      <c r="LRK63" s="44">
        <f t="shared" si="252"/>
        <v>0</v>
      </c>
      <c r="LRL63" s="44">
        <f t="shared" si="252"/>
        <v>0</v>
      </c>
      <c r="LRM63" s="44">
        <f t="shared" si="252"/>
        <v>0</v>
      </c>
      <c r="LRN63" s="44">
        <f t="shared" si="252"/>
        <v>0</v>
      </c>
      <c r="LRO63" s="44">
        <f t="shared" si="252"/>
        <v>0</v>
      </c>
      <c r="LRP63" s="44">
        <f t="shared" si="252"/>
        <v>0</v>
      </c>
      <c r="LRQ63" s="44">
        <f t="shared" si="252"/>
        <v>0</v>
      </c>
      <c r="LRR63" s="44">
        <f t="shared" ref="LRR63:LUC63" si="253">SUM(LRR56:LRR57)</f>
        <v>0</v>
      </c>
      <c r="LRS63" s="44">
        <f t="shared" si="253"/>
        <v>0</v>
      </c>
      <c r="LRT63" s="44">
        <f t="shared" si="253"/>
        <v>0</v>
      </c>
      <c r="LRU63" s="44">
        <f t="shared" si="253"/>
        <v>0</v>
      </c>
      <c r="LRV63" s="44">
        <f t="shared" si="253"/>
        <v>0</v>
      </c>
      <c r="LRW63" s="44">
        <f t="shared" si="253"/>
        <v>0</v>
      </c>
      <c r="LRX63" s="44">
        <f t="shared" si="253"/>
        <v>0</v>
      </c>
      <c r="LRY63" s="44">
        <f t="shared" si="253"/>
        <v>0</v>
      </c>
      <c r="LRZ63" s="44">
        <f t="shared" si="253"/>
        <v>0</v>
      </c>
      <c r="LSA63" s="44">
        <f t="shared" si="253"/>
        <v>0</v>
      </c>
      <c r="LSB63" s="44">
        <f t="shared" si="253"/>
        <v>0</v>
      </c>
      <c r="LSC63" s="44">
        <f t="shared" si="253"/>
        <v>0</v>
      </c>
      <c r="LSD63" s="44">
        <f t="shared" si="253"/>
        <v>0</v>
      </c>
      <c r="LSE63" s="44">
        <f t="shared" si="253"/>
        <v>0</v>
      </c>
      <c r="LSF63" s="44">
        <f t="shared" si="253"/>
        <v>0</v>
      </c>
      <c r="LSG63" s="44">
        <f t="shared" si="253"/>
        <v>0</v>
      </c>
      <c r="LSH63" s="44">
        <f t="shared" si="253"/>
        <v>0</v>
      </c>
      <c r="LSI63" s="44">
        <f t="shared" si="253"/>
        <v>0</v>
      </c>
      <c r="LSJ63" s="44">
        <f t="shared" si="253"/>
        <v>0</v>
      </c>
      <c r="LSK63" s="44">
        <f t="shared" si="253"/>
        <v>0</v>
      </c>
      <c r="LSL63" s="44">
        <f t="shared" si="253"/>
        <v>0</v>
      </c>
      <c r="LSM63" s="44">
        <f t="shared" si="253"/>
        <v>0</v>
      </c>
      <c r="LSN63" s="44">
        <f t="shared" si="253"/>
        <v>0</v>
      </c>
      <c r="LSO63" s="44">
        <f t="shared" si="253"/>
        <v>0</v>
      </c>
      <c r="LSP63" s="44">
        <f t="shared" si="253"/>
        <v>0</v>
      </c>
      <c r="LSQ63" s="44">
        <f t="shared" si="253"/>
        <v>0</v>
      </c>
      <c r="LSR63" s="44">
        <f t="shared" si="253"/>
        <v>0</v>
      </c>
      <c r="LSS63" s="44">
        <f t="shared" si="253"/>
        <v>0</v>
      </c>
      <c r="LST63" s="44">
        <f t="shared" si="253"/>
        <v>0</v>
      </c>
      <c r="LSU63" s="44">
        <f t="shared" si="253"/>
        <v>0</v>
      </c>
      <c r="LSV63" s="44">
        <f t="shared" si="253"/>
        <v>0</v>
      </c>
      <c r="LSW63" s="44">
        <f t="shared" si="253"/>
        <v>0</v>
      </c>
      <c r="LSX63" s="44">
        <f t="shared" si="253"/>
        <v>0</v>
      </c>
      <c r="LSY63" s="44">
        <f t="shared" si="253"/>
        <v>0</v>
      </c>
      <c r="LSZ63" s="44">
        <f t="shared" si="253"/>
        <v>0</v>
      </c>
      <c r="LTA63" s="44">
        <f t="shared" si="253"/>
        <v>0</v>
      </c>
      <c r="LTB63" s="44">
        <f t="shared" si="253"/>
        <v>0</v>
      </c>
      <c r="LTC63" s="44">
        <f t="shared" si="253"/>
        <v>0</v>
      </c>
      <c r="LTD63" s="44">
        <f t="shared" si="253"/>
        <v>0</v>
      </c>
      <c r="LTE63" s="44">
        <f t="shared" si="253"/>
        <v>0</v>
      </c>
      <c r="LTF63" s="44">
        <f t="shared" si="253"/>
        <v>0</v>
      </c>
      <c r="LTG63" s="44">
        <f t="shared" si="253"/>
        <v>0</v>
      </c>
      <c r="LTH63" s="44">
        <f t="shared" si="253"/>
        <v>0</v>
      </c>
      <c r="LTI63" s="44">
        <f t="shared" si="253"/>
        <v>0</v>
      </c>
      <c r="LTJ63" s="44">
        <f t="shared" si="253"/>
        <v>0</v>
      </c>
      <c r="LTK63" s="44">
        <f t="shared" si="253"/>
        <v>0</v>
      </c>
      <c r="LTL63" s="44">
        <f t="shared" si="253"/>
        <v>0</v>
      </c>
      <c r="LTM63" s="44">
        <f t="shared" si="253"/>
        <v>0</v>
      </c>
      <c r="LTN63" s="44">
        <f t="shared" si="253"/>
        <v>0</v>
      </c>
      <c r="LTO63" s="44">
        <f t="shared" si="253"/>
        <v>0</v>
      </c>
      <c r="LTP63" s="44">
        <f t="shared" si="253"/>
        <v>0</v>
      </c>
      <c r="LTQ63" s="44">
        <f t="shared" si="253"/>
        <v>0</v>
      </c>
      <c r="LTR63" s="44">
        <f t="shared" si="253"/>
        <v>0</v>
      </c>
      <c r="LTS63" s="44">
        <f t="shared" si="253"/>
        <v>0</v>
      </c>
      <c r="LTT63" s="44">
        <f t="shared" si="253"/>
        <v>0</v>
      </c>
      <c r="LTU63" s="44">
        <f t="shared" si="253"/>
        <v>0</v>
      </c>
      <c r="LTV63" s="44">
        <f t="shared" si="253"/>
        <v>0</v>
      </c>
      <c r="LTW63" s="44">
        <f t="shared" si="253"/>
        <v>0</v>
      </c>
      <c r="LTX63" s="44">
        <f t="shared" si="253"/>
        <v>0</v>
      </c>
      <c r="LTY63" s="44">
        <f t="shared" si="253"/>
        <v>0</v>
      </c>
      <c r="LTZ63" s="44">
        <f t="shared" si="253"/>
        <v>0</v>
      </c>
      <c r="LUA63" s="44">
        <f t="shared" si="253"/>
        <v>0</v>
      </c>
      <c r="LUB63" s="44">
        <f t="shared" si="253"/>
        <v>0</v>
      </c>
      <c r="LUC63" s="44">
        <f t="shared" si="253"/>
        <v>0</v>
      </c>
      <c r="LUD63" s="44">
        <f t="shared" ref="LUD63:LWO63" si="254">SUM(LUD56:LUD57)</f>
        <v>0</v>
      </c>
      <c r="LUE63" s="44">
        <f t="shared" si="254"/>
        <v>0</v>
      </c>
      <c r="LUF63" s="44">
        <f t="shared" si="254"/>
        <v>0</v>
      </c>
      <c r="LUG63" s="44">
        <f t="shared" si="254"/>
        <v>0</v>
      </c>
      <c r="LUH63" s="44">
        <f t="shared" si="254"/>
        <v>0</v>
      </c>
      <c r="LUI63" s="44">
        <f t="shared" si="254"/>
        <v>0</v>
      </c>
      <c r="LUJ63" s="44">
        <f t="shared" si="254"/>
        <v>0</v>
      </c>
      <c r="LUK63" s="44">
        <f t="shared" si="254"/>
        <v>0</v>
      </c>
      <c r="LUL63" s="44">
        <f t="shared" si="254"/>
        <v>0</v>
      </c>
      <c r="LUM63" s="44">
        <f t="shared" si="254"/>
        <v>0</v>
      </c>
      <c r="LUN63" s="44">
        <f t="shared" si="254"/>
        <v>0</v>
      </c>
      <c r="LUO63" s="44">
        <f t="shared" si="254"/>
        <v>0</v>
      </c>
      <c r="LUP63" s="44">
        <f t="shared" si="254"/>
        <v>0</v>
      </c>
      <c r="LUQ63" s="44">
        <f t="shared" si="254"/>
        <v>0</v>
      </c>
      <c r="LUR63" s="44">
        <f t="shared" si="254"/>
        <v>0</v>
      </c>
      <c r="LUS63" s="44">
        <f t="shared" si="254"/>
        <v>0</v>
      </c>
      <c r="LUT63" s="44">
        <f t="shared" si="254"/>
        <v>0</v>
      </c>
      <c r="LUU63" s="44">
        <f t="shared" si="254"/>
        <v>0</v>
      </c>
      <c r="LUV63" s="44">
        <f t="shared" si="254"/>
        <v>0</v>
      </c>
      <c r="LUW63" s="44">
        <f t="shared" si="254"/>
        <v>0</v>
      </c>
      <c r="LUX63" s="44">
        <f t="shared" si="254"/>
        <v>0</v>
      </c>
      <c r="LUY63" s="44">
        <f t="shared" si="254"/>
        <v>0</v>
      </c>
      <c r="LUZ63" s="44">
        <f t="shared" si="254"/>
        <v>0</v>
      </c>
      <c r="LVA63" s="44">
        <f t="shared" si="254"/>
        <v>0</v>
      </c>
      <c r="LVB63" s="44">
        <f t="shared" si="254"/>
        <v>0</v>
      </c>
      <c r="LVC63" s="44">
        <f t="shared" si="254"/>
        <v>0</v>
      </c>
      <c r="LVD63" s="44">
        <f t="shared" si="254"/>
        <v>0</v>
      </c>
      <c r="LVE63" s="44">
        <f t="shared" si="254"/>
        <v>0</v>
      </c>
      <c r="LVF63" s="44">
        <f t="shared" si="254"/>
        <v>0</v>
      </c>
      <c r="LVG63" s="44">
        <f t="shared" si="254"/>
        <v>0</v>
      </c>
      <c r="LVH63" s="44">
        <f t="shared" si="254"/>
        <v>0</v>
      </c>
      <c r="LVI63" s="44">
        <f t="shared" si="254"/>
        <v>0</v>
      </c>
      <c r="LVJ63" s="44">
        <f t="shared" si="254"/>
        <v>0</v>
      </c>
      <c r="LVK63" s="44">
        <f t="shared" si="254"/>
        <v>0</v>
      </c>
      <c r="LVL63" s="44">
        <f t="shared" si="254"/>
        <v>0</v>
      </c>
      <c r="LVM63" s="44">
        <f t="shared" si="254"/>
        <v>0</v>
      </c>
      <c r="LVN63" s="44">
        <f t="shared" si="254"/>
        <v>0</v>
      </c>
      <c r="LVO63" s="44">
        <f t="shared" si="254"/>
        <v>0</v>
      </c>
      <c r="LVP63" s="44">
        <f t="shared" si="254"/>
        <v>0</v>
      </c>
      <c r="LVQ63" s="44">
        <f t="shared" si="254"/>
        <v>0</v>
      </c>
      <c r="LVR63" s="44">
        <f t="shared" si="254"/>
        <v>0</v>
      </c>
      <c r="LVS63" s="44">
        <f t="shared" si="254"/>
        <v>0</v>
      </c>
      <c r="LVT63" s="44">
        <f t="shared" si="254"/>
        <v>0</v>
      </c>
      <c r="LVU63" s="44">
        <f t="shared" si="254"/>
        <v>0</v>
      </c>
      <c r="LVV63" s="44">
        <f t="shared" si="254"/>
        <v>0</v>
      </c>
      <c r="LVW63" s="44">
        <f t="shared" si="254"/>
        <v>0</v>
      </c>
      <c r="LVX63" s="44">
        <f t="shared" si="254"/>
        <v>0</v>
      </c>
      <c r="LVY63" s="44">
        <f t="shared" si="254"/>
        <v>0</v>
      </c>
      <c r="LVZ63" s="44">
        <f t="shared" si="254"/>
        <v>0</v>
      </c>
      <c r="LWA63" s="44">
        <f t="shared" si="254"/>
        <v>0</v>
      </c>
      <c r="LWB63" s="44">
        <f t="shared" si="254"/>
        <v>0</v>
      </c>
      <c r="LWC63" s="44">
        <f t="shared" si="254"/>
        <v>0</v>
      </c>
      <c r="LWD63" s="44">
        <f t="shared" si="254"/>
        <v>0</v>
      </c>
      <c r="LWE63" s="44">
        <f t="shared" si="254"/>
        <v>0</v>
      </c>
      <c r="LWF63" s="44">
        <f t="shared" si="254"/>
        <v>0</v>
      </c>
      <c r="LWG63" s="44">
        <f t="shared" si="254"/>
        <v>0</v>
      </c>
      <c r="LWH63" s="44">
        <f t="shared" si="254"/>
        <v>0</v>
      </c>
      <c r="LWI63" s="44">
        <f t="shared" si="254"/>
        <v>0</v>
      </c>
      <c r="LWJ63" s="44">
        <f t="shared" si="254"/>
        <v>0</v>
      </c>
      <c r="LWK63" s="44">
        <f t="shared" si="254"/>
        <v>0</v>
      </c>
      <c r="LWL63" s="44">
        <f t="shared" si="254"/>
        <v>0</v>
      </c>
      <c r="LWM63" s="44">
        <f t="shared" si="254"/>
        <v>0</v>
      </c>
      <c r="LWN63" s="44">
        <f t="shared" si="254"/>
        <v>0</v>
      </c>
      <c r="LWO63" s="44">
        <f t="shared" si="254"/>
        <v>0</v>
      </c>
      <c r="LWP63" s="44">
        <f t="shared" ref="LWP63:LZA63" si="255">SUM(LWP56:LWP57)</f>
        <v>0</v>
      </c>
      <c r="LWQ63" s="44">
        <f t="shared" si="255"/>
        <v>0</v>
      </c>
      <c r="LWR63" s="44">
        <f t="shared" si="255"/>
        <v>0</v>
      </c>
      <c r="LWS63" s="44">
        <f t="shared" si="255"/>
        <v>0</v>
      </c>
      <c r="LWT63" s="44">
        <f t="shared" si="255"/>
        <v>0</v>
      </c>
      <c r="LWU63" s="44">
        <f t="shared" si="255"/>
        <v>0</v>
      </c>
      <c r="LWV63" s="44">
        <f t="shared" si="255"/>
        <v>0</v>
      </c>
      <c r="LWW63" s="44">
        <f t="shared" si="255"/>
        <v>0</v>
      </c>
      <c r="LWX63" s="44">
        <f t="shared" si="255"/>
        <v>0</v>
      </c>
      <c r="LWY63" s="44">
        <f t="shared" si="255"/>
        <v>0</v>
      </c>
      <c r="LWZ63" s="44">
        <f t="shared" si="255"/>
        <v>0</v>
      </c>
      <c r="LXA63" s="44">
        <f t="shared" si="255"/>
        <v>0</v>
      </c>
      <c r="LXB63" s="44">
        <f t="shared" si="255"/>
        <v>0</v>
      </c>
      <c r="LXC63" s="44">
        <f t="shared" si="255"/>
        <v>0</v>
      </c>
      <c r="LXD63" s="44">
        <f t="shared" si="255"/>
        <v>0</v>
      </c>
      <c r="LXE63" s="44">
        <f t="shared" si="255"/>
        <v>0</v>
      </c>
      <c r="LXF63" s="44">
        <f t="shared" si="255"/>
        <v>0</v>
      </c>
      <c r="LXG63" s="44">
        <f t="shared" si="255"/>
        <v>0</v>
      </c>
      <c r="LXH63" s="44">
        <f t="shared" si="255"/>
        <v>0</v>
      </c>
      <c r="LXI63" s="44">
        <f t="shared" si="255"/>
        <v>0</v>
      </c>
      <c r="LXJ63" s="44">
        <f t="shared" si="255"/>
        <v>0</v>
      </c>
      <c r="LXK63" s="44">
        <f t="shared" si="255"/>
        <v>0</v>
      </c>
      <c r="LXL63" s="44">
        <f t="shared" si="255"/>
        <v>0</v>
      </c>
      <c r="LXM63" s="44">
        <f t="shared" si="255"/>
        <v>0</v>
      </c>
      <c r="LXN63" s="44">
        <f t="shared" si="255"/>
        <v>0</v>
      </c>
      <c r="LXO63" s="44">
        <f t="shared" si="255"/>
        <v>0</v>
      </c>
      <c r="LXP63" s="44">
        <f t="shared" si="255"/>
        <v>0</v>
      </c>
      <c r="LXQ63" s="44">
        <f t="shared" si="255"/>
        <v>0</v>
      </c>
      <c r="LXR63" s="44">
        <f t="shared" si="255"/>
        <v>0</v>
      </c>
      <c r="LXS63" s="44">
        <f t="shared" si="255"/>
        <v>0</v>
      </c>
      <c r="LXT63" s="44">
        <f t="shared" si="255"/>
        <v>0</v>
      </c>
      <c r="LXU63" s="44">
        <f t="shared" si="255"/>
        <v>0</v>
      </c>
      <c r="LXV63" s="44">
        <f t="shared" si="255"/>
        <v>0</v>
      </c>
      <c r="LXW63" s="44">
        <f t="shared" si="255"/>
        <v>0</v>
      </c>
      <c r="LXX63" s="44">
        <f t="shared" si="255"/>
        <v>0</v>
      </c>
      <c r="LXY63" s="44">
        <f t="shared" si="255"/>
        <v>0</v>
      </c>
      <c r="LXZ63" s="44">
        <f t="shared" si="255"/>
        <v>0</v>
      </c>
      <c r="LYA63" s="44">
        <f t="shared" si="255"/>
        <v>0</v>
      </c>
      <c r="LYB63" s="44">
        <f t="shared" si="255"/>
        <v>0</v>
      </c>
      <c r="LYC63" s="44">
        <f t="shared" si="255"/>
        <v>0</v>
      </c>
      <c r="LYD63" s="44">
        <f t="shared" si="255"/>
        <v>0</v>
      </c>
      <c r="LYE63" s="44">
        <f t="shared" si="255"/>
        <v>0</v>
      </c>
      <c r="LYF63" s="44">
        <f t="shared" si="255"/>
        <v>0</v>
      </c>
      <c r="LYG63" s="44">
        <f t="shared" si="255"/>
        <v>0</v>
      </c>
      <c r="LYH63" s="44">
        <f t="shared" si="255"/>
        <v>0</v>
      </c>
      <c r="LYI63" s="44">
        <f t="shared" si="255"/>
        <v>0</v>
      </c>
      <c r="LYJ63" s="44">
        <f t="shared" si="255"/>
        <v>0</v>
      </c>
      <c r="LYK63" s="44">
        <f t="shared" si="255"/>
        <v>0</v>
      </c>
      <c r="LYL63" s="44">
        <f t="shared" si="255"/>
        <v>0</v>
      </c>
      <c r="LYM63" s="44">
        <f t="shared" si="255"/>
        <v>0</v>
      </c>
      <c r="LYN63" s="44">
        <f t="shared" si="255"/>
        <v>0</v>
      </c>
      <c r="LYO63" s="44">
        <f t="shared" si="255"/>
        <v>0</v>
      </c>
      <c r="LYP63" s="44">
        <f t="shared" si="255"/>
        <v>0</v>
      </c>
      <c r="LYQ63" s="44">
        <f t="shared" si="255"/>
        <v>0</v>
      </c>
      <c r="LYR63" s="44">
        <f t="shared" si="255"/>
        <v>0</v>
      </c>
      <c r="LYS63" s="44">
        <f t="shared" si="255"/>
        <v>0</v>
      </c>
      <c r="LYT63" s="44">
        <f t="shared" si="255"/>
        <v>0</v>
      </c>
      <c r="LYU63" s="44">
        <f t="shared" si="255"/>
        <v>0</v>
      </c>
      <c r="LYV63" s="44">
        <f t="shared" si="255"/>
        <v>0</v>
      </c>
      <c r="LYW63" s="44">
        <f t="shared" si="255"/>
        <v>0</v>
      </c>
      <c r="LYX63" s="44">
        <f t="shared" si="255"/>
        <v>0</v>
      </c>
      <c r="LYY63" s="44">
        <f t="shared" si="255"/>
        <v>0</v>
      </c>
      <c r="LYZ63" s="44">
        <f t="shared" si="255"/>
        <v>0</v>
      </c>
      <c r="LZA63" s="44">
        <f t="shared" si="255"/>
        <v>0</v>
      </c>
      <c r="LZB63" s="44">
        <f t="shared" ref="LZB63:MBM63" si="256">SUM(LZB56:LZB57)</f>
        <v>0</v>
      </c>
      <c r="LZC63" s="44">
        <f t="shared" si="256"/>
        <v>0</v>
      </c>
      <c r="LZD63" s="44">
        <f t="shared" si="256"/>
        <v>0</v>
      </c>
      <c r="LZE63" s="44">
        <f t="shared" si="256"/>
        <v>0</v>
      </c>
      <c r="LZF63" s="44">
        <f t="shared" si="256"/>
        <v>0</v>
      </c>
      <c r="LZG63" s="44">
        <f t="shared" si="256"/>
        <v>0</v>
      </c>
      <c r="LZH63" s="44">
        <f t="shared" si="256"/>
        <v>0</v>
      </c>
      <c r="LZI63" s="44">
        <f t="shared" si="256"/>
        <v>0</v>
      </c>
      <c r="LZJ63" s="44">
        <f t="shared" si="256"/>
        <v>0</v>
      </c>
      <c r="LZK63" s="44">
        <f t="shared" si="256"/>
        <v>0</v>
      </c>
      <c r="LZL63" s="44">
        <f t="shared" si="256"/>
        <v>0</v>
      </c>
      <c r="LZM63" s="44">
        <f t="shared" si="256"/>
        <v>0</v>
      </c>
      <c r="LZN63" s="44">
        <f t="shared" si="256"/>
        <v>0</v>
      </c>
      <c r="LZO63" s="44">
        <f t="shared" si="256"/>
        <v>0</v>
      </c>
      <c r="LZP63" s="44">
        <f t="shared" si="256"/>
        <v>0</v>
      </c>
      <c r="LZQ63" s="44">
        <f t="shared" si="256"/>
        <v>0</v>
      </c>
      <c r="LZR63" s="44">
        <f t="shared" si="256"/>
        <v>0</v>
      </c>
      <c r="LZS63" s="44">
        <f t="shared" si="256"/>
        <v>0</v>
      </c>
      <c r="LZT63" s="44">
        <f t="shared" si="256"/>
        <v>0</v>
      </c>
      <c r="LZU63" s="44">
        <f t="shared" si="256"/>
        <v>0</v>
      </c>
      <c r="LZV63" s="44">
        <f t="shared" si="256"/>
        <v>0</v>
      </c>
      <c r="LZW63" s="44">
        <f t="shared" si="256"/>
        <v>0</v>
      </c>
      <c r="LZX63" s="44">
        <f t="shared" si="256"/>
        <v>0</v>
      </c>
      <c r="LZY63" s="44">
        <f t="shared" si="256"/>
        <v>0</v>
      </c>
      <c r="LZZ63" s="44">
        <f t="shared" si="256"/>
        <v>0</v>
      </c>
      <c r="MAA63" s="44">
        <f t="shared" si="256"/>
        <v>0</v>
      </c>
      <c r="MAB63" s="44">
        <f t="shared" si="256"/>
        <v>0</v>
      </c>
      <c r="MAC63" s="44">
        <f t="shared" si="256"/>
        <v>0</v>
      </c>
      <c r="MAD63" s="44">
        <f t="shared" si="256"/>
        <v>0</v>
      </c>
      <c r="MAE63" s="44">
        <f t="shared" si="256"/>
        <v>0</v>
      </c>
      <c r="MAF63" s="44">
        <f t="shared" si="256"/>
        <v>0</v>
      </c>
      <c r="MAG63" s="44">
        <f t="shared" si="256"/>
        <v>0</v>
      </c>
      <c r="MAH63" s="44">
        <f t="shared" si="256"/>
        <v>0</v>
      </c>
      <c r="MAI63" s="44">
        <f t="shared" si="256"/>
        <v>0</v>
      </c>
      <c r="MAJ63" s="44">
        <f t="shared" si="256"/>
        <v>0</v>
      </c>
      <c r="MAK63" s="44">
        <f t="shared" si="256"/>
        <v>0</v>
      </c>
      <c r="MAL63" s="44">
        <f t="shared" si="256"/>
        <v>0</v>
      </c>
      <c r="MAM63" s="44">
        <f t="shared" si="256"/>
        <v>0</v>
      </c>
      <c r="MAN63" s="44">
        <f t="shared" si="256"/>
        <v>0</v>
      </c>
      <c r="MAO63" s="44">
        <f t="shared" si="256"/>
        <v>0</v>
      </c>
      <c r="MAP63" s="44">
        <f t="shared" si="256"/>
        <v>0</v>
      </c>
      <c r="MAQ63" s="44">
        <f t="shared" si="256"/>
        <v>0</v>
      </c>
      <c r="MAR63" s="44">
        <f t="shared" si="256"/>
        <v>0</v>
      </c>
      <c r="MAS63" s="44">
        <f t="shared" si="256"/>
        <v>0</v>
      </c>
      <c r="MAT63" s="44">
        <f t="shared" si="256"/>
        <v>0</v>
      </c>
      <c r="MAU63" s="44">
        <f t="shared" si="256"/>
        <v>0</v>
      </c>
      <c r="MAV63" s="44">
        <f t="shared" si="256"/>
        <v>0</v>
      </c>
      <c r="MAW63" s="44">
        <f t="shared" si="256"/>
        <v>0</v>
      </c>
      <c r="MAX63" s="44">
        <f t="shared" si="256"/>
        <v>0</v>
      </c>
      <c r="MAY63" s="44">
        <f t="shared" si="256"/>
        <v>0</v>
      </c>
      <c r="MAZ63" s="44">
        <f t="shared" si="256"/>
        <v>0</v>
      </c>
      <c r="MBA63" s="44">
        <f t="shared" si="256"/>
        <v>0</v>
      </c>
      <c r="MBB63" s="44">
        <f t="shared" si="256"/>
        <v>0</v>
      </c>
      <c r="MBC63" s="44">
        <f t="shared" si="256"/>
        <v>0</v>
      </c>
      <c r="MBD63" s="44">
        <f t="shared" si="256"/>
        <v>0</v>
      </c>
      <c r="MBE63" s="44">
        <f t="shared" si="256"/>
        <v>0</v>
      </c>
      <c r="MBF63" s="44">
        <f t="shared" si="256"/>
        <v>0</v>
      </c>
      <c r="MBG63" s="44">
        <f t="shared" si="256"/>
        <v>0</v>
      </c>
      <c r="MBH63" s="44">
        <f t="shared" si="256"/>
        <v>0</v>
      </c>
      <c r="MBI63" s="44">
        <f t="shared" si="256"/>
        <v>0</v>
      </c>
      <c r="MBJ63" s="44">
        <f t="shared" si="256"/>
        <v>0</v>
      </c>
      <c r="MBK63" s="44">
        <f t="shared" si="256"/>
        <v>0</v>
      </c>
      <c r="MBL63" s="44">
        <f t="shared" si="256"/>
        <v>0</v>
      </c>
      <c r="MBM63" s="44">
        <f t="shared" si="256"/>
        <v>0</v>
      </c>
      <c r="MBN63" s="44">
        <f t="shared" ref="MBN63:MDY63" si="257">SUM(MBN56:MBN57)</f>
        <v>0</v>
      </c>
      <c r="MBO63" s="44">
        <f t="shared" si="257"/>
        <v>0</v>
      </c>
      <c r="MBP63" s="44">
        <f t="shared" si="257"/>
        <v>0</v>
      </c>
      <c r="MBQ63" s="44">
        <f t="shared" si="257"/>
        <v>0</v>
      </c>
      <c r="MBR63" s="44">
        <f t="shared" si="257"/>
        <v>0</v>
      </c>
      <c r="MBS63" s="44">
        <f t="shared" si="257"/>
        <v>0</v>
      </c>
      <c r="MBT63" s="44">
        <f t="shared" si="257"/>
        <v>0</v>
      </c>
      <c r="MBU63" s="44">
        <f t="shared" si="257"/>
        <v>0</v>
      </c>
      <c r="MBV63" s="44">
        <f t="shared" si="257"/>
        <v>0</v>
      </c>
      <c r="MBW63" s="44">
        <f t="shared" si="257"/>
        <v>0</v>
      </c>
      <c r="MBX63" s="44">
        <f t="shared" si="257"/>
        <v>0</v>
      </c>
      <c r="MBY63" s="44">
        <f t="shared" si="257"/>
        <v>0</v>
      </c>
      <c r="MBZ63" s="44">
        <f t="shared" si="257"/>
        <v>0</v>
      </c>
      <c r="MCA63" s="44">
        <f t="shared" si="257"/>
        <v>0</v>
      </c>
      <c r="MCB63" s="44">
        <f t="shared" si="257"/>
        <v>0</v>
      </c>
      <c r="MCC63" s="44">
        <f t="shared" si="257"/>
        <v>0</v>
      </c>
      <c r="MCD63" s="44">
        <f t="shared" si="257"/>
        <v>0</v>
      </c>
      <c r="MCE63" s="44">
        <f t="shared" si="257"/>
        <v>0</v>
      </c>
      <c r="MCF63" s="44">
        <f t="shared" si="257"/>
        <v>0</v>
      </c>
      <c r="MCG63" s="44">
        <f t="shared" si="257"/>
        <v>0</v>
      </c>
      <c r="MCH63" s="44">
        <f t="shared" si="257"/>
        <v>0</v>
      </c>
      <c r="MCI63" s="44">
        <f t="shared" si="257"/>
        <v>0</v>
      </c>
      <c r="MCJ63" s="44">
        <f t="shared" si="257"/>
        <v>0</v>
      </c>
      <c r="MCK63" s="44">
        <f t="shared" si="257"/>
        <v>0</v>
      </c>
      <c r="MCL63" s="44">
        <f t="shared" si="257"/>
        <v>0</v>
      </c>
      <c r="MCM63" s="44">
        <f t="shared" si="257"/>
        <v>0</v>
      </c>
      <c r="MCN63" s="44">
        <f t="shared" si="257"/>
        <v>0</v>
      </c>
      <c r="MCO63" s="44">
        <f t="shared" si="257"/>
        <v>0</v>
      </c>
      <c r="MCP63" s="44">
        <f t="shared" si="257"/>
        <v>0</v>
      </c>
      <c r="MCQ63" s="44">
        <f t="shared" si="257"/>
        <v>0</v>
      </c>
      <c r="MCR63" s="44">
        <f t="shared" si="257"/>
        <v>0</v>
      </c>
      <c r="MCS63" s="44">
        <f t="shared" si="257"/>
        <v>0</v>
      </c>
      <c r="MCT63" s="44">
        <f t="shared" si="257"/>
        <v>0</v>
      </c>
      <c r="MCU63" s="44">
        <f t="shared" si="257"/>
        <v>0</v>
      </c>
      <c r="MCV63" s="44">
        <f t="shared" si="257"/>
        <v>0</v>
      </c>
      <c r="MCW63" s="44">
        <f t="shared" si="257"/>
        <v>0</v>
      </c>
      <c r="MCX63" s="44">
        <f t="shared" si="257"/>
        <v>0</v>
      </c>
      <c r="MCY63" s="44">
        <f t="shared" si="257"/>
        <v>0</v>
      </c>
      <c r="MCZ63" s="44">
        <f t="shared" si="257"/>
        <v>0</v>
      </c>
      <c r="MDA63" s="44">
        <f t="shared" si="257"/>
        <v>0</v>
      </c>
      <c r="MDB63" s="44">
        <f t="shared" si="257"/>
        <v>0</v>
      </c>
      <c r="MDC63" s="44">
        <f t="shared" si="257"/>
        <v>0</v>
      </c>
      <c r="MDD63" s="44">
        <f t="shared" si="257"/>
        <v>0</v>
      </c>
      <c r="MDE63" s="44">
        <f t="shared" si="257"/>
        <v>0</v>
      </c>
      <c r="MDF63" s="44">
        <f t="shared" si="257"/>
        <v>0</v>
      </c>
      <c r="MDG63" s="44">
        <f t="shared" si="257"/>
        <v>0</v>
      </c>
      <c r="MDH63" s="44">
        <f t="shared" si="257"/>
        <v>0</v>
      </c>
      <c r="MDI63" s="44">
        <f t="shared" si="257"/>
        <v>0</v>
      </c>
      <c r="MDJ63" s="44">
        <f t="shared" si="257"/>
        <v>0</v>
      </c>
      <c r="MDK63" s="44">
        <f t="shared" si="257"/>
        <v>0</v>
      </c>
      <c r="MDL63" s="44">
        <f t="shared" si="257"/>
        <v>0</v>
      </c>
      <c r="MDM63" s="44">
        <f t="shared" si="257"/>
        <v>0</v>
      </c>
      <c r="MDN63" s="44">
        <f t="shared" si="257"/>
        <v>0</v>
      </c>
      <c r="MDO63" s="44">
        <f t="shared" si="257"/>
        <v>0</v>
      </c>
      <c r="MDP63" s="44">
        <f t="shared" si="257"/>
        <v>0</v>
      </c>
      <c r="MDQ63" s="44">
        <f t="shared" si="257"/>
        <v>0</v>
      </c>
      <c r="MDR63" s="44">
        <f t="shared" si="257"/>
        <v>0</v>
      </c>
      <c r="MDS63" s="44">
        <f t="shared" si="257"/>
        <v>0</v>
      </c>
      <c r="MDT63" s="44">
        <f t="shared" si="257"/>
        <v>0</v>
      </c>
      <c r="MDU63" s="44">
        <f t="shared" si="257"/>
        <v>0</v>
      </c>
      <c r="MDV63" s="44">
        <f t="shared" si="257"/>
        <v>0</v>
      </c>
      <c r="MDW63" s="44">
        <f t="shared" si="257"/>
        <v>0</v>
      </c>
      <c r="MDX63" s="44">
        <f t="shared" si="257"/>
        <v>0</v>
      </c>
      <c r="MDY63" s="44">
        <f t="shared" si="257"/>
        <v>0</v>
      </c>
      <c r="MDZ63" s="44">
        <f t="shared" ref="MDZ63:MGK63" si="258">SUM(MDZ56:MDZ57)</f>
        <v>0</v>
      </c>
      <c r="MEA63" s="44">
        <f t="shared" si="258"/>
        <v>0</v>
      </c>
      <c r="MEB63" s="44">
        <f t="shared" si="258"/>
        <v>0</v>
      </c>
      <c r="MEC63" s="44">
        <f t="shared" si="258"/>
        <v>0</v>
      </c>
      <c r="MED63" s="44">
        <f t="shared" si="258"/>
        <v>0</v>
      </c>
      <c r="MEE63" s="44">
        <f t="shared" si="258"/>
        <v>0</v>
      </c>
      <c r="MEF63" s="44">
        <f t="shared" si="258"/>
        <v>0</v>
      </c>
      <c r="MEG63" s="44">
        <f t="shared" si="258"/>
        <v>0</v>
      </c>
      <c r="MEH63" s="44">
        <f t="shared" si="258"/>
        <v>0</v>
      </c>
      <c r="MEI63" s="44">
        <f t="shared" si="258"/>
        <v>0</v>
      </c>
      <c r="MEJ63" s="44">
        <f t="shared" si="258"/>
        <v>0</v>
      </c>
      <c r="MEK63" s="44">
        <f t="shared" si="258"/>
        <v>0</v>
      </c>
      <c r="MEL63" s="44">
        <f t="shared" si="258"/>
        <v>0</v>
      </c>
      <c r="MEM63" s="44">
        <f t="shared" si="258"/>
        <v>0</v>
      </c>
      <c r="MEN63" s="44">
        <f t="shared" si="258"/>
        <v>0</v>
      </c>
      <c r="MEO63" s="44">
        <f t="shared" si="258"/>
        <v>0</v>
      </c>
      <c r="MEP63" s="44">
        <f t="shared" si="258"/>
        <v>0</v>
      </c>
      <c r="MEQ63" s="44">
        <f t="shared" si="258"/>
        <v>0</v>
      </c>
      <c r="MER63" s="44">
        <f t="shared" si="258"/>
        <v>0</v>
      </c>
      <c r="MES63" s="44">
        <f t="shared" si="258"/>
        <v>0</v>
      </c>
      <c r="MET63" s="44">
        <f t="shared" si="258"/>
        <v>0</v>
      </c>
      <c r="MEU63" s="44">
        <f t="shared" si="258"/>
        <v>0</v>
      </c>
      <c r="MEV63" s="44">
        <f t="shared" si="258"/>
        <v>0</v>
      </c>
      <c r="MEW63" s="44">
        <f t="shared" si="258"/>
        <v>0</v>
      </c>
      <c r="MEX63" s="44">
        <f t="shared" si="258"/>
        <v>0</v>
      </c>
      <c r="MEY63" s="44">
        <f t="shared" si="258"/>
        <v>0</v>
      </c>
      <c r="MEZ63" s="44">
        <f t="shared" si="258"/>
        <v>0</v>
      </c>
      <c r="MFA63" s="44">
        <f t="shared" si="258"/>
        <v>0</v>
      </c>
      <c r="MFB63" s="44">
        <f t="shared" si="258"/>
        <v>0</v>
      </c>
      <c r="MFC63" s="44">
        <f t="shared" si="258"/>
        <v>0</v>
      </c>
      <c r="MFD63" s="44">
        <f t="shared" si="258"/>
        <v>0</v>
      </c>
      <c r="MFE63" s="44">
        <f t="shared" si="258"/>
        <v>0</v>
      </c>
      <c r="MFF63" s="44">
        <f t="shared" si="258"/>
        <v>0</v>
      </c>
      <c r="MFG63" s="44">
        <f t="shared" si="258"/>
        <v>0</v>
      </c>
      <c r="MFH63" s="44">
        <f t="shared" si="258"/>
        <v>0</v>
      </c>
      <c r="MFI63" s="44">
        <f t="shared" si="258"/>
        <v>0</v>
      </c>
      <c r="MFJ63" s="44">
        <f t="shared" si="258"/>
        <v>0</v>
      </c>
      <c r="MFK63" s="44">
        <f t="shared" si="258"/>
        <v>0</v>
      </c>
      <c r="MFL63" s="44">
        <f t="shared" si="258"/>
        <v>0</v>
      </c>
      <c r="MFM63" s="44">
        <f t="shared" si="258"/>
        <v>0</v>
      </c>
      <c r="MFN63" s="44">
        <f t="shared" si="258"/>
        <v>0</v>
      </c>
      <c r="MFO63" s="44">
        <f t="shared" si="258"/>
        <v>0</v>
      </c>
      <c r="MFP63" s="44">
        <f t="shared" si="258"/>
        <v>0</v>
      </c>
      <c r="MFQ63" s="44">
        <f t="shared" si="258"/>
        <v>0</v>
      </c>
      <c r="MFR63" s="44">
        <f t="shared" si="258"/>
        <v>0</v>
      </c>
      <c r="MFS63" s="44">
        <f t="shared" si="258"/>
        <v>0</v>
      </c>
      <c r="MFT63" s="44">
        <f t="shared" si="258"/>
        <v>0</v>
      </c>
      <c r="MFU63" s="44">
        <f t="shared" si="258"/>
        <v>0</v>
      </c>
      <c r="MFV63" s="44">
        <f t="shared" si="258"/>
        <v>0</v>
      </c>
      <c r="MFW63" s="44">
        <f t="shared" si="258"/>
        <v>0</v>
      </c>
      <c r="MFX63" s="44">
        <f t="shared" si="258"/>
        <v>0</v>
      </c>
      <c r="MFY63" s="44">
        <f t="shared" si="258"/>
        <v>0</v>
      </c>
      <c r="MFZ63" s="44">
        <f t="shared" si="258"/>
        <v>0</v>
      </c>
      <c r="MGA63" s="44">
        <f t="shared" si="258"/>
        <v>0</v>
      </c>
      <c r="MGB63" s="44">
        <f t="shared" si="258"/>
        <v>0</v>
      </c>
      <c r="MGC63" s="44">
        <f t="shared" si="258"/>
        <v>0</v>
      </c>
      <c r="MGD63" s="44">
        <f t="shared" si="258"/>
        <v>0</v>
      </c>
      <c r="MGE63" s="44">
        <f t="shared" si="258"/>
        <v>0</v>
      </c>
      <c r="MGF63" s="44">
        <f t="shared" si="258"/>
        <v>0</v>
      </c>
      <c r="MGG63" s="44">
        <f t="shared" si="258"/>
        <v>0</v>
      </c>
      <c r="MGH63" s="44">
        <f t="shared" si="258"/>
        <v>0</v>
      </c>
      <c r="MGI63" s="44">
        <f t="shared" si="258"/>
        <v>0</v>
      </c>
      <c r="MGJ63" s="44">
        <f t="shared" si="258"/>
        <v>0</v>
      </c>
      <c r="MGK63" s="44">
        <f t="shared" si="258"/>
        <v>0</v>
      </c>
      <c r="MGL63" s="44">
        <f t="shared" ref="MGL63:MIW63" si="259">SUM(MGL56:MGL57)</f>
        <v>0</v>
      </c>
      <c r="MGM63" s="44">
        <f t="shared" si="259"/>
        <v>0</v>
      </c>
      <c r="MGN63" s="44">
        <f t="shared" si="259"/>
        <v>0</v>
      </c>
      <c r="MGO63" s="44">
        <f t="shared" si="259"/>
        <v>0</v>
      </c>
      <c r="MGP63" s="44">
        <f t="shared" si="259"/>
        <v>0</v>
      </c>
      <c r="MGQ63" s="44">
        <f t="shared" si="259"/>
        <v>0</v>
      </c>
      <c r="MGR63" s="44">
        <f t="shared" si="259"/>
        <v>0</v>
      </c>
      <c r="MGS63" s="44">
        <f t="shared" si="259"/>
        <v>0</v>
      </c>
      <c r="MGT63" s="44">
        <f t="shared" si="259"/>
        <v>0</v>
      </c>
      <c r="MGU63" s="44">
        <f t="shared" si="259"/>
        <v>0</v>
      </c>
      <c r="MGV63" s="44">
        <f t="shared" si="259"/>
        <v>0</v>
      </c>
      <c r="MGW63" s="44">
        <f t="shared" si="259"/>
        <v>0</v>
      </c>
      <c r="MGX63" s="44">
        <f t="shared" si="259"/>
        <v>0</v>
      </c>
      <c r="MGY63" s="44">
        <f t="shared" si="259"/>
        <v>0</v>
      </c>
      <c r="MGZ63" s="44">
        <f t="shared" si="259"/>
        <v>0</v>
      </c>
      <c r="MHA63" s="44">
        <f t="shared" si="259"/>
        <v>0</v>
      </c>
      <c r="MHB63" s="44">
        <f t="shared" si="259"/>
        <v>0</v>
      </c>
      <c r="MHC63" s="44">
        <f t="shared" si="259"/>
        <v>0</v>
      </c>
      <c r="MHD63" s="44">
        <f t="shared" si="259"/>
        <v>0</v>
      </c>
      <c r="MHE63" s="44">
        <f t="shared" si="259"/>
        <v>0</v>
      </c>
      <c r="MHF63" s="44">
        <f t="shared" si="259"/>
        <v>0</v>
      </c>
      <c r="MHG63" s="44">
        <f t="shared" si="259"/>
        <v>0</v>
      </c>
      <c r="MHH63" s="44">
        <f t="shared" si="259"/>
        <v>0</v>
      </c>
      <c r="MHI63" s="44">
        <f t="shared" si="259"/>
        <v>0</v>
      </c>
      <c r="MHJ63" s="44">
        <f t="shared" si="259"/>
        <v>0</v>
      </c>
      <c r="MHK63" s="44">
        <f t="shared" si="259"/>
        <v>0</v>
      </c>
      <c r="MHL63" s="44">
        <f t="shared" si="259"/>
        <v>0</v>
      </c>
      <c r="MHM63" s="44">
        <f t="shared" si="259"/>
        <v>0</v>
      </c>
      <c r="MHN63" s="44">
        <f t="shared" si="259"/>
        <v>0</v>
      </c>
      <c r="MHO63" s="44">
        <f t="shared" si="259"/>
        <v>0</v>
      </c>
      <c r="MHP63" s="44">
        <f t="shared" si="259"/>
        <v>0</v>
      </c>
      <c r="MHQ63" s="44">
        <f t="shared" si="259"/>
        <v>0</v>
      </c>
      <c r="MHR63" s="44">
        <f t="shared" si="259"/>
        <v>0</v>
      </c>
      <c r="MHS63" s="44">
        <f t="shared" si="259"/>
        <v>0</v>
      </c>
      <c r="MHT63" s="44">
        <f t="shared" si="259"/>
        <v>0</v>
      </c>
      <c r="MHU63" s="44">
        <f t="shared" si="259"/>
        <v>0</v>
      </c>
      <c r="MHV63" s="44">
        <f t="shared" si="259"/>
        <v>0</v>
      </c>
      <c r="MHW63" s="44">
        <f t="shared" si="259"/>
        <v>0</v>
      </c>
      <c r="MHX63" s="44">
        <f t="shared" si="259"/>
        <v>0</v>
      </c>
      <c r="MHY63" s="44">
        <f t="shared" si="259"/>
        <v>0</v>
      </c>
      <c r="MHZ63" s="44">
        <f t="shared" si="259"/>
        <v>0</v>
      </c>
      <c r="MIA63" s="44">
        <f t="shared" si="259"/>
        <v>0</v>
      </c>
      <c r="MIB63" s="44">
        <f t="shared" si="259"/>
        <v>0</v>
      </c>
      <c r="MIC63" s="44">
        <f t="shared" si="259"/>
        <v>0</v>
      </c>
      <c r="MID63" s="44">
        <f t="shared" si="259"/>
        <v>0</v>
      </c>
      <c r="MIE63" s="44">
        <f t="shared" si="259"/>
        <v>0</v>
      </c>
      <c r="MIF63" s="44">
        <f t="shared" si="259"/>
        <v>0</v>
      </c>
      <c r="MIG63" s="44">
        <f t="shared" si="259"/>
        <v>0</v>
      </c>
      <c r="MIH63" s="44">
        <f t="shared" si="259"/>
        <v>0</v>
      </c>
      <c r="MII63" s="44">
        <f t="shared" si="259"/>
        <v>0</v>
      </c>
      <c r="MIJ63" s="44">
        <f t="shared" si="259"/>
        <v>0</v>
      </c>
      <c r="MIK63" s="44">
        <f t="shared" si="259"/>
        <v>0</v>
      </c>
      <c r="MIL63" s="44">
        <f t="shared" si="259"/>
        <v>0</v>
      </c>
      <c r="MIM63" s="44">
        <f t="shared" si="259"/>
        <v>0</v>
      </c>
      <c r="MIN63" s="44">
        <f t="shared" si="259"/>
        <v>0</v>
      </c>
      <c r="MIO63" s="44">
        <f t="shared" si="259"/>
        <v>0</v>
      </c>
      <c r="MIP63" s="44">
        <f t="shared" si="259"/>
        <v>0</v>
      </c>
      <c r="MIQ63" s="44">
        <f t="shared" si="259"/>
        <v>0</v>
      </c>
      <c r="MIR63" s="44">
        <f t="shared" si="259"/>
        <v>0</v>
      </c>
      <c r="MIS63" s="44">
        <f t="shared" si="259"/>
        <v>0</v>
      </c>
      <c r="MIT63" s="44">
        <f t="shared" si="259"/>
        <v>0</v>
      </c>
      <c r="MIU63" s="44">
        <f t="shared" si="259"/>
        <v>0</v>
      </c>
      <c r="MIV63" s="44">
        <f t="shared" si="259"/>
        <v>0</v>
      </c>
      <c r="MIW63" s="44">
        <f t="shared" si="259"/>
        <v>0</v>
      </c>
      <c r="MIX63" s="44">
        <f t="shared" ref="MIX63:MLI63" si="260">SUM(MIX56:MIX57)</f>
        <v>0</v>
      </c>
      <c r="MIY63" s="44">
        <f t="shared" si="260"/>
        <v>0</v>
      </c>
      <c r="MIZ63" s="44">
        <f t="shared" si="260"/>
        <v>0</v>
      </c>
      <c r="MJA63" s="44">
        <f t="shared" si="260"/>
        <v>0</v>
      </c>
      <c r="MJB63" s="44">
        <f t="shared" si="260"/>
        <v>0</v>
      </c>
      <c r="MJC63" s="44">
        <f t="shared" si="260"/>
        <v>0</v>
      </c>
      <c r="MJD63" s="44">
        <f t="shared" si="260"/>
        <v>0</v>
      </c>
      <c r="MJE63" s="44">
        <f t="shared" si="260"/>
        <v>0</v>
      </c>
      <c r="MJF63" s="44">
        <f t="shared" si="260"/>
        <v>0</v>
      </c>
      <c r="MJG63" s="44">
        <f t="shared" si="260"/>
        <v>0</v>
      </c>
      <c r="MJH63" s="44">
        <f t="shared" si="260"/>
        <v>0</v>
      </c>
      <c r="MJI63" s="44">
        <f t="shared" si="260"/>
        <v>0</v>
      </c>
      <c r="MJJ63" s="44">
        <f t="shared" si="260"/>
        <v>0</v>
      </c>
      <c r="MJK63" s="44">
        <f t="shared" si="260"/>
        <v>0</v>
      </c>
      <c r="MJL63" s="44">
        <f t="shared" si="260"/>
        <v>0</v>
      </c>
      <c r="MJM63" s="44">
        <f t="shared" si="260"/>
        <v>0</v>
      </c>
      <c r="MJN63" s="44">
        <f t="shared" si="260"/>
        <v>0</v>
      </c>
      <c r="MJO63" s="44">
        <f t="shared" si="260"/>
        <v>0</v>
      </c>
      <c r="MJP63" s="44">
        <f t="shared" si="260"/>
        <v>0</v>
      </c>
      <c r="MJQ63" s="44">
        <f t="shared" si="260"/>
        <v>0</v>
      </c>
      <c r="MJR63" s="44">
        <f t="shared" si="260"/>
        <v>0</v>
      </c>
      <c r="MJS63" s="44">
        <f t="shared" si="260"/>
        <v>0</v>
      </c>
      <c r="MJT63" s="44">
        <f t="shared" si="260"/>
        <v>0</v>
      </c>
      <c r="MJU63" s="44">
        <f t="shared" si="260"/>
        <v>0</v>
      </c>
      <c r="MJV63" s="44">
        <f t="shared" si="260"/>
        <v>0</v>
      </c>
      <c r="MJW63" s="44">
        <f t="shared" si="260"/>
        <v>0</v>
      </c>
      <c r="MJX63" s="44">
        <f t="shared" si="260"/>
        <v>0</v>
      </c>
      <c r="MJY63" s="44">
        <f t="shared" si="260"/>
        <v>0</v>
      </c>
      <c r="MJZ63" s="44">
        <f t="shared" si="260"/>
        <v>0</v>
      </c>
      <c r="MKA63" s="44">
        <f t="shared" si="260"/>
        <v>0</v>
      </c>
      <c r="MKB63" s="44">
        <f t="shared" si="260"/>
        <v>0</v>
      </c>
      <c r="MKC63" s="44">
        <f t="shared" si="260"/>
        <v>0</v>
      </c>
      <c r="MKD63" s="44">
        <f t="shared" si="260"/>
        <v>0</v>
      </c>
      <c r="MKE63" s="44">
        <f t="shared" si="260"/>
        <v>0</v>
      </c>
      <c r="MKF63" s="44">
        <f t="shared" si="260"/>
        <v>0</v>
      </c>
      <c r="MKG63" s="44">
        <f t="shared" si="260"/>
        <v>0</v>
      </c>
      <c r="MKH63" s="44">
        <f t="shared" si="260"/>
        <v>0</v>
      </c>
      <c r="MKI63" s="44">
        <f t="shared" si="260"/>
        <v>0</v>
      </c>
      <c r="MKJ63" s="44">
        <f t="shared" si="260"/>
        <v>0</v>
      </c>
      <c r="MKK63" s="44">
        <f t="shared" si="260"/>
        <v>0</v>
      </c>
      <c r="MKL63" s="44">
        <f t="shared" si="260"/>
        <v>0</v>
      </c>
      <c r="MKM63" s="44">
        <f t="shared" si="260"/>
        <v>0</v>
      </c>
      <c r="MKN63" s="44">
        <f t="shared" si="260"/>
        <v>0</v>
      </c>
      <c r="MKO63" s="44">
        <f t="shared" si="260"/>
        <v>0</v>
      </c>
      <c r="MKP63" s="44">
        <f t="shared" si="260"/>
        <v>0</v>
      </c>
      <c r="MKQ63" s="44">
        <f t="shared" si="260"/>
        <v>0</v>
      </c>
      <c r="MKR63" s="44">
        <f t="shared" si="260"/>
        <v>0</v>
      </c>
      <c r="MKS63" s="44">
        <f t="shared" si="260"/>
        <v>0</v>
      </c>
      <c r="MKT63" s="44">
        <f t="shared" si="260"/>
        <v>0</v>
      </c>
      <c r="MKU63" s="44">
        <f t="shared" si="260"/>
        <v>0</v>
      </c>
      <c r="MKV63" s="44">
        <f t="shared" si="260"/>
        <v>0</v>
      </c>
      <c r="MKW63" s="44">
        <f t="shared" si="260"/>
        <v>0</v>
      </c>
      <c r="MKX63" s="44">
        <f t="shared" si="260"/>
        <v>0</v>
      </c>
      <c r="MKY63" s="44">
        <f t="shared" si="260"/>
        <v>0</v>
      </c>
      <c r="MKZ63" s="44">
        <f t="shared" si="260"/>
        <v>0</v>
      </c>
      <c r="MLA63" s="44">
        <f t="shared" si="260"/>
        <v>0</v>
      </c>
      <c r="MLB63" s="44">
        <f t="shared" si="260"/>
        <v>0</v>
      </c>
      <c r="MLC63" s="44">
        <f t="shared" si="260"/>
        <v>0</v>
      </c>
      <c r="MLD63" s="44">
        <f t="shared" si="260"/>
        <v>0</v>
      </c>
      <c r="MLE63" s="44">
        <f t="shared" si="260"/>
        <v>0</v>
      </c>
      <c r="MLF63" s="44">
        <f t="shared" si="260"/>
        <v>0</v>
      </c>
      <c r="MLG63" s="44">
        <f t="shared" si="260"/>
        <v>0</v>
      </c>
      <c r="MLH63" s="44">
        <f t="shared" si="260"/>
        <v>0</v>
      </c>
      <c r="MLI63" s="44">
        <f t="shared" si="260"/>
        <v>0</v>
      </c>
      <c r="MLJ63" s="44">
        <f t="shared" ref="MLJ63:MNU63" si="261">SUM(MLJ56:MLJ57)</f>
        <v>0</v>
      </c>
      <c r="MLK63" s="44">
        <f t="shared" si="261"/>
        <v>0</v>
      </c>
      <c r="MLL63" s="44">
        <f t="shared" si="261"/>
        <v>0</v>
      </c>
      <c r="MLM63" s="44">
        <f t="shared" si="261"/>
        <v>0</v>
      </c>
      <c r="MLN63" s="44">
        <f t="shared" si="261"/>
        <v>0</v>
      </c>
      <c r="MLO63" s="44">
        <f t="shared" si="261"/>
        <v>0</v>
      </c>
      <c r="MLP63" s="44">
        <f t="shared" si="261"/>
        <v>0</v>
      </c>
      <c r="MLQ63" s="44">
        <f t="shared" si="261"/>
        <v>0</v>
      </c>
      <c r="MLR63" s="44">
        <f t="shared" si="261"/>
        <v>0</v>
      </c>
      <c r="MLS63" s="44">
        <f t="shared" si="261"/>
        <v>0</v>
      </c>
      <c r="MLT63" s="44">
        <f t="shared" si="261"/>
        <v>0</v>
      </c>
      <c r="MLU63" s="44">
        <f t="shared" si="261"/>
        <v>0</v>
      </c>
      <c r="MLV63" s="44">
        <f t="shared" si="261"/>
        <v>0</v>
      </c>
      <c r="MLW63" s="44">
        <f t="shared" si="261"/>
        <v>0</v>
      </c>
      <c r="MLX63" s="44">
        <f t="shared" si="261"/>
        <v>0</v>
      </c>
      <c r="MLY63" s="44">
        <f t="shared" si="261"/>
        <v>0</v>
      </c>
      <c r="MLZ63" s="44">
        <f t="shared" si="261"/>
        <v>0</v>
      </c>
      <c r="MMA63" s="44">
        <f t="shared" si="261"/>
        <v>0</v>
      </c>
      <c r="MMB63" s="44">
        <f t="shared" si="261"/>
        <v>0</v>
      </c>
      <c r="MMC63" s="44">
        <f t="shared" si="261"/>
        <v>0</v>
      </c>
      <c r="MMD63" s="44">
        <f t="shared" si="261"/>
        <v>0</v>
      </c>
      <c r="MME63" s="44">
        <f t="shared" si="261"/>
        <v>0</v>
      </c>
      <c r="MMF63" s="44">
        <f t="shared" si="261"/>
        <v>0</v>
      </c>
      <c r="MMG63" s="44">
        <f t="shared" si="261"/>
        <v>0</v>
      </c>
      <c r="MMH63" s="44">
        <f t="shared" si="261"/>
        <v>0</v>
      </c>
      <c r="MMI63" s="44">
        <f t="shared" si="261"/>
        <v>0</v>
      </c>
      <c r="MMJ63" s="44">
        <f t="shared" si="261"/>
        <v>0</v>
      </c>
      <c r="MMK63" s="44">
        <f t="shared" si="261"/>
        <v>0</v>
      </c>
      <c r="MML63" s="44">
        <f t="shared" si="261"/>
        <v>0</v>
      </c>
      <c r="MMM63" s="44">
        <f t="shared" si="261"/>
        <v>0</v>
      </c>
      <c r="MMN63" s="44">
        <f t="shared" si="261"/>
        <v>0</v>
      </c>
      <c r="MMO63" s="44">
        <f t="shared" si="261"/>
        <v>0</v>
      </c>
      <c r="MMP63" s="44">
        <f t="shared" si="261"/>
        <v>0</v>
      </c>
      <c r="MMQ63" s="44">
        <f t="shared" si="261"/>
        <v>0</v>
      </c>
      <c r="MMR63" s="44">
        <f t="shared" si="261"/>
        <v>0</v>
      </c>
      <c r="MMS63" s="44">
        <f t="shared" si="261"/>
        <v>0</v>
      </c>
      <c r="MMT63" s="44">
        <f t="shared" si="261"/>
        <v>0</v>
      </c>
      <c r="MMU63" s="44">
        <f t="shared" si="261"/>
        <v>0</v>
      </c>
      <c r="MMV63" s="44">
        <f t="shared" si="261"/>
        <v>0</v>
      </c>
      <c r="MMW63" s="44">
        <f t="shared" si="261"/>
        <v>0</v>
      </c>
      <c r="MMX63" s="44">
        <f t="shared" si="261"/>
        <v>0</v>
      </c>
      <c r="MMY63" s="44">
        <f t="shared" si="261"/>
        <v>0</v>
      </c>
      <c r="MMZ63" s="44">
        <f t="shared" si="261"/>
        <v>0</v>
      </c>
      <c r="MNA63" s="44">
        <f t="shared" si="261"/>
        <v>0</v>
      </c>
      <c r="MNB63" s="44">
        <f t="shared" si="261"/>
        <v>0</v>
      </c>
      <c r="MNC63" s="44">
        <f t="shared" si="261"/>
        <v>0</v>
      </c>
      <c r="MND63" s="44">
        <f t="shared" si="261"/>
        <v>0</v>
      </c>
      <c r="MNE63" s="44">
        <f t="shared" si="261"/>
        <v>0</v>
      </c>
      <c r="MNF63" s="44">
        <f t="shared" si="261"/>
        <v>0</v>
      </c>
      <c r="MNG63" s="44">
        <f t="shared" si="261"/>
        <v>0</v>
      </c>
      <c r="MNH63" s="44">
        <f t="shared" si="261"/>
        <v>0</v>
      </c>
      <c r="MNI63" s="44">
        <f t="shared" si="261"/>
        <v>0</v>
      </c>
      <c r="MNJ63" s="44">
        <f t="shared" si="261"/>
        <v>0</v>
      </c>
      <c r="MNK63" s="44">
        <f t="shared" si="261"/>
        <v>0</v>
      </c>
      <c r="MNL63" s="44">
        <f t="shared" si="261"/>
        <v>0</v>
      </c>
      <c r="MNM63" s="44">
        <f t="shared" si="261"/>
        <v>0</v>
      </c>
      <c r="MNN63" s="44">
        <f t="shared" si="261"/>
        <v>0</v>
      </c>
      <c r="MNO63" s="44">
        <f t="shared" si="261"/>
        <v>0</v>
      </c>
      <c r="MNP63" s="44">
        <f t="shared" si="261"/>
        <v>0</v>
      </c>
      <c r="MNQ63" s="44">
        <f t="shared" si="261"/>
        <v>0</v>
      </c>
      <c r="MNR63" s="44">
        <f t="shared" si="261"/>
        <v>0</v>
      </c>
      <c r="MNS63" s="44">
        <f t="shared" si="261"/>
        <v>0</v>
      </c>
      <c r="MNT63" s="44">
        <f t="shared" si="261"/>
        <v>0</v>
      </c>
      <c r="MNU63" s="44">
        <f t="shared" si="261"/>
        <v>0</v>
      </c>
      <c r="MNV63" s="44">
        <f t="shared" ref="MNV63:MQG63" si="262">SUM(MNV56:MNV57)</f>
        <v>0</v>
      </c>
      <c r="MNW63" s="44">
        <f t="shared" si="262"/>
        <v>0</v>
      </c>
      <c r="MNX63" s="44">
        <f t="shared" si="262"/>
        <v>0</v>
      </c>
      <c r="MNY63" s="44">
        <f t="shared" si="262"/>
        <v>0</v>
      </c>
      <c r="MNZ63" s="44">
        <f t="shared" si="262"/>
        <v>0</v>
      </c>
      <c r="MOA63" s="44">
        <f t="shared" si="262"/>
        <v>0</v>
      </c>
      <c r="MOB63" s="44">
        <f t="shared" si="262"/>
        <v>0</v>
      </c>
      <c r="MOC63" s="44">
        <f t="shared" si="262"/>
        <v>0</v>
      </c>
      <c r="MOD63" s="44">
        <f t="shared" si="262"/>
        <v>0</v>
      </c>
      <c r="MOE63" s="44">
        <f t="shared" si="262"/>
        <v>0</v>
      </c>
      <c r="MOF63" s="44">
        <f t="shared" si="262"/>
        <v>0</v>
      </c>
      <c r="MOG63" s="44">
        <f t="shared" si="262"/>
        <v>0</v>
      </c>
      <c r="MOH63" s="44">
        <f t="shared" si="262"/>
        <v>0</v>
      </c>
      <c r="MOI63" s="44">
        <f t="shared" si="262"/>
        <v>0</v>
      </c>
      <c r="MOJ63" s="44">
        <f t="shared" si="262"/>
        <v>0</v>
      </c>
      <c r="MOK63" s="44">
        <f t="shared" si="262"/>
        <v>0</v>
      </c>
      <c r="MOL63" s="44">
        <f t="shared" si="262"/>
        <v>0</v>
      </c>
      <c r="MOM63" s="44">
        <f t="shared" si="262"/>
        <v>0</v>
      </c>
      <c r="MON63" s="44">
        <f t="shared" si="262"/>
        <v>0</v>
      </c>
      <c r="MOO63" s="44">
        <f t="shared" si="262"/>
        <v>0</v>
      </c>
      <c r="MOP63" s="44">
        <f t="shared" si="262"/>
        <v>0</v>
      </c>
      <c r="MOQ63" s="44">
        <f t="shared" si="262"/>
        <v>0</v>
      </c>
      <c r="MOR63" s="44">
        <f t="shared" si="262"/>
        <v>0</v>
      </c>
      <c r="MOS63" s="44">
        <f t="shared" si="262"/>
        <v>0</v>
      </c>
      <c r="MOT63" s="44">
        <f t="shared" si="262"/>
        <v>0</v>
      </c>
      <c r="MOU63" s="44">
        <f t="shared" si="262"/>
        <v>0</v>
      </c>
      <c r="MOV63" s="44">
        <f t="shared" si="262"/>
        <v>0</v>
      </c>
      <c r="MOW63" s="44">
        <f t="shared" si="262"/>
        <v>0</v>
      </c>
      <c r="MOX63" s="44">
        <f t="shared" si="262"/>
        <v>0</v>
      </c>
      <c r="MOY63" s="44">
        <f t="shared" si="262"/>
        <v>0</v>
      </c>
      <c r="MOZ63" s="44">
        <f t="shared" si="262"/>
        <v>0</v>
      </c>
      <c r="MPA63" s="44">
        <f t="shared" si="262"/>
        <v>0</v>
      </c>
      <c r="MPB63" s="44">
        <f t="shared" si="262"/>
        <v>0</v>
      </c>
      <c r="MPC63" s="44">
        <f t="shared" si="262"/>
        <v>0</v>
      </c>
      <c r="MPD63" s="44">
        <f t="shared" si="262"/>
        <v>0</v>
      </c>
      <c r="MPE63" s="44">
        <f t="shared" si="262"/>
        <v>0</v>
      </c>
      <c r="MPF63" s="44">
        <f t="shared" si="262"/>
        <v>0</v>
      </c>
      <c r="MPG63" s="44">
        <f t="shared" si="262"/>
        <v>0</v>
      </c>
      <c r="MPH63" s="44">
        <f t="shared" si="262"/>
        <v>0</v>
      </c>
      <c r="MPI63" s="44">
        <f t="shared" si="262"/>
        <v>0</v>
      </c>
      <c r="MPJ63" s="44">
        <f t="shared" si="262"/>
        <v>0</v>
      </c>
      <c r="MPK63" s="44">
        <f t="shared" si="262"/>
        <v>0</v>
      </c>
      <c r="MPL63" s="44">
        <f t="shared" si="262"/>
        <v>0</v>
      </c>
      <c r="MPM63" s="44">
        <f t="shared" si="262"/>
        <v>0</v>
      </c>
      <c r="MPN63" s="44">
        <f t="shared" si="262"/>
        <v>0</v>
      </c>
      <c r="MPO63" s="44">
        <f t="shared" si="262"/>
        <v>0</v>
      </c>
      <c r="MPP63" s="44">
        <f t="shared" si="262"/>
        <v>0</v>
      </c>
      <c r="MPQ63" s="44">
        <f t="shared" si="262"/>
        <v>0</v>
      </c>
      <c r="MPR63" s="44">
        <f t="shared" si="262"/>
        <v>0</v>
      </c>
      <c r="MPS63" s="44">
        <f t="shared" si="262"/>
        <v>0</v>
      </c>
      <c r="MPT63" s="44">
        <f t="shared" si="262"/>
        <v>0</v>
      </c>
      <c r="MPU63" s="44">
        <f t="shared" si="262"/>
        <v>0</v>
      </c>
      <c r="MPV63" s="44">
        <f t="shared" si="262"/>
        <v>0</v>
      </c>
      <c r="MPW63" s="44">
        <f t="shared" si="262"/>
        <v>0</v>
      </c>
      <c r="MPX63" s="44">
        <f t="shared" si="262"/>
        <v>0</v>
      </c>
      <c r="MPY63" s="44">
        <f t="shared" si="262"/>
        <v>0</v>
      </c>
      <c r="MPZ63" s="44">
        <f t="shared" si="262"/>
        <v>0</v>
      </c>
      <c r="MQA63" s="44">
        <f t="shared" si="262"/>
        <v>0</v>
      </c>
      <c r="MQB63" s="44">
        <f t="shared" si="262"/>
        <v>0</v>
      </c>
      <c r="MQC63" s="44">
        <f t="shared" si="262"/>
        <v>0</v>
      </c>
      <c r="MQD63" s="44">
        <f t="shared" si="262"/>
        <v>0</v>
      </c>
      <c r="MQE63" s="44">
        <f t="shared" si="262"/>
        <v>0</v>
      </c>
      <c r="MQF63" s="44">
        <f t="shared" si="262"/>
        <v>0</v>
      </c>
      <c r="MQG63" s="44">
        <f t="shared" si="262"/>
        <v>0</v>
      </c>
      <c r="MQH63" s="44">
        <f t="shared" ref="MQH63:MSS63" si="263">SUM(MQH56:MQH57)</f>
        <v>0</v>
      </c>
      <c r="MQI63" s="44">
        <f t="shared" si="263"/>
        <v>0</v>
      </c>
      <c r="MQJ63" s="44">
        <f t="shared" si="263"/>
        <v>0</v>
      </c>
      <c r="MQK63" s="44">
        <f t="shared" si="263"/>
        <v>0</v>
      </c>
      <c r="MQL63" s="44">
        <f t="shared" si="263"/>
        <v>0</v>
      </c>
      <c r="MQM63" s="44">
        <f t="shared" si="263"/>
        <v>0</v>
      </c>
      <c r="MQN63" s="44">
        <f t="shared" si="263"/>
        <v>0</v>
      </c>
      <c r="MQO63" s="44">
        <f t="shared" si="263"/>
        <v>0</v>
      </c>
      <c r="MQP63" s="44">
        <f t="shared" si="263"/>
        <v>0</v>
      </c>
      <c r="MQQ63" s="44">
        <f t="shared" si="263"/>
        <v>0</v>
      </c>
      <c r="MQR63" s="44">
        <f t="shared" si="263"/>
        <v>0</v>
      </c>
      <c r="MQS63" s="44">
        <f t="shared" si="263"/>
        <v>0</v>
      </c>
      <c r="MQT63" s="44">
        <f t="shared" si="263"/>
        <v>0</v>
      </c>
      <c r="MQU63" s="44">
        <f t="shared" si="263"/>
        <v>0</v>
      </c>
      <c r="MQV63" s="44">
        <f t="shared" si="263"/>
        <v>0</v>
      </c>
      <c r="MQW63" s="44">
        <f t="shared" si="263"/>
        <v>0</v>
      </c>
      <c r="MQX63" s="44">
        <f t="shared" si="263"/>
        <v>0</v>
      </c>
      <c r="MQY63" s="44">
        <f t="shared" si="263"/>
        <v>0</v>
      </c>
      <c r="MQZ63" s="44">
        <f t="shared" si="263"/>
        <v>0</v>
      </c>
      <c r="MRA63" s="44">
        <f t="shared" si="263"/>
        <v>0</v>
      </c>
      <c r="MRB63" s="44">
        <f t="shared" si="263"/>
        <v>0</v>
      </c>
      <c r="MRC63" s="44">
        <f t="shared" si="263"/>
        <v>0</v>
      </c>
      <c r="MRD63" s="44">
        <f t="shared" si="263"/>
        <v>0</v>
      </c>
      <c r="MRE63" s="44">
        <f t="shared" si="263"/>
        <v>0</v>
      </c>
      <c r="MRF63" s="44">
        <f t="shared" si="263"/>
        <v>0</v>
      </c>
      <c r="MRG63" s="44">
        <f t="shared" si="263"/>
        <v>0</v>
      </c>
      <c r="MRH63" s="44">
        <f t="shared" si="263"/>
        <v>0</v>
      </c>
      <c r="MRI63" s="44">
        <f t="shared" si="263"/>
        <v>0</v>
      </c>
      <c r="MRJ63" s="44">
        <f t="shared" si="263"/>
        <v>0</v>
      </c>
      <c r="MRK63" s="44">
        <f t="shared" si="263"/>
        <v>0</v>
      </c>
      <c r="MRL63" s="44">
        <f t="shared" si="263"/>
        <v>0</v>
      </c>
      <c r="MRM63" s="44">
        <f t="shared" si="263"/>
        <v>0</v>
      </c>
      <c r="MRN63" s="44">
        <f t="shared" si="263"/>
        <v>0</v>
      </c>
      <c r="MRO63" s="44">
        <f t="shared" si="263"/>
        <v>0</v>
      </c>
      <c r="MRP63" s="44">
        <f t="shared" si="263"/>
        <v>0</v>
      </c>
      <c r="MRQ63" s="44">
        <f t="shared" si="263"/>
        <v>0</v>
      </c>
      <c r="MRR63" s="44">
        <f t="shared" si="263"/>
        <v>0</v>
      </c>
      <c r="MRS63" s="44">
        <f t="shared" si="263"/>
        <v>0</v>
      </c>
      <c r="MRT63" s="44">
        <f t="shared" si="263"/>
        <v>0</v>
      </c>
      <c r="MRU63" s="44">
        <f t="shared" si="263"/>
        <v>0</v>
      </c>
      <c r="MRV63" s="44">
        <f t="shared" si="263"/>
        <v>0</v>
      </c>
      <c r="MRW63" s="44">
        <f t="shared" si="263"/>
        <v>0</v>
      </c>
      <c r="MRX63" s="44">
        <f t="shared" si="263"/>
        <v>0</v>
      </c>
      <c r="MRY63" s="44">
        <f t="shared" si="263"/>
        <v>0</v>
      </c>
      <c r="MRZ63" s="44">
        <f t="shared" si="263"/>
        <v>0</v>
      </c>
      <c r="MSA63" s="44">
        <f t="shared" si="263"/>
        <v>0</v>
      </c>
      <c r="MSB63" s="44">
        <f t="shared" si="263"/>
        <v>0</v>
      </c>
      <c r="MSC63" s="44">
        <f t="shared" si="263"/>
        <v>0</v>
      </c>
      <c r="MSD63" s="44">
        <f t="shared" si="263"/>
        <v>0</v>
      </c>
      <c r="MSE63" s="44">
        <f t="shared" si="263"/>
        <v>0</v>
      </c>
      <c r="MSF63" s="44">
        <f t="shared" si="263"/>
        <v>0</v>
      </c>
      <c r="MSG63" s="44">
        <f t="shared" si="263"/>
        <v>0</v>
      </c>
      <c r="MSH63" s="44">
        <f t="shared" si="263"/>
        <v>0</v>
      </c>
      <c r="MSI63" s="44">
        <f t="shared" si="263"/>
        <v>0</v>
      </c>
      <c r="MSJ63" s="44">
        <f t="shared" si="263"/>
        <v>0</v>
      </c>
      <c r="MSK63" s="44">
        <f t="shared" si="263"/>
        <v>0</v>
      </c>
      <c r="MSL63" s="44">
        <f t="shared" si="263"/>
        <v>0</v>
      </c>
      <c r="MSM63" s="44">
        <f t="shared" si="263"/>
        <v>0</v>
      </c>
      <c r="MSN63" s="44">
        <f t="shared" si="263"/>
        <v>0</v>
      </c>
      <c r="MSO63" s="44">
        <f t="shared" si="263"/>
        <v>0</v>
      </c>
      <c r="MSP63" s="44">
        <f t="shared" si="263"/>
        <v>0</v>
      </c>
      <c r="MSQ63" s="44">
        <f t="shared" si="263"/>
        <v>0</v>
      </c>
      <c r="MSR63" s="44">
        <f t="shared" si="263"/>
        <v>0</v>
      </c>
      <c r="MSS63" s="44">
        <f t="shared" si="263"/>
        <v>0</v>
      </c>
      <c r="MST63" s="44">
        <f t="shared" ref="MST63:MVE63" si="264">SUM(MST56:MST57)</f>
        <v>0</v>
      </c>
      <c r="MSU63" s="44">
        <f t="shared" si="264"/>
        <v>0</v>
      </c>
      <c r="MSV63" s="44">
        <f t="shared" si="264"/>
        <v>0</v>
      </c>
      <c r="MSW63" s="44">
        <f t="shared" si="264"/>
        <v>0</v>
      </c>
      <c r="MSX63" s="44">
        <f t="shared" si="264"/>
        <v>0</v>
      </c>
      <c r="MSY63" s="44">
        <f t="shared" si="264"/>
        <v>0</v>
      </c>
      <c r="MSZ63" s="44">
        <f t="shared" si="264"/>
        <v>0</v>
      </c>
      <c r="MTA63" s="44">
        <f t="shared" si="264"/>
        <v>0</v>
      </c>
      <c r="MTB63" s="44">
        <f t="shared" si="264"/>
        <v>0</v>
      </c>
      <c r="MTC63" s="44">
        <f t="shared" si="264"/>
        <v>0</v>
      </c>
      <c r="MTD63" s="44">
        <f t="shared" si="264"/>
        <v>0</v>
      </c>
      <c r="MTE63" s="44">
        <f t="shared" si="264"/>
        <v>0</v>
      </c>
      <c r="MTF63" s="44">
        <f t="shared" si="264"/>
        <v>0</v>
      </c>
      <c r="MTG63" s="44">
        <f t="shared" si="264"/>
        <v>0</v>
      </c>
      <c r="MTH63" s="44">
        <f t="shared" si="264"/>
        <v>0</v>
      </c>
      <c r="MTI63" s="44">
        <f t="shared" si="264"/>
        <v>0</v>
      </c>
      <c r="MTJ63" s="44">
        <f t="shared" si="264"/>
        <v>0</v>
      </c>
      <c r="MTK63" s="44">
        <f t="shared" si="264"/>
        <v>0</v>
      </c>
      <c r="MTL63" s="44">
        <f t="shared" si="264"/>
        <v>0</v>
      </c>
      <c r="MTM63" s="44">
        <f t="shared" si="264"/>
        <v>0</v>
      </c>
      <c r="MTN63" s="44">
        <f t="shared" si="264"/>
        <v>0</v>
      </c>
      <c r="MTO63" s="44">
        <f t="shared" si="264"/>
        <v>0</v>
      </c>
      <c r="MTP63" s="44">
        <f t="shared" si="264"/>
        <v>0</v>
      </c>
      <c r="MTQ63" s="44">
        <f t="shared" si="264"/>
        <v>0</v>
      </c>
      <c r="MTR63" s="44">
        <f t="shared" si="264"/>
        <v>0</v>
      </c>
      <c r="MTS63" s="44">
        <f t="shared" si="264"/>
        <v>0</v>
      </c>
      <c r="MTT63" s="44">
        <f t="shared" si="264"/>
        <v>0</v>
      </c>
      <c r="MTU63" s="44">
        <f t="shared" si="264"/>
        <v>0</v>
      </c>
      <c r="MTV63" s="44">
        <f t="shared" si="264"/>
        <v>0</v>
      </c>
      <c r="MTW63" s="44">
        <f t="shared" si="264"/>
        <v>0</v>
      </c>
      <c r="MTX63" s="44">
        <f t="shared" si="264"/>
        <v>0</v>
      </c>
      <c r="MTY63" s="44">
        <f t="shared" si="264"/>
        <v>0</v>
      </c>
      <c r="MTZ63" s="44">
        <f t="shared" si="264"/>
        <v>0</v>
      </c>
      <c r="MUA63" s="44">
        <f t="shared" si="264"/>
        <v>0</v>
      </c>
      <c r="MUB63" s="44">
        <f t="shared" si="264"/>
        <v>0</v>
      </c>
      <c r="MUC63" s="44">
        <f t="shared" si="264"/>
        <v>0</v>
      </c>
      <c r="MUD63" s="44">
        <f t="shared" si="264"/>
        <v>0</v>
      </c>
      <c r="MUE63" s="44">
        <f t="shared" si="264"/>
        <v>0</v>
      </c>
      <c r="MUF63" s="44">
        <f t="shared" si="264"/>
        <v>0</v>
      </c>
      <c r="MUG63" s="44">
        <f t="shared" si="264"/>
        <v>0</v>
      </c>
      <c r="MUH63" s="44">
        <f t="shared" si="264"/>
        <v>0</v>
      </c>
      <c r="MUI63" s="44">
        <f t="shared" si="264"/>
        <v>0</v>
      </c>
      <c r="MUJ63" s="44">
        <f t="shared" si="264"/>
        <v>0</v>
      </c>
      <c r="MUK63" s="44">
        <f t="shared" si="264"/>
        <v>0</v>
      </c>
      <c r="MUL63" s="44">
        <f t="shared" si="264"/>
        <v>0</v>
      </c>
      <c r="MUM63" s="44">
        <f t="shared" si="264"/>
        <v>0</v>
      </c>
      <c r="MUN63" s="44">
        <f t="shared" si="264"/>
        <v>0</v>
      </c>
      <c r="MUO63" s="44">
        <f t="shared" si="264"/>
        <v>0</v>
      </c>
      <c r="MUP63" s="44">
        <f t="shared" si="264"/>
        <v>0</v>
      </c>
      <c r="MUQ63" s="44">
        <f t="shared" si="264"/>
        <v>0</v>
      </c>
      <c r="MUR63" s="44">
        <f t="shared" si="264"/>
        <v>0</v>
      </c>
      <c r="MUS63" s="44">
        <f t="shared" si="264"/>
        <v>0</v>
      </c>
      <c r="MUT63" s="44">
        <f t="shared" si="264"/>
        <v>0</v>
      </c>
      <c r="MUU63" s="44">
        <f t="shared" si="264"/>
        <v>0</v>
      </c>
      <c r="MUV63" s="44">
        <f t="shared" si="264"/>
        <v>0</v>
      </c>
      <c r="MUW63" s="44">
        <f t="shared" si="264"/>
        <v>0</v>
      </c>
      <c r="MUX63" s="44">
        <f t="shared" si="264"/>
        <v>0</v>
      </c>
      <c r="MUY63" s="44">
        <f t="shared" si="264"/>
        <v>0</v>
      </c>
      <c r="MUZ63" s="44">
        <f t="shared" si="264"/>
        <v>0</v>
      </c>
      <c r="MVA63" s="44">
        <f t="shared" si="264"/>
        <v>0</v>
      </c>
      <c r="MVB63" s="44">
        <f t="shared" si="264"/>
        <v>0</v>
      </c>
      <c r="MVC63" s="44">
        <f t="shared" si="264"/>
        <v>0</v>
      </c>
      <c r="MVD63" s="44">
        <f t="shared" si="264"/>
        <v>0</v>
      </c>
      <c r="MVE63" s="44">
        <f t="shared" si="264"/>
        <v>0</v>
      </c>
      <c r="MVF63" s="44">
        <f t="shared" ref="MVF63:MXQ63" si="265">SUM(MVF56:MVF57)</f>
        <v>0</v>
      </c>
      <c r="MVG63" s="44">
        <f t="shared" si="265"/>
        <v>0</v>
      </c>
      <c r="MVH63" s="44">
        <f t="shared" si="265"/>
        <v>0</v>
      </c>
      <c r="MVI63" s="44">
        <f t="shared" si="265"/>
        <v>0</v>
      </c>
      <c r="MVJ63" s="44">
        <f t="shared" si="265"/>
        <v>0</v>
      </c>
      <c r="MVK63" s="44">
        <f t="shared" si="265"/>
        <v>0</v>
      </c>
      <c r="MVL63" s="44">
        <f t="shared" si="265"/>
        <v>0</v>
      </c>
      <c r="MVM63" s="44">
        <f t="shared" si="265"/>
        <v>0</v>
      </c>
      <c r="MVN63" s="44">
        <f t="shared" si="265"/>
        <v>0</v>
      </c>
      <c r="MVO63" s="44">
        <f t="shared" si="265"/>
        <v>0</v>
      </c>
      <c r="MVP63" s="44">
        <f t="shared" si="265"/>
        <v>0</v>
      </c>
      <c r="MVQ63" s="44">
        <f t="shared" si="265"/>
        <v>0</v>
      </c>
      <c r="MVR63" s="44">
        <f t="shared" si="265"/>
        <v>0</v>
      </c>
      <c r="MVS63" s="44">
        <f t="shared" si="265"/>
        <v>0</v>
      </c>
      <c r="MVT63" s="44">
        <f t="shared" si="265"/>
        <v>0</v>
      </c>
      <c r="MVU63" s="44">
        <f t="shared" si="265"/>
        <v>0</v>
      </c>
      <c r="MVV63" s="44">
        <f t="shared" si="265"/>
        <v>0</v>
      </c>
      <c r="MVW63" s="44">
        <f t="shared" si="265"/>
        <v>0</v>
      </c>
      <c r="MVX63" s="44">
        <f t="shared" si="265"/>
        <v>0</v>
      </c>
      <c r="MVY63" s="44">
        <f t="shared" si="265"/>
        <v>0</v>
      </c>
      <c r="MVZ63" s="44">
        <f t="shared" si="265"/>
        <v>0</v>
      </c>
      <c r="MWA63" s="44">
        <f t="shared" si="265"/>
        <v>0</v>
      </c>
      <c r="MWB63" s="44">
        <f t="shared" si="265"/>
        <v>0</v>
      </c>
      <c r="MWC63" s="44">
        <f t="shared" si="265"/>
        <v>0</v>
      </c>
      <c r="MWD63" s="44">
        <f t="shared" si="265"/>
        <v>0</v>
      </c>
      <c r="MWE63" s="44">
        <f t="shared" si="265"/>
        <v>0</v>
      </c>
      <c r="MWF63" s="44">
        <f t="shared" si="265"/>
        <v>0</v>
      </c>
      <c r="MWG63" s="44">
        <f t="shared" si="265"/>
        <v>0</v>
      </c>
      <c r="MWH63" s="44">
        <f t="shared" si="265"/>
        <v>0</v>
      </c>
      <c r="MWI63" s="44">
        <f t="shared" si="265"/>
        <v>0</v>
      </c>
      <c r="MWJ63" s="44">
        <f t="shared" si="265"/>
        <v>0</v>
      </c>
      <c r="MWK63" s="44">
        <f t="shared" si="265"/>
        <v>0</v>
      </c>
      <c r="MWL63" s="44">
        <f t="shared" si="265"/>
        <v>0</v>
      </c>
      <c r="MWM63" s="44">
        <f t="shared" si="265"/>
        <v>0</v>
      </c>
      <c r="MWN63" s="44">
        <f t="shared" si="265"/>
        <v>0</v>
      </c>
      <c r="MWO63" s="44">
        <f t="shared" si="265"/>
        <v>0</v>
      </c>
      <c r="MWP63" s="44">
        <f t="shared" si="265"/>
        <v>0</v>
      </c>
      <c r="MWQ63" s="44">
        <f t="shared" si="265"/>
        <v>0</v>
      </c>
      <c r="MWR63" s="44">
        <f t="shared" si="265"/>
        <v>0</v>
      </c>
      <c r="MWS63" s="44">
        <f t="shared" si="265"/>
        <v>0</v>
      </c>
      <c r="MWT63" s="44">
        <f t="shared" si="265"/>
        <v>0</v>
      </c>
      <c r="MWU63" s="44">
        <f t="shared" si="265"/>
        <v>0</v>
      </c>
      <c r="MWV63" s="44">
        <f t="shared" si="265"/>
        <v>0</v>
      </c>
      <c r="MWW63" s="44">
        <f t="shared" si="265"/>
        <v>0</v>
      </c>
      <c r="MWX63" s="44">
        <f t="shared" si="265"/>
        <v>0</v>
      </c>
      <c r="MWY63" s="44">
        <f t="shared" si="265"/>
        <v>0</v>
      </c>
      <c r="MWZ63" s="44">
        <f t="shared" si="265"/>
        <v>0</v>
      </c>
      <c r="MXA63" s="44">
        <f t="shared" si="265"/>
        <v>0</v>
      </c>
      <c r="MXB63" s="44">
        <f t="shared" si="265"/>
        <v>0</v>
      </c>
      <c r="MXC63" s="44">
        <f t="shared" si="265"/>
        <v>0</v>
      </c>
      <c r="MXD63" s="44">
        <f t="shared" si="265"/>
        <v>0</v>
      </c>
      <c r="MXE63" s="44">
        <f t="shared" si="265"/>
        <v>0</v>
      </c>
      <c r="MXF63" s="44">
        <f t="shared" si="265"/>
        <v>0</v>
      </c>
      <c r="MXG63" s="44">
        <f t="shared" si="265"/>
        <v>0</v>
      </c>
      <c r="MXH63" s="44">
        <f t="shared" si="265"/>
        <v>0</v>
      </c>
      <c r="MXI63" s="44">
        <f t="shared" si="265"/>
        <v>0</v>
      </c>
      <c r="MXJ63" s="44">
        <f t="shared" si="265"/>
        <v>0</v>
      </c>
      <c r="MXK63" s="44">
        <f t="shared" si="265"/>
        <v>0</v>
      </c>
      <c r="MXL63" s="44">
        <f t="shared" si="265"/>
        <v>0</v>
      </c>
      <c r="MXM63" s="44">
        <f t="shared" si="265"/>
        <v>0</v>
      </c>
      <c r="MXN63" s="44">
        <f t="shared" si="265"/>
        <v>0</v>
      </c>
      <c r="MXO63" s="44">
        <f t="shared" si="265"/>
        <v>0</v>
      </c>
      <c r="MXP63" s="44">
        <f t="shared" si="265"/>
        <v>0</v>
      </c>
      <c r="MXQ63" s="44">
        <f t="shared" si="265"/>
        <v>0</v>
      </c>
      <c r="MXR63" s="44">
        <f t="shared" ref="MXR63:NAC63" si="266">SUM(MXR56:MXR57)</f>
        <v>0</v>
      </c>
      <c r="MXS63" s="44">
        <f t="shared" si="266"/>
        <v>0</v>
      </c>
      <c r="MXT63" s="44">
        <f t="shared" si="266"/>
        <v>0</v>
      </c>
      <c r="MXU63" s="44">
        <f t="shared" si="266"/>
        <v>0</v>
      </c>
      <c r="MXV63" s="44">
        <f t="shared" si="266"/>
        <v>0</v>
      </c>
      <c r="MXW63" s="44">
        <f t="shared" si="266"/>
        <v>0</v>
      </c>
      <c r="MXX63" s="44">
        <f t="shared" si="266"/>
        <v>0</v>
      </c>
      <c r="MXY63" s="44">
        <f t="shared" si="266"/>
        <v>0</v>
      </c>
      <c r="MXZ63" s="44">
        <f t="shared" si="266"/>
        <v>0</v>
      </c>
      <c r="MYA63" s="44">
        <f t="shared" si="266"/>
        <v>0</v>
      </c>
      <c r="MYB63" s="44">
        <f t="shared" si="266"/>
        <v>0</v>
      </c>
      <c r="MYC63" s="44">
        <f t="shared" si="266"/>
        <v>0</v>
      </c>
      <c r="MYD63" s="44">
        <f t="shared" si="266"/>
        <v>0</v>
      </c>
      <c r="MYE63" s="44">
        <f t="shared" si="266"/>
        <v>0</v>
      </c>
      <c r="MYF63" s="44">
        <f t="shared" si="266"/>
        <v>0</v>
      </c>
      <c r="MYG63" s="44">
        <f t="shared" si="266"/>
        <v>0</v>
      </c>
      <c r="MYH63" s="44">
        <f t="shared" si="266"/>
        <v>0</v>
      </c>
      <c r="MYI63" s="44">
        <f t="shared" si="266"/>
        <v>0</v>
      </c>
      <c r="MYJ63" s="44">
        <f t="shared" si="266"/>
        <v>0</v>
      </c>
      <c r="MYK63" s="44">
        <f t="shared" si="266"/>
        <v>0</v>
      </c>
      <c r="MYL63" s="44">
        <f t="shared" si="266"/>
        <v>0</v>
      </c>
      <c r="MYM63" s="44">
        <f t="shared" si="266"/>
        <v>0</v>
      </c>
      <c r="MYN63" s="44">
        <f t="shared" si="266"/>
        <v>0</v>
      </c>
      <c r="MYO63" s="44">
        <f t="shared" si="266"/>
        <v>0</v>
      </c>
      <c r="MYP63" s="44">
        <f t="shared" si="266"/>
        <v>0</v>
      </c>
      <c r="MYQ63" s="44">
        <f t="shared" si="266"/>
        <v>0</v>
      </c>
      <c r="MYR63" s="44">
        <f t="shared" si="266"/>
        <v>0</v>
      </c>
      <c r="MYS63" s="44">
        <f t="shared" si="266"/>
        <v>0</v>
      </c>
      <c r="MYT63" s="44">
        <f t="shared" si="266"/>
        <v>0</v>
      </c>
      <c r="MYU63" s="44">
        <f t="shared" si="266"/>
        <v>0</v>
      </c>
      <c r="MYV63" s="44">
        <f t="shared" si="266"/>
        <v>0</v>
      </c>
      <c r="MYW63" s="44">
        <f t="shared" si="266"/>
        <v>0</v>
      </c>
      <c r="MYX63" s="44">
        <f t="shared" si="266"/>
        <v>0</v>
      </c>
      <c r="MYY63" s="44">
        <f t="shared" si="266"/>
        <v>0</v>
      </c>
      <c r="MYZ63" s="44">
        <f t="shared" si="266"/>
        <v>0</v>
      </c>
      <c r="MZA63" s="44">
        <f t="shared" si="266"/>
        <v>0</v>
      </c>
      <c r="MZB63" s="44">
        <f t="shared" si="266"/>
        <v>0</v>
      </c>
      <c r="MZC63" s="44">
        <f t="shared" si="266"/>
        <v>0</v>
      </c>
      <c r="MZD63" s="44">
        <f t="shared" si="266"/>
        <v>0</v>
      </c>
      <c r="MZE63" s="44">
        <f t="shared" si="266"/>
        <v>0</v>
      </c>
      <c r="MZF63" s="44">
        <f t="shared" si="266"/>
        <v>0</v>
      </c>
      <c r="MZG63" s="44">
        <f t="shared" si="266"/>
        <v>0</v>
      </c>
      <c r="MZH63" s="44">
        <f t="shared" si="266"/>
        <v>0</v>
      </c>
      <c r="MZI63" s="44">
        <f t="shared" si="266"/>
        <v>0</v>
      </c>
      <c r="MZJ63" s="44">
        <f t="shared" si="266"/>
        <v>0</v>
      </c>
      <c r="MZK63" s="44">
        <f t="shared" si="266"/>
        <v>0</v>
      </c>
      <c r="MZL63" s="44">
        <f t="shared" si="266"/>
        <v>0</v>
      </c>
      <c r="MZM63" s="44">
        <f t="shared" si="266"/>
        <v>0</v>
      </c>
      <c r="MZN63" s="44">
        <f t="shared" si="266"/>
        <v>0</v>
      </c>
      <c r="MZO63" s="44">
        <f t="shared" si="266"/>
        <v>0</v>
      </c>
      <c r="MZP63" s="44">
        <f t="shared" si="266"/>
        <v>0</v>
      </c>
      <c r="MZQ63" s="44">
        <f t="shared" si="266"/>
        <v>0</v>
      </c>
      <c r="MZR63" s="44">
        <f t="shared" si="266"/>
        <v>0</v>
      </c>
      <c r="MZS63" s="44">
        <f t="shared" si="266"/>
        <v>0</v>
      </c>
      <c r="MZT63" s="44">
        <f t="shared" si="266"/>
        <v>0</v>
      </c>
      <c r="MZU63" s="44">
        <f t="shared" si="266"/>
        <v>0</v>
      </c>
      <c r="MZV63" s="44">
        <f t="shared" si="266"/>
        <v>0</v>
      </c>
      <c r="MZW63" s="44">
        <f t="shared" si="266"/>
        <v>0</v>
      </c>
      <c r="MZX63" s="44">
        <f t="shared" si="266"/>
        <v>0</v>
      </c>
      <c r="MZY63" s="44">
        <f t="shared" si="266"/>
        <v>0</v>
      </c>
      <c r="MZZ63" s="44">
        <f t="shared" si="266"/>
        <v>0</v>
      </c>
      <c r="NAA63" s="44">
        <f t="shared" si="266"/>
        <v>0</v>
      </c>
      <c r="NAB63" s="44">
        <f t="shared" si="266"/>
        <v>0</v>
      </c>
      <c r="NAC63" s="44">
        <f t="shared" si="266"/>
        <v>0</v>
      </c>
      <c r="NAD63" s="44">
        <f t="shared" ref="NAD63:NCO63" si="267">SUM(NAD56:NAD57)</f>
        <v>0</v>
      </c>
      <c r="NAE63" s="44">
        <f t="shared" si="267"/>
        <v>0</v>
      </c>
      <c r="NAF63" s="44">
        <f t="shared" si="267"/>
        <v>0</v>
      </c>
      <c r="NAG63" s="44">
        <f t="shared" si="267"/>
        <v>0</v>
      </c>
      <c r="NAH63" s="44">
        <f t="shared" si="267"/>
        <v>0</v>
      </c>
      <c r="NAI63" s="44">
        <f t="shared" si="267"/>
        <v>0</v>
      </c>
      <c r="NAJ63" s="44">
        <f t="shared" si="267"/>
        <v>0</v>
      </c>
      <c r="NAK63" s="44">
        <f t="shared" si="267"/>
        <v>0</v>
      </c>
      <c r="NAL63" s="44">
        <f t="shared" si="267"/>
        <v>0</v>
      </c>
      <c r="NAM63" s="44">
        <f t="shared" si="267"/>
        <v>0</v>
      </c>
      <c r="NAN63" s="44">
        <f t="shared" si="267"/>
        <v>0</v>
      </c>
      <c r="NAO63" s="44">
        <f t="shared" si="267"/>
        <v>0</v>
      </c>
      <c r="NAP63" s="44">
        <f t="shared" si="267"/>
        <v>0</v>
      </c>
      <c r="NAQ63" s="44">
        <f t="shared" si="267"/>
        <v>0</v>
      </c>
      <c r="NAR63" s="44">
        <f t="shared" si="267"/>
        <v>0</v>
      </c>
      <c r="NAS63" s="44">
        <f t="shared" si="267"/>
        <v>0</v>
      </c>
      <c r="NAT63" s="44">
        <f t="shared" si="267"/>
        <v>0</v>
      </c>
      <c r="NAU63" s="44">
        <f t="shared" si="267"/>
        <v>0</v>
      </c>
      <c r="NAV63" s="44">
        <f t="shared" si="267"/>
        <v>0</v>
      </c>
      <c r="NAW63" s="44">
        <f t="shared" si="267"/>
        <v>0</v>
      </c>
      <c r="NAX63" s="44">
        <f t="shared" si="267"/>
        <v>0</v>
      </c>
      <c r="NAY63" s="44">
        <f t="shared" si="267"/>
        <v>0</v>
      </c>
      <c r="NAZ63" s="44">
        <f t="shared" si="267"/>
        <v>0</v>
      </c>
      <c r="NBA63" s="44">
        <f t="shared" si="267"/>
        <v>0</v>
      </c>
      <c r="NBB63" s="44">
        <f t="shared" si="267"/>
        <v>0</v>
      </c>
      <c r="NBC63" s="44">
        <f t="shared" si="267"/>
        <v>0</v>
      </c>
      <c r="NBD63" s="44">
        <f t="shared" si="267"/>
        <v>0</v>
      </c>
      <c r="NBE63" s="44">
        <f t="shared" si="267"/>
        <v>0</v>
      </c>
      <c r="NBF63" s="44">
        <f t="shared" si="267"/>
        <v>0</v>
      </c>
      <c r="NBG63" s="44">
        <f t="shared" si="267"/>
        <v>0</v>
      </c>
      <c r="NBH63" s="44">
        <f t="shared" si="267"/>
        <v>0</v>
      </c>
      <c r="NBI63" s="44">
        <f t="shared" si="267"/>
        <v>0</v>
      </c>
      <c r="NBJ63" s="44">
        <f t="shared" si="267"/>
        <v>0</v>
      </c>
      <c r="NBK63" s="44">
        <f t="shared" si="267"/>
        <v>0</v>
      </c>
      <c r="NBL63" s="44">
        <f t="shared" si="267"/>
        <v>0</v>
      </c>
      <c r="NBM63" s="44">
        <f t="shared" si="267"/>
        <v>0</v>
      </c>
      <c r="NBN63" s="44">
        <f t="shared" si="267"/>
        <v>0</v>
      </c>
      <c r="NBO63" s="44">
        <f t="shared" si="267"/>
        <v>0</v>
      </c>
      <c r="NBP63" s="44">
        <f t="shared" si="267"/>
        <v>0</v>
      </c>
      <c r="NBQ63" s="44">
        <f t="shared" si="267"/>
        <v>0</v>
      </c>
      <c r="NBR63" s="44">
        <f t="shared" si="267"/>
        <v>0</v>
      </c>
      <c r="NBS63" s="44">
        <f t="shared" si="267"/>
        <v>0</v>
      </c>
      <c r="NBT63" s="44">
        <f t="shared" si="267"/>
        <v>0</v>
      </c>
      <c r="NBU63" s="44">
        <f t="shared" si="267"/>
        <v>0</v>
      </c>
      <c r="NBV63" s="44">
        <f t="shared" si="267"/>
        <v>0</v>
      </c>
      <c r="NBW63" s="44">
        <f t="shared" si="267"/>
        <v>0</v>
      </c>
      <c r="NBX63" s="44">
        <f t="shared" si="267"/>
        <v>0</v>
      </c>
      <c r="NBY63" s="44">
        <f t="shared" si="267"/>
        <v>0</v>
      </c>
      <c r="NBZ63" s="44">
        <f t="shared" si="267"/>
        <v>0</v>
      </c>
      <c r="NCA63" s="44">
        <f t="shared" si="267"/>
        <v>0</v>
      </c>
      <c r="NCB63" s="44">
        <f t="shared" si="267"/>
        <v>0</v>
      </c>
      <c r="NCC63" s="44">
        <f t="shared" si="267"/>
        <v>0</v>
      </c>
      <c r="NCD63" s="44">
        <f t="shared" si="267"/>
        <v>0</v>
      </c>
      <c r="NCE63" s="44">
        <f t="shared" si="267"/>
        <v>0</v>
      </c>
      <c r="NCF63" s="44">
        <f t="shared" si="267"/>
        <v>0</v>
      </c>
      <c r="NCG63" s="44">
        <f t="shared" si="267"/>
        <v>0</v>
      </c>
      <c r="NCH63" s="44">
        <f t="shared" si="267"/>
        <v>0</v>
      </c>
      <c r="NCI63" s="44">
        <f t="shared" si="267"/>
        <v>0</v>
      </c>
      <c r="NCJ63" s="44">
        <f t="shared" si="267"/>
        <v>0</v>
      </c>
      <c r="NCK63" s="44">
        <f t="shared" si="267"/>
        <v>0</v>
      </c>
      <c r="NCL63" s="44">
        <f t="shared" si="267"/>
        <v>0</v>
      </c>
      <c r="NCM63" s="44">
        <f t="shared" si="267"/>
        <v>0</v>
      </c>
      <c r="NCN63" s="44">
        <f t="shared" si="267"/>
        <v>0</v>
      </c>
      <c r="NCO63" s="44">
        <f t="shared" si="267"/>
        <v>0</v>
      </c>
      <c r="NCP63" s="44">
        <f t="shared" ref="NCP63:NFA63" si="268">SUM(NCP56:NCP57)</f>
        <v>0</v>
      </c>
      <c r="NCQ63" s="44">
        <f t="shared" si="268"/>
        <v>0</v>
      </c>
      <c r="NCR63" s="44">
        <f t="shared" si="268"/>
        <v>0</v>
      </c>
      <c r="NCS63" s="44">
        <f t="shared" si="268"/>
        <v>0</v>
      </c>
      <c r="NCT63" s="44">
        <f t="shared" si="268"/>
        <v>0</v>
      </c>
      <c r="NCU63" s="44">
        <f t="shared" si="268"/>
        <v>0</v>
      </c>
      <c r="NCV63" s="44">
        <f t="shared" si="268"/>
        <v>0</v>
      </c>
      <c r="NCW63" s="44">
        <f t="shared" si="268"/>
        <v>0</v>
      </c>
      <c r="NCX63" s="44">
        <f t="shared" si="268"/>
        <v>0</v>
      </c>
      <c r="NCY63" s="44">
        <f t="shared" si="268"/>
        <v>0</v>
      </c>
      <c r="NCZ63" s="44">
        <f t="shared" si="268"/>
        <v>0</v>
      </c>
      <c r="NDA63" s="44">
        <f t="shared" si="268"/>
        <v>0</v>
      </c>
      <c r="NDB63" s="44">
        <f t="shared" si="268"/>
        <v>0</v>
      </c>
      <c r="NDC63" s="44">
        <f t="shared" si="268"/>
        <v>0</v>
      </c>
      <c r="NDD63" s="44">
        <f t="shared" si="268"/>
        <v>0</v>
      </c>
      <c r="NDE63" s="44">
        <f t="shared" si="268"/>
        <v>0</v>
      </c>
      <c r="NDF63" s="44">
        <f t="shared" si="268"/>
        <v>0</v>
      </c>
      <c r="NDG63" s="44">
        <f t="shared" si="268"/>
        <v>0</v>
      </c>
      <c r="NDH63" s="44">
        <f t="shared" si="268"/>
        <v>0</v>
      </c>
      <c r="NDI63" s="44">
        <f t="shared" si="268"/>
        <v>0</v>
      </c>
      <c r="NDJ63" s="44">
        <f t="shared" si="268"/>
        <v>0</v>
      </c>
      <c r="NDK63" s="44">
        <f t="shared" si="268"/>
        <v>0</v>
      </c>
      <c r="NDL63" s="44">
        <f t="shared" si="268"/>
        <v>0</v>
      </c>
      <c r="NDM63" s="44">
        <f t="shared" si="268"/>
        <v>0</v>
      </c>
      <c r="NDN63" s="44">
        <f t="shared" si="268"/>
        <v>0</v>
      </c>
      <c r="NDO63" s="44">
        <f t="shared" si="268"/>
        <v>0</v>
      </c>
      <c r="NDP63" s="44">
        <f t="shared" si="268"/>
        <v>0</v>
      </c>
      <c r="NDQ63" s="44">
        <f t="shared" si="268"/>
        <v>0</v>
      </c>
      <c r="NDR63" s="44">
        <f t="shared" si="268"/>
        <v>0</v>
      </c>
      <c r="NDS63" s="44">
        <f t="shared" si="268"/>
        <v>0</v>
      </c>
      <c r="NDT63" s="44">
        <f t="shared" si="268"/>
        <v>0</v>
      </c>
      <c r="NDU63" s="44">
        <f t="shared" si="268"/>
        <v>0</v>
      </c>
      <c r="NDV63" s="44">
        <f t="shared" si="268"/>
        <v>0</v>
      </c>
      <c r="NDW63" s="44">
        <f t="shared" si="268"/>
        <v>0</v>
      </c>
      <c r="NDX63" s="44">
        <f t="shared" si="268"/>
        <v>0</v>
      </c>
      <c r="NDY63" s="44">
        <f t="shared" si="268"/>
        <v>0</v>
      </c>
      <c r="NDZ63" s="44">
        <f t="shared" si="268"/>
        <v>0</v>
      </c>
      <c r="NEA63" s="44">
        <f t="shared" si="268"/>
        <v>0</v>
      </c>
      <c r="NEB63" s="44">
        <f t="shared" si="268"/>
        <v>0</v>
      </c>
      <c r="NEC63" s="44">
        <f t="shared" si="268"/>
        <v>0</v>
      </c>
      <c r="NED63" s="44">
        <f t="shared" si="268"/>
        <v>0</v>
      </c>
      <c r="NEE63" s="44">
        <f t="shared" si="268"/>
        <v>0</v>
      </c>
      <c r="NEF63" s="44">
        <f t="shared" si="268"/>
        <v>0</v>
      </c>
      <c r="NEG63" s="44">
        <f t="shared" si="268"/>
        <v>0</v>
      </c>
      <c r="NEH63" s="44">
        <f t="shared" si="268"/>
        <v>0</v>
      </c>
      <c r="NEI63" s="44">
        <f t="shared" si="268"/>
        <v>0</v>
      </c>
      <c r="NEJ63" s="44">
        <f t="shared" si="268"/>
        <v>0</v>
      </c>
      <c r="NEK63" s="44">
        <f t="shared" si="268"/>
        <v>0</v>
      </c>
      <c r="NEL63" s="44">
        <f t="shared" si="268"/>
        <v>0</v>
      </c>
      <c r="NEM63" s="44">
        <f t="shared" si="268"/>
        <v>0</v>
      </c>
      <c r="NEN63" s="44">
        <f t="shared" si="268"/>
        <v>0</v>
      </c>
      <c r="NEO63" s="44">
        <f t="shared" si="268"/>
        <v>0</v>
      </c>
      <c r="NEP63" s="44">
        <f t="shared" si="268"/>
        <v>0</v>
      </c>
      <c r="NEQ63" s="44">
        <f t="shared" si="268"/>
        <v>0</v>
      </c>
      <c r="NER63" s="44">
        <f t="shared" si="268"/>
        <v>0</v>
      </c>
      <c r="NES63" s="44">
        <f t="shared" si="268"/>
        <v>0</v>
      </c>
      <c r="NET63" s="44">
        <f t="shared" si="268"/>
        <v>0</v>
      </c>
      <c r="NEU63" s="44">
        <f t="shared" si="268"/>
        <v>0</v>
      </c>
      <c r="NEV63" s="44">
        <f t="shared" si="268"/>
        <v>0</v>
      </c>
      <c r="NEW63" s="44">
        <f t="shared" si="268"/>
        <v>0</v>
      </c>
      <c r="NEX63" s="44">
        <f t="shared" si="268"/>
        <v>0</v>
      </c>
      <c r="NEY63" s="44">
        <f t="shared" si="268"/>
        <v>0</v>
      </c>
      <c r="NEZ63" s="44">
        <f t="shared" si="268"/>
        <v>0</v>
      </c>
      <c r="NFA63" s="44">
        <f t="shared" si="268"/>
        <v>0</v>
      </c>
      <c r="NFB63" s="44">
        <f t="shared" ref="NFB63:NHM63" si="269">SUM(NFB56:NFB57)</f>
        <v>0</v>
      </c>
      <c r="NFC63" s="44">
        <f t="shared" si="269"/>
        <v>0</v>
      </c>
      <c r="NFD63" s="44">
        <f t="shared" si="269"/>
        <v>0</v>
      </c>
      <c r="NFE63" s="44">
        <f t="shared" si="269"/>
        <v>0</v>
      </c>
      <c r="NFF63" s="44">
        <f t="shared" si="269"/>
        <v>0</v>
      </c>
      <c r="NFG63" s="44">
        <f t="shared" si="269"/>
        <v>0</v>
      </c>
      <c r="NFH63" s="44">
        <f t="shared" si="269"/>
        <v>0</v>
      </c>
      <c r="NFI63" s="44">
        <f t="shared" si="269"/>
        <v>0</v>
      </c>
      <c r="NFJ63" s="44">
        <f t="shared" si="269"/>
        <v>0</v>
      </c>
      <c r="NFK63" s="44">
        <f t="shared" si="269"/>
        <v>0</v>
      </c>
      <c r="NFL63" s="44">
        <f t="shared" si="269"/>
        <v>0</v>
      </c>
      <c r="NFM63" s="44">
        <f t="shared" si="269"/>
        <v>0</v>
      </c>
      <c r="NFN63" s="44">
        <f t="shared" si="269"/>
        <v>0</v>
      </c>
      <c r="NFO63" s="44">
        <f t="shared" si="269"/>
        <v>0</v>
      </c>
      <c r="NFP63" s="44">
        <f t="shared" si="269"/>
        <v>0</v>
      </c>
      <c r="NFQ63" s="44">
        <f t="shared" si="269"/>
        <v>0</v>
      </c>
      <c r="NFR63" s="44">
        <f t="shared" si="269"/>
        <v>0</v>
      </c>
      <c r="NFS63" s="44">
        <f t="shared" si="269"/>
        <v>0</v>
      </c>
      <c r="NFT63" s="44">
        <f t="shared" si="269"/>
        <v>0</v>
      </c>
      <c r="NFU63" s="44">
        <f t="shared" si="269"/>
        <v>0</v>
      </c>
      <c r="NFV63" s="44">
        <f t="shared" si="269"/>
        <v>0</v>
      </c>
      <c r="NFW63" s="44">
        <f t="shared" si="269"/>
        <v>0</v>
      </c>
      <c r="NFX63" s="44">
        <f t="shared" si="269"/>
        <v>0</v>
      </c>
      <c r="NFY63" s="44">
        <f t="shared" si="269"/>
        <v>0</v>
      </c>
      <c r="NFZ63" s="44">
        <f t="shared" si="269"/>
        <v>0</v>
      </c>
      <c r="NGA63" s="44">
        <f t="shared" si="269"/>
        <v>0</v>
      </c>
      <c r="NGB63" s="44">
        <f t="shared" si="269"/>
        <v>0</v>
      </c>
      <c r="NGC63" s="44">
        <f t="shared" si="269"/>
        <v>0</v>
      </c>
      <c r="NGD63" s="44">
        <f t="shared" si="269"/>
        <v>0</v>
      </c>
      <c r="NGE63" s="44">
        <f t="shared" si="269"/>
        <v>0</v>
      </c>
      <c r="NGF63" s="44">
        <f t="shared" si="269"/>
        <v>0</v>
      </c>
      <c r="NGG63" s="44">
        <f t="shared" si="269"/>
        <v>0</v>
      </c>
      <c r="NGH63" s="44">
        <f t="shared" si="269"/>
        <v>0</v>
      </c>
      <c r="NGI63" s="44">
        <f t="shared" si="269"/>
        <v>0</v>
      </c>
      <c r="NGJ63" s="44">
        <f t="shared" si="269"/>
        <v>0</v>
      </c>
      <c r="NGK63" s="44">
        <f t="shared" si="269"/>
        <v>0</v>
      </c>
      <c r="NGL63" s="44">
        <f t="shared" si="269"/>
        <v>0</v>
      </c>
      <c r="NGM63" s="44">
        <f t="shared" si="269"/>
        <v>0</v>
      </c>
      <c r="NGN63" s="44">
        <f t="shared" si="269"/>
        <v>0</v>
      </c>
      <c r="NGO63" s="44">
        <f t="shared" si="269"/>
        <v>0</v>
      </c>
      <c r="NGP63" s="44">
        <f t="shared" si="269"/>
        <v>0</v>
      </c>
      <c r="NGQ63" s="44">
        <f t="shared" si="269"/>
        <v>0</v>
      </c>
      <c r="NGR63" s="44">
        <f t="shared" si="269"/>
        <v>0</v>
      </c>
      <c r="NGS63" s="44">
        <f t="shared" si="269"/>
        <v>0</v>
      </c>
      <c r="NGT63" s="44">
        <f t="shared" si="269"/>
        <v>0</v>
      </c>
      <c r="NGU63" s="44">
        <f t="shared" si="269"/>
        <v>0</v>
      </c>
      <c r="NGV63" s="44">
        <f t="shared" si="269"/>
        <v>0</v>
      </c>
      <c r="NGW63" s="44">
        <f t="shared" si="269"/>
        <v>0</v>
      </c>
      <c r="NGX63" s="44">
        <f t="shared" si="269"/>
        <v>0</v>
      </c>
      <c r="NGY63" s="44">
        <f t="shared" si="269"/>
        <v>0</v>
      </c>
      <c r="NGZ63" s="44">
        <f t="shared" si="269"/>
        <v>0</v>
      </c>
      <c r="NHA63" s="44">
        <f t="shared" si="269"/>
        <v>0</v>
      </c>
      <c r="NHB63" s="44">
        <f t="shared" si="269"/>
        <v>0</v>
      </c>
      <c r="NHC63" s="44">
        <f t="shared" si="269"/>
        <v>0</v>
      </c>
      <c r="NHD63" s="44">
        <f t="shared" si="269"/>
        <v>0</v>
      </c>
      <c r="NHE63" s="44">
        <f t="shared" si="269"/>
        <v>0</v>
      </c>
      <c r="NHF63" s="44">
        <f t="shared" si="269"/>
        <v>0</v>
      </c>
      <c r="NHG63" s="44">
        <f t="shared" si="269"/>
        <v>0</v>
      </c>
      <c r="NHH63" s="44">
        <f t="shared" si="269"/>
        <v>0</v>
      </c>
      <c r="NHI63" s="44">
        <f t="shared" si="269"/>
        <v>0</v>
      </c>
      <c r="NHJ63" s="44">
        <f t="shared" si="269"/>
        <v>0</v>
      </c>
      <c r="NHK63" s="44">
        <f t="shared" si="269"/>
        <v>0</v>
      </c>
      <c r="NHL63" s="44">
        <f t="shared" si="269"/>
        <v>0</v>
      </c>
      <c r="NHM63" s="44">
        <f t="shared" si="269"/>
        <v>0</v>
      </c>
      <c r="NHN63" s="44">
        <f t="shared" ref="NHN63:NJY63" si="270">SUM(NHN56:NHN57)</f>
        <v>0</v>
      </c>
      <c r="NHO63" s="44">
        <f t="shared" si="270"/>
        <v>0</v>
      </c>
      <c r="NHP63" s="44">
        <f t="shared" si="270"/>
        <v>0</v>
      </c>
      <c r="NHQ63" s="44">
        <f t="shared" si="270"/>
        <v>0</v>
      </c>
      <c r="NHR63" s="44">
        <f t="shared" si="270"/>
        <v>0</v>
      </c>
      <c r="NHS63" s="44">
        <f t="shared" si="270"/>
        <v>0</v>
      </c>
      <c r="NHT63" s="44">
        <f t="shared" si="270"/>
        <v>0</v>
      </c>
      <c r="NHU63" s="44">
        <f t="shared" si="270"/>
        <v>0</v>
      </c>
      <c r="NHV63" s="44">
        <f t="shared" si="270"/>
        <v>0</v>
      </c>
      <c r="NHW63" s="44">
        <f t="shared" si="270"/>
        <v>0</v>
      </c>
      <c r="NHX63" s="44">
        <f t="shared" si="270"/>
        <v>0</v>
      </c>
      <c r="NHY63" s="44">
        <f t="shared" si="270"/>
        <v>0</v>
      </c>
      <c r="NHZ63" s="44">
        <f t="shared" si="270"/>
        <v>0</v>
      </c>
      <c r="NIA63" s="44">
        <f t="shared" si="270"/>
        <v>0</v>
      </c>
      <c r="NIB63" s="44">
        <f t="shared" si="270"/>
        <v>0</v>
      </c>
      <c r="NIC63" s="44">
        <f t="shared" si="270"/>
        <v>0</v>
      </c>
      <c r="NID63" s="44">
        <f t="shared" si="270"/>
        <v>0</v>
      </c>
      <c r="NIE63" s="44">
        <f t="shared" si="270"/>
        <v>0</v>
      </c>
      <c r="NIF63" s="44">
        <f t="shared" si="270"/>
        <v>0</v>
      </c>
      <c r="NIG63" s="44">
        <f t="shared" si="270"/>
        <v>0</v>
      </c>
      <c r="NIH63" s="44">
        <f t="shared" si="270"/>
        <v>0</v>
      </c>
      <c r="NII63" s="44">
        <f t="shared" si="270"/>
        <v>0</v>
      </c>
      <c r="NIJ63" s="44">
        <f t="shared" si="270"/>
        <v>0</v>
      </c>
      <c r="NIK63" s="44">
        <f t="shared" si="270"/>
        <v>0</v>
      </c>
      <c r="NIL63" s="44">
        <f t="shared" si="270"/>
        <v>0</v>
      </c>
      <c r="NIM63" s="44">
        <f t="shared" si="270"/>
        <v>0</v>
      </c>
      <c r="NIN63" s="44">
        <f t="shared" si="270"/>
        <v>0</v>
      </c>
      <c r="NIO63" s="44">
        <f t="shared" si="270"/>
        <v>0</v>
      </c>
      <c r="NIP63" s="44">
        <f t="shared" si="270"/>
        <v>0</v>
      </c>
      <c r="NIQ63" s="44">
        <f t="shared" si="270"/>
        <v>0</v>
      </c>
      <c r="NIR63" s="44">
        <f t="shared" si="270"/>
        <v>0</v>
      </c>
      <c r="NIS63" s="44">
        <f t="shared" si="270"/>
        <v>0</v>
      </c>
      <c r="NIT63" s="44">
        <f t="shared" si="270"/>
        <v>0</v>
      </c>
      <c r="NIU63" s="44">
        <f t="shared" si="270"/>
        <v>0</v>
      </c>
      <c r="NIV63" s="44">
        <f t="shared" si="270"/>
        <v>0</v>
      </c>
      <c r="NIW63" s="44">
        <f t="shared" si="270"/>
        <v>0</v>
      </c>
      <c r="NIX63" s="44">
        <f t="shared" si="270"/>
        <v>0</v>
      </c>
      <c r="NIY63" s="44">
        <f t="shared" si="270"/>
        <v>0</v>
      </c>
      <c r="NIZ63" s="44">
        <f t="shared" si="270"/>
        <v>0</v>
      </c>
      <c r="NJA63" s="44">
        <f t="shared" si="270"/>
        <v>0</v>
      </c>
      <c r="NJB63" s="44">
        <f t="shared" si="270"/>
        <v>0</v>
      </c>
      <c r="NJC63" s="44">
        <f t="shared" si="270"/>
        <v>0</v>
      </c>
      <c r="NJD63" s="44">
        <f t="shared" si="270"/>
        <v>0</v>
      </c>
      <c r="NJE63" s="44">
        <f t="shared" si="270"/>
        <v>0</v>
      </c>
      <c r="NJF63" s="44">
        <f t="shared" si="270"/>
        <v>0</v>
      </c>
      <c r="NJG63" s="44">
        <f t="shared" si="270"/>
        <v>0</v>
      </c>
      <c r="NJH63" s="44">
        <f t="shared" si="270"/>
        <v>0</v>
      </c>
      <c r="NJI63" s="44">
        <f t="shared" si="270"/>
        <v>0</v>
      </c>
      <c r="NJJ63" s="44">
        <f t="shared" si="270"/>
        <v>0</v>
      </c>
      <c r="NJK63" s="44">
        <f t="shared" si="270"/>
        <v>0</v>
      </c>
      <c r="NJL63" s="44">
        <f t="shared" si="270"/>
        <v>0</v>
      </c>
      <c r="NJM63" s="44">
        <f t="shared" si="270"/>
        <v>0</v>
      </c>
      <c r="NJN63" s="44">
        <f t="shared" si="270"/>
        <v>0</v>
      </c>
      <c r="NJO63" s="44">
        <f t="shared" si="270"/>
        <v>0</v>
      </c>
      <c r="NJP63" s="44">
        <f t="shared" si="270"/>
        <v>0</v>
      </c>
      <c r="NJQ63" s="44">
        <f t="shared" si="270"/>
        <v>0</v>
      </c>
      <c r="NJR63" s="44">
        <f t="shared" si="270"/>
        <v>0</v>
      </c>
      <c r="NJS63" s="44">
        <f t="shared" si="270"/>
        <v>0</v>
      </c>
      <c r="NJT63" s="44">
        <f t="shared" si="270"/>
        <v>0</v>
      </c>
      <c r="NJU63" s="44">
        <f t="shared" si="270"/>
        <v>0</v>
      </c>
      <c r="NJV63" s="44">
        <f t="shared" si="270"/>
        <v>0</v>
      </c>
      <c r="NJW63" s="44">
        <f t="shared" si="270"/>
        <v>0</v>
      </c>
      <c r="NJX63" s="44">
        <f t="shared" si="270"/>
        <v>0</v>
      </c>
      <c r="NJY63" s="44">
        <f t="shared" si="270"/>
        <v>0</v>
      </c>
      <c r="NJZ63" s="44">
        <f t="shared" ref="NJZ63:NMK63" si="271">SUM(NJZ56:NJZ57)</f>
        <v>0</v>
      </c>
      <c r="NKA63" s="44">
        <f t="shared" si="271"/>
        <v>0</v>
      </c>
      <c r="NKB63" s="44">
        <f t="shared" si="271"/>
        <v>0</v>
      </c>
      <c r="NKC63" s="44">
        <f t="shared" si="271"/>
        <v>0</v>
      </c>
      <c r="NKD63" s="44">
        <f t="shared" si="271"/>
        <v>0</v>
      </c>
      <c r="NKE63" s="44">
        <f t="shared" si="271"/>
        <v>0</v>
      </c>
      <c r="NKF63" s="44">
        <f t="shared" si="271"/>
        <v>0</v>
      </c>
      <c r="NKG63" s="44">
        <f t="shared" si="271"/>
        <v>0</v>
      </c>
      <c r="NKH63" s="44">
        <f t="shared" si="271"/>
        <v>0</v>
      </c>
      <c r="NKI63" s="44">
        <f t="shared" si="271"/>
        <v>0</v>
      </c>
      <c r="NKJ63" s="44">
        <f t="shared" si="271"/>
        <v>0</v>
      </c>
      <c r="NKK63" s="44">
        <f t="shared" si="271"/>
        <v>0</v>
      </c>
      <c r="NKL63" s="44">
        <f t="shared" si="271"/>
        <v>0</v>
      </c>
      <c r="NKM63" s="44">
        <f t="shared" si="271"/>
        <v>0</v>
      </c>
      <c r="NKN63" s="44">
        <f t="shared" si="271"/>
        <v>0</v>
      </c>
      <c r="NKO63" s="44">
        <f t="shared" si="271"/>
        <v>0</v>
      </c>
      <c r="NKP63" s="44">
        <f t="shared" si="271"/>
        <v>0</v>
      </c>
      <c r="NKQ63" s="44">
        <f t="shared" si="271"/>
        <v>0</v>
      </c>
      <c r="NKR63" s="44">
        <f t="shared" si="271"/>
        <v>0</v>
      </c>
      <c r="NKS63" s="44">
        <f t="shared" si="271"/>
        <v>0</v>
      </c>
      <c r="NKT63" s="44">
        <f t="shared" si="271"/>
        <v>0</v>
      </c>
      <c r="NKU63" s="44">
        <f t="shared" si="271"/>
        <v>0</v>
      </c>
      <c r="NKV63" s="44">
        <f t="shared" si="271"/>
        <v>0</v>
      </c>
      <c r="NKW63" s="44">
        <f t="shared" si="271"/>
        <v>0</v>
      </c>
      <c r="NKX63" s="44">
        <f t="shared" si="271"/>
        <v>0</v>
      </c>
      <c r="NKY63" s="44">
        <f t="shared" si="271"/>
        <v>0</v>
      </c>
      <c r="NKZ63" s="44">
        <f t="shared" si="271"/>
        <v>0</v>
      </c>
      <c r="NLA63" s="44">
        <f t="shared" si="271"/>
        <v>0</v>
      </c>
      <c r="NLB63" s="44">
        <f t="shared" si="271"/>
        <v>0</v>
      </c>
      <c r="NLC63" s="44">
        <f t="shared" si="271"/>
        <v>0</v>
      </c>
      <c r="NLD63" s="44">
        <f t="shared" si="271"/>
        <v>0</v>
      </c>
      <c r="NLE63" s="44">
        <f t="shared" si="271"/>
        <v>0</v>
      </c>
      <c r="NLF63" s="44">
        <f t="shared" si="271"/>
        <v>0</v>
      </c>
      <c r="NLG63" s="44">
        <f t="shared" si="271"/>
        <v>0</v>
      </c>
      <c r="NLH63" s="44">
        <f t="shared" si="271"/>
        <v>0</v>
      </c>
      <c r="NLI63" s="44">
        <f t="shared" si="271"/>
        <v>0</v>
      </c>
      <c r="NLJ63" s="44">
        <f t="shared" si="271"/>
        <v>0</v>
      </c>
      <c r="NLK63" s="44">
        <f t="shared" si="271"/>
        <v>0</v>
      </c>
      <c r="NLL63" s="44">
        <f t="shared" si="271"/>
        <v>0</v>
      </c>
      <c r="NLM63" s="44">
        <f t="shared" si="271"/>
        <v>0</v>
      </c>
      <c r="NLN63" s="44">
        <f t="shared" si="271"/>
        <v>0</v>
      </c>
      <c r="NLO63" s="44">
        <f t="shared" si="271"/>
        <v>0</v>
      </c>
      <c r="NLP63" s="44">
        <f t="shared" si="271"/>
        <v>0</v>
      </c>
      <c r="NLQ63" s="44">
        <f t="shared" si="271"/>
        <v>0</v>
      </c>
      <c r="NLR63" s="44">
        <f t="shared" si="271"/>
        <v>0</v>
      </c>
      <c r="NLS63" s="44">
        <f t="shared" si="271"/>
        <v>0</v>
      </c>
      <c r="NLT63" s="44">
        <f t="shared" si="271"/>
        <v>0</v>
      </c>
      <c r="NLU63" s="44">
        <f t="shared" si="271"/>
        <v>0</v>
      </c>
      <c r="NLV63" s="44">
        <f t="shared" si="271"/>
        <v>0</v>
      </c>
      <c r="NLW63" s="44">
        <f t="shared" si="271"/>
        <v>0</v>
      </c>
      <c r="NLX63" s="44">
        <f t="shared" si="271"/>
        <v>0</v>
      </c>
      <c r="NLY63" s="44">
        <f t="shared" si="271"/>
        <v>0</v>
      </c>
      <c r="NLZ63" s="44">
        <f t="shared" si="271"/>
        <v>0</v>
      </c>
      <c r="NMA63" s="44">
        <f t="shared" si="271"/>
        <v>0</v>
      </c>
      <c r="NMB63" s="44">
        <f t="shared" si="271"/>
        <v>0</v>
      </c>
      <c r="NMC63" s="44">
        <f t="shared" si="271"/>
        <v>0</v>
      </c>
      <c r="NMD63" s="44">
        <f t="shared" si="271"/>
        <v>0</v>
      </c>
      <c r="NME63" s="44">
        <f t="shared" si="271"/>
        <v>0</v>
      </c>
      <c r="NMF63" s="44">
        <f t="shared" si="271"/>
        <v>0</v>
      </c>
      <c r="NMG63" s="44">
        <f t="shared" si="271"/>
        <v>0</v>
      </c>
      <c r="NMH63" s="44">
        <f t="shared" si="271"/>
        <v>0</v>
      </c>
      <c r="NMI63" s="44">
        <f t="shared" si="271"/>
        <v>0</v>
      </c>
      <c r="NMJ63" s="44">
        <f t="shared" si="271"/>
        <v>0</v>
      </c>
      <c r="NMK63" s="44">
        <f t="shared" si="271"/>
        <v>0</v>
      </c>
      <c r="NML63" s="44">
        <f t="shared" ref="NML63:NOW63" si="272">SUM(NML56:NML57)</f>
        <v>0</v>
      </c>
      <c r="NMM63" s="44">
        <f t="shared" si="272"/>
        <v>0</v>
      </c>
      <c r="NMN63" s="44">
        <f t="shared" si="272"/>
        <v>0</v>
      </c>
      <c r="NMO63" s="44">
        <f t="shared" si="272"/>
        <v>0</v>
      </c>
      <c r="NMP63" s="44">
        <f t="shared" si="272"/>
        <v>0</v>
      </c>
      <c r="NMQ63" s="44">
        <f t="shared" si="272"/>
        <v>0</v>
      </c>
      <c r="NMR63" s="44">
        <f t="shared" si="272"/>
        <v>0</v>
      </c>
      <c r="NMS63" s="44">
        <f t="shared" si="272"/>
        <v>0</v>
      </c>
      <c r="NMT63" s="44">
        <f t="shared" si="272"/>
        <v>0</v>
      </c>
      <c r="NMU63" s="44">
        <f t="shared" si="272"/>
        <v>0</v>
      </c>
      <c r="NMV63" s="44">
        <f t="shared" si="272"/>
        <v>0</v>
      </c>
      <c r="NMW63" s="44">
        <f t="shared" si="272"/>
        <v>0</v>
      </c>
      <c r="NMX63" s="44">
        <f t="shared" si="272"/>
        <v>0</v>
      </c>
      <c r="NMY63" s="44">
        <f t="shared" si="272"/>
        <v>0</v>
      </c>
      <c r="NMZ63" s="44">
        <f t="shared" si="272"/>
        <v>0</v>
      </c>
      <c r="NNA63" s="44">
        <f t="shared" si="272"/>
        <v>0</v>
      </c>
      <c r="NNB63" s="44">
        <f t="shared" si="272"/>
        <v>0</v>
      </c>
      <c r="NNC63" s="44">
        <f t="shared" si="272"/>
        <v>0</v>
      </c>
      <c r="NND63" s="44">
        <f t="shared" si="272"/>
        <v>0</v>
      </c>
      <c r="NNE63" s="44">
        <f t="shared" si="272"/>
        <v>0</v>
      </c>
      <c r="NNF63" s="44">
        <f t="shared" si="272"/>
        <v>0</v>
      </c>
      <c r="NNG63" s="44">
        <f t="shared" si="272"/>
        <v>0</v>
      </c>
      <c r="NNH63" s="44">
        <f t="shared" si="272"/>
        <v>0</v>
      </c>
      <c r="NNI63" s="44">
        <f t="shared" si="272"/>
        <v>0</v>
      </c>
      <c r="NNJ63" s="44">
        <f t="shared" si="272"/>
        <v>0</v>
      </c>
      <c r="NNK63" s="44">
        <f t="shared" si="272"/>
        <v>0</v>
      </c>
      <c r="NNL63" s="44">
        <f t="shared" si="272"/>
        <v>0</v>
      </c>
      <c r="NNM63" s="44">
        <f t="shared" si="272"/>
        <v>0</v>
      </c>
      <c r="NNN63" s="44">
        <f t="shared" si="272"/>
        <v>0</v>
      </c>
      <c r="NNO63" s="44">
        <f t="shared" si="272"/>
        <v>0</v>
      </c>
      <c r="NNP63" s="44">
        <f t="shared" si="272"/>
        <v>0</v>
      </c>
      <c r="NNQ63" s="44">
        <f t="shared" si="272"/>
        <v>0</v>
      </c>
      <c r="NNR63" s="44">
        <f t="shared" si="272"/>
        <v>0</v>
      </c>
      <c r="NNS63" s="44">
        <f t="shared" si="272"/>
        <v>0</v>
      </c>
      <c r="NNT63" s="44">
        <f t="shared" si="272"/>
        <v>0</v>
      </c>
      <c r="NNU63" s="44">
        <f t="shared" si="272"/>
        <v>0</v>
      </c>
      <c r="NNV63" s="44">
        <f t="shared" si="272"/>
        <v>0</v>
      </c>
      <c r="NNW63" s="44">
        <f t="shared" si="272"/>
        <v>0</v>
      </c>
      <c r="NNX63" s="44">
        <f t="shared" si="272"/>
        <v>0</v>
      </c>
      <c r="NNY63" s="44">
        <f t="shared" si="272"/>
        <v>0</v>
      </c>
      <c r="NNZ63" s="44">
        <f t="shared" si="272"/>
        <v>0</v>
      </c>
      <c r="NOA63" s="44">
        <f t="shared" si="272"/>
        <v>0</v>
      </c>
      <c r="NOB63" s="44">
        <f t="shared" si="272"/>
        <v>0</v>
      </c>
      <c r="NOC63" s="44">
        <f t="shared" si="272"/>
        <v>0</v>
      </c>
      <c r="NOD63" s="44">
        <f t="shared" si="272"/>
        <v>0</v>
      </c>
      <c r="NOE63" s="44">
        <f t="shared" si="272"/>
        <v>0</v>
      </c>
      <c r="NOF63" s="44">
        <f t="shared" si="272"/>
        <v>0</v>
      </c>
      <c r="NOG63" s="44">
        <f t="shared" si="272"/>
        <v>0</v>
      </c>
      <c r="NOH63" s="44">
        <f t="shared" si="272"/>
        <v>0</v>
      </c>
      <c r="NOI63" s="44">
        <f t="shared" si="272"/>
        <v>0</v>
      </c>
      <c r="NOJ63" s="44">
        <f t="shared" si="272"/>
        <v>0</v>
      </c>
      <c r="NOK63" s="44">
        <f t="shared" si="272"/>
        <v>0</v>
      </c>
      <c r="NOL63" s="44">
        <f t="shared" si="272"/>
        <v>0</v>
      </c>
      <c r="NOM63" s="44">
        <f t="shared" si="272"/>
        <v>0</v>
      </c>
      <c r="NON63" s="44">
        <f t="shared" si="272"/>
        <v>0</v>
      </c>
      <c r="NOO63" s="44">
        <f t="shared" si="272"/>
        <v>0</v>
      </c>
      <c r="NOP63" s="44">
        <f t="shared" si="272"/>
        <v>0</v>
      </c>
      <c r="NOQ63" s="44">
        <f t="shared" si="272"/>
        <v>0</v>
      </c>
      <c r="NOR63" s="44">
        <f t="shared" si="272"/>
        <v>0</v>
      </c>
      <c r="NOS63" s="44">
        <f t="shared" si="272"/>
        <v>0</v>
      </c>
      <c r="NOT63" s="44">
        <f t="shared" si="272"/>
        <v>0</v>
      </c>
      <c r="NOU63" s="44">
        <f t="shared" si="272"/>
        <v>0</v>
      </c>
      <c r="NOV63" s="44">
        <f t="shared" si="272"/>
        <v>0</v>
      </c>
      <c r="NOW63" s="44">
        <f t="shared" si="272"/>
        <v>0</v>
      </c>
      <c r="NOX63" s="44">
        <f t="shared" ref="NOX63:NRI63" si="273">SUM(NOX56:NOX57)</f>
        <v>0</v>
      </c>
      <c r="NOY63" s="44">
        <f t="shared" si="273"/>
        <v>0</v>
      </c>
      <c r="NOZ63" s="44">
        <f t="shared" si="273"/>
        <v>0</v>
      </c>
      <c r="NPA63" s="44">
        <f t="shared" si="273"/>
        <v>0</v>
      </c>
      <c r="NPB63" s="44">
        <f t="shared" si="273"/>
        <v>0</v>
      </c>
      <c r="NPC63" s="44">
        <f t="shared" si="273"/>
        <v>0</v>
      </c>
      <c r="NPD63" s="44">
        <f t="shared" si="273"/>
        <v>0</v>
      </c>
      <c r="NPE63" s="44">
        <f t="shared" si="273"/>
        <v>0</v>
      </c>
      <c r="NPF63" s="44">
        <f t="shared" si="273"/>
        <v>0</v>
      </c>
      <c r="NPG63" s="44">
        <f t="shared" si="273"/>
        <v>0</v>
      </c>
      <c r="NPH63" s="44">
        <f t="shared" si="273"/>
        <v>0</v>
      </c>
      <c r="NPI63" s="44">
        <f t="shared" si="273"/>
        <v>0</v>
      </c>
      <c r="NPJ63" s="44">
        <f t="shared" si="273"/>
        <v>0</v>
      </c>
      <c r="NPK63" s="44">
        <f t="shared" si="273"/>
        <v>0</v>
      </c>
      <c r="NPL63" s="44">
        <f t="shared" si="273"/>
        <v>0</v>
      </c>
      <c r="NPM63" s="44">
        <f t="shared" si="273"/>
        <v>0</v>
      </c>
      <c r="NPN63" s="44">
        <f t="shared" si="273"/>
        <v>0</v>
      </c>
      <c r="NPO63" s="44">
        <f t="shared" si="273"/>
        <v>0</v>
      </c>
      <c r="NPP63" s="44">
        <f t="shared" si="273"/>
        <v>0</v>
      </c>
      <c r="NPQ63" s="44">
        <f t="shared" si="273"/>
        <v>0</v>
      </c>
      <c r="NPR63" s="44">
        <f t="shared" si="273"/>
        <v>0</v>
      </c>
      <c r="NPS63" s="44">
        <f t="shared" si="273"/>
        <v>0</v>
      </c>
      <c r="NPT63" s="44">
        <f t="shared" si="273"/>
        <v>0</v>
      </c>
      <c r="NPU63" s="44">
        <f t="shared" si="273"/>
        <v>0</v>
      </c>
      <c r="NPV63" s="44">
        <f t="shared" si="273"/>
        <v>0</v>
      </c>
      <c r="NPW63" s="44">
        <f t="shared" si="273"/>
        <v>0</v>
      </c>
      <c r="NPX63" s="44">
        <f t="shared" si="273"/>
        <v>0</v>
      </c>
      <c r="NPY63" s="44">
        <f t="shared" si="273"/>
        <v>0</v>
      </c>
      <c r="NPZ63" s="44">
        <f t="shared" si="273"/>
        <v>0</v>
      </c>
      <c r="NQA63" s="44">
        <f t="shared" si="273"/>
        <v>0</v>
      </c>
      <c r="NQB63" s="44">
        <f t="shared" si="273"/>
        <v>0</v>
      </c>
      <c r="NQC63" s="44">
        <f t="shared" si="273"/>
        <v>0</v>
      </c>
      <c r="NQD63" s="44">
        <f t="shared" si="273"/>
        <v>0</v>
      </c>
      <c r="NQE63" s="44">
        <f t="shared" si="273"/>
        <v>0</v>
      </c>
      <c r="NQF63" s="44">
        <f t="shared" si="273"/>
        <v>0</v>
      </c>
      <c r="NQG63" s="44">
        <f t="shared" si="273"/>
        <v>0</v>
      </c>
      <c r="NQH63" s="44">
        <f t="shared" si="273"/>
        <v>0</v>
      </c>
      <c r="NQI63" s="44">
        <f t="shared" si="273"/>
        <v>0</v>
      </c>
      <c r="NQJ63" s="44">
        <f t="shared" si="273"/>
        <v>0</v>
      </c>
      <c r="NQK63" s="44">
        <f t="shared" si="273"/>
        <v>0</v>
      </c>
      <c r="NQL63" s="44">
        <f t="shared" si="273"/>
        <v>0</v>
      </c>
      <c r="NQM63" s="44">
        <f t="shared" si="273"/>
        <v>0</v>
      </c>
      <c r="NQN63" s="44">
        <f t="shared" si="273"/>
        <v>0</v>
      </c>
      <c r="NQO63" s="44">
        <f t="shared" si="273"/>
        <v>0</v>
      </c>
      <c r="NQP63" s="44">
        <f t="shared" si="273"/>
        <v>0</v>
      </c>
      <c r="NQQ63" s="44">
        <f t="shared" si="273"/>
        <v>0</v>
      </c>
      <c r="NQR63" s="44">
        <f t="shared" si="273"/>
        <v>0</v>
      </c>
      <c r="NQS63" s="44">
        <f t="shared" si="273"/>
        <v>0</v>
      </c>
      <c r="NQT63" s="44">
        <f t="shared" si="273"/>
        <v>0</v>
      </c>
      <c r="NQU63" s="44">
        <f t="shared" si="273"/>
        <v>0</v>
      </c>
      <c r="NQV63" s="44">
        <f t="shared" si="273"/>
        <v>0</v>
      </c>
      <c r="NQW63" s="44">
        <f t="shared" si="273"/>
        <v>0</v>
      </c>
      <c r="NQX63" s="44">
        <f t="shared" si="273"/>
        <v>0</v>
      </c>
      <c r="NQY63" s="44">
        <f t="shared" si="273"/>
        <v>0</v>
      </c>
      <c r="NQZ63" s="44">
        <f t="shared" si="273"/>
        <v>0</v>
      </c>
      <c r="NRA63" s="44">
        <f t="shared" si="273"/>
        <v>0</v>
      </c>
      <c r="NRB63" s="44">
        <f t="shared" si="273"/>
        <v>0</v>
      </c>
      <c r="NRC63" s="44">
        <f t="shared" si="273"/>
        <v>0</v>
      </c>
      <c r="NRD63" s="44">
        <f t="shared" si="273"/>
        <v>0</v>
      </c>
      <c r="NRE63" s="44">
        <f t="shared" si="273"/>
        <v>0</v>
      </c>
      <c r="NRF63" s="44">
        <f t="shared" si="273"/>
        <v>0</v>
      </c>
      <c r="NRG63" s="44">
        <f t="shared" si="273"/>
        <v>0</v>
      </c>
      <c r="NRH63" s="44">
        <f t="shared" si="273"/>
        <v>0</v>
      </c>
      <c r="NRI63" s="44">
        <f t="shared" si="273"/>
        <v>0</v>
      </c>
      <c r="NRJ63" s="44">
        <f t="shared" ref="NRJ63:NTU63" si="274">SUM(NRJ56:NRJ57)</f>
        <v>0</v>
      </c>
      <c r="NRK63" s="44">
        <f t="shared" si="274"/>
        <v>0</v>
      </c>
      <c r="NRL63" s="44">
        <f t="shared" si="274"/>
        <v>0</v>
      </c>
      <c r="NRM63" s="44">
        <f t="shared" si="274"/>
        <v>0</v>
      </c>
      <c r="NRN63" s="44">
        <f t="shared" si="274"/>
        <v>0</v>
      </c>
      <c r="NRO63" s="44">
        <f t="shared" si="274"/>
        <v>0</v>
      </c>
      <c r="NRP63" s="44">
        <f t="shared" si="274"/>
        <v>0</v>
      </c>
      <c r="NRQ63" s="44">
        <f t="shared" si="274"/>
        <v>0</v>
      </c>
      <c r="NRR63" s="44">
        <f t="shared" si="274"/>
        <v>0</v>
      </c>
      <c r="NRS63" s="44">
        <f t="shared" si="274"/>
        <v>0</v>
      </c>
      <c r="NRT63" s="44">
        <f t="shared" si="274"/>
        <v>0</v>
      </c>
      <c r="NRU63" s="44">
        <f t="shared" si="274"/>
        <v>0</v>
      </c>
      <c r="NRV63" s="44">
        <f t="shared" si="274"/>
        <v>0</v>
      </c>
      <c r="NRW63" s="44">
        <f t="shared" si="274"/>
        <v>0</v>
      </c>
      <c r="NRX63" s="44">
        <f t="shared" si="274"/>
        <v>0</v>
      </c>
      <c r="NRY63" s="44">
        <f t="shared" si="274"/>
        <v>0</v>
      </c>
      <c r="NRZ63" s="44">
        <f t="shared" si="274"/>
        <v>0</v>
      </c>
      <c r="NSA63" s="44">
        <f t="shared" si="274"/>
        <v>0</v>
      </c>
      <c r="NSB63" s="44">
        <f t="shared" si="274"/>
        <v>0</v>
      </c>
      <c r="NSC63" s="44">
        <f t="shared" si="274"/>
        <v>0</v>
      </c>
      <c r="NSD63" s="44">
        <f t="shared" si="274"/>
        <v>0</v>
      </c>
      <c r="NSE63" s="44">
        <f t="shared" si="274"/>
        <v>0</v>
      </c>
      <c r="NSF63" s="44">
        <f t="shared" si="274"/>
        <v>0</v>
      </c>
      <c r="NSG63" s="44">
        <f t="shared" si="274"/>
        <v>0</v>
      </c>
      <c r="NSH63" s="44">
        <f t="shared" si="274"/>
        <v>0</v>
      </c>
      <c r="NSI63" s="44">
        <f t="shared" si="274"/>
        <v>0</v>
      </c>
      <c r="NSJ63" s="44">
        <f t="shared" si="274"/>
        <v>0</v>
      </c>
      <c r="NSK63" s="44">
        <f t="shared" si="274"/>
        <v>0</v>
      </c>
      <c r="NSL63" s="44">
        <f t="shared" si="274"/>
        <v>0</v>
      </c>
      <c r="NSM63" s="44">
        <f t="shared" si="274"/>
        <v>0</v>
      </c>
      <c r="NSN63" s="44">
        <f t="shared" si="274"/>
        <v>0</v>
      </c>
      <c r="NSO63" s="44">
        <f t="shared" si="274"/>
        <v>0</v>
      </c>
      <c r="NSP63" s="44">
        <f t="shared" si="274"/>
        <v>0</v>
      </c>
      <c r="NSQ63" s="44">
        <f t="shared" si="274"/>
        <v>0</v>
      </c>
      <c r="NSR63" s="44">
        <f t="shared" si="274"/>
        <v>0</v>
      </c>
      <c r="NSS63" s="44">
        <f t="shared" si="274"/>
        <v>0</v>
      </c>
      <c r="NST63" s="44">
        <f t="shared" si="274"/>
        <v>0</v>
      </c>
      <c r="NSU63" s="44">
        <f t="shared" si="274"/>
        <v>0</v>
      </c>
      <c r="NSV63" s="44">
        <f t="shared" si="274"/>
        <v>0</v>
      </c>
      <c r="NSW63" s="44">
        <f t="shared" si="274"/>
        <v>0</v>
      </c>
      <c r="NSX63" s="44">
        <f t="shared" si="274"/>
        <v>0</v>
      </c>
      <c r="NSY63" s="44">
        <f t="shared" si="274"/>
        <v>0</v>
      </c>
      <c r="NSZ63" s="44">
        <f t="shared" si="274"/>
        <v>0</v>
      </c>
      <c r="NTA63" s="44">
        <f t="shared" si="274"/>
        <v>0</v>
      </c>
      <c r="NTB63" s="44">
        <f t="shared" si="274"/>
        <v>0</v>
      </c>
      <c r="NTC63" s="44">
        <f t="shared" si="274"/>
        <v>0</v>
      </c>
      <c r="NTD63" s="44">
        <f t="shared" si="274"/>
        <v>0</v>
      </c>
      <c r="NTE63" s="44">
        <f t="shared" si="274"/>
        <v>0</v>
      </c>
      <c r="NTF63" s="44">
        <f t="shared" si="274"/>
        <v>0</v>
      </c>
      <c r="NTG63" s="44">
        <f t="shared" si="274"/>
        <v>0</v>
      </c>
      <c r="NTH63" s="44">
        <f t="shared" si="274"/>
        <v>0</v>
      </c>
      <c r="NTI63" s="44">
        <f t="shared" si="274"/>
        <v>0</v>
      </c>
      <c r="NTJ63" s="44">
        <f t="shared" si="274"/>
        <v>0</v>
      </c>
      <c r="NTK63" s="44">
        <f t="shared" si="274"/>
        <v>0</v>
      </c>
      <c r="NTL63" s="44">
        <f t="shared" si="274"/>
        <v>0</v>
      </c>
      <c r="NTM63" s="44">
        <f t="shared" si="274"/>
        <v>0</v>
      </c>
      <c r="NTN63" s="44">
        <f t="shared" si="274"/>
        <v>0</v>
      </c>
      <c r="NTO63" s="44">
        <f t="shared" si="274"/>
        <v>0</v>
      </c>
      <c r="NTP63" s="44">
        <f t="shared" si="274"/>
        <v>0</v>
      </c>
      <c r="NTQ63" s="44">
        <f t="shared" si="274"/>
        <v>0</v>
      </c>
      <c r="NTR63" s="44">
        <f t="shared" si="274"/>
        <v>0</v>
      </c>
      <c r="NTS63" s="44">
        <f t="shared" si="274"/>
        <v>0</v>
      </c>
      <c r="NTT63" s="44">
        <f t="shared" si="274"/>
        <v>0</v>
      </c>
      <c r="NTU63" s="44">
        <f t="shared" si="274"/>
        <v>0</v>
      </c>
      <c r="NTV63" s="44">
        <f t="shared" ref="NTV63:NWG63" si="275">SUM(NTV56:NTV57)</f>
        <v>0</v>
      </c>
      <c r="NTW63" s="44">
        <f t="shared" si="275"/>
        <v>0</v>
      </c>
      <c r="NTX63" s="44">
        <f t="shared" si="275"/>
        <v>0</v>
      </c>
      <c r="NTY63" s="44">
        <f t="shared" si="275"/>
        <v>0</v>
      </c>
      <c r="NTZ63" s="44">
        <f t="shared" si="275"/>
        <v>0</v>
      </c>
      <c r="NUA63" s="44">
        <f t="shared" si="275"/>
        <v>0</v>
      </c>
      <c r="NUB63" s="44">
        <f t="shared" si="275"/>
        <v>0</v>
      </c>
      <c r="NUC63" s="44">
        <f t="shared" si="275"/>
        <v>0</v>
      </c>
      <c r="NUD63" s="44">
        <f t="shared" si="275"/>
        <v>0</v>
      </c>
      <c r="NUE63" s="44">
        <f t="shared" si="275"/>
        <v>0</v>
      </c>
      <c r="NUF63" s="44">
        <f t="shared" si="275"/>
        <v>0</v>
      </c>
      <c r="NUG63" s="44">
        <f t="shared" si="275"/>
        <v>0</v>
      </c>
      <c r="NUH63" s="44">
        <f t="shared" si="275"/>
        <v>0</v>
      </c>
      <c r="NUI63" s="44">
        <f t="shared" si="275"/>
        <v>0</v>
      </c>
      <c r="NUJ63" s="44">
        <f t="shared" si="275"/>
        <v>0</v>
      </c>
      <c r="NUK63" s="44">
        <f t="shared" si="275"/>
        <v>0</v>
      </c>
      <c r="NUL63" s="44">
        <f t="shared" si="275"/>
        <v>0</v>
      </c>
      <c r="NUM63" s="44">
        <f t="shared" si="275"/>
        <v>0</v>
      </c>
      <c r="NUN63" s="44">
        <f t="shared" si="275"/>
        <v>0</v>
      </c>
      <c r="NUO63" s="44">
        <f t="shared" si="275"/>
        <v>0</v>
      </c>
      <c r="NUP63" s="44">
        <f t="shared" si="275"/>
        <v>0</v>
      </c>
      <c r="NUQ63" s="44">
        <f t="shared" si="275"/>
        <v>0</v>
      </c>
      <c r="NUR63" s="44">
        <f t="shared" si="275"/>
        <v>0</v>
      </c>
      <c r="NUS63" s="44">
        <f t="shared" si="275"/>
        <v>0</v>
      </c>
      <c r="NUT63" s="44">
        <f t="shared" si="275"/>
        <v>0</v>
      </c>
      <c r="NUU63" s="44">
        <f t="shared" si="275"/>
        <v>0</v>
      </c>
      <c r="NUV63" s="44">
        <f t="shared" si="275"/>
        <v>0</v>
      </c>
      <c r="NUW63" s="44">
        <f t="shared" si="275"/>
        <v>0</v>
      </c>
      <c r="NUX63" s="44">
        <f t="shared" si="275"/>
        <v>0</v>
      </c>
      <c r="NUY63" s="44">
        <f t="shared" si="275"/>
        <v>0</v>
      </c>
      <c r="NUZ63" s="44">
        <f t="shared" si="275"/>
        <v>0</v>
      </c>
      <c r="NVA63" s="44">
        <f t="shared" si="275"/>
        <v>0</v>
      </c>
      <c r="NVB63" s="44">
        <f t="shared" si="275"/>
        <v>0</v>
      </c>
      <c r="NVC63" s="44">
        <f t="shared" si="275"/>
        <v>0</v>
      </c>
      <c r="NVD63" s="44">
        <f t="shared" si="275"/>
        <v>0</v>
      </c>
      <c r="NVE63" s="44">
        <f t="shared" si="275"/>
        <v>0</v>
      </c>
      <c r="NVF63" s="44">
        <f t="shared" si="275"/>
        <v>0</v>
      </c>
      <c r="NVG63" s="44">
        <f t="shared" si="275"/>
        <v>0</v>
      </c>
      <c r="NVH63" s="44">
        <f t="shared" si="275"/>
        <v>0</v>
      </c>
      <c r="NVI63" s="44">
        <f t="shared" si="275"/>
        <v>0</v>
      </c>
      <c r="NVJ63" s="44">
        <f t="shared" si="275"/>
        <v>0</v>
      </c>
      <c r="NVK63" s="44">
        <f t="shared" si="275"/>
        <v>0</v>
      </c>
      <c r="NVL63" s="44">
        <f t="shared" si="275"/>
        <v>0</v>
      </c>
      <c r="NVM63" s="44">
        <f t="shared" si="275"/>
        <v>0</v>
      </c>
      <c r="NVN63" s="44">
        <f t="shared" si="275"/>
        <v>0</v>
      </c>
      <c r="NVO63" s="44">
        <f t="shared" si="275"/>
        <v>0</v>
      </c>
      <c r="NVP63" s="44">
        <f t="shared" si="275"/>
        <v>0</v>
      </c>
      <c r="NVQ63" s="44">
        <f t="shared" si="275"/>
        <v>0</v>
      </c>
      <c r="NVR63" s="44">
        <f t="shared" si="275"/>
        <v>0</v>
      </c>
      <c r="NVS63" s="44">
        <f t="shared" si="275"/>
        <v>0</v>
      </c>
      <c r="NVT63" s="44">
        <f t="shared" si="275"/>
        <v>0</v>
      </c>
      <c r="NVU63" s="44">
        <f t="shared" si="275"/>
        <v>0</v>
      </c>
      <c r="NVV63" s="44">
        <f t="shared" si="275"/>
        <v>0</v>
      </c>
      <c r="NVW63" s="44">
        <f t="shared" si="275"/>
        <v>0</v>
      </c>
      <c r="NVX63" s="44">
        <f t="shared" si="275"/>
        <v>0</v>
      </c>
      <c r="NVY63" s="44">
        <f t="shared" si="275"/>
        <v>0</v>
      </c>
      <c r="NVZ63" s="44">
        <f t="shared" si="275"/>
        <v>0</v>
      </c>
      <c r="NWA63" s="44">
        <f t="shared" si="275"/>
        <v>0</v>
      </c>
      <c r="NWB63" s="44">
        <f t="shared" si="275"/>
        <v>0</v>
      </c>
      <c r="NWC63" s="44">
        <f t="shared" si="275"/>
        <v>0</v>
      </c>
      <c r="NWD63" s="44">
        <f t="shared" si="275"/>
        <v>0</v>
      </c>
      <c r="NWE63" s="44">
        <f t="shared" si="275"/>
        <v>0</v>
      </c>
      <c r="NWF63" s="44">
        <f t="shared" si="275"/>
        <v>0</v>
      </c>
      <c r="NWG63" s="44">
        <f t="shared" si="275"/>
        <v>0</v>
      </c>
      <c r="NWH63" s="44">
        <f t="shared" ref="NWH63:NYS63" si="276">SUM(NWH56:NWH57)</f>
        <v>0</v>
      </c>
      <c r="NWI63" s="44">
        <f t="shared" si="276"/>
        <v>0</v>
      </c>
      <c r="NWJ63" s="44">
        <f t="shared" si="276"/>
        <v>0</v>
      </c>
      <c r="NWK63" s="44">
        <f t="shared" si="276"/>
        <v>0</v>
      </c>
      <c r="NWL63" s="44">
        <f t="shared" si="276"/>
        <v>0</v>
      </c>
      <c r="NWM63" s="44">
        <f t="shared" si="276"/>
        <v>0</v>
      </c>
      <c r="NWN63" s="44">
        <f t="shared" si="276"/>
        <v>0</v>
      </c>
      <c r="NWO63" s="44">
        <f t="shared" si="276"/>
        <v>0</v>
      </c>
      <c r="NWP63" s="44">
        <f t="shared" si="276"/>
        <v>0</v>
      </c>
      <c r="NWQ63" s="44">
        <f t="shared" si="276"/>
        <v>0</v>
      </c>
      <c r="NWR63" s="44">
        <f t="shared" si="276"/>
        <v>0</v>
      </c>
      <c r="NWS63" s="44">
        <f t="shared" si="276"/>
        <v>0</v>
      </c>
      <c r="NWT63" s="44">
        <f t="shared" si="276"/>
        <v>0</v>
      </c>
      <c r="NWU63" s="44">
        <f t="shared" si="276"/>
        <v>0</v>
      </c>
      <c r="NWV63" s="44">
        <f t="shared" si="276"/>
        <v>0</v>
      </c>
      <c r="NWW63" s="44">
        <f t="shared" si="276"/>
        <v>0</v>
      </c>
      <c r="NWX63" s="44">
        <f t="shared" si="276"/>
        <v>0</v>
      </c>
      <c r="NWY63" s="44">
        <f t="shared" si="276"/>
        <v>0</v>
      </c>
      <c r="NWZ63" s="44">
        <f t="shared" si="276"/>
        <v>0</v>
      </c>
      <c r="NXA63" s="44">
        <f t="shared" si="276"/>
        <v>0</v>
      </c>
      <c r="NXB63" s="44">
        <f t="shared" si="276"/>
        <v>0</v>
      </c>
      <c r="NXC63" s="44">
        <f t="shared" si="276"/>
        <v>0</v>
      </c>
      <c r="NXD63" s="44">
        <f t="shared" si="276"/>
        <v>0</v>
      </c>
      <c r="NXE63" s="44">
        <f t="shared" si="276"/>
        <v>0</v>
      </c>
      <c r="NXF63" s="44">
        <f t="shared" si="276"/>
        <v>0</v>
      </c>
      <c r="NXG63" s="44">
        <f t="shared" si="276"/>
        <v>0</v>
      </c>
      <c r="NXH63" s="44">
        <f t="shared" si="276"/>
        <v>0</v>
      </c>
      <c r="NXI63" s="44">
        <f t="shared" si="276"/>
        <v>0</v>
      </c>
      <c r="NXJ63" s="44">
        <f t="shared" si="276"/>
        <v>0</v>
      </c>
      <c r="NXK63" s="44">
        <f t="shared" si="276"/>
        <v>0</v>
      </c>
      <c r="NXL63" s="44">
        <f t="shared" si="276"/>
        <v>0</v>
      </c>
      <c r="NXM63" s="44">
        <f t="shared" si="276"/>
        <v>0</v>
      </c>
      <c r="NXN63" s="44">
        <f t="shared" si="276"/>
        <v>0</v>
      </c>
      <c r="NXO63" s="44">
        <f t="shared" si="276"/>
        <v>0</v>
      </c>
      <c r="NXP63" s="44">
        <f t="shared" si="276"/>
        <v>0</v>
      </c>
      <c r="NXQ63" s="44">
        <f t="shared" si="276"/>
        <v>0</v>
      </c>
      <c r="NXR63" s="44">
        <f t="shared" si="276"/>
        <v>0</v>
      </c>
      <c r="NXS63" s="44">
        <f t="shared" si="276"/>
        <v>0</v>
      </c>
      <c r="NXT63" s="44">
        <f t="shared" si="276"/>
        <v>0</v>
      </c>
      <c r="NXU63" s="44">
        <f t="shared" si="276"/>
        <v>0</v>
      </c>
      <c r="NXV63" s="44">
        <f t="shared" si="276"/>
        <v>0</v>
      </c>
      <c r="NXW63" s="44">
        <f t="shared" si="276"/>
        <v>0</v>
      </c>
      <c r="NXX63" s="44">
        <f t="shared" si="276"/>
        <v>0</v>
      </c>
      <c r="NXY63" s="44">
        <f t="shared" si="276"/>
        <v>0</v>
      </c>
      <c r="NXZ63" s="44">
        <f t="shared" si="276"/>
        <v>0</v>
      </c>
      <c r="NYA63" s="44">
        <f t="shared" si="276"/>
        <v>0</v>
      </c>
      <c r="NYB63" s="44">
        <f t="shared" si="276"/>
        <v>0</v>
      </c>
      <c r="NYC63" s="44">
        <f t="shared" si="276"/>
        <v>0</v>
      </c>
      <c r="NYD63" s="44">
        <f t="shared" si="276"/>
        <v>0</v>
      </c>
      <c r="NYE63" s="44">
        <f t="shared" si="276"/>
        <v>0</v>
      </c>
      <c r="NYF63" s="44">
        <f t="shared" si="276"/>
        <v>0</v>
      </c>
      <c r="NYG63" s="44">
        <f t="shared" si="276"/>
        <v>0</v>
      </c>
      <c r="NYH63" s="44">
        <f t="shared" si="276"/>
        <v>0</v>
      </c>
      <c r="NYI63" s="44">
        <f t="shared" si="276"/>
        <v>0</v>
      </c>
      <c r="NYJ63" s="44">
        <f t="shared" si="276"/>
        <v>0</v>
      </c>
      <c r="NYK63" s="44">
        <f t="shared" si="276"/>
        <v>0</v>
      </c>
      <c r="NYL63" s="44">
        <f t="shared" si="276"/>
        <v>0</v>
      </c>
      <c r="NYM63" s="44">
        <f t="shared" si="276"/>
        <v>0</v>
      </c>
      <c r="NYN63" s="44">
        <f t="shared" si="276"/>
        <v>0</v>
      </c>
      <c r="NYO63" s="44">
        <f t="shared" si="276"/>
        <v>0</v>
      </c>
      <c r="NYP63" s="44">
        <f t="shared" si="276"/>
        <v>0</v>
      </c>
      <c r="NYQ63" s="44">
        <f t="shared" si="276"/>
        <v>0</v>
      </c>
      <c r="NYR63" s="44">
        <f t="shared" si="276"/>
        <v>0</v>
      </c>
      <c r="NYS63" s="44">
        <f t="shared" si="276"/>
        <v>0</v>
      </c>
      <c r="NYT63" s="44">
        <f t="shared" ref="NYT63:OBE63" si="277">SUM(NYT56:NYT57)</f>
        <v>0</v>
      </c>
      <c r="NYU63" s="44">
        <f t="shared" si="277"/>
        <v>0</v>
      </c>
      <c r="NYV63" s="44">
        <f t="shared" si="277"/>
        <v>0</v>
      </c>
      <c r="NYW63" s="44">
        <f t="shared" si="277"/>
        <v>0</v>
      </c>
      <c r="NYX63" s="44">
        <f t="shared" si="277"/>
        <v>0</v>
      </c>
      <c r="NYY63" s="44">
        <f t="shared" si="277"/>
        <v>0</v>
      </c>
      <c r="NYZ63" s="44">
        <f t="shared" si="277"/>
        <v>0</v>
      </c>
      <c r="NZA63" s="44">
        <f t="shared" si="277"/>
        <v>0</v>
      </c>
      <c r="NZB63" s="44">
        <f t="shared" si="277"/>
        <v>0</v>
      </c>
      <c r="NZC63" s="44">
        <f t="shared" si="277"/>
        <v>0</v>
      </c>
      <c r="NZD63" s="44">
        <f t="shared" si="277"/>
        <v>0</v>
      </c>
      <c r="NZE63" s="44">
        <f t="shared" si="277"/>
        <v>0</v>
      </c>
      <c r="NZF63" s="44">
        <f t="shared" si="277"/>
        <v>0</v>
      </c>
      <c r="NZG63" s="44">
        <f t="shared" si="277"/>
        <v>0</v>
      </c>
      <c r="NZH63" s="44">
        <f t="shared" si="277"/>
        <v>0</v>
      </c>
      <c r="NZI63" s="44">
        <f t="shared" si="277"/>
        <v>0</v>
      </c>
      <c r="NZJ63" s="44">
        <f t="shared" si="277"/>
        <v>0</v>
      </c>
      <c r="NZK63" s="44">
        <f t="shared" si="277"/>
        <v>0</v>
      </c>
      <c r="NZL63" s="44">
        <f t="shared" si="277"/>
        <v>0</v>
      </c>
      <c r="NZM63" s="44">
        <f t="shared" si="277"/>
        <v>0</v>
      </c>
      <c r="NZN63" s="44">
        <f t="shared" si="277"/>
        <v>0</v>
      </c>
      <c r="NZO63" s="44">
        <f t="shared" si="277"/>
        <v>0</v>
      </c>
      <c r="NZP63" s="44">
        <f t="shared" si="277"/>
        <v>0</v>
      </c>
      <c r="NZQ63" s="44">
        <f t="shared" si="277"/>
        <v>0</v>
      </c>
      <c r="NZR63" s="44">
        <f t="shared" si="277"/>
        <v>0</v>
      </c>
      <c r="NZS63" s="44">
        <f t="shared" si="277"/>
        <v>0</v>
      </c>
      <c r="NZT63" s="44">
        <f t="shared" si="277"/>
        <v>0</v>
      </c>
      <c r="NZU63" s="44">
        <f t="shared" si="277"/>
        <v>0</v>
      </c>
      <c r="NZV63" s="44">
        <f t="shared" si="277"/>
        <v>0</v>
      </c>
      <c r="NZW63" s="44">
        <f t="shared" si="277"/>
        <v>0</v>
      </c>
      <c r="NZX63" s="44">
        <f t="shared" si="277"/>
        <v>0</v>
      </c>
      <c r="NZY63" s="44">
        <f t="shared" si="277"/>
        <v>0</v>
      </c>
      <c r="NZZ63" s="44">
        <f t="shared" si="277"/>
        <v>0</v>
      </c>
      <c r="OAA63" s="44">
        <f t="shared" si="277"/>
        <v>0</v>
      </c>
      <c r="OAB63" s="44">
        <f t="shared" si="277"/>
        <v>0</v>
      </c>
      <c r="OAC63" s="44">
        <f t="shared" si="277"/>
        <v>0</v>
      </c>
      <c r="OAD63" s="44">
        <f t="shared" si="277"/>
        <v>0</v>
      </c>
      <c r="OAE63" s="44">
        <f t="shared" si="277"/>
        <v>0</v>
      </c>
      <c r="OAF63" s="44">
        <f t="shared" si="277"/>
        <v>0</v>
      </c>
      <c r="OAG63" s="44">
        <f t="shared" si="277"/>
        <v>0</v>
      </c>
      <c r="OAH63" s="44">
        <f t="shared" si="277"/>
        <v>0</v>
      </c>
      <c r="OAI63" s="44">
        <f t="shared" si="277"/>
        <v>0</v>
      </c>
      <c r="OAJ63" s="44">
        <f t="shared" si="277"/>
        <v>0</v>
      </c>
      <c r="OAK63" s="44">
        <f t="shared" si="277"/>
        <v>0</v>
      </c>
      <c r="OAL63" s="44">
        <f t="shared" si="277"/>
        <v>0</v>
      </c>
      <c r="OAM63" s="44">
        <f t="shared" si="277"/>
        <v>0</v>
      </c>
      <c r="OAN63" s="44">
        <f t="shared" si="277"/>
        <v>0</v>
      </c>
      <c r="OAO63" s="44">
        <f t="shared" si="277"/>
        <v>0</v>
      </c>
      <c r="OAP63" s="44">
        <f t="shared" si="277"/>
        <v>0</v>
      </c>
      <c r="OAQ63" s="44">
        <f t="shared" si="277"/>
        <v>0</v>
      </c>
      <c r="OAR63" s="44">
        <f t="shared" si="277"/>
        <v>0</v>
      </c>
      <c r="OAS63" s="44">
        <f t="shared" si="277"/>
        <v>0</v>
      </c>
      <c r="OAT63" s="44">
        <f t="shared" si="277"/>
        <v>0</v>
      </c>
      <c r="OAU63" s="44">
        <f t="shared" si="277"/>
        <v>0</v>
      </c>
      <c r="OAV63" s="44">
        <f t="shared" si="277"/>
        <v>0</v>
      </c>
      <c r="OAW63" s="44">
        <f t="shared" si="277"/>
        <v>0</v>
      </c>
      <c r="OAX63" s="44">
        <f t="shared" si="277"/>
        <v>0</v>
      </c>
      <c r="OAY63" s="44">
        <f t="shared" si="277"/>
        <v>0</v>
      </c>
      <c r="OAZ63" s="44">
        <f t="shared" si="277"/>
        <v>0</v>
      </c>
      <c r="OBA63" s="44">
        <f t="shared" si="277"/>
        <v>0</v>
      </c>
      <c r="OBB63" s="44">
        <f t="shared" si="277"/>
        <v>0</v>
      </c>
      <c r="OBC63" s="44">
        <f t="shared" si="277"/>
        <v>0</v>
      </c>
      <c r="OBD63" s="44">
        <f t="shared" si="277"/>
        <v>0</v>
      </c>
      <c r="OBE63" s="44">
        <f t="shared" si="277"/>
        <v>0</v>
      </c>
      <c r="OBF63" s="44">
        <f t="shared" ref="OBF63:ODQ63" si="278">SUM(OBF56:OBF57)</f>
        <v>0</v>
      </c>
      <c r="OBG63" s="44">
        <f t="shared" si="278"/>
        <v>0</v>
      </c>
      <c r="OBH63" s="44">
        <f t="shared" si="278"/>
        <v>0</v>
      </c>
      <c r="OBI63" s="44">
        <f t="shared" si="278"/>
        <v>0</v>
      </c>
      <c r="OBJ63" s="44">
        <f t="shared" si="278"/>
        <v>0</v>
      </c>
      <c r="OBK63" s="44">
        <f t="shared" si="278"/>
        <v>0</v>
      </c>
      <c r="OBL63" s="44">
        <f t="shared" si="278"/>
        <v>0</v>
      </c>
      <c r="OBM63" s="44">
        <f t="shared" si="278"/>
        <v>0</v>
      </c>
      <c r="OBN63" s="44">
        <f t="shared" si="278"/>
        <v>0</v>
      </c>
      <c r="OBO63" s="44">
        <f t="shared" si="278"/>
        <v>0</v>
      </c>
      <c r="OBP63" s="44">
        <f t="shared" si="278"/>
        <v>0</v>
      </c>
      <c r="OBQ63" s="44">
        <f t="shared" si="278"/>
        <v>0</v>
      </c>
      <c r="OBR63" s="44">
        <f t="shared" si="278"/>
        <v>0</v>
      </c>
      <c r="OBS63" s="44">
        <f t="shared" si="278"/>
        <v>0</v>
      </c>
      <c r="OBT63" s="44">
        <f t="shared" si="278"/>
        <v>0</v>
      </c>
      <c r="OBU63" s="44">
        <f t="shared" si="278"/>
        <v>0</v>
      </c>
      <c r="OBV63" s="44">
        <f t="shared" si="278"/>
        <v>0</v>
      </c>
      <c r="OBW63" s="44">
        <f t="shared" si="278"/>
        <v>0</v>
      </c>
      <c r="OBX63" s="44">
        <f t="shared" si="278"/>
        <v>0</v>
      </c>
      <c r="OBY63" s="44">
        <f t="shared" si="278"/>
        <v>0</v>
      </c>
      <c r="OBZ63" s="44">
        <f t="shared" si="278"/>
        <v>0</v>
      </c>
      <c r="OCA63" s="44">
        <f t="shared" si="278"/>
        <v>0</v>
      </c>
      <c r="OCB63" s="44">
        <f t="shared" si="278"/>
        <v>0</v>
      </c>
      <c r="OCC63" s="44">
        <f t="shared" si="278"/>
        <v>0</v>
      </c>
      <c r="OCD63" s="44">
        <f t="shared" si="278"/>
        <v>0</v>
      </c>
      <c r="OCE63" s="44">
        <f t="shared" si="278"/>
        <v>0</v>
      </c>
      <c r="OCF63" s="44">
        <f t="shared" si="278"/>
        <v>0</v>
      </c>
      <c r="OCG63" s="44">
        <f t="shared" si="278"/>
        <v>0</v>
      </c>
      <c r="OCH63" s="44">
        <f t="shared" si="278"/>
        <v>0</v>
      </c>
      <c r="OCI63" s="44">
        <f t="shared" si="278"/>
        <v>0</v>
      </c>
      <c r="OCJ63" s="44">
        <f t="shared" si="278"/>
        <v>0</v>
      </c>
      <c r="OCK63" s="44">
        <f t="shared" si="278"/>
        <v>0</v>
      </c>
      <c r="OCL63" s="44">
        <f t="shared" si="278"/>
        <v>0</v>
      </c>
      <c r="OCM63" s="44">
        <f t="shared" si="278"/>
        <v>0</v>
      </c>
      <c r="OCN63" s="44">
        <f t="shared" si="278"/>
        <v>0</v>
      </c>
      <c r="OCO63" s="44">
        <f t="shared" si="278"/>
        <v>0</v>
      </c>
      <c r="OCP63" s="44">
        <f t="shared" si="278"/>
        <v>0</v>
      </c>
      <c r="OCQ63" s="44">
        <f t="shared" si="278"/>
        <v>0</v>
      </c>
      <c r="OCR63" s="44">
        <f t="shared" si="278"/>
        <v>0</v>
      </c>
      <c r="OCS63" s="44">
        <f t="shared" si="278"/>
        <v>0</v>
      </c>
      <c r="OCT63" s="44">
        <f t="shared" si="278"/>
        <v>0</v>
      </c>
      <c r="OCU63" s="44">
        <f t="shared" si="278"/>
        <v>0</v>
      </c>
      <c r="OCV63" s="44">
        <f t="shared" si="278"/>
        <v>0</v>
      </c>
      <c r="OCW63" s="44">
        <f t="shared" si="278"/>
        <v>0</v>
      </c>
      <c r="OCX63" s="44">
        <f t="shared" si="278"/>
        <v>0</v>
      </c>
      <c r="OCY63" s="44">
        <f t="shared" si="278"/>
        <v>0</v>
      </c>
      <c r="OCZ63" s="44">
        <f t="shared" si="278"/>
        <v>0</v>
      </c>
      <c r="ODA63" s="44">
        <f t="shared" si="278"/>
        <v>0</v>
      </c>
      <c r="ODB63" s="44">
        <f t="shared" si="278"/>
        <v>0</v>
      </c>
      <c r="ODC63" s="44">
        <f t="shared" si="278"/>
        <v>0</v>
      </c>
      <c r="ODD63" s="44">
        <f t="shared" si="278"/>
        <v>0</v>
      </c>
      <c r="ODE63" s="44">
        <f t="shared" si="278"/>
        <v>0</v>
      </c>
      <c r="ODF63" s="44">
        <f t="shared" si="278"/>
        <v>0</v>
      </c>
      <c r="ODG63" s="44">
        <f t="shared" si="278"/>
        <v>0</v>
      </c>
      <c r="ODH63" s="44">
        <f t="shared" si="278"/>
        <v>0</v>
      </c>
      <c r="ODI63" s="44">
        <f t="shared" si="278"/>
        <v>0</v>
      </c>
      <c r="ODJ63" s="44">
        <f t="shared" si="278"/>
        <v>0</v>
      </c>
      <c r="ODK63" s="44">
        <f t="shared" si="278"/>
        <v>0</v>
      </c>
      <c r="ODL63" s="44">
        <f t="shared" si="278"/>
        <v>0</v>
      </c>
      <c r="ODM63" s="44">
        <f t="shared" si="278"/>
        <v>0</v>
      </c>
      <c r="ODN63" s="44">
        <f t="shared" si="278"/>
        <v>0</v>
      </c>
      <c r="ODO63" s="44">
        <f t="shared" si="278"/>
        <v>0</v>
      </c>
      <c r="ODP63" s="44">
        <f t="shared" si="278"/>
        <v>0</v>
      </c>
      <c r="ODQ63" s="44">
        <f t="shared" si="278"/>
        <v>0</v>
      </c>
      <c r="ODR63" s="44">
        <f t="shared" ref="ODR63:OGC63" si="279">SUM(ODR56:ODR57)</f>
        <v>0</v>
      </c>
      <c r="ODS63" s="44">
        <f t="shared" si="279"/>
        <v>0</v>
      </c>
      <c r="ODT63" s="44">
        <f t="shared" si="279"/>
        <v>0</v>
      </c>
      <c r="ODU63" s="44">
        <f t="shared" si="279"/>
        <v>0</v>
      </c>
      <c r="ODV63" s="44">
        <f t="shared" si="279"/>
        <v>0</v>
      </c>
      <c r="ODW63" s="44">
        <f t="shared" si="279"/>
        <v>0</v>
      </c>
      <c r="ODX63" s="44">
        <f t="shared" si="279"/>
        <v>0</v>
      </c>
      <c r="ODY63" s="44">
        <f t="shared" si="279"/>
        <v>0</v>
      </c>
      <c r="ODZ63" s="44">
        <f t="shared" si="279"/>
        <v>0</v>
      </c>
      <c r="OEA63" s="44">
        <f t="shared" si="279"/>
        <v>0</v>
      </c>
      <c r="OEB63" s="44">
        <f t="shared" si="279"/>
        <v>0</v>
      </c>
      <c r="OEC63" s="44">
        <f t="shared" si="279"/>
        <v>0</v>
      </c>
      <c r="OED63" s="44">
        <f t="shared" si="279"/>
        <v>0</v>
      </c>
      <c r="OEE63" s="44">
        <f t="shared" si="279"/>
        <v>0</v>
      </c>
      <c r="OEF63" s="44">
        <f t="shared" si="279"/>
        <v>0</v>
      </c>
      <c r="OEG63" s="44">
        <f t="shared" si="279"/>
        <v>0</v>
      </c>
      <c r="OEH63" s="44">
        <f t="shared" si="279"/>
        <v>0</v>
      </c>
      <c r="OEI63" s="44">
        <f t="shared" si="279"/>
        <v>0</v>
      </c>
      <c r="OEJ63" s="44">
        <f t="shared" si="279"/>
        <v>0</v>
      </c>
      <c r="OEK63" s="44">
        <f t="shared" si="279"/>
        <v>0</v>
      </c>
      <c r="OEL63" s="44">
        <f t="shared" si="279"/>
        <v>0</v>
      </c>
      <c r="OEM63" s="44">
        <f t="shared" si="279"/>
        <v>0</v>
      </c>
      <c r="OEN63" s="44">
        <f t="shared" si="279"/>
        <v>0</v>
      </c>
      <c r="OEO63" s="44">
        <f t="shared" si="279"/>
        <v>0</v>
      </c>
      <c r="OEP63" s="44">
        <f t="shared" si="279"/>
        <v>0</v>
      </c>
      <c r="OEQ63" s="44">
        <f t="shared" si="279"/>
        <v>0</v>
      </c>
      <c r="OER63" s="44">
        <f t="shared" si="279"/>
        <v>0</v>
      </c>
      <c r="OES63" s="44">
        <f t="shared" si="279"/>
        <v>0</v>
      </c>
      <c r="OET63" s="44">
        <f t="shared" si="279"/>
        <v>0</v>
      </c>
      <c r="OEU63" s="44">
        <f t="shared" si="279"/>
        <v>0</v>
      </c>
      <c r="OEV63" s="44">
        <f t="shared" si="279"/>
        <v>0</v>
      </c>
      <c r="OEW63" s="44">
        <f t="shared" si="279"/>
        <v>0</v>
      </c>
      <c r="OEX63" s="44">
        <f t="shared" si="279"/>
        <v>0</v>
      </c>
      <c r="OEY63" s="44">
        <f t="shared" si="279"/>
        <v>0</v>
      </c>
      <c r="OEZ63" s="44">
        <f t="shared" si="279"/>
        <v>0</v>
      </c>
      <c r="OFA63" s="44">
        <f t="shared" si="279"/>
        <v>0</v>
      </c>
      <c r="OFB63" s="44">
        <f t="shared" si="279"/>
        <v>0</v>
      </c>
      <c r="OFC63" s="44">
        <f t="shared" si="279"/>
        <v>0</v>
      </c>
      <c r="OFD63" s="44">
        <f t="shared" si="279"/>
        <v>0</v>
      </c>
      <c r="OFE63" s="44">
        <f t="shared" si="279"/>
        <v>0</v>
      </c>
      <c r="OFF63" s="44">
        <f t="shared" si="279"/>
        <v>0</v>
      </c>
      <c r="OFG63" s="44">
        <f t="shared" si="279"/>
        <v>0</v>
      </c>
      <c r="OFH63" s="44">
        <f t="shared" si="279"/>
        <v>0</v>
      </c>
      <c r="OFI63" s="44">
        <f t="shared" si="279"/>
        <v>0</v>
      </c>
      <c r="OFJ63" s="44">
        <f t="shared" si="279"/>
        <v>0</v>
      </c>
      <c r="OFK63" s="44">
        <f t="shared" si="279"/>
        <v>0</v>
      </c>
      <c r="OFL63" s="44">
        <f t="shared" si="279"/>
        <v>0</v>
      </c>
      <c r="OFM63" s="44">
        <f t="shared" si="279"/>
        <v>0</v>
      </c>
      <c r="OFN63" s="44">
        <f t="shared" si="279"/>
        <v>0</v>
      </c>
      <c r="OFO63" s="44">
        <f t="shared" si="279"/>
        <v>0</v>
      </c>
      <c r="OFP63" s="44">
        <f t="shared" si="279"/>
        <v>0</v>
      </c>
      <c r="OFQ63" s="44">
        <f t="shared" si="279"/>
        <v>0</v>
      </c>
      <c r="OFR63" s="44">
        <f t="shared" si="279"/>
        <v>0</v>
      </c>
      <c r="OFS63" s="44">
        <f t="shared" si="279"/>
        <v>0</v>
      </c>
      <c r="OFT63" s="44">
        <f t="shared" si="279"/>
        <v>0</v>
      </c>
      <c r="OFU63" s="44">
        <f t="shared" si="279"/>
        <v>0</v>
      </c>
      <c r="OFV63" s="44">
        <f t="shared" si="279"/>
        <v>0</v>
      </c>
      <c r="OFW63" s="44">
        <f t="shared" si="279"/>
        <v>0</v>
      </c>
      <c r="OFX63" s="44">
        <f t="shared" si="279"/>
        <v>0</v>
      </c>
      <c r="OFY63" s="44">
        <f t="shared" si="279"/>
        <v>0</v>
      </c>
      <c r="OFZ63" s="44">
        <f t="shared" si="279"/>
        <v>0</v>
      </c>
      <c r="OGA63" s="44">
        <f t="shared" si="279"/>
        <v>0</v>
      </c>
      <c r="OGB63" s="44">
        <f t="shared" si="279"/>
        <v>0</v>
      </c>
      <c r="OGC63" s="44">
        <f t="shared" si="279"/>
        <v>0</v>
      </c>
      <c r="OGD63" s="44">
        <f t="shared" ref="OGD63:OIO63" si="280">SUM(OGD56:OGD57)</f>
        <v>0</v>
      </c>
      <c r="OGE63" s="44">
        <f t="shared" si="280"/>
        <v>0</v>
      </c>
      <c r="OGF63" s="44">
        <f t="shared" si="280"/>
        <v>0</v>
      </c>
      <c r="OGG63" s="44">
        <f t="shared" si="280"/>
        <v>0</v>
      </c>
      <c r="OGH63" s="44">
        <f t="shared" si="280"/>
        <v>0</v>
      </c>
      <c r="OGI63" s="44">
        <f t="shared" si="280"/>
        <v>0</v>
      </c>
      <c r="OGJ63" s="44">
        <f t="shared" si="280"/>
        <v>0</v>
      </c>
      <c r="OGK63" s="44">
        <f t="shared" si="280"/>
        <v>0</v>
      </c>
      <c r="OGL63" s="44">
        <f t="shared" si="280"/>
        <v>0</v>
      </c>
      <c r="OGM63" s="44">
        <f t="shared" si="280"/>
        <v>0</v>
      </c>
      <c r="OGN63" s="44">
        <f t="shared" si="280"/>
        <v>0</v>
      </c>
      <c r="OGO63" s="44">
        <f t="shared" si="280"/>
        <v>0</v>
      </c>
      <c r="OGP63" s="44">
        <f t="shared" si="280"/>
        <v>0</v>
      </c>
      <c r="OGQ63" s="44">
        <f t="shared" si="280"/>
        <v>0</v>
      </c>
      <c r="OGR63" s="44">
        <f t="shared" si="280"/>
        <v>0</v>
      </c>
      <c r="OGS63" s="44">
        <f t="shared" si="280"/>
        <v>0</v>
      </c>
      <c r="OGT63" s="44">
        <f t="shared" si="280"/>
        <v>0</v>
      </c>
      <c r="OGU63" s="44">
        <f t="shared" si="280"/>
        <v>0</v>
      </c>
      <c r="OGV63" s="44">
        <f t="shared" si="280"/>
        <v>0</v>
      </c>
      <c r="OGW63" s="44">
        <f t="shared" si="280"/>
        <v>0</v>
      </c>
      <c r="OGX63" s="44">
        <f t="shared" si="280"/>
        <v>0</v>
      </c>
      <c r="OGY63" s="44">
        <f t="shared" si="280"/>
        <v>0</v>
      </c>
      <c r="OGZ63" s="44">
        <f t="shared" si="280"/>
        <v>0</v>
      </c>
      <c r="OHA63" s="44">
        <f t="shared" si="280"/>
        <v>0</v>
      </c>
      <c r="OHB63" s="44">
        <f t="shared" si="280"/>
        <v>0</v>
      </c>
      <c r="OHC63" s="44">
        <f t="shared" si="280"/>
        <v>0</v>
      </c>
      <c r="OHD63" s="44">
        <f t="shared" si="280"/>
        <v>0</v>
      </c>
      <c r="OHE63" s="44">
        <f t="shared" si="280"/>
        <v>0</v>
      </c>
      <c r="OHF63" s="44">
        <f t="shared" si="280"/>
        <v>0</v>
      </c>
      <c r="OHG63" s="44">
        <f t="shared" si="280"/>
        <v>0</v>
      </c>
      <c r="OHH63" s="44">
        <f t="shared" si="280"/>
        <v>0</v>
      </c>
      <c r="OHI63" s="44">
        <f t="shared" si="280"/>
        <v>0</v>
      </c>
      <c r="OHJ63" s="44">
        <f t="shared" si="280"/>
        <v>0</v>
      </c>
      <c r="OHK63" s="44">
        <f t="shared" si="280"/>
        <v>0</v>
      </c>
      <c r="OHL63" s="44">
        <f t="shared" si="280"/>
        <v>0</v>
      </c>
      <c r="OHM63" s="44">
        <f t="shared" si="280"/>
        <v>0</v>
      </c>
      <c r="OHN63" s="44">
        <f t="shared" si="280"/>
        <v>0</v>
      </c>
      <c r="OHO63" s="44">
        <f t="shared" si="280"/>
        <v>0</v>
      </c>
      <c r="OHP63" s="44">
        <f t="shared" si="280"/>
        <v>0</v>
      </c>
      <c r="OHQ63" s="44">
        <f t="shared" si="280"/>
        <v>0</v>
      </c>
      <c r="OHR63" s="44">
        <f t="shared" si="280"/>
        <v>0</v>
      </c>
      <c r="OHS63" s="44">
        <f t="shared" si="280"/>
        <v>0</v>
      </c>
      <c r="OHT63" s="44">
        <f t="shared" si="280"/>
        <v>0</v>
      </c>
      <c r="OHU63" s="44">
        <f t="shared" si="280"/>
        <v>0</v>
      </c>
      <c r="OHV63" s="44">
        <f t="shared" si="280"/>
        <v>0</v>
      </c>
      <c r="OHW63" s="44">
        <f t="shared" si="280"/>
        <v>0</v>
      </c>
      <c r="OHX63" s="44">
        <f t="shared" si="280"/>
        <v>0</v>
      </c>
      <c r="OHY63" s="44">
        <f t="shared" si="280"/>
        <v>0</v>
      </c>
      <c r="OHZ63" s="44">
        <f t="shared" si="280"/>
        <v>0</v>
      </c>
      <c r="OIA63" s="44">
        <f t="shared" si="280"/>
        <v>0</v>
      </c>
      <c r="OIB63" s="44">
        <f t="shared" si="280"/>
        <v>0</v>
      </c>
      <c r="OIC63" s="44">
        <f t="shared" si="280"/>
        <v>0</v>
      </c>
      <c r="OID63" s="44">
        <f t="shared" si="280"/>
        <v>0</v>
      </c>
      <c r="OIE63" s="44">
        <f t="shared" si="280"/>
        <v>0</v>
      </c>
      <c r="OIF63" s="44">
        <f t="shared" si="280"/>
        <v>0</v>
      </c>
      <c r="OIG63" s="44">
        <f t="shared" si="280"/>
        <v>0</v>
      </c>
      <c r="OIH63" s="44">
        <f t="shared" si="280"/>
        <v>0</v>
      </c>
      <c r="OII63" s="44">
        <f t="shared" si="280"/>
        <v>0</v>
      </c>
      <c r="OIJ63" s="44">
        <f t="shared" si="280"/>
        <v>0</v>
      </c>
      <c r="OIK63" s="44">
        <f t="shared" si="280"/>
        <v>0</v>
      </c>
      <c r="OIL63" s="44">
        <f t="shared" si="280"/>
        <v>0</v>
      </c>
      <c r="OIM63" s="44">
        <f t="shared" si="280"/>
        <v>0</v>
      </c>
      <c r="OIN63" s="44">
        <f t="shared" si="280"/>
        <v>0</v>
      </c>
      <c r="OIO63" s="44">
        <f t="shared" si="280"/>
        <v>0</v>
      </c>
      <c r="OIP63" s="44">
        <f t="shared" ref="OIP63:OLA63" si="281">SUM(OIP56:OIP57)</f>
        <v>0</v>
      </c>
      <c r="OIQ63" s="44">
        <f t="shared" si="281"/>
        <v>0</v>
      </c>
      <c r="OIR63" s="44">
        <f t="shared" si="281"/>
        <v>0</v>
      </c>
      <c r="OIS63" s="44">
        <f t="shared" si="281"/>
        <v>0</v>
      </c>
      <c r="OIT63" s="44">
        <f t="shared" si="281"/>
        <v>0</v>
      </c>
      <c r="OIU63" s="44">
        <f t="shared" si="281"/>
        <v>0</v>
      </c>
      <c r="OIV63" s="44">
        <f t="shared" si="281"/>
        <v>0</v>
      </c>
      <c r="OIW63" s="44">
        <f t="shared" si="281"/>
        <v>0</v>
      </c>
      <c r="OIX63" s="44">
        <f t="shared" si="281"/>
        <v>0</v>
      </c>
      <c r="OIY63" s="44">
        <f t="shared" si="281"/>
        <v>0</v>
      </c>
      <c r="OIZ63" s="44">
        <f t="shared" si="281"/>
        <v>0</v>
      </c>
      <c r="OJA63" s="44">
        <f t="shared" si="281"/>
        <v>0</v>
      </c>
      <c r="OJB63" s="44">
        <f t="shared" si="281"/>
        <v>0</v>
      </c>
      <c r="OJC63" s="44">
        <f t="shared" si="281"/>
        <v>0</v>
      </c>
      <c r="OJD63" s="44">
        <f t="shared" si="281"/>
        <v>0</v>
      </c>
      <c r="OJE63" s="44">
        <f t="shared" si="281"/>
        <v>0</v>
      </c>
      <c r="OJF63" s="44">
        <f t="shared" si="281"/>
        <v>0</v>
      </c>
      <c r="OJG63" s="44">
        <f t="shared" si="281"/>
        <v>0</v>
      </c>
      <c r="OJH63" s="44">
        <f t="shared" si="281"/>
        <v>0</v>
      </c>
      <c r="OJI63" s="44">
        <f t="shared" si="281"/>
        <v>0</v>
      </c>
      <c r="OJJ63" s="44">
        <f t="shared" si="281"/>
        <v>0</v>
      </c>
      <c r="OJK63" s="44">
        <f t="shared" si="281"/>
        <v>0</v>
      </c>
      <c r="OJL63" s="44">
        <f t="shared" si="281"/>
        <v>0</v>
      </c>
      <c r="OJM63" s="44">
        <f t="shared" si="281"/>
        <v>0</v>
      </c>
      <c r="OJN63" s="44">
        <f t="shared" si="281"/>
        <v>0</v>
      </c>
      <c r="OJO63" s="44">
        <f t="shared" si="281"/>
        <v>0</v>
      </c>
      <c r="OJP63" s="44">
        <f t="shared" si="281"/>
        <v>0</v>
      </c>
      <c r="OJQ63" s="44">
        <f t="shared" si="281"/>
        <v>0</v>
      </c>
      <c r="OJR63" s="44">
        <f t="shared" si="281"/>
        <v>0</v>
      </c>
      <c r="OJS63" s="44">
        <f t="shared" si="281"/>
        <v>0</v>
      </c>
      <c r="OJT63" s="44">
        <f t="shared" si="281"/>
        <v>0</v>
      </c>
      <c r="OJU63" s="44">
        <f t="shared" si="281"/>
        <v>0</v>
      </c>
      <c r="OJV63" s="44">
        <f t="shared" si="281"/>
        <v>0</v>
      </c>
      <c r="OJW63" s="44">
        <f t="shared" si="281"/>
        <v>0</v>
      </c>
      <c r="OJX63" s="44">
        <f t="shared" si="281"/>
        <v>0</v>
      </c>
      <c r="OJY63" s="44">
        <f t="shared" si="281"/>
        <v>0</v>
      </c>
      <c r="OJZ63" s="44">
        <f t="shared" si="281"/>
        <v>0</v>
      </c>
      <c r="OKA63" s="44">
        <f t="shared" si="281"/>
        <v>0</v>
      </c>
      <c r="OKB63" s="44">
        <f t="shared" si="281"/>
        <v>0</v>
      </c>
      <c r="OKC63" s="44">
        <f t="shared" si="281"/>
        <v>0</v>
      </c>
      <c r="OKD63" s="44">
        <f t="shared" si="281"/>
        <v>0</v>
      </c>
      <c r="OKE63" s="44">
        <f t="shared" si="281"/>
        <v>0</v>
      </c>
      <c r="OKF63" s="44">
        <f t="shared" si="281"/>
        <v>0</v>
      </c>
      <c r="OKG63" s="44">
        <f t="shared" si="281"/>
        <v>0</v>
      </c>
      <c r="OKH63" s="44">
        <f t="shared" si="281"/>
        <v>0</v>
      </c>
      <c r="OKI63" s="44">
        <f t="shared" si="281"/>
        <v>0</v>
      </c>
      <c r="OKJ63" s="44">
        <f t="shared" si="281"/>
        <v>0</v>
      </c>
      <c r="OKK63" s="44">
        <f t="shared" si="281"/>
        <v>0</v>
      </c>
      <c r="OKL63" s="44">
        <f t="shared" si="281"/>
        <v>0</v>
      </c>
      <c r="OKM63" s="44">
        <f t="shared" si="281"/>
        <v>0</v>
      </c>
      <c r="OKN63" s="44">
        <f t="shared" si="281"/>
        <v>0</v>
      </c>
      <c r="OKO63" s="44">
        <f t="shared" si="281"/>
        <v>0</v>
      </c>
      <c r="OKP63" s="44">
        <f t="shared" si="281"/>
        <v>0</v>
      </c>
      <c r="OKQ63" s="44">
        <f t="shared" si="281"/>
        <v>0</v>
      </c>
      <c r="OKR63" s="44">
        <f t="shared" si="281"/>
        <v>0</v>
      </c>
      <c r="OKS63" s="44">
        <f t="shared" si="281"/>
        <v>0</v>
      </c>
      <c r="OKT63" s="44">
        <f t="shared" si="281"/>
        <v>0</v>
      </c>
      <c r="OKU63" s="44">
        <f t="shared" si="281"/>
        <v>0</v>
      </c>
      <c r="OKV63" s="44">
        <f t="shared" si="281"/>
        <v>0</v>
      </c>
      <c r="OKW63" s="44">
        <f t="shared" si="281"/>
        <v>0</v>
      </c>
      <c r="OKX63" s="44">
        <f t="shared" si="281"/>
        <v>0</v>
      </c>
      <c r="OKY63" s="44">
        <f t="shared" si="281"/>
        <v>0</v>
      </c>
      <c r="OKZ63" s="44">
        <f t="shared" si="281"/>
        <v>0</v>
      </c>
      <c r="OLA63" s="44">
        <f t="shared" si="281"/>
        <v>0</v>
      </c>
      <c r="OLB63" s="44">
        <f t="shared" ref="OLB63:ONM63" si="282">SUM(OLB56:OLB57)</f>
        <v>0</v>
      </c>
      <c r="OLC63" s="44">
        <f t="shared" si="282"/>
        <v>0</v>
      </c>
      <c r="OLD63" s="44">
        <f t="shared" si="282"/>
        <v>0</v>
      </c>
      <c r="OLE63" s="44">
        <f t="shared" si="282"/>
        <v>0</v>
      </c>
      <c r="OLF63" s="44">
        <f t="shared" si="282"/>
        <v>0</v>
      </c>
      <c r="OLG63" s="44">
        <f t="shared" si="282"/>
        <v>0</v>
      </c>
      <c r="OLH63" s="44">
        <f t="shared" si="282"/>
        <v>0</v>
      </c>
      <c r="OLI63" s="44">
        <f t="shared" si="282"/>
        <v>0</v>
      </c>
      <c r="OLJ63" s="44">
        <f t="shared" si="282"/>
        <v>0</v>
      </c>
      <c r="OLK63" s="44">
        <f t="shared" si="282"/>
        <v>0</v>
      </c>
      <c r="OLL63" s="44">
        <f t="shared" si="282"/>
        <v>0</v>
      </c>
      <c r="OLM63" s="44">
        <f t="shared" si="282"/>
        <v>0</v>
      </c>
      <c r="OLN63" s="44">
        <f t="shared" si="282"/>
        <v>0</v>
      </c>
      <c r="OLO63" s="44">
        <f t="shared" si="282"/>
        <v>0</v>
      </c>
      <c r="OLP63" s="44">
        <f t="shared" si="282"/>
        <v>0</v>
      </c>
      <c r="OLQ63" s="44">
        <f t="shared" si="282"/>
        <v>0</v>
      </c>
      <c r="OLR63" s="44">
        <f t="shared" si="282"/>
        <v>0</v>
      </c>
      <c r="OLS63" s="44">
        <f t="shared" si="282"/>
        <v>0</v>
      </c>
      <c r="OLT63" s="44">
        <f t="shared" si="282"/>
        <v>0</v>
      </c>
      <c r="OLU63" s="44">
        <f t="shared" si="282"/>
        <v>0</v>
      </c>
      <c r="OLV63" s="44">
        <f t="shared" si="282"/>
        <v>0</v>
      </c>
      <c r="OLW63" s="44">
        <f t="shared" si="282"/>
        <v>0</v>
      </c>
      <c r="OLX63" s="44">
        <f t="shared" si="282"/>
        <v>0</v>
      </c>
      <c r="OLY63" s="44">
        <f t="shared" si="282"/>
        <v>0</v>
      </c>
      <c r="OLZ63" s="44">
        <f t="shared" si="282"/>
        <v>0</v>
      </c>
      <c r="OMA63" s="44">
        <f t="shared" si="282"/>
        <v>0</v>
      </c>
      <c r="OMB63" s="44">
        <f t="shared" si="282"/>
        <v>0</v>
      </c>
      <c r="OMC63" s="44">
        <f t="shared" si="282"/>
        <v>0</v>
      </c>
      <c r="OMD63" s="44">
        <f t="shared" si="282"/>
        <v>0</v>
      </c>
      <c r="OME63" s="44">
        <f t="shared" si="282"/>
        <v>0</v>
      </c>
      <c r="OMF63" s="44">
        <f t="shared" si="282"/>
        <v>0</v>
      </c>
      <c r="OMG63" s="44">
        <f t="shared" si="282"/>
        <v>0</v>
      </c>
      <c r="OMH63" s="44">
        <f t="shared" si="282"/>
        <v>0</v>
      </c>
      <c r="OMI63" s="44">
        <f t="shared" si="282"/>
        <v>0</v>
      </c>
      <c r="OMJ63" s="44">
        <f t="shared" si="282"/>
        <v>0</v>
      </c>
      <c r="OMK63" s="44">
        <f t="shared" si="282"/>
        <v>0</v>
      </c>
      <c r="OML63" s="44">
        <f t="shared" si="282"/>
        <v>0</v>
      </c>
      <c r="OMM63" s="44">
        <f t="shared" si="282"/>
        <v>0</v>
      </c>
      <c r="OMN63" s="44">
        <f t="shared" si="282"/>
        <v>0</v>
      </c>
      <c r="OMO63" s="44">
        <f t="shared" si="282"/>
        <v>0</v>
      </c>
      <c r="OMP63" s="44">
        <f t="shared" si="282"/>
        <v>0</v>
      </c>
      <c r="OMQ63" s="44">
        <f t="shared" si="282"/>
        <v>0</v>
      </c>
      <c r="OMR63" s="44">
        <f t="shared" si="282"/>
        <v>0</v>
      </c>
      <c r="OMS63" s="44">
        <f t="shared" si="282"/>
        <v>0</v>
      </c>
      <c r="OMT63" s="44">
        <f t="shared" si="282"/>
        <v>0</v>
      </c>
      <c r="OMU63" s="44">
        <f t="shared" si="282"/>
        <v>0</v>
      </c>
      <c r="OMV63" s="44">
        <f t="shared" si="282"/>
        <v>0</v>
      </c>
      <c r="OMW63" s="44">
        <f t="shared" si="282"/>
        <v>0</v>
      </c>
      <c r="OMX63" s="44">
        <f t="shared" si="282"/>
        <v>0</v>
      </c>
      <c r="OMY63" s="44">
        <f t="shared" si="282"/>
        <v>0</v>
      </c>
      <c r="OMZ63" s="44">
        <f t="shared" si="282"/>
        <v>0</v>
      </c>
      <c r="ONA63" s="44">
        <f t="shared" si="282"/>
        <v>0</v>
      </c>
      <c r="ONB63" s="44">
        <f t="shared" si="282"/>
        <v>0</v>
      </c>
      <c r="ONC63" s="44">
        <f t="shared" si="282"/>
        <v>0</v>
      </c>
      <c r="OND63" s="44">
        <f t="shared" si="282"/>
        <v>0</v>
      </c>
      <c r="ONE63" s="44">
        <f t="shared" si="282"/>
        <v>0</v>
      </c>
      <c r="ONF63" s="44">
        <f t="shared" si="282"/>
        <v>0</v>
      </c>
      <c r="ONG63" s="44">
        <f t="shared" si="282"/>
        <v>0</v>
      </c>
      <c r="ONH63" s="44">
        <f t="shared" si="282"/>
        <v>0</v>
      </c>
      <c r="ONI63" s="44">
        <f t="shared" si="282"/>
        <v>0</v>
      </c>
      <c r="ONJ63" s="44">
        <f t="shared" si="282"/>
        <v>0</v>
      </c>
      <c r="ONK63" s="44">
        <f t="shared" si="282"/>
        <v>0</v>
      </c>
      <c r="ONL63" s="44">
        <f t="shared" si="282"/>
        <v>0</v>
      </c>
      <c r="ONM63" s="44">
        <f t="shared" si="282"/>
        <v>0</v>
      </c>
      <c r="ONN63" s="44">
        <f t="shared" ref="ONN63:OPY63" si="283">SUM(ONN56:ONN57)</f>
        <v>0</v>
      </c>
      <c r="ONO63" s="44">
        <f t="shared" si="283"/>
        <v>0</v>
      </c>
      <c r="ONP63" s="44">
        <f t="shared" si="283"/>
        <v>0</v>
      </c>
      <c r="ONQ63" s="44">
        <f t="shared" si="283"/>
        <v>0</v>
      </c>
      <c r="ONR63" s="44">
        <f t="shared" si="283"/>
        <v>0</v>
      </c>
      <c r="ONS63" s="44">
        <f t="shared" si="283"/>
        <v>0</v>
      </c>
      <c r="ONT63" s="44">
        <f t="shared" si="283"/>
        <v>0</v>
      </c>
      <c r="ONU63" s="44">
        <f t="shared" si="283"/>
        <v>0</v>
      </c>
      <c r="ONV63" s="44">
        <f t="shared" si="283"/>
        <v>0</v>
      </c>
      <c r="ONW63" s="44">
        <f t="shared" si="283"/>
        <v>0</v>
      </c>
      <c r="ONX63" s="44">
        <f t="shared" si="283"/>
        <v>0</v>
      </c>
      <c r="ONY63" s="44">
        <f t="shared" si="283"/>
        <v>0</v>
      </c>
      <c r="ONZ63" s="44">
        <f t="shared" si="283"/>
        <v>0</v>
      </c>
      <c r="OOA63" s="44">
        <f t="shared" si="283"/>
        <v>0</v>
      </c>
      <c r="OOB63" s="44">
        <f t="shared" si="283"/>
        <v>0</v>
      </c>
      <c r="OOC63" s="44">
        <f t="shared" si="283"/>
        <v>0</v>
      </c>
      <c r="OOD63" s="44">
        <f t="shared" si="283"/>
        <v>0</v>
      </c>
      <c r="OOE63" s="44">
        <f t="shared" si="283"/>
        <v>0</v>
      </c>
      <c r="OOF63" s="44">
        <f t="shared" si="283"/>
        <v>0</v>
      </c>
      <c r="OOG63" s="44">
        <f t="shared" si="283"/>
        <v>0</v>
      </c>
      <c r="OOH63" s="44">
        <f t="shared" si="283"/>
        <v>0</v>
      </c>
      <c r="OOI63" s="44">
        <f t="shared" si="283"/>
        <v>0</v>
      </c>
      <c r="OOJ63" s="44">
        <f t="shared" si="283"/>
        <v>0</v>
      </c>
      <c r="OOK63" s="44">
        <f t="shared" si="283"/>
        <v>0</v>
      </c>
      <c r="OOL63" s="44">
        <f t="shared" si="283"/>
        <v>0</v>
      </c>
      <c r="OOM63" s="44">
        <f t="shared" si="283"/>
        <v>0</v>
      </c>
      <c r="OON63" s="44">
        <f t="shared" si="283"/>
        <v>0</v>
      </c>
      <c r="OOO63" s="44">
        <f t="shared" si="283"/>
        <v>0</v>
      </c>
      <c r="OOP63" s="44">
        <f t="shared" si="283"/>
        <v>0</v>
      </c>
      <c r="OOQ63" s="44">
        <f t="shared" si="283"/>
        <v>0</v>
      </c>
      <c r="OOR63" s="44">
        <f t="shared" si="283"/>
        <v>0</v>
      </c>
      <c r="OOS63" s="44">
        <f t="shared" si="283"/>
        <v>0</v>
      </c>
      <c r="OOT63" s="44">
        <f t="shared" si="283"/>
        <v>0</v>
      </c>
      <c r="OOU63" s="44">
        <f t="shared" si="283"/>
        <v>0</v>
      </c>
      <c r="OOV63" s="44">
        <f t="shared" si="283"/>
        <v>0</v>
      </c>
      <c r="OOW63" s="44">
        <f t="shared" si="283"/>
        <v>0</v>
      </c>
      <c r="OOX63" s="44">
        <f t="shared" si="283"/>
        <v>0</v>
      </c>
      <c r="OOY63" s="44">
        <f t="shared" si="283"/>
        <v>0</v>
      </c>
      <c r="OOZ63" s="44">
        <f t="shared" si="283"/>
        <v>0</v>
      </c>
      <c r="OPA63" s="44">
        <f t="shared" si="283"/>
        <v>0</v>
      </c>
      <c r="OPB63" s="44">
        <f t="shared" si="283"/>
        <v>0</v>
      </c>
      <c r="OPC63" s="44">
        <f t="shared" si="283"/>
        <v>0</v>
      </c>
      <c r="OPD63" s="44">
        <f t="shared" si="283"/>
        <v>0</v>
      </c>
      <c r="OPE63" s="44">
        <f t="shared" si="283"/>
        <v>0</v>
      </c>
      <c r="OPF63" s="44">
        <f t="shared" si="283"/>
        <v>0</v>
      </c>
      <c r="OPG63" s="44">
        <f t="shared" si="283"/>
        <v>0</v>
      </c>
      <c r="OPH63" s="44">
        <f t="shared" si="283"/>
        <v>0</v>
      </c>
      <c r="OPI63" s="44">
        <f t="shared" si="283"/>
        <v>0</v>
      </c>
      <c r="OPJ63" s="44">
        <f t="shared" si="283"/>
        <v>0</v>
      </c>
      <c r="OPK63" s="44">
        <f t="shared" si="283"/>
        <v>0</v>
      </c>
      <c r="OPL63" s="44">
        <f t="shared" si="283"/>
        <v>0</v>
      </c>
      <c r="OPM63" s="44">
        <f t="shared" si="283"/>
        <v>0</v>
      </c>
      <c r="OPN63" s="44">
        <f t="shared" si="283"/>
        <v>0</v>
      </c>
      <c r="OPO63" s="44">
        <f t="shared" si="283"/>
        <v>0</v>
      </c>
      <c r="OPP63" s="44">
        <f t="shared" si="283"/>
        <v>0</v>
      </c>
      <c r="OPQ63" s="44">
        <f t="shared" si="283"/>
        <v>0</v>
      </c>
      <c r="OPR63" s="44">
        <f t="shared" si="283"/>
        <v>0</v>
      </c>
      <c r="OPS63" s="44">
        <f t="shared" si="283"/>
        <v>0</v>
      </c>
      <c r="OPT63" s="44">
        <f t="shared" si="283"/>
        <v>0</v>
      </c>
      <c r="OPU63" s="44">
        <f t="shared" si="283"/>
        <v>0</v>
      </c>
      <c r="OPV63" s="44">
        <f t="shared" si="283"/>
        <v>0</v>
      </c>
      <c r="OPW63" s="44">
        <f t="shared" si="283"/>
        <v>0</v>
      </c>
      <c r="OPX63" s="44">
        <f t="shared" si="283"/>
        <v>0</v>
      </c>
      <c r="OPY63" s="44">
        <f t="shared" si="283"/>
        <v>0</v>
      </c>
      <c r="OPZ63" s="44">
        <f t="shared" ref="OPZ63:OSK63" si="284">SUM(OPZ56:OPZ57)</f>
        <v>0</v>
      </c>
      <c r="OQA63" s="44">
        <f t="shared" si="284"/>
        <v>0</v>
      </c>
      <c r="OQB63" s="44">
        <f t="shared" si="284"/>
        <v>0</v>
      </c>
      <c r="OQC63" s="44">
        <f t="shared" si="284"/>
        <v>0</v>
      </c>
      <c r="OQD63" s="44">
        <f t="shared" si="284"/>
        <v>0</v>
      </c>
      <c r="OQE63" s="44">
        <f t="shared" si="284"/>
        <v>0</v>
      </c>
      <c r="OQF63" s="44">
        <f t="shared" si="284"/>
        <v>0</v>
      </c>
      <c r="OQG63" s="44">
        <f t="shared" si="284"/>
        <v>0</v>
      </c>
      <c r="OQH63" s="44">
        <f t="shared" si="284"/>
        <v>0</v>
      </c>
      <c r="OQI63" s="44">
        <f t="shared" si="284"/>
        <v>0</v>
      </c>
      <c r="OQJ63" s="44">
        <f t="shared" si="284"/>
        <v>0</v>
      </c>
      <c r="OQK63" s="44">
        <f t="shared" si="284"/>
        <v>0</v>
      </c>
      <c r="OQL63" s="44">
        <f t="shared" si="284"/>
        <v>0</v>
      </c>
      <c r="OQM63" s="44">
        <f t="shared" si="284"/>
        <v>0</v>
      </c>
      <c r="OQN63" s="44">
        <f t="shared" si="284"/>
        <v>0</v>
      </c>
      <c r="OQO63" s="44">
        <f t="shared" si="284"/>
        <v>0</v>
      </c>
      <c r="OQP63" s="44">
        <f t="shared" si="284"/>
        <v>0</v>
      </c>
      <c r="OQQ63" s="44">
        <f t="shared" si="284"/>
        <v>0</v>
      </c>
      <c r="OQR63" s="44">
        <f t="shared" si="284"/>
        <v>0</v>
      </c>
      <c r="OQS63" s="44">
        <f t="shared" si="284"/>
        <v>0</v>
      </c>
      <c r="OQT63" s="44">
        <f t="shared" si="284"/>
        <v>0</v>
      </c>
      <c r="OQU63" s="44">
        <f t="shared" si="284"/>
        <v>0</v>
      </c>
      <c r="OQV63" s="44">
        <f t="shared" si="284"/>
        <v>0</v>
      </c>
      <c r="OQW63" s="44">
        <f t="shared" si="284"/>
        <v>0</v>
      </c>
      <c r="OQX63" s="44">
        <f t="shared" si="284"/>
        <v>0</v>
      </c>
      <c r="OQY63" s="44">
        <f t="shared" si="284"/>
        <v>0</v>
      </c>
      <c r="OQZ63" s="44">
        <f t="shared" si="284"/>
        <v>0</v>
      </c>
      <c r="ORA63" s="44">
        <f t="shared" si="284"/>
        <v>0</v>
      </c>
      <c r="ORB63" s="44">
        <f t="shared" si="284"/>
        <v>0</v>
      </c>
      <c r="ORC63" s="44">
        <f t="shared" si="284"/>
        <v>0</v>
      </c>
      <c r="ORD63" s="44">
        <f t="shared" si="284"/>
        <v>0</v>
      </c>
      <c r="ORE63" s="44">
        <f t="shared" si="284"/>
        <v>0</v>
      </c>
      <c r="ORF63" s="44">
        <f t="shared" si="284"/>
        <v>0</v>
      </c>
      <c r="ORG63" s="44">
        <f t="shared" si="284"/>
        <v>0</v>
      </c>
      <c r="ORH63" s="44">
        <f t="shared" si="284"/>
        <v>0</v>
      </c>
      <c r="ORI63" s="44">
        <f t="shared" si="284"/>
        <v>0</v>
      </c>
      <c r="ORJ63" s="44">
        <f t="shared" si="284"/>
        <v>0</v>
      </c>
      <c r="ORK63" s="44">
        <f t="shared" si="284"/>
        <v>0</v>
      </c>
      <c r="ORL63" s="44">
        <f t="shared" si="284"/>
        <v>0</v>
      </c>
      <c r="ORM63" s="44">
        <f t="shared" si="284"/>
        <v>0</v>
      </c>
      <c r="ORN63" s="44">
        <f t="shared" si="284"/>
        <v>0</v>
      </c>
      <c r="ORO63" s="44">
        <f t="shared" si="284"/>
        <v>0</v>
      </c>
      <c r="ORP63" s="44">
        <f t="shared" si="284"/>
        <v>0</v>
      </c>
      <c r="ORQ63" s="44">
        <f t="shared" si="284"/>
        <v>0</v>
      </c>
      <c r="ORR63" s="44">
        <f t="shared" si="284"/>
        <v>0</v>
      </c>
      <c r="ORS63" s="44">
        <f t="shared" si="284"/>
        <v>0</v>
      </c>
      <c r="ORT63" s="44">
        <f t="shared" si="284"/>
        <v>0</v>
      </c>
      <c r="ORU63" s="44">
        <f t="shared" si="284"/>
        <v>0</v>
      </c>
      <c r="ORV63" s="44">
        <f t="shared" si="284"/>
        <v>0</v>
      </c>
      <c r="ORW63" s="44">
        <f t="shared" si="284"/>
        <v>0</v>
      </c>
      <c r="ORX63" s="44">
        <f t="shared" si="284"/>
        <v>0</v>
      </c>
      <c r="ORY63" s="44">
        <f t="shared" si="284"/>
        <v>0</v>
      </c>
      <c r="ORZ63" s="44">
        <f t="shared" si="284"/>
        <v>0</v>
      </c>
      <c r="OSA63" s="44">
        <f t="shared" si="284"/>
        <v>0</v>
      </c>
      <c r="OSB63" s="44">
        <f t="shared" si="284"/>
        <v>0</v>
      </c>
      <c r="OSC63" s="44">
        <f t="shared" si="284"/>
        <v>0</v>
      </c>
      <c r="OSD63" s="44">
        <f t="shared" si="284"/>
        <v>0</v>
      </c>
      <c r="OSE63" s="44">
        <f t="shared" si="284"/>
        <v>0</v>
      </c>
      <c r="OSF63" s="44">
        <f t="shared" si="284"/>
        <v>0</v>
      </c>
      <c r="OSG63" s="44">
        <f t="shared" si="284"/>
        <v>0</v>
      </c>
      <c r="OSH63" s="44">
        <f t="shared" si="284"/>
        <v>0</v>
      </c>
      <c r="OSI63" s="44">
        <f t="shared" si="284"/>
        <v>0</v>
      </c>
      <c r="OSJ63" s="44">
        <f t="shared" si="284"/>
        <v>0</v>
      </c>
      <c r="OSK63" s="44">
        <f t="shared" si="284"/>
        <v>0</v>
      </c>
      <c r="OSL63" s="44">
        <f t="shared" ref="OSL63:OUW63" si="285">SUM(OSL56:OSL57)</f>
        <v>0</v>
      </c>
      <c r="OSM63" s="44">
        <f t="shared" si="285"/>
        <v>0</v>
      </c>
      <c r="OSN63" s="44">
        <f t="shared" si="285"/>
        <v>0</v>
      </c>
      <c r="OSO63" s="44">
        <f t="shared" si="285"/>
        <v>0</v>
      </c>
      <c r="OSP63" s="44">
        <f t="shared" si="285"/>
        <v>0</v>
      </c>
      <c r="OSQ63" s="44">
        <f t="shared" si="285"/>
        <v>0</v>
      </c>
      <c r="OSR63" s="44">
        <f t="shared" si="285"/>
        <v>0</v>
      </c>
      <c r="OSS63" s="44">
        <f t="shared" si="285"/>
        <v>0</v>
      </c>
      <c r="OST63" s="44">
        <f t="shared" si="285"/>
        <v>0</v>
      </c>
      <c r="OSU63" s="44">
        <f t="shared" si="285"/>
        <v>0</v>
      </c>
      <c r="OSV63" s="44">
        <f t="shared" si="285"/>
        <v>0</v>
      </c>
      <c r="OSW63" s="44">
        <f t="shared" si="285"/>
        <v>0</v>
      </c>
      <c r="OSX63" s="44">
        <f t="shared" si="285"/>
        <v>0</v>
      </c>
      <c r="OSY63" s="44">
        <f t="shared" si="285"/>
        <v>0</v>
      </c>
      <c r="OSZ63" s="44">
        <f t="shared" si="285"/>
        <v>0</v>
      </c>
      <c r="OTA63" s="44">
        <f t="shared" si="285"/>
        <v>0</v>
      </c>
      <c r="OTB63" s="44">
        <f t="shared" si="285"/>
        <v>0</v>
      </c>
      <c r="OTC63" s="44">
        <f t="shared" si="285"/>
        <v>0</v>
      </c>
      <c r="OTD63" s="44">
        <f t="shared" si="285"/>
        <v>0</v>
      </c>
      <c r="OTE63" s="44">
        <f t="shared" si="285"/>
        <v>0</v>
      </c>
      <c r="OTF63" s="44">
        <f t="shared" si="285"/>
        <v>0</v>
      </c>
      <c r="OTG63" s="44">
        <f t="shared" si="285"/>
        <v>0</v>
      </c>
      <c r="OTH63" s="44">
        <f t="shared" si="285"/>
        <v>0</v>
      </c>
      <c r="OTI63" s="44">
        <f t="shared" si="285"/>
        <v>0</v>
      </c>
      <c r="OTJ63" s="44">
        <f t="shared" si="285"/>
        <v>0</v>
      </c>
      <c r="OTK63" s="44">
        <f t="shared" si="285"/>
        <v>0</v>
      </c>
      <c r="OTL63" s="44">
        <f t="shared" si="285"/>
        <v>0</v>
      </c>
      <c r="OTM63" s="44">
        <f t="shared" si="285"/>
        <v>0</v>
      </c>
      <c r="OTN63" s="44">
        <f t="shared" si="285"/>
        <v>0</v>
      </c>
      <c r="OTO63" s="44">
        <f t="shared" si="285"/>
        <v>0</v>
      </c>
      <c r="OTP63" s="44">
        <f t="shared" si="285"/>
        <v>0</v>
      </c>
      <c r="OTQ63" s="44">
        <f t="shared" si="285"/>
        <v>0</v>
      </c>
      <c r="OTR63" s="44">
        <f t="shared" si="285"/>
        <v>0</v>
      </c>
      <c r="OTS63" s="44">
        <f t="shared" si="285"/>
        <v>0</v>
      </c>
      <c r="OTT63" s="44">
        <f t="shared" si="285"/>
        <v>0</v>
      </c>
      <c r="OTU63" s="44">
        <f t="shared" si="285"/>
        <v>0</v>
      </c>
      <c r="OTV63" s="44">
        <f t="shared" si="285"/>
        <v>0</v>
      </c>
      <c r="OTW63" s="44">
        <f t="shared" si="285"/>
        <v>0</v>
      </c>
      <c r="OTX63" s="44">
        <f t="shared" si="285"/>
        <v>0</v>
      </c>
      <c r="OTY63" s="44">
        <f t="shared" si="285"/>
        <v>0</v>
      </c>
      <c r="OTZ63" s="44">
        <f t="shared" si="285"/>
        <v>0</v>
      </c>
      <c r="OUA63" s="44">
        <f t="shared" si="285"/>
        <v>0</v>
      </c>
      <c r="OUB63" s="44">
        <f t="shared" si="285"/>
        <v>0</v>
      </c>
      <c r="OUC63" s="44">
        <f t="shared" si="285"/>
        <v>0</v>
      </c>
      <c r="OUD63" s="44">
        <f t="shared" si="285"/>
        <v>0</v>
      </c>
      <c r="OUE63" s="44">
        <f t="shared" si="285"/>
        <v>0</v>
      </c>
      <c r="OUF63" s="44">
        <f t="shared" si="285"/>
        <v>0</v>
      </c>
      <c r="OUG63" s="44">
        <f t="shared" si="285"/>
        <v>0</v>
      </c>
      <c r="OUH63" s="44">
        <f t="shared" si="285"/>
        <v>0</v>
      </c>
      <c r="OUI63" s="44">
        <f t="shared" si="285"/>
        <v>0</v>
      </c>
      <c r="OUJ63" s="44">
        <f t="shared" si="285"/>
        <v>0</v>
      </c>
      <c r="OUK63" s="44">
        <f t="shared" si="285"/>
        <v>0</v>
      </c>
      <c r="OUL63" s="44">
        <f t="shared" si="285"/>
        <v>0</v>
      </c>
      <c r="OUM63" s="44">
        <f t="shared" si="285"/>
        <v>0</v>
      </c>
      <c r="OUN63" s="44">
        <f t="shared" si="285"/>
        <v>0</v>
      </c>
      <c r="OUO63" s="44">
        <f t="shared" si="285"/>
        <v>0</v>
      </c>
      <c r="OUP63" s="44">
        <f t="shared" si="285"/>
        <v>0</v>
      </c>
      <c r="OUQ63" s="44">
        <f t="shared" si="285"/>
        <v>0</v>
      </c>
      <c r="OUR63" s="44">
        <f t="shared" si="285"/>
        <v>0</v>
      </c>
      <c r="OUS63" s="44">
        <f t="shared" si="285"/>
        <v>0</v>
      </c>
      <c r="OUT63" s="44">
        <f t="shared" si="285"/>
        <v>0</v>
      </c>
      <c r="OUU63" s="44">
        <f t="shared" si="285"/>
        <v>0</v>
      </c>
      <c r="OUV63" s="44">
        <f t="shared" si="285"/>
        <v>0</v>
      </c>
      <c r="OUW63" s="44">
        <f t="shared" si="285"/>
        <v>0</v>
      </c>
      <c r="OUX63" s="44">
        <f t="shared" ref="OUX63:OXI63" si="286">SUM(OUX56:OUX57)</f>
        <v>0</v>
      </c>
      <c r="OUY63" s="44">
        <f t="shared" si="286"/>
        <v>0</v>
      </c>
      <c r="OUZ63" s="44">
        <f t="shared" si="286"/>
        <v>0</v>
      </c>
      <c r="OVA63" s="44">
        <f t="shared" si="286"/>
        <v>0</v>
      </c>
      <c r="OVB63" s="44">
        <f t="shared" si="286"/>
        <v>0</v>
      </c>
      <c r="OVC63" s="44">
        <f t="shared" si="286"/>
        <v>0</v>
      </c>
      <c r="OVD63" s="44">
        <f t="shared" si="286"/>
        <v>0</v>
      </c>
      <c r="OVE63" s="44">
        <f t="shared" si="286"/>
        <v>0</v>
      </c>
      <c r="OVF63" s="44">
        <f t="shared" si="286"/>
        <v>0</v>
      </c>
      <c r="OVG63" s="44">
        <f t="shared" si="286"/>
        <v>0</v>
      </c>
      <c r="OVH63" s="44">
        <f t="shared" si="286"/>
        <v>0</v>
      </c>
      <c r="OVI63" s="44">
        <f t="shared" si="286"/>
        <v>0</v>
      </c>
      <c r="OVJ63" s="44">
        <f t="shared" si="286"/>
        <v>0</v>
      </c>
      <c r="OVK63" s="44">
        <f t="shared" si="286"/>
        <v>0</v>
      </c>
      <c r="OVL63" s="44">
        <f t="shared" si="286"/>
        <v>0</v>
      </c>
      <c r="OVM63" s="44">
        <f t="shared" si="286"/>
        <v>0</v>
      </c>
      <c r="OVN63" s="44">
        <f t="shared" si="286"/>
        <v>0</v>
      </c>
      <c r="OVO63" s="44">
        <f t="shared" si="286"/>
        <v>0</v>
      </c>
      <c r="OVP63" s="44">
        <f t="shared" si="286"/>
        <v>0</v>
      </c>
      <c r="OVQ63" s="44">
        <f t="shared" si="286"/>
        <v>0</v>
      </c>
      <c r="OVR63" s="44">
        <f t="shared" si="286"/>
        <v>0</v>
      </c>
      <c r="OVS63" s="44">
        <f t="shared" si="286"/>
        <v>0</v>
      </c>
      <c r="OVT63" s="44">
        <f t="shared" si="286"/>
        <v>0</v>
      </c>
      <c r="OVU63" s="44">
        <f t="shared" si="286"/>
        <v>0</v>
      </c>
      <c r="OVV63" s="44">
        <f t="shared" si="286"/>
        <v>0</v>
      </c>
      <c r="OVW63" s="44">
        <f t="shared" si="286"/>
        <v>0</v>
      </c>
      <c r="OVX63" s="44">
        <f t="shared" si="286"/>
        <v>0</v>
      </c>
      <c r="OVY63" s="44">
        <f t="shared" si="286"/>
        <v>0</v>
      </c>
      <c r="OVZ63" s="44">
        <f t="shared" si="286"/>
        <v>0</v>
      </c>
      <c r="OWA63" s="44">
        <f t="shared" si="286"/>
        <v>0</v>
      </c>
      <c r="OWB63" s="44">
        <f t="shared" si="286"/>
        <v>0</v>
      </c>
      <c r="OWC63" s="44">
        <f t="shared" si="286"/>
        <v>0</v>
      </c>
      <c r="OWD63" s="44">
        <f t="shared" si="286"/>
        <v>0</v>
      </c>
      <c r="OWE63" s="44">
        <f t="shared" si="286"/>
        <v>0</v>
      </c>
      <c r="OWF63" s="44">
        <f t="shared" si="286"/>
        <v>0</v>
      </c>
      <c r="OWG63" s="44">
        <f t="shared" si="286"/>
        <v>0</v>
      </c>
      <c r="OWH63" s="44">
        <f t="shared" si="286"/>
        <v>0</v>
      </c>
      <c r="OWI63" s="44">
        <f t="shared" si="286"/>
        <v>0</v>
      </c>
      <c r="OWJ63" s="44">
        <f t="shared" si="286"/>
        <v>0</v>
      </c>
      <c r="OWK63" s="44">
        <f t="shared" si="286"/>
        <v>0</v>
      </c>
      <c r="OWL63" s="44">
        <f t="shared" si="286"/>
        <v>0</v>
      </c>
      <c r="OWM63" s="44">
        <f t="shared" si="286"/>
        <v>0</v>
      </c>
      <c r="OWN63" s="44">
        <f t="shared" si="286"/>
        <v>0</v>
      </c>
      <c r="OWO63" s="44">
        <f t="shared" si="286"/>
        <v>0</v>
      </c>
      <c r="OWP63" s="44">
        <f t="shared" si="286"/>
        <v>0</v>
      </c>
      <c r="OWQ63" s="44">
        <f t="shared" si="286"/>
        <v>0</v>
      </c>
      <c r="OWR63" s="44">
        <f t="shared" si="286"/>
        <v>0</v>
      </c>
      <c r="OWS63" s="44">
        <f t="shared" si="286"/>
        <v>0</v>
      </c>
      <c r="OWT63" s="44">
        <f t="shared" si="286"/>
        <v>0</v>
      </c>
      <c r="OWU63" s="44">
        <f t="shared" si="286"/>
        <v>0</v>
      </c>
      <c r="OWV63" s="44">
        <f t="shared" si="286"/>
        <v>0</v>
      </c>
      <c r="OWW63" s="44">
        <f t="shared" si="286"/>
        <v>0</v>
      </c>
      <c r="OWX63" s="44">
        <f t="shared" si="286"/>
        <v>0</v>
      </c>
      <c r="OWY63" s="44">
        <f t="shared" si="286"/>
        <v>0</v>
      </c>
      <c r="OWZ63" s="44">
        <f t="shared" si="286"/>
        <v>0</v>
      </c>
      <c r="OXA63" s="44">
        <f t="shared" si="286"/>
        <v>0</v>
      </c>
      <c r="OXB63" s="44">
        <f t="shared" si="286"/>
        <v>0</v>
      </c>
      <c r="OXC63" s="44">
        <f t="shared" si="286"/>
        <v>0</v>
      </c>
      <c r="OXD63" s="44">
        <f t="shared" si="286"/>
        <v>0</v>
      </c>
      <c r="OXE63" s="44">
        <f t="shared" si="286"/>
        <v>0</v>
      </c>
      <c r="OXF63" s="44">
        <f t="shared" si="286"/>
        <v>0</v>
      </c>
      <c r="OXG63" s="44">
        <f t="shared" si="286"/>
        <v>0</v>
      </c>
      <c r="OXH63" s="44">
        <f t="shared" si="286"/>
        <v>0</v>
      </c>
      <c r="OXI63" s="44">
        <f t="shared" si="286"/>
        <v>0</v>
      </c>
      <c r="OXJ63" s="44">
        <f t="shared" ref="OXJ63:OZU63" si="287">SUM(OXJ56:OXJ57)</f>
        <v>0</v>
      </c>
      <c r="OXK63" s="44">
        <f t="shared" si="287"/>
        <v>0</v>
      </c>
      <c r="OXL63" s="44">
        <f t="shared" si="287"/>
        <v>0</v>
      </c>
      <c r="OXM63" s="44">
        <f t="shared" si="287"/>
        <v>0</v>
      </c>
      <c r="OXN63" s="44">
        <f t="shared" si="287"/>
        <v>0</v>
      </c>
      <c r="OXO63" s="44">
        <f t="shared" si="287"/>
        <v>0</v>
      </c>
      <c r="OXP63" s="44">
        <f t="shared" si="287"/>
        <v>0</v>
      </c>
      <c r="OXQ63" s="44">
        <f t="shared" si="287"/>
        <v>0</v>
      </c>
      <c r="OXR63" s="44">
        <f t="shared" si="287"/>
        <v>0</v>
      </c>
      <c r="OXS63" s="44">
        <f t="shared" si="287"/>
        <v>0</v>
      </c>
      <c r="OXT63" s="44">
        <f t="shared" si="287"/>
        <v>0</v>
      </c>
      <c r="OXU63" s="44">
        <f t="shared" si="287"/>
        <v>0</v>
      </c>
      <c r="OXV63" s="44">
        <f t="shared" si="287"/>
        <v>0</v>
      </c>
      <c r="OXW63" s="44">
        <f t="shared" si="287"/>
        <v>0</v>
      </c>
      <c r="OXX63" s="44">
        <f t="shared" si="287"/>
        <v>0</v>
      </c>
      <c r="OXY63" s="44">
        <f t="shared" si="287"/>
        <v>0</v>
      </c>
      <c r="OXZ63" s="44">
        <f t="shared" si="287"/>
        <v>0</v>
      </c>
      <c r="OYA63" s="44">
        <f t="shared" si="287"/>
        <v>0</v>
      </c>
      <c r="OYB63" s="44">
        <f t="shared" si="287"/>
        <v>0</v>
      </c>
      <c r="OYC63" s="44">
        <f t="shared" si="287"/>
        <v>0</v>
      </c>
      <c r="OYD63" s="44">
        <f t="shared" si="287"/>
        <v>0</v>
      </c>
      <c r="OYE63" s="44">
        <f t="shared" si="287"/>
        <v>0</v>
      </c>
      <c r="OYF63" s="44">
        <f t="shared" si="287"/>
        <v>0</v>
      </c>
      <c r="OYG63" s="44">
        <f t="shared" si="287"/>
        <v>0</v>
      </c>
      <c r="OYH63" s="44">
        <f t="shared" si="287"/>
        <v>0</v>
      </c>
      <c r="OYI63" s="44">
        <f t="shared" si="287"/>
        <v>0</v>
      </c>
      <c r="OYJ63" s="44">
        <f t="shared" si="287"/>
        <v>0</v>
      </c>
      <c r="OYK63" s="44">
        <f t="shared" si="287"/>
        <v>0</v>
      </c>
      <c r="OYL63" s="44">
        <f t="shared" si="287"/>
        <v>0</v>
      </c>
      <c r="OYM63" s="44">
        <f t="shared" si="287"/>
        <v>0</v>
      </c>
      <c r="OYN63" s="44">
        <f t="shared" si="287"/>
        <v>0</v>
      </c>
      <c r="OYO63" s="44">
        <f t="shared" si="287"/>
        <v>0</v>
      </c>
      <c r="OYP63" s="44">
        <f t="shared" si="287"/>
        <v>0</v>
      </c>
      <c r="OYQ63" s="44">
        <f t="shared" si="287"/>
        <v>0</v>
      </c>
      <c r="OYR63" s="44">
        <f t="shared" si="287"/>
        <v>0</v>
      </c>
      <c r="OYS63" s="44">
        <f t="shared" si="287"/>
        <v>0</v>
      </c>
      <c r="OYT63" s="44">
        <f t="shared" si="287"/>
        <v>0</v>
      </c>
      <c r="OYU63" s="44">
        <f t="shared" si="287"/>
        <v>0</v>
      </c>
      <c r="OYV63" s="44">
        <f t="shared" si="287"/>
        <v>0</v>
      </c>
      <c r="OYW63" s="44">
        <f t="shared" si="287"/>
        <v>0</v>
      </c>
      <c r="OYX63" s="44">
        <f t="shared" si="287"/>
        <v>0</v>
      </c>
      <c r="OYY63" s="44">
        <f t="shared" si="287"/>
        <v>0</v>
      </c>
      <c r="OYZ63" s="44">
        <f t="shared" si="287"/>
        <v>0</v>
      </c>
      <c r="OZA63" s="44">
        <f t="shared" si="287"/>
        <v>0</v>
      </c>
      <c r="OZB63" s="44">
        <f t="shared" si="287"/>
        <v>0</v>
      </c>
      <c r="OZC63" s="44">
        <f t="shared" si="287"/>
        <v>0</v>
      </c>
      <c r="OZD63" s="44">
        <f t="shared" si="287"/>
        <v>0</v>
      </c>
      <c r="OZE63" s="44">
        <f t="shared" si="287"/>
        <v>0</v>
      </c>
      <c r="OZF63" s="44">
        <f t="shared" si="287"/>
        <v>0</v>
      </c>
      <c r="OZG63" s="44">
        <f t="shared" si="287"/>
        <v>0</v>
      </c>
      <c r="OZH63" s="44">
        <f t="shared" si="287"/>
        <v>0</v>
      </c>
      <c r="OZI63" s="44">
        <f t="shared" si="287"/>
        <v>0</v>
      </c>
      <c r="OZJ63" s="44">
        <f t="shared" si="287"/>
        <v>0</v>
      </c>
      <c r="OZK63" s="44">
        <f t="shared" si="287"/>
        <v>0</v>
      </c>
      <c r="OZL63" s="44">
        <f t="shared" si="287"/>
        <v>0</v>
      </c>
      <c r="OZM63" s="44">
        <f t="shared" si="287"/>
        <v>0</v>
      </c>
      <c r="OZN63" s="44">
        <f t="shared" si="287"/>
        <v>0</v>
      </c>
      <c r="OZO63" s="44">
        <f t="shared" si="287"/>
        <v>0</v>
      </c>
      <c r="OZP63" s="44">
        <f t="shared" si="287"/>
        <v>0</v>
      </c>
      <c r="OZQ63" s="44">
        <f t="shared" si="287"/>
        <v>0</v>
      </c>
      <c r="OZR63" s="44">
        <f t="shared" si="287"/>
        <v>0</v>
      </c>
      <c r="OZS63" s="44">
        <f t="shared" si="287"/>
        <v>0</v>
      </c>
      <c r="OZT63" s="44">
        <f t="shared" si="287"/>
        <v>0</v>
      </c>
      <c r="OZU63" s="44">
        <f t="shared" si="287"/>
        <v>0</v>
      </c>
      <c r="OZV63" s="44">
        <f t="shared" ref="OZV63:PCG63" si="288">SUM(OZV56:OZV57)</f>
        <v>0</v>
      </c>
      <c r="OZW63" s="44">
        <f t="shared" si="288"/>
        <v>0</v>
      </c>
      <c r="OZX63" s="44">
        <f t="shared" si="288"/>
        <v>0</v>
      </c>
      <c r="OZY63" s="44">
        <f t="shared" si="288"/>
        <v>0</v>
      </c>
      <c r="OZZ63" s="44">
        <f t="shared" si="288"/>
        <v>0</v>
      </c>
      <c r="PAA63" s="44">
        <f t="shared" si="288"/>
        <v>0</v>
      </c>
      <c r="PAB63" s="44">
        <f t="shared" si="288"/>
        <v>0</v>
      </c>
      <c r="PAC63" s="44">
        <f t="shared" si="288"/>
        <v>0</v>
      </c>
      <c r="PAD63" s="44">
        <f t="shared" si="288"/>
        <v>0</v>
      </c>
      <c r="PAE63" s="44">
        <f t="shared" si="288"/>
        <v>0</v>
      </c>
      <c r="PAF63" s="44">
        <f t="shared" si="288"/>
        <v>0</v>
      </c>
      <c r="PAG63" s="44">
        <f t="shared" si="288"/>
        <v>0</v>
      </c>
      <c r="PAH63" s="44">
        <f t="shared" si="288"/>
        <v>0</v>
      </c>
      <c r="PAI63" s="44">
        <f t="shared" si="288"/>
        <v>0</v>
      </c>
      <c r="PAJ63" s="44">
        <f t="shared" si="288"/>
        <v>0</v>
      </c>
      <c r="PAK63" s="44">
        <f t="shared" si="288"/>
        <v>0</v>
      </c>
      <c r="PAL63" s="44">
        <f t="shared" si="288"/>
        <v>0</v>
      </c>
      <c r="PAM63" s="44">
        <f t="shared" si="288"/>
        <v>0</v>
      </c>
      <c r="PAN63" s="44">
        <f t="shared" si="288"/>
        <v>0</v>
      </c>
      <c r="PAO63" s="44">
        <f t="shared" si="288"/>
        <v>0</v>
      </c>
      <c r="PAP63" s="44">
        <f t="shared" si="288"/>
        <v>0</v>
      </c>
      <c r="PAQ63" s="44">
        <f t="shared" si="288"/>
        <v>0</v>
      </c>
      <c r="PAR63" s="44">
        <f t="shared" si="288"/>
        <v>0</v>
      </c>
      <c r="PAS63" s="44">
        <f t="shared" si="288"/>
        <v>0</v>
      </c>
      <c r="PAT63" s="44">
        <f t="shared" si="288"/>
        <v>0</v>
      </c>
      <c r="PAU63" s="44">
        <f t="shared" si="288"/>
        <v>0</v>
      </c>
      <c r="PAV63" s="44">
        <f t="shared" si="288"/>
        <v>0</v>
      </c>
      <c r="PAW63" s="44">
        <f t="shared" si="288"/>
        <v>0</v>
      </c>
      <c r="PAX63" s="44">
        <f t="shared" si="288"/>
        <v>0</v>
      </c>
      <c r="PAY63" s="44">
        <f t="shared" si="288"/>
        <v>0</v>
      </c>
      <c r="PAZ63" s="44">
        <f t="shared" si="288"/>
        <v>0</v>
      </c>
      <c r="PBA63" s="44">
        <f t="shared" si="288"/>
        <v>0</v>
      </c>
      <c r="PBB63" s="44">
        <f t="shared" si="288"/>
        <v>0</v>
      </c>
      <c r="PBC63" s="44">
        <f t="shared" si="288"/>
        <v>0</v>
      </c>
      <c r="PBD63" s="44">
        <f t="shared" si="288"/>
        <v>0</v>
      </c>
      <c r="PBE63" s="44">
        <f t="shared" si="288"/>
        <v>0</v>
      </c>
      <c r="PBF63" s="44">
        <f t="shared" si="288"/>
        <v>0</v>
      </c>
      <c r="PBG63" s="44">
        <f t="shared" si="288"/>
        <v>0</v>
      </c>
      <c r="PBH63" s="44">
        <f t="shared" si="288"/>
        <v>0</v>
      </c>
      <c r="PBI63" s="44">
        <f t="shared" si="288"/>
        <v>0</v>
      </c>
      <c r="PBJ63" s="44">
        <f t="shared" si="288"/>
        <v>0</v>
      </c>
      <c r="PBK63" s="44">
        <f t="shared" si="288"/>
        <v>0</v>
      </c>
      <c r="PBL63" s="44">
        <f t="shared" si="288"/>
        <v>0</v>
      </c>
      <c r="PBM63" s="44">
        <f t="shared" si="288"/>
        <v>0</v>
      </c>
      <c r="PBN63" s="44">
        <f t="shared" si="288"/>
        <v>0</v>
      </c>
      <c r="PBO63" s="44">
        <f t="shared" si="288"/>
        <v>0</v>
      </c>
      <c r="PBP63" s="44">
        <f t="shared" si="288"/>
        <v>0</v>
      </c>
      <c r="PBQ63" s="44">
        <f t="shared" si="288"/>
        <v>0</v>
      </c>
      <c r="PBR63" s="44">
        <f t="shared" si="288"/>
        <v>0</v>
      </c>
      <c r="PBS63" s="44">
        <f t="shared" si="288"/>
        <v>0</v>
      </c>
      <c r="PBT63" s="44">
        <f t="shared" si="288"/>
        <v>0</v>
      </c>
      <c r="PBU63" s="44">
        <f t="shared" si="288"/>
        <v>0</v>
      </c>
      <c r="PBV63" s="44">
        <f t="shared" si="288"/>
        <v>0</v>
      </c>
      <c r="PBW63" s="44">
        <f t="shared" si="288"/>
        <v>0</v>
      </c>
      <c r="PBX63" s="44">
        <f t="shared" si="288"/>
        <v>0</v>
      </c>
      <c r="PBY63" s="44">
        <f t="shared" si="288"/>
        <v>0</v>
      </c>
      <c r="PBZ63" s="44">
        <f t="shared" si="288"/>
        <v>0</v>
      </c>
      <c r="PCA63" s="44">
        <f t="shared" si="288"/>
        <v>0</v>
      </c>
      <c r="PCB63" s="44">
        <f t="shared" si="288"/>
        <v>0</v>
      </c>
      <c r="PCC63" s="44">
        <f t="shared" si="288"/>
        <v>0</v>
      </c>
      <c r="PCD63" s="44">
        <f t="shared" si="288"/>
        <v>0</v>
      </c>
      <c r="PCE63" s="44">
        <f t="shared" si="288"/>
        <v>0</v>
      </c>
      <c r="PCF63" s="44">
        <f t="shared" si="288"/>
        <v>0</v>
      </c>
      <c r="PCG63" s="44">
        <f t="shared" si="288"/>
        <v>0</v>
      </c>
      <c r="PCH63" s="44">
        <f t="shared" ref="PCH63:PES63" si="289">SUM(PCH56:PCH57)</f>
        <v>0</v>
      </c>
      <c r="PCI63" s="44">
        <f t="shared" si="289"/>
        <v>0</v>
      </c>
      <c r="PCJ63" s="44">
        <f t="shared" si="289"/>
        <v>0</v>
      </c>
      <c r="PCK63" s="44">
        <f t="shared" si="289"/>
        <v>0</v>
      </c>
      <c r="PCL63" s="44">
        <f t="shared" si="289"/>
        <v>0</v>
      </c>
      <c r="PCM63" s="44">
        <f t="shared" si="289"/>
        <v>0</v>
      </c>
      <c r="PCN63" s="44">
        <f t="shared" si="289"/>
        <v>0</v>
      </c>
      <c r="PCO63" s="44">
        <f t="shared" si="289"/>
        <v>0</v>
      </c>
      <c r="PCP63" s="44">
        <f t="shared" si="289"/>
        <v>0</v>
      </c>
      <c r="PCQ63" s="44">
        <f t="shared" si="289"/>
        <v>0</v>
      </c>
      <c r="PCR63" s="44">
        <f t="shared" si="289"/>
        <v>0</v>
      </c>
      <c r="PCS63" s="44">
        <f t="shared" si="289"/>
        <v>0</v>
      </c>
      <c r="PCT63" s="44">
        <f t="shared" si="289"/>
        <v>0</v>
      </c>
      <c r="PCU63" s="44">
        <f t="shared" si="289"/>
        <v>0</v>
      </c>
      <c r="PCV63" s="44">
        <f t="shared" si="289"/>
        <v>0</v>
      </c>
      <c r="PCW63" s="44">
        <f t="shared" si="289"/>
        <v>0</v>
      </c>
      <c r="PCX63" s="44">
        <f t="shared" si="289"/>
        <v>0</v>
      </c>
      <c r="PCY63" s="44">
        <f t="shared" si="289"/>
        <v>0</v>
      </c>
      <c r="PCZ63" s="44">
        <f t="shared" si="289"/>
        <v>0</v>
      </c>
      <c r="PDA63" s="44">
        <f t="shared" si="289"/>
        <v>0</v>
      </c>
      <c r="PDB63" s="44">
        <f t="shared" si="289"/>
        <v>0</v>
      </c>
      <c r="PDC63" s="44">
        <f t="shared" si="289"/>
        <v>0</v>
      </c>
      <c r="PDD63" s="44">
        <f t="shared" si="289"/>
        <v>0</v>
      </c>
      <c r="PDE63" s="44">
        <f t="shared" si="289"/>
        <v>0</v>
      </c>
      <c r="PDF63" s="44">
        <f t="shared" si="289"/>
        <v>0</v>
      </c>
      <c r="PDG63" s="44">
        <f t="shared" si="289"/>
        <v>0</v>
      </c>
      <c r="PDH63" s="44">
        <f t="shared" si="289"/>
        <v>0</v>
      </c>
      <c r="PDI63" s="44">
        <f t="shared" si="289"/>
        <v>0</v>
      </c>
      <c r="PDJ63" s="44">
        <f t="shared" si="289"/>
        <v>0</v>
      </c>
      <c r="PDK63" s="44">
        <f t="shared" si="289"/>
        <v>0</v>
      </c>
      <c r="PDL63" s="44">
        <f t="shared" si="289"/>
        <v>0</v>
      </c>
      <c r="PDM63" s="44">
        <f t="shared" si="289"/>
        <v>0</v>
      </c>
      <c r="PDN63" s="44">
        <f t="shared" si="289"/>
        <v>0</v>
      </c>
      <c r="PDO63" s="44">
        <f t="shared" si="289"/>
        <v>0</v>
      </c>
      <c r="PDP63" s="44">
        <f t="shared" si="289"/>
        <v>0</v>
      </c>
      <c r="PDQ63" s="44">
        <f t="shared" si="289"/>
        <v>0</v>
      </c>
      <c r="PDR63" s="44">
        <f t="shared" si="289"/>
        <v>0</v>
      </c>
      <c r="PDS63" s="44">
        <f t="shared" si="289"/>
        <v>0</v>
      </c>
      <c r="PDT63" s="44">
        <f t="shared" si="289"/>
        <v>0</v>
      </c>
      <c r="PDU63" s="44">
        <f t="shared" si="289"/>
        <v>0</v>
      </c>
      <c r="PDV63" s="44">
        <f t="shared" si="289"/>
        <v>0</v>
      </c>
      <c r="PDW63" s="44">
        <f t="shared" si="289"/>
        <v>0</v>
      </c>
      <c r="PDX63" s="44">
        <f t="shared" si="289"/>
        <v>0</v>
      </c>
      <c r="PDY63" s="44">
        <f t="shared" si="289"/>
        <v>0</v>
      </c>
      <c r="PDZ63" s="44">
        <f t="shared" si="289"/>
        <v>0</v>
      </c>
      <c r="PEA63" s="44">
        <f t="shared" si="289"/>
        <v>0</v>
      </c>
      <c r="PEB63" s="44">
        <f t="shared" si="289"/>
        <v>0</v>
      </c>
      <c r="PEC63" s="44">
        <f t="shared" si="289"/>
        <v>0</v>
      </c>
      <c r="PED63" s="44">
        <f t="shared" si="289"/>
        <v>0</v>
      </c>
      <c r="PEE63" s="44">
        <f t="shared" si="289"/>
        <v>0</v>
      </c>
      <c r="PEF63" s="44">
        <f t="shared" si="289"/>
        <v>0</v>
      </c>
      <c r="PEG63" s="44">
        <f t="shared" si="289"/>
        <v>0</v>
      </c>
      <c r="PEH63" s="44">
        <f t="shared" si="289"/>
        <v>0</v>
      </c>
      <c r="PEI63" s="44">
        <f t="shared" si="289"/>
        <v>0</v>
      </c>
      <c r="PEJ63" s="44">
        <f t="shared" si="289"/>
        <v>0</v>
      </c>
      <c r="PEK63" s="44">
        <f t="shared" si="289"/>
        <v>0</v>
      </c>
      <c r="PEL63" s="44">
        <f t="shared" si="289"/>
        <v>0</v>
      </c>
      <c r="PEM63" s="44">
        <f t="shared" si="289"/>
        <v>0</v>
      </c>
      <c r="PEN63" s="44">
        <f t="shared" si="289"/>
        <v>0</v>
      </c>
      <c r="PEO63" s="44">
        <f t="shared" si="289"/>
        <v>0</v>
      </c>
      <c r="PEP63" s="44">
        <f t="shared" si="289"/>
        <v>0</v>
      </c>
      <c r="PEQ63" s="44">
        <f t="shared" si="289"/>
        <v>0</v>
      </c>
      <c r="PER63" s="44">
        <f t="shared" si="289"/>
        <v>0</v>
      </c>
      <c r="PES63" s="44">
        <f t="shared" si="289"/>
        <v>0</v>
      </c>
      <c r="PET63" s="44">
        <f t="shared" ref="PET63:PHE63" si="290">SUM(PET56:PET57)</f>
        <v>0</v>
      </c>
      <c r="PEU63" s="44">
        <f t="shared" si="290"/>
        <v>0</v>
      </c>
      <c r="PEV63" s="44">
        <f t="shared" si="290"/>
        <v>0</v>
      </c>
      <c r="PEW63" s="44">
        <f t="shared" si="290"/>
        <v>0</v>
      </c>
      <c r="PEX63" s="44">
        <f t="shared" si="290"/>
        <v>0</v>
      </c>
      <c r="PEY63" s="44">
        <f t="shared" si="290"/>
        <v>0</v>
      </c>
      <c r="PEZ63" s="44">
        <f t="shared" si="290"/>
        <v>0</v>
      </c>
      <c r="PFA63" s="44">
        <f t="shared" si="290"/>
        <v>0</v>
      </c>
      <c r="PFB63" s="44">
        <f t="shared" si="290"/>
        <v>0</v>
      </c>
      <c r="PFC63" s="44">
        <f t="shared" si="290"/>
        <v>0</v>
      </c>
      <c r="PFD63" s="44">
        <f t="shared" si="290"/>
        <v>0</v>
      </c>
      <c r="PFE63" s="44">
        <f t="shared" si="290"/>
        <v>0</v>
      </c>
      <c r="PFF63" s="44">
        <f t="shared" si="290"/>
        <v>0</v>
      </c>
      <c r="PFG63" s="44">
        <f t="shared" si="290"/>
        <v>0</v>
      </c>
      <c r="PFH63" s="44">
        <f t="shared" si="290"/>
        <v>0</v>
      </c>
      <c r="PFI63" s="44">
        <f t="shared" si="290"/>
        <v>0</v>
      </c>
      <c r="PFJ63" s="44">
        <f t="shared" si="290"/>
        <v>0</v>
      </c>
      <c r="PFK63" s="44">
        <f t="shared" si="290"/>
        <v>0</v>
      </c>
      <c r="PFL63" s="44">
        <f t="shared" si="290"/>
        <v>0</v>
      </c>
      <c r="PFM63" s="44">
        <f t="shared" si="290"/>
        <v>0</v>
      </c>
      <c r="PFN63" s="44">
        <f t="shared" si="290"/>
        <v>0</v>
      </c>
      <c r="PFO63" s="44">
        <f t="shared" si="290"/>
        <v>0</v>
      </c>
      <c r="PFP63" s="44">
        <f t="shared" si="290"/>
        <v>0</v>
      </c>
      <c r="PFQ63" s="44">
        <f t="shared" si="290"/>
        <v>0</v>
      </c>
      <c r="PFR63" s="44">
        <f t="shared" si="290"/>
        <v>0</v>
      </c>
      <c r="PFS63" s="44">
        <f t="shared" si="290"/>
        <v>0</v>
      </c>
      <c r="PFT63" s="44">
        <f t="shared" si="290"/>
        <v>0</v>
      </c>
      <c r="PFU63" s="44">
        <f t="shared" si="290"/>
        <v>0</v>
      </c>
      <c r="PFV63" s="44">
        <f t="shared" si="290"/>
        <v>0</v>
      </c>
      <c r="PFW63" s="44">
        <f t="shared" si="290"/>
        <v>0</v>
      </c>
      <c r="PFX63" s="44">
        <f t="shared" si="290"/>
        <v>0</v>
      </c>
      <c r="PFY63" s="44">
        <f t="shared" si="290"/>
        <v>0</v>
      </c>
      <c r="PFZ63" s="44">
        <f t="shared" si="290"/>
        <v>0</v>
      </c>
      <c r="PGA63" s="44">
        <f t="shared" si="290"/>
        <v>0</v>
      </c>
      <c r="PGB63" s="44">
        <f t="shared" si="290"/>
        <v>0</v>
      </c>
      <c r="PGC63" s="44">
        <f t="shared" si="290"/>
        <v>0</v>
      </c>
      <c r="PGD63" s="44">
        <f t="shared" si="290"/>
        <v>0</v>
      </c>
      <c r="PGE63" s="44">
        <f t="shared" si="290"/>
        <v>0</v>
      </c>
      <c r="PGF63" s="44">
        <f t="shared" si="290"/>
        <v>0</v>
      </c>
      <c r="PGG63" s="44">
        <f t="shared" si="290"/>
        <v>0</v>
      </c>
      <c r="PGH63" s="44">
        <f t="shared" si="290"/>
        <v>0</v>
      </c>
      <c r="PGI63" s="44">
        <f t="shared" si="290"/>
        <v>0</v>
      </c>
      <c r="PGJ63" s="44">
        <f t="shared" si="290"/>
        <v>0</v>
      </c>
      <c r="PGK63" s="44">
        <f t="shared" si="290"/>
        <v>0</v>
      </c>
      <c r="PGL63" s="44">
        <f t="shared" si="290"/>
        <v>0</v>
      </c>
      <c r="PGM63" s="44">
        <f t="shared" si="290"/>
        <v>0</v>
      </c>
      <c r="PGN63" s="44">
        <f t="shared" si="290"/>
        <v>0</v>
      </c>
      <c r="PGO63" s="44">
        <f t="shared" si="290"/>
        <v>0</v>
      </c>
      <c r="PGP63" s="44">
        <f t="shared" si="290"/>
        <v>0</v>
      </c>
      <c r="PGQ63" s="44">
        <f t="shared" si="290"/>
        <v>0</v>
      </c>
      <c r="PGR63" s="44">
        <f t="shared" si="290"/>
        <v>0</v>
      </c>
      <c r="PGS63" s="44">
        <f t="shared" si="290"/>
        <v>0</v>
      </c>
      <c r="PGT63" s="44">
        <f t="shared" si="290"/>
        <v>0</v>
      </c>
      <c r="PGU63" s="44">
        <f t="shared" si="290"/>
        <v>0</v>
      </c>
      <c r="PGV63" s="44">
        <f t="shared" si="290"/>
        <v>0</v>
      </c>
      <c r="PGW63" s="44">
        <f t="shared" si="290"/>
        <v>0</v>
      </c>
      <c r="PGX63" s="44">
        <f t="shared" si="290"/>
        <v>0</v>
      </c>
      <c r="PGY63" s="44">
        <f t="shared" si="290"/>
        <v>0</v>
      </c>
      <c r="PGZ63" s="44">
        <f t="shared" si="290"/>
        <v>0</v>
      </c>
      <c r="PHA63" s="44">
        <f t="shared" si="290"/>
        <v>0</v>
      </c>
      <c r="PHB63" s="44">
        <f t="shared" si="290"/>
        <v>0</v>
      </c>
      <c r="PHC63" s="44">
        <f t="shared" si="290"/>
        <v>0</v>
      </c>
      <c r="PHD63" s="44">
        <f t="shared" si="290"/>
        <v>0</v>
      </c>
      <c r="PHE63" s="44">
        <f t="shared" si="290"/>
        <v>0</v>
      </c>
      <c r="PHF63" s="44">
        <f t="shared" ref="PHF63:PJQ63" si="291">SUM(PHF56:PHF57)</f>
        <v>0</v>
      </c>
      <c r="PHG63" s="44">
        <f t="shared" si="291"/>
        <v>0</v>
      </c>
      <c r="PHH63" s="44">
        <f t="shared" si="291"/>
        <v>0</v>
      </c>
      <c r="PHI63" s="44">
        <f t="shared" si="291"/>
        <v>0</v>
      </c>
      <c r="PHJ63" s="44">
        <f t="shared" si="291"/>
        <v>0</v>
      </c>
      <c r="PHK63" s="44">
        <f t="shared" si="291"/>
        <v>0</v>
      </c>
      <c r="PHL63" s="44">
        <f t="shared" si="291"/>
        <v>0</v>
      </c>
      <c r="PHM63" s="44">
        <f t="shared" si="291"/>
        <v>0</v>
      </c>
      <c r="PHN63" s="44">
        <f t="shared" si="291"/>
        <v>0</v>
      </c>
      <c r="PHO63" s="44">
        <f t="shared" si="291"/>
        <v>0</v>
      </c>
      <c r="PHP63" s="44">
        <f t="shared" si="291"/>
        <v>0</v>
      </c>
      <c r="PHQ63" s="44">
        <f t="shared" si="291"/>
        <v>0</v>
      </c>
      <c r="PHR63" s="44">
        <f t="shared" si="291"/>
        <v>0</v>
      </c>
      <c r="PHS63" s="44">
        <f t="shared" si="291"/>
        <v>0</v>
      </c>
      <c r="PHT63" s="44">
        <f t="shared" si="291"/>
        <v>0</v>
      </c>
      <c r="PHU63" s="44">
        <f t="shared" si="291"/>
        <v>0</v>
      </c>
      <c r="PHV63" s="44">
        <f t="shared" si="291"/>
        <v>0</v>
      </c>
      <c r="PHW63" s="44">
        <f t="shared" si="291"/>
        <v>0</v>
      </c>
      <c r="PHX63" s="44">
        <f t="shared" si="291"/>
        <v>0</v>
      </c>
      <c r="PHY63" s="44">
        <f t="shared" si="291"/>
        <v>0</v>
      </c>
      <c r="PHZ63" s="44">
        <f t="shared" si="291"/>
        <v>0</v>
      </c>
      <c r="PIA63" s="44">
        <f t="shared" si="291"/>
        <v>0</v>
      </c>
      <c r="PIB63" s="44">
        <f t="shared" si="291"/>
        <v>0</v>
      </c>
      <c r="PIC63" s="44">
        <f t="shared" si="291"/>
        <v>0</v>
      </c>
      <c r="PID63" s="44">
        <f t="shared" si="291"/>
        <v>0</v>
      </c>
      <c r="PIE63" s="44">
        <f t="shared" si="291"/>
        <v>0</v>
      </c>
      <c r="PIF63" s="44">
        <f t="shared" si="291"/>
        <v>0</v>
      </c>
      <c r="PIG63" s="44">
        <f t="shared" si="291"/>
        <v>0</v>
      </c>
      <c r="PIH63" s="44">
        <f t="shared" si="291"/>
        <v>0</v>
      </c>
      <c r="PII63" s="44">
        <f t="shared" si="291"/>
        <v>0</v>
      </c>
      <c r="PIJ63" s="44">
        <f t="shared" si="291"/>
        <v>0</v>
      </c>
      <c r="PIK63" s="44">
        <f t="shared" si="291"/>
        <v>0</v>
      </c>
      <c r="PIL63" s="44">
        <f t="shared" si="291"/>
        <v>0</v>
      </c>
      <c r="PIM63" s="44">
        <f t="shared" si="291"/>
        <v>0</v>
      </c>
      <c r="PIN63" s="44">
        <f t="shared" si="291"/>
        <v>0</v>
      </c>
      <c r="PIO63" s="44">
        <f t="shared" si="291"/>
        <v>0</v>
      </c>
      <c r="PIP63" s="44">
        <f t="shared" si="291"/>
        <v>0</v>
      </c>
      <c r="PIQ63" s="44">
        <f t="shared" si="291"/>
        <v>0</v>
      </c>
      <c r="PIR63" s="44">
        <f t="shared" si="291"/>
        <v>0</v>
      </c>
      <c r="PIS63" s="44">
        <f t="shared" si="291"/>
        <v>0</v>
      </c>
      <c r="PIT63" s="44">
        <f t="shared" si="291"/>
        <v>0</v>
      </c>
      <c r="PIU63" s="44">
        <f t="shared" si="291"/>
        <v>0</v>
      </c>
      <c r="PIV63" s="44">
        <f t="shared" si="291"/>
        <v>0</v>
      </c>
      <c r="PIW63" s="44">
        <f t="shared" si="291"/>
        <v>0</v>
      </c>
      <c r="PIX63" s="44">
        <f t="shared" si="291"/>
        <v>0</v>
      </c>
      <c r="PIY63" s="44">
        <f t="shared" si="291"/>
        <v>0</v>
      </c>
      <c r="PIZ63" s="44">
        <f t="shared" si="291"/>
        <v>0</v>
      </c>
      <c r="PJA63" s="44">
        <f t="shared" si="291"/>
        <v>0</v>
      </c>
      <c r="PJB63" s="44">
        <f t="shared" si="291"/>
        <v>0</v>
      </c>
      <c r="PJC63" s="44">
        <f t="shared" si="291"/>
        <v>0</v>
      </c>
      <c r="PJD63" s="44">
        <f t="shared" si="291"/>
        <v>0</v>
      </c>
      <c r="PJE63" s="44">
        <f t="shared" si="291"/>
        <v>0</v>
      </c>
      <c r="PJF63" s="44">
        <f t="shared" si="291"/>
        <v>0</v>
      </c>
      <c r="PJG63" s="44">
        <f t="shared" si="291"/>
        <v>0</v>
      </c>
      <c r="PJH63" s="44">
        <f t="shared" si="291"/>
        <v>0</v>
      </c>
      <c r="PJI63" s="44">
        <f t="shared" si="291"/>
        <v>0</v>
      </c>
      <c r="PJJ63" s="44">
        <f t="shared" si="291"/>
        <v>0</v>
      </c>
      <c r="PJK63" s="44">
        <f t="shared" si="291"/>
        <v>0</v>
      </c>
      <c r="PJL63" s="44">
        <f t="shared" si="291"/>
        <v>0</v>
      </c>
      <c r="PJM63" s="44">
        <f t="shared" si="291"/>
        <v>0</v>
      </c>
      <c r="PJN63" s="44">
        <f t="shared" si="291"/>
        <v>0</v>
      </c>
      <c r="PJO63" s="44">
        <f t="shared" si="291"/>
        <v>0</v>
      </c>
      <c r="PJP63" s="44">
        <f t="shared" si="291"/>
        <v>0</v>
      </c>
      <c r="PJQ63" s="44">
        <f t="shared" si="291"/>
        <v>0</v>
      </c>
      <c r="PJR63" s="44">
        <f t="shared" ref="PJR63:PMC63" si="292">SUM(PJR56:PJR57)</f>
        <v>0</v>
      </c>
      <c r="PJS63" s="44">
        <f t="shared" si="292"/>
        <v>0</v>
      </c>
      <c r="PJT63" s="44">
        <f t="shared" si="292"/>
        <v>0</v>
      </c>
      <c r="PJU63" s="44">
        <f t="shared" si="292"/>
        <v>0</v>
      </c>
      <c r="PJV63" s="44">
        <f t="shared" si="292"/>
        <v>0</v>
      </c>
      <c r="PJW63" s="44">
        <f t="shared" si="292"/>
        <v>0</v>
      </c>
      <c r="PJX63" s="44">
        <f t="shared" si="292"/>
        <v>0</v>
      </c>
      <c r="PJY63" s="44">
        <f t="shared" si="292"/>
        <v>0</v>
      </c>
      <c r="PJZ63" s="44">
        <f t="shared" si="292"/>
        <v>0</v>
      </c>
      <c r="PKA63" s="44">
        <f t="shared" si="292"/>
        <v>0</v>
      </c>
      <c r="PKB63" s="44">
        <f t="shared" si="292"/>
        <v>0</v>
      </c>
      <c r="PKC63" s="44">
        <f t="shared" si="292"/>
        <v>0</v>
      </c>
      <c r="PKD63" s="44">
        <f t="shared" si="292"/>
        <v>0</v>
      </c>
      <c r="PKE63" s="44">
        <f t="shared" si="292"/>
        <v>0</v>
      </c>
      <c r="PKF63" s="44">
        <f t="shared" si="292"/>
        <v>0</v>
      </c>
      <c r="PKG63" s="44">
        <f t="shared" si="292"/>
        <v>0</v>
      </c>
      <c r="PKH63" s="44">
        <f t="shared" si="292"/>
        <v>0</v>
      </c>
      <c r="PKI63" s="44">
        <f t="shared" si="292"/>
        <v>0</v>
      </c>
      <c r="PKJ63" s="44">
        <f t="shared" si="292"/>
        <v>0</v>
      </c>
      <c r="PKK63" s="44">
        <f t="shared" si="292"/>
        <v>0</v>
      </c>
      <c r="PKL63" s="44">
        <f t="shared" si="292"/>
        <v>0</v>
      </c>
      <c r="PKM63" s="44">
        <f t="shared" si="292"/>
        <v>0</v>
      </c>
      <c r="PKN63" s="44">
        <f t="shared" si="292"/>
        <v>0</v>
      </c>
      <c r="PKO63" s="44">
        <f t="shared" si="292"/>
        <v>0</v>
      </c>
      <c r="PKP63" s="44">
        <f t="shared" si="292"/>
        <v>0</v>
      </c>
      <c r="PKQ63" s="44">
        <f t="shared" si="292"/>
        <v>0</v>
      </c>
      <c r="PKR63" s="44">
        <f t="shared" si="292"/>
        <v>0</v>
      </c>
      <c r="PKS63" s="44">
        <f t="shared" si="292"/>
        <v>0</v>
      </c>
      <c r="PKT63" s="44">
        <f t="shared" si="292"/>
        <v>0</v>
      </c>
      <c r="PKU63" s="44">
        <f t="shared" si="292"/>
        <v>0</v>
      </c>
      <c r="PKV63" s="44">
        <f t="shared" si="292"/>
        <v>0</v>
      </c>
      <c r="PKW63" s="44">
        <f t="shared" si="292"/>
        <v>0</v>
      </c>
      <c r="PKX63" s="44">
        <f t="shared" si="292"/>
        <v>0</v>
      </c>
      <c r="PKY63" s="44">
        <f t="shared" si="292"/>
        <v>0</v>
      </c>
      <c r="PKZ63" s="44">
        <f t="shared" si="292"/>
        <v>0</v>
      </c>
      <c r="PLA63" s="44">
        <f t="shared" si="292"/>
        <v>0</v>
      </c>
      <c r="PLB63" s="44">
        <f t="shared" si="292"/>
        <v>0</v>
      </c>
      <c r="PLC63" s="44">
        <f t="shared" si="292"/>
        <v>0</v>
      </c>
      <c r="PLD63" s="44">
        <f t="shared" si="292"/>
        <v>0</v>
      </c>
      <c r="PLE63" s="44">
        <f t="shared" si="292"/>
        <v>0</v>
      </c>
      <c r="PLF63" s="44">
        <f t="shared" si="292"/>
        <v>0</v>
      </c>
      <c r="PLG63" s="44">
        <f t="shared" si="292"/>
        <v>0</v>
      </c>
      <c r="PLH63" s="44">
        <f t="shared" si="292"/>
        <v>0</v>
      </c>
      <c r="PLI63" s="44">
        <f t="shared" si="292"/>
        <v>0</v>
      </c>
      <c r="PLJ63" s="44">
        <f t="shared" si="292"/>
        <v>0</v>
      </c>
      <c r="PLK63" s="44">
        <f t="shared" si="292"/>
        <v>0</v>
      </c>
      <c r="PLL63" s="44">
        <f t="shared" si="292"/>
        <v>0</v>
      </c>
      <c r="PLM63" s="44">
        <f t="shared" si="292"/>
        <v>0</v>
      </c>
      <c r="PLN63" s="44">
        <f t="shared" si="292"/>
        <v>0</v>
      </c>
      <c r="PLO63" s="44">
        <f t="shared" si="292"/>
        <v>0</v>
      </c>
      <c r="PLP63" s="44">
        <f t="shared" si="292"/>
        <v>0</v>
      </c>
      <c r="PLQ63" s="44">
        <f t="shared" si="292"/>
        <v>0</v>
      </c>
      <c r="PLR63" s="44">
        <f t="shared" si="292"/>
        <v>0</v>
      </c>
      <c r="PLS63" s="44">
        <f t="shared" si="292"/>
        <v>0</v>
      </c>
      <c r="PLT63" s="44">
        <f t="shared" si="292"/>
        <v>0</v>
      </c>
      <c r="PLU63" s="44">
        <f t="shared" si="292"/>
        <v>0</v>
      </c>
      <c r="PLV63" s="44">
        <f t="shared" si="292"/>
        <v>0</v>
      </c>
      <c r="PLW63" s="44">
        <f t="shared" si="292"/>
        <v>0</v>
      </c>
      <c r="PLX63" s="44">
        <f t="shared" si="292"/>
        <v>0</v>
      </c>
      <c r="PLY63" s="44">
        <f t="shared" si="292"/>
        <v>0</v>
      </c>
      <c r="PLZ63" s="44">
        <f t="shared" si="292"/>
        <v>0</v>
      </c>
      <c r="PMA63" s="44">
        <f t="shared" si="292"/>
        <v>0</v>
      </c>
      <c r="PMB63" s="44">
        <f t="shared" si="292"/>
        <v>0</v>
      </c>
      <c r="PMC63" s="44">
        <f t="shared" si="292"/>
        <v>0</v>
      </c>
      <c r="PMD63" s="44">
        <f t="shared" ref="PMD63:POO63" si="293">SUM(PMD56:PMD57)</f>
        <v>0</v>
      </c>
      <c r="PME63" s="44">
        <f t="shared" si="293"/>
        <v>0</v>
      </c>
      <c r="PMF63" s="44">
        <f t="shared" si="293"/>
        <v>0</v>
      </c>
      <c r="PMG63" s="44">
        <f t="shared" si="293"/>
        <v>0</v>
      </c>
      <c r="PMH63" s="44">
        <f t="shared" si="293"/>
        <v>0</v>
      </c>
      <c r="PMI63" s="44">
        <f t="shared" si="293"/>
        <v>0</v>
      </c>
      <c r="PMJ63" s="44">
        <f t="shared" si="293"/>
        <v>0</v>
      </c>
      <c r="PMK63" s="44">
        <f t="shared" si="293"/>
        <v>0</v>
      </c>
      <c r="PML63" s="44">
        <f t="shared" si="293"/>
        <v>0</v>
      </c>
      <c r="PMM63" s="44">
        <f t="shared" si="293"/>
        <v>0</v>
      </c>
      <c r="PMN63" s="44">
        <f t="shared" si="293"/>
        <v>0</v>
      </c>
      <c r="PMO63" s="44">
        <f t="shared" si="293"/>
        <v>0</v>
      </c>
      <c r="PMP63" s="44">
        <f t="shared" si="293"/>
        <v>0</v>
      </c>
      <c r="PMQ63" s="44">
        <f t="shared" si="293"/>
        <v>0</v>
      </c>
      <c r="PMR63" s="44">
        <f t="shared" si="293"/>
        <v>0</v>
      </c>
      <c r="PMS63" s="44">
        <f t="shared" si="293"/>
        <v>0</v>
      </c>
      <c r="PMT63" s="44">
        <f t="shared" si="293"/>
        <v>0</v>
      </c>
      <c r="PMU63" s="44">
        <f t="shared" si="293"/>
        <v>0</v>
      </c>
      <c r="PMV63" s="44">
        <f t="shared" si="293"/>
        <v>0</v>
      </c>
      <c r="PMW63" s="44">
        <f t="shared" si="293"/>
        <v>0</v>
      </c>
      <c r="PMX63" s="44">
        <f t="shared" si="293"/>
        <v>0</v>
      </c>
      <c r="PMY63" s="44">
        <f t="shared" si="293"/>
        <v>0</v>
      </c>
      <c r="PMZ63" s="44">
        <f t="shared" si="293"/>
        <v>0</v>
      </c>
      <c r="PNA63" s="44">
        <f t="shared" si="293"/>
        <v>0</v>
      </c>
      <c r="PNB63" s="44">
        <f t="shared" si="293"/>
        <v>0</v>
      </c>
      <c r="PNC63" s="44">
        <f t="shared" si="293"/>
        <v>0</v>
      </c>
      <c r="PND63" s="44">
        <f t="shared" si="293"/>
        <v>0</v>
      </c>
      <c r="PNE63" s="44">
        <f t="shared" si="293"/>
        <v>0</v>
      </c>
      <c r="PNF63" s="44">
        <f t="shared" si="293"/>
        <v>0</v>
      </c>
      <c r="PNG63" s="44">
        <f t="shared" si="293"/>
        <v>0</v>
      </c>
      <c r="PNH63" s="44">
        <f t="shared" si="293"/>
        <v>0</v>
      </c>
      <c r="PNI63" s="44">
        <f t="shared" si="293"/>
        <v>0</v>
      </c>
      <c r="PNJ63" s="44">
        <f t="shared" si="293"/>
        <v>0</v>
      </c>
      <c r="PNK63" s="44">
        <f t="shared" si="293"/>
        <v>0</v>
      </c>
      <c r="PNL63" s="44">
        <f t="shared" si="293"/>
        <v>0</v>
      </c>
      <c r="PNM63" s="44">
        <f t="shared" si="293"/>
        <v>0</v>
      </c>
      <c r="PNN63" s="44">
        <f t="shared" si="293"/>
        <v>0</v>
      </c>
      <c r="PNO63" s="44">
        <f t="shared" si="293"/>
        <v>0</v>
      </c>
      <c r="PNP63" s="44">
        <f t="shared" si="293"/>
        <v>0</v>
      </c>
      <c r="PNQ63" s="44">
        <f t="shared" si="293"/>
        <v>0</v>
      </c>
      <c r="PNR63" s="44">
        <f t="shared" si="293"/>
        <v>0</v>
      </c>
      <c r="PNS63" s="44">
        <f t="shared" si="293"/>
        <v>0</v>
      </c>
      <c r="PNT63" s="44">
        <f t="shared" si="293"/>
        <v>0</v>
      </c>
      <c r="PNU63" s="44">
        <f t="shared" si="293"/>
        <v>0</v>
      </c>
      <c r="PNV63" s="44">
        <f t="shared" si="293"/>
        <v>0</v>
      </c>
      <c r="PNW63" s="44">
        <f t="shared" si="293"/>
        <v>0</v>
      </c>
      <c r="PNX63" s="44">
        <f t="shared" si="293"/>
        <v>0</v>
      </c>
      <c r="PNY63" s="44">
        <f t="shared" si="293"/>
        <v>0</v>
      </c>
      <c r="PNZ63" s="44">
        <f t="shared" si="293"/>
        <v>0</v>
      </c>
      <c r="POA63" s="44">
        <f t="shared" si="293"/>
        <v>0</v>
      </c>
      <c r="POB63" s="44">
        <f t="shared" si="293"/>
        <v>0</v>
      </c>
      <c r="POC63" s="44">
        <f t="shared" si="293"/>
        <v>0</v>
      </c>
      <c r="POD63" s="44">
        <f t="shared" si="293"/>
        <v>0</v>
      </c>
      <c r="POE63" s="44">
        <f t="shared" si="293"/>
        <v>0</v>
      </c>
      <c r="POF63" s="44">
        <f t="shared" si="293"/>
        <v>0</v>
      </c>
      <c r="POG63" s="44">
        <f t="shared" si="293"/>
        <v>0</v>
      </c>
      <c r="POH63" s="44">
        <f t="shared" si="293"/>
        <v>0</v>
      </c>
      <c r="POI63" s="44">
        <f t="shared" si="293"/>
        <v>0</v>
      </c>
      <c r="POJ63" s="44">
        <f t="shared" si="293"/>
        <v>0</v>
      </c>
      <c r="POK63" s="44">
        <f t="shared" si="293"/>
        <v>0</v>
      </c>
      <c r="POL63" s="44">
        <f t="shared" si="293"/>
        <v>0</v>
      </c>
      <c r="POM63" s="44">
        <f t="shared" si="293"/>
        <v>0</v>
      </c>
      <c r="PON63" s="44">
        <f t="shared" si="293"/>
        <v>0</v>
      </c>
      <c r="POO63" s="44">
        <f t="shared" si="293"/>
        <v>0</v>
      </c>
      <c r="POP63" s="44">
        <f t="shared" ref="POP63:PRA63" si="294">SUM(POP56:POP57)</f>
        <v>0</v>
      </c>
      <c r="POQ63" s="44">
        <f t="shared" si="294"/>
        <v>0</v>
      </c>
      <c r="POR63" s="44">
        <f t="shared" si="294"/>
        <v>0</v>
      </c>
      <c r="POS63" s="44">
        <f t="shared" si="294"/>
        <v>0</v>
      </c>
      <c r="POT63" s="44">
        <f t="shared" si="294"/>
        <v>0</v>
      </c>
      <c r="POU63" s="44">
        <f t="shared" si="294"/>
        <v>0</v>
      </c>
      <c r="POV63" s="44">
        <f t="shared" si="294"/>
        <v>0</v>
      </c>
      <c r="POW63" s="44">
        <f t="shared" si="294"/>
        <v>0</v>
      </c>
      <c r="POX63" s="44">
        <f t="shared" si="294"/>
        <v>0</v>
      </c>
      <c r="POY63" s="44">
        <f t="shared" si="294"/>
        <v>0</v>
      </c>
      <c r="POZ63" s="44">
        <f t="shared" si="294"/>
        <v>0</v>
      </c>
      <c r="PPA63" s="44">
        <f t="shared" si="294"/>
        <v>0</v>
      </c>
      <c r="PPB63" s="44">
        <f t="shared" si="294"/>
        <v>0</v>
      </c>
      <c r="PPC63" s="44">
        <f t="shared" si="294"/>
        <v>0</v>
      </c>
      <c r="PPD63" s="44">
        <f t="shared" si="294"/>
        <v>0</v>
      </c>
      <c r="PPE63" s="44">
        <f t="shared" si="294"/>
        <v>0</v>
      </c>
      <c r="PPF63" s="44">
        <f t="shared" si="294"/>
        <v>0</v>
      </c>
      <c r="PPG63" s="44">
        <f t="shared" si="294"/>
        <v>0</v>
      </c>
      <c r="PPH63" s="44">
        <f t="shared" si="294"/>
        <v>0</v>
      </c>
      <c r="PPI63" s="44">
        <f t="shared" si="294"/>
        <v>0</v>
      </c>
      <c r="PPJ63" s="44">
        <f t="shared" si="294"/>
        <v>0</v>
      </c>
      <c r="PPK63" s="44">
        <f t="shared" si="294"/>
        <v>0</v>
      </c>
      <c r="PPL63" s="44">
        <f t="shared" si="294"/>
        <v>0</v>
      </c>
      <c r="PPM63" s="44">
        <f t="shared" si="294"/>
        <v>0</v>
      </c>
      <c r="PPN63" s="44">
        <f t="shared" si="294"/>
        <v>0</v>
      </c>
      <c r="PPO63" s="44">
        <f t="shared" si="294"/>
        <v>0</v>
      </c>
      <c r="PPP63" s="44">
        <f t="shared" si="294"/>
        <v>0</v>
      </c>
      <c r="PPQ63" s="44">
        <f t="shared" si="294"/>
        <v>0</v>
      </c>
      <c r="PPR63" s="44">
        <f t="shared" si="294"/>
        <v>0</v>
      </c>
      <c r="PPS63" s="44">
        <f t="shared" si="294"/>
        <v>0</v>
      </c>
      <c r="PPT63" s="44">
        <f t="shared" si="294"/>
        <v>0</v>
      </c>
      <c r="PPU63" s="44">
        <f t="shared" si="294"/>
        <v>0</v>
      </c>
      <c r="PPV63" s="44">
        <f t="shared" si="294"/>
        <v>0</v>
      </c>
      <c r="PPW63" s="44">
        <f t="shared" si="294"/>
        <v>0</v>
      </c>
      <c r="PPX63" s="44">
        <f t="shared" si="294"/>
        <v>0</v>
      </c>
      <c r="PPY63" s="44">
        <f t="shared" si="294"/>
        <v>0</v>
      </c>
      <c r="PPZ63" s="44">
        <f t="shared" si="294"/>
        <v>0</v>
      </c>
      <c r="PQA63" s="44">
        <f t="shared" si="294"/>
        <v>0</v>
      </c>
      <c r="PQB63" s="44">
        <f t="shared" si="294"/>
        <v>0</v>
      </c>
      <c r="PQC63" s="44">
        <f t="shared" si="294"/>
        <v>0</v>
      </c>
      <c r="PQD63" s="44">
        <f t="shared" si="294"/>
        <v>0</v>
      </c>
      <c r="PQE63" s="44">
        <f t="shared" si="294"/>
        <v>0</v>
      </c>
      <c r="PQF63" s="44">
        <f t="shared" si="294"/>
        <v>0</v>
      </c>
      <c r="PQG63" s="44">
        <f t="shared" si="294"/>
        <v>0</v>
      </c>
      <c r="PQH63" s="44">
        <f t="shared" si="294"/>
        <v>0</v>
      </c>
      <c r="PQI63" s="44">
        <f t="shared" si="294"/>
        <v>0</v>
      </c>
      <c r="PQJ63" s="44">
        <f t="shared" si="294"/>
        <v>0</v>
      </c>
      <c r="PQK63" s="44">
        <f t="shared" si="294"/>
        <v>0</v>
      </c>
      <c r="PQL63" s="44">
        <f t="shared" si="294"/>
        <v>0</v>
      </c>
      <c r="PQM63" s="44">
        <f t="shared" si="294"/>
        <v>0</v>
      </c>
      <c r="PQN63" s="44">
        <f t="shared" si="294"/>
        <v>0</v>
      </c>
      <c r="PQO63" s="44">
        <f t="shared" si="294"/>
        <v>0</v>
      </c>
      <c r="PQP63" s="44">
        <f t="shared" si="294"/>
        <v>0</v>
      </c>
      <c r="PQQ63" s="44">
        <f t="shared" si="294"/>
        <v>0</v>
      </c>
      <c r="PQR63" s="44">
        <f t="shared" si="294"/>
        <v>0</v>
      </c>
      <c r="PQS63" s="44">
        <f t="shared" si="294"/>
        <v>0</v>
      </c>
      <c r="PQT63" s="44">
        <f t="shared" si="294"/>
        <v>0</v>
      </c>
      <c r="PQU63" s="44">
        <f t="shared" si="294"/>
        <v>0</v>
      </c>
      <c r="PQV63" s="44">
        <f t="shared" si="294"/>
        <v>0</v>
      </c>
      <c r="PQW63" s="44">
        <f t="shared" si="294"/>
        <v>0</v>
      </c>
      <c r="PQX63" s="44">
        <f t="shared" si="294"/>
        <v>0</v>
      </c>
      <c r="PQY63" s="44">
        <f t="shared" si="294"/>
        <v>0</v>
      </c>
      <c r="PQZ63" s="44">
        <f t="shared" si="294"/>
        <v>0</v>
      </c>
      <c r="PRA63" s="44">
        <f t="shared" si="294"/>
        <v>0</v>
      </c>
      <c r="PRB63" s="44">
        <f t="shared" ref="PRB63:PTM63" si="295">SUM(PRB56:PRB57)</f>
        <v>0</v>
      </c>
      <c r="PRC63" s="44">
        <f t="shared" si="295"/>
        <v>0</v>
      </c>
      <c r="PRD63" s="44">
        <f t="shared" si="295"/>
        <v>0</v>
      </c>
      <c r="PRE63" s="44">
        <f t="shared" si="295"/>
        <v>0</v>
      </c>
      <c r="PRF63" s="44">
        <f t="shared" si="295"/>
        <v>0</v>
      </c>
      <c r="PRG63" s="44">
        <f t="shared" si="295"/>
        <v>0</v>
      </c>
      <c r="PRH63" s="44">
        <f t="shared" si="295"/>
        <v>0</v>
      </c>
      <c r="PRI63" s="44">
        <f t="shared" si="295"/>
        <v>0</v>
      </c>
      <c r="PRJ63" s="44">
        <f t="shared" si="295"/>
        <v>0</v>
      </c>
      <c r="PRK63" s="44">
        <f t="shared" si="295"/>
        <v>0</v>
      </c>
      <c r="PRL63" s="44">
        <f t="shared" si="295"/>
        <v>0</v>
      </c>
      <c r="PRM63" s="44">
        <f t="shared" si="295"/>
        <v>0</v>
      </c>
      <c r="PRN63" s="44">
        <f t="shared" si="295"/>
        <v>0</v>
      </c>
      <c r="PRO63" s="44">
        <f t="shared" si="295"/>
        <v>0</v>
      </c>
      <c r="PRP63" s="44">
        <f t="shared" si="295"/>
        <v>0</v>
      </c>
      <c r="PRQ63" s="44">
        <f t="shared" si="295"/>
        <v>0</v>
      </c>
      <c r="PRR63" s="44">
        <f t="shared" si="295"/>
        <v>0</v>
      </c>
      <c r="PRS63" s="44">
        <f t="shared" si="295"/>
        <v>0</v>
      </c>
      <c r="PRT63" s="44">
        <f t="shared" si="295"/>
        <v>0</v>
      </c>
      <c r="PRU63" s="44">
        <f t="shared" si="295"/>
        <v>0</v>
      </c>
      <c r="PRV63" s="44">
        <f t="shared" si="295"/>
        <v>0</v>
      </c>
      <c r="PRW63" s="44">
        <f t="shared" si="295"/>
        <v>0</v>
      </c>
      <c r="PRX63" s="44">
        <f t="shared" si="295"/>
        <v>0</v>
      </c>
      <c r="PRY63" s="44">
        <f t="shared" si="295"/>
        <v>0</v>
      </c>
      <c r="PRZ63" s="44">
        <f t="shared" si="295"/>
        <v>0</v>
      </c>
      <c r="PSA63" s="44">
        <f t="shared" si="295"/>
        <v>0</v>
      </c>
      <c r="PSB63" s="44">
        <f t="shared" si="295"/>
        <v>0</v>
      </c>
      <c r="PSC63" s="44">
        <f t="shared" si="295"/>
        <v>0</v>
      </c>
      <c r="PSD63" s="44">
        <f t="shared" si="295"/>
        <v>0</v>
      </c>
      <c r="PSE63" s="44">
        <f t="shared" si="295"/>
        <v>0</v>
      </c>
      <c r="PSF63" s="44">
        <f t="shared" si="295"/>
        <v>0</v>
      </c>
      <c r="PSG63" s="44">
        <f t="shared" si="295"/>
        <v>0</v>
      </c>
      <c r="PSH63" s="44">
        <f t="shared" si="295"/>
        <v>0</v>
      </c>
      <c r="PSI63" s="44">
        <f t="shared" si="295"/>
        <v>0</v>
      </c>
      <c r="PSJ63" s="44">
        <f t="shared" si="295"/>
        <v>0</v>
      </c>
      <c r="PSK63" s="44">
        <f t="shared" si="295"/>
        <v>0</v>
      </c>
      <c r="PSL63" s="44">
        <f t="shared" si="295"/>
        <v>0</v>
      </c>
      <c r="PSM63" s="44">
        <f t="shared" si="295"/>
        <v>0</v>
      </c>
      <c r="PSN63" s="44">
        <f t="shared" si="295"/>
        <v>0</v>
      </c>
      <c r="PSO63" s="44">
        <f t="shared" si="295"/>
        <v>0</v>
      </c>
      <c r="PSP63" s="44">
        <f t="shared" si="295"/>
        <v>0</v>
      </c>
      <c r="PSQ63" s="44">
        <f t="shared" si="295"/>
        <v>0</v>
      </c>
      <c r="PSR63" s="44">
        <f t="shared" si="295"/>
        <v>0</v>
      </c>
      <c r="PSS63" s="44">
        <f t="shared" si="295"/>
        <v>0</v>
      </c>
      <c r="PST63" s="44">
        <f t="shared" si="295"/>
        <v>0</v>
      </c>
      <c r="PSU63" s="44">
        <f t="shared" si="295"/>
        <v>0</v>
      </c>
      <c r="PSV63" s="44">
        <f t="shared" si="295"/>
        <v>0</v>
      </c>
      <c r="PSW63" s="44">
        <f t="shared" si="295"/>
        <v>0</v>
      </c>
      <c r="PSX63" s="44">
        <f t="shared" si="295"/>
        <v>0</v>
      </c>
      <c r="PSY63" s="44">
        <f t="shared" si="295"/>
        <v>0</v>
      </c>
      <c r="PSZ63" s="44">
        <f t="shared" si="295"/>
        <v>0</v>
      </c>
      <c r="PTA63" s="44">
        <f t="shared" si="295"/>
        <v>0</v>
      </c>
      <c r="PTB63" s="44">
        <f t="shared" si="295"/>
        <v>0</v>
      </c>
      <c r="PTC63" s="44">
        <f t="shared" si="295"/>
        <v>0</v>
      </c>
      <c r="PTD63" s="44">
        <f t="shared" si="295"/>
        <v>0</v>
      </c>
      <c r="PTE63" s="44">
        <f t="shared" si="295"/>
        <v>0</v>
      </c>
      <c r="PTF63" s="44">
        <f t="shared" si="295"/>
        <v>0</v>
      </c>
      <c r="PTG63" s="44">
        <f t="shared" si="295"/>
        <v>0</v>
      </c>
      <c r="PTH63" s="44">
        <f t="shared" si="295"/>
        <v>0</v>
      </c>
      <c r="PTI63" s="44">
        <f t="shared" si="295"/>
        <v>0</v>
      </c>
      <c r="PTJ63" s="44">
        <f t="shared" si="295"/>
        <v>0</v>
      </c>
      <c r="PTK63" s="44">
        <f t="shared" si="295"/>
        <v>0</v>
      </c>
      <c r="PTL63" s="44">
        <f t="shared" si="295"/>
        <v>0</v>
      </c>
      <c r="PTM63" s="44">
        <f t="shared" si="295"/>
        <v>0</v>
      </c>
      <c r="PTN63" s="44">
        <f t="shared" ref="PTN63:PVY63" si="296">SUM(PTN56:PTN57)</f>
        <v>0</v>
      </c>
      <c r="PTO63" s="44">
        <f t="shared" si="296"/>
        <v>0</v>
      </c>
      <c r="PTP63" s="44">
        <f t="shared" si="296"/>
        <v>0</v>
      </c>
      <c r="PTQ63" s="44">
        <f t="shared" si="296"/>
        <v>0</v>
      </c>
      <c r="PTR63" s="44">
        <f t="shared" si="296"/>
        <v>0</v>
      </c>
      <c r="PTS63" s="44">
        <f t="shared" si="296"/>
        <v>0</v>
      </c>
      <c r="PTT63" s="44">
        <f t="shared" si="296"/>
        <v>0</v>
      </c>
      <c r="PTU63" s="44">
        <f t="shared" si="296"/>
        <v>0</v>
      </c>
      <c r="PTV63" s="44">
        <f t="shared" si="296"/>
        <v>0</v>
      </c>
      <c r="PTW63" s="44">
        <f t="shared" si="296"/>
        <v>0</v>
      </c>
      <c r="PTX63" s="44">
        <f t="shared" si="296"/>
        <v>0</v>
      </c>
      <c r="PTY63" s="44">
        <f t="shared" si="296"/>
        <v>0</v>
      </c>
      <c r="PTZ63" s="44">
        <f t="shared" si="296"/>
        <v>0</v>
      </c>
      <c r="PUA63" s="44">
        <f t="shared" si="296"/>
        <v>0</v>
      </c>
      <c r="PUB63" s="44">
        <f t="shared" si="296"/>
        <v>0</v>
      </c>
      <c r="PUC63" s="44">
        <f t="shared" si="296"/>
        <v>0</v>
      </c>
      <c r="PUD63" s="44">
        <f t="shared" si="296"/>
        <v>0</v>
      </c>
      <c r="PUE63" s="44">
        <f t="shared" si="296"/>
        <v>0</v>
      </c>
      <c r="PUF63" s="44">
        <f t="shared" si="296"/>
        <v>0</v>
      </c>
      <c r="PUG63" s="44">
        <f t="shared" si="296"/>
        <v>0</v>
      </c>
      <c r="PUH63" s="44">
        <f t="shared" si="296"/>
        <v>0</v>
      </c>
      <c r="PUI63" s="44">
        <f t="shared" si="296"/>
        <v>0</v>
      </c>
      <c r="PUJ63" s="44">
        <f t="shared" si="296"/>
        <v>0</v>
      </c>
      <c r="PUK63" s="44">
        <f t="shared" si="296"/>
        <v>0</v>
      </c>
      <c r="PUL63" s="44">
        <f t="shared" si="296"/>
        <v>0</v>
      </c>
      <c r="PUM63" s="44">
        <f t="shared" si="296"/>
        <v>0</v>
      </c>
      <c r="PUN63" s="44">
        <f t="shared" si="296"/>
        <v>0</v>
      </c>
      <c r="PUO63" s="44">
        <f t="shared" si="296"/>
        <v>0</v>
      </c>
      <c r="PUP63" s="44">
        <f t="shared" si="296"/>
        <v>0</v>
      </c>
      <c r="PUQ63" s="44">
        <f t="shared" si="296"/>
        <v>0</v>
      </c>
      <c r="PUR63" s="44">
        <f t="shared" si="296"/>
        <v>0</v>
      </c>
      <c r="PUS63" s="44">
        <f t="shared" si="296"/>
        <v>0</v>
      </c>
      <c r="PUT63" s="44">
        <f t="shared" si="296"/>
        <v>0</v>
      </c>
      <c r="PUU63" s="44">
        <f t="shared" si="296"/>
        <v>0</v>
      </c>
      <c r="PUV63" s="44">
        <f t="shared" si="296"/>
        <v>0</v>
      </c>
      <c r="PUW63" s="44">
        <f t="shared" si="296"/>
        <v>0</v>
      </c>
      <c r="PUX63" s="44">
        <f t="shared" si="296"/>
        <v>0</v>
      </c>
      <c r="PUY63" s="44">
        <f t="shared" si="296"/>
        <v>0</v>
      </c>
      <c r="PUZ63" s="44">
        <f t="shared" si="296"/>
        <v>0</v>
      </c>
      <c r="PVA63" s="44">
        <f t="shared" si="296"/>
        <v>0</v>
      </c>
      <c r="PVB63" s="44">
        <f t="shared" si="296"/>
        <v>0</v>
      </c>
      <c r="PVC63" s="44">
        <f t="shared" si="296"/>
        <v>0</v>
      </c>
      <c r="PVD63" s="44">
        <f t="shared" si="296"/>
        <v>0</v>
      </c>
      <c r="PVE63" s="44">
        <f t="shared" si="296"/>
        <v>0</v>
      </c>
      <c r="PVF63" s="44">
        <f t="shared" si="296"/>
        <v>0</v>
      </c>
      <c r="PVG63" s="44">
        <f t="shared" si="296"/>
        <v>0</v>
      </c>
      <c r="PVH63" s="44">
        <f t="shared" si="296"/>
        <v>0</v>
      </c>
      <c r="PVI63" s="44">
        <f t="shared" si="296"/>
        <v>0</v>
      </c>
      <c r="PVJ63" s="44">
        <f t="shared" si="296"/>
        <v>0</v>
      </c>
      <c r="PVK63" s="44">
        <f t="shared" si="296"/>
        <v>0</v>
      </c>
      <c r="PVL63" s="44">
        <f t="shared" si="296"/>
        <v>0</v>
      </c>
      <c r="PVM63" s="44">
        <f t="shared" si="296"/>
        <v>0</v>
      </c>
      <c r="PVN63" s="44">
        <f t="shared" si="296"/>
        <v>0</v>
      </c>
      <c r="PVO63" s="44">
        <f t="shared" si="296"/>
        <v>0</v>
      </c>
      <c r="PVP63" s="44">
        <f t="shared" si="296"/>
        <v>0</v>
      </c>
      <c r="PVQ63" s="44">
        <f t="shared" si="296"/>
        <v>0</v>
      </c>
      <c r="PVR63" s="44">
        <f t="shared" si="296"/>
        <v>0</v>
      </c>
      <c r="PVS63" s="44">
        <f t="shared" si="296"/>
        <v>0</v>
      </c>
      <c r="PVT63" s="44">
        <f t="shared" si="296"/>
        <v>0</v>
      </c>
      <c r="PVU63" s="44">
        <f t="shared" si="296"/>
        <v>0</v>
      </c>
      <c r="PVV63" s="44">
        <f t="shared" si="296"/>
        <v>0</v>
      </c>
      <c r="PVW63" s="44">
        <f t="shared" si="296"/>
        <v>0</v>
      </c>
      <c r="PVX63" s="44">
        <f t="shared" si="296"/>
        <v>0</v>
      </c>
      <c r="PVY63" s="44">
        <f t="shared" si="296"/>
        <v>0</v>
      </c>
      <c r="PVZ63" s="44">
        <f t="shared" ref="PVZ63:PYK63" si="297">SUM(PVZ56:PVZ57)</f>
        <v>0</v>
      </c>
      <c r="PWA63" s="44">
        <f t="shared" si="297"/>
        <v>0</v>
      </c>
      <c r="PWB63" s="44">
        <f t="shared" si="297"/>
        <v>0</v>
      </c>
      <c r="PWC63" s="44">
        <f t="shared" si="297"/>
        <v>0</v>
      </c>
      <c r="PWD63" s="44">
        <f t="shared" si="297"/>
        <v>0</v>
      </c>
      <c r="PWE63" s="44">
        <f t="shared" si="297"/>
        <v>0</v>
      </c>
      <c r="PWF63" s="44">
        <f t="shared" si="297"/>
        <v>0</v>
      </c>
      <c r="PWG63" s="44">
        <f t="shared" si="297"/>
        <v>0</v>
      </c>
      <c r="PWH63" s="44">
        <f t="shared" si="297"/>
        <v>0</v>
      </c>
      <c r="PWI63" s="44">
        <f t="shared" si="297"/>
        <v>0</v>
      </c>
      <c r="PWJ63" s="44">
        <f t="shared" si="297"/>
        <v>0</v>
      </c>
      <c r="PWK63" s="44">
        <f t="shared" si="297"/>
        <v>0</v>
      </c>
      <c r="PWL63" s="44">
        <f t="shared" si="297"/>
        <v>0</v>
      </c>
      <c r="PWM63" s="44">
        <f t="shared" si="297"/>
        <v>0</v>
      </c>
      <c r="PWN63" s="44">
        <f t="shared" si="297"/>
        <v>0</v>
      </c>
      <c r="PWO63" s="44">
        <f t="shared" si="297"/>
        <v>0</v>
      </c>
      <c r="PWP63" s="44">
        <f t="shared" si="297"/>
        <v>0</v>
      </c>
      <c r="PWQ63" s="44">
        <f t="shared" si="297"/>
        <v>0</v>
      </c>
      <c r="PWR63" s="44">
        <f t="shared" si="297"/>
        <v>0</v>
      </c>
      <c r="PWS63" s="44">
        <f t="shared" si="297"/>
        <v>0</v>
      </c>
      <c r="PWT63" s="44">
        <f t="shared" si="297"/>
        <v>0</v>
      </c>
      <c r="PWU63" s="44">
        <f t="shared" si="297"/>
        <v>0</v>
      </c>
      <c r="PWV63" s="44">
        <f t="shared" si="297"/>
        <v>0</v>
      </c>
      <c r="PWW63" s="44">
        <f t="shared" si="297"/>
        <v>0</v>
      </c>
      <c r="PWX63" s="44">
        <f t="shared" si="297"/>
        <v>0</v>
      </c>
      <c r="PWY63" s="44">
        <f t="shared" si="297"/>
        <v>0</v>
      </c>
      <c r="PWZ63" s="44">
        <f t="shared" si="297"/>
        <v>0</v>
      </c>
      <c r="PXA63" s="44">
        <f t="shared" si="297"/>
        <v>0</v>
      </c>
      <c r="PXB63" s="44">
        <f t="shared" si="297"/>
        <v>0</v>
      </c>
      <c r="PXC63" s="44">
        <f t="shared" si="297"/>
        <v>0</v>
      </c>
      <c r="PXD63" s="44">
        <f t="shared" si="297"/>
        <v>0</v>
      </c>
      <c r="PXE63" s="44">
        <f t="shared" si="297"/>
        <v>0</v>
      </c>
      <c r="PXF63" s="44">
        <f t="shared" si="297"/>
        <v>0</v>
      </c>
      <c r="PXG63" s="44">
        <f t="shared" si="297"/>
        <v>0</v>
      </c>
      <c r="PXH63" s="44">
        <f t="shared" si="297"/>
        <v>0</v>
      </c>
      <c r="PXI63" s="44">
        <f t="shared" si="297"/>
        <v>0</v>
      </c>
      <c r="PXJ63" s="44">
        <f t="shared" si="297"/>
        <v>0</v>
      </c>
      <c r="PXK63" s="44">
        <f t="shared" si="297"/>
        <v>0</v>
      </c>
      <c r="PXL63" s="44">
        <f t="shared" si="297"/>
        <v>0</v>
      </c>
      <c r="PXM63" s="44">
        <f t="shared" si="297"/>
        <v>0</v>
      </c>
      <c r="PXN63" s="44">
        <f t="shared" si="297"/>
        <v>0</v>
      </c>
      <c r="PXO63" s="44">
        <f t="shared" si="297"/>
        <v>0</v>
      </c>
      <c r="PXP63" s="44">
        <f t="shared" si="297"/>
        <v>0</v>
      </c>
      <c r="PXQ63" s="44">
        <f t="shared" si="297"/>
        <v>0</v>
      </c>
      <c r="PXR63" s="44">
        <f t="shared" si="297"/>
        <v>0</v>
      </c>
      <c r="PXS63" s="44">
        <f t="shared" si="297"/>
        <v>0</v>
      </c>
      <c r="PXT63" s="44">
        <f t="shared" si="297"/>
        <v>0</v>
      </c>
      <c r="PXU63" s="44">
        <f t="shared" si="297"/>
        <v>0</v>
      </c>
      <c r="PXV63" s="44">
        <f t="shared" si="297"/>
        <v>0</v>
      </c>
      <c r="PXW63" s="44">
        <f t="shared" si="297"/>
        <v>0</v>
      </c>
      <c r="PXX63" s="44">
        <f t="shared" si="297"/>
        <v>0</v>
      </c>
      <c r="PXY63" s="44">
        <f t="shared" si="297"/>
        <v>0</v>
      </c>
      <c r="PXZ63" s="44">
        <f t="shared" si="297"/>
        <v>0</v>
      </c>
      <c r="PYA63" s="44">
        <f t="shared" si="297"/>
        <v>0</v>
      </c>
      <c r="PYB63" s="44">
        <f t="shared" si="297"/>
        <v>0</v>
      </c>
      <c r="PYC63" s="44">
        <f t="shared" si="297"/>
        <v>0</v>
      </c>
      <c r="PYD63" s="44">
        <f t="shared" si="297"/>
        <v>0</v>
      </c>
      <c r="PYE63" s="44">
        <f t="shared" si="297"/>
        <v>0</v>
      </c>
      <c r="PYF63" s="44">
        <f t="shared" si="297"/>
        <v>0</v>
      </c>
      <c r="PYG63" s="44">
        <f t="shared" si="297"/>
        <v>0</v>
      </c>
      <c r="PYH63" s="44">
        <f t="shared" si="297"/>
        <v>0</v>
      </c>
      <c r="PYI63" s="44">
        <f t="shared" si="297"/>
        <v>0</v>
      </c>
      <c r="PYJ63" s="44">
        <f t="shared" si="297"/>
        <v>0</v>
      </c>
      <c r="PYK63" s="44">
        <f t="shared" si="297"/>
        <v>0</v>
      </c>
      <c r="PYL63" s="44">
        <f t="shared" ref="PYL63:QAW63" si="298">SUM(PYL56:PYL57)</f>
        <v>0</v>
      </c>
      <c r="PYM63" s="44">
        <f t="shared" si="298"/>
        <v>0</v>
      </c>
      <c r="PYN63" s="44">
        <f t="shared" si="298"/>
        <v>0</v>
      </c>
      <c r="PYO63" s="44">
        <f t="shared" si="298"/>
        <v>0</v>
      </c>
      <c r="PYP63" s="44">
        <f t="shared" si="298"/>
        <v>0</v>
      </c>
      <c r="PYQ63" s="44">
        <f t="shared" si="298"/>
        <v>0</v>
      </c>
      <c r="PYR63" s="44">
        <f t="shared" si="298"/>
        <v>0</v>
      </c>
      <c r="PYS63" s="44">
        <f t="shared" si="298"/>
        <v>0</v>
      </c>
      <c r="PYT63" s="44">
        <f t="shared" si="298"/>
        <v>0</v>
      </c>
      <c r="PYU63" s="44">
        <f t="shared" si="298"/>
        <v>0</v>
      </c>
      <c r="PYV63" s="44">
        <f t="shared" si="298"/>
        <v>0</v>
      </c>
      <c r="PYW63" s="44">
        <f t="shared" si="298"/>
        <v>0</v>
      </c>
      <c r="PYX63" s="44">
        <f t="shared" si="298"/>
        <v>0</v>
      </c>
      <c r="PYY63" s="44">
        <f t="shared" si="298"/>
        <v>0</v>
      </c>
      <c r="PYZ63" s="44">
        <f t="shared" si="298"/>
        <v>0</v>
      </c>
      <c r="PZA63" s="44">
        <f t="shared" si="298"/>
        <v>0</v>
      </c>
      <c r="PZB63" s="44">
        <f t="shared" si="298"/>
        <v>0</v>
      </c>
      <c r="PZC63" s="44">
        <f t="shared" si="298"/>
        <v>0</v>
      </c>
      <c r="PZD63" s="44">
        <f t="shared" si="298"/>
        <v>0</v>
      </c>
      <c r="PZE63" s="44">
        <f t="shared" si="298"/>
        <v>0</v>
      </c>
      <c r="PZF63" s="44">
        <f t="shared" si="298"/>
        <v>0</v>
      </c>
      <c r="PZG63" s="44">
        <f t="shared" si="298"/>
        <v>0</v>
      </c>
      <c r="PZH63" s="44">
        <f t="shared" si="298"/>
        <v>0</v>
      </c>
      <c r="PZI63" s="44">
        <f t="shared" si="298"/>
        <v>0</v>
      </c>
      <c r="PZJ63" s="44">
        <f t="shared" si="298"/>
        <v>0</v>
      </c>
      <c r="PZK63" s="44">
        <f t="shared" si="298"/>
        <v>0</v>
      </c>
      <c r="PZL63" s="44">
        <f t="shared" si="298"/>
        <v>0</v>
      </c>
      <c r="PZM63" s="44">
        <f t="shared" si="298"/>
        <v>0</v>
      </c>
      <c r="PZN63" s="44">
        <f t="shared" si="298"/>
        <v>0</v>
      </c>
      <c r="PZO63" s="44">
        <f t="shared" si="298"/>
        <v>0</v>
      </c>
      <c r="PZP63" s="44">
        <f t="shared" si="298"/>
        <v>0</v>
      </c>
      <c r="PZQ63" s="44">
        <f t="shared" si="298"/>
        <v>0</v>
      </c>
      <c r="PZR63" s="44">
        <f t="shared" si="298"/>
        <v>0</v>
      </c>
      <c r="PZS63" s="44">
        <f t="shared" si="298"/>
        <v>0</v>
      </c>
      <c r="PZT63" s="44">
        <f t="shared" si="298"/>
        <v>0</v>
      </c>
      <c r="PZU63" s="44">
        <f t="shared" si="298"/>
        <v>0</v>
      </c>
      <c r="PZV63" s="44">
        <f t="shared" si="298"/>
        <v>0</v>
      </c>
      <c r="PZW63" s="44">
        <f t="shared" si="298"/>
        <v>0</v>
      </c>
      <c r="PZX63" s="44">
        <f t="shared" si="298"/>
        <v>0</v>
      </c>
      <c r="PZY63" s="44">
        <f t="shared" si="298"/>
        <v>0</v>
      </c>
      <c r="PZZ63" s="44">
        <f t="shared" si="298"/>
        <v>0</v>
      </c>
      <c r="QAA63" s="44">
        <f t="shared" si="298"/>
        <v>0</v>
      </c>
      <c r="QAB63" s="44">
        <f t="shared" si="298"/>
        <v>0</v>
      </c>
      <c r="QAC63" s="44">
        <f t="shared" si="298"/>
        <v>0</v>
      </c>
      <c r="QAD63" s="44">
        <f t="shared" si="298"/>
        <v>0</v>
      </c>
      <c r="QAE63" s="44">
        <f t="shared" si="298"/>
        <v>0</v>
      </c>
      <c r="QAF63" s="44">
        <f t="shared" si="298"/>
        <v>0</v>
      </c>
      <c r="QAG63" s="44">
        <f t="shared" si="298"/>
        <v>0</v>
      </c>
      <c r="QAH63" s="44">
        <f t="shared" si="298"/>
        <v>0</v>
      </c>
      <c r="QAI63" s="44">
        <f t="shared" si="298"/>
        <v>0</v>
      </c>
      <c r="QAJ63" s="44">
        <f t="shared" si="298"/>
        <v>0</v>
      </c>
      <c r="QAK63" s="44">
        <f t="shared" si="298"/>
        <v>0</v>
      </c>
      <c r="QAL63" s="44">
        <f t="shared" si="298"/>
        <v>0</v>
      </c>
      <c r="QAM63" s="44">
        <f t="shared" si="298"/>
        <v>0</v>
      </c>
      <c r="QAN63" s="44">
        <f t="shared" si="298"/>
        <v>0</v>
      </c>
      <c r="QAO63" s="44">
        <f t="shared" si="298"/>
        <v>0</v>
      </c>
      <c r="QAP63" s="44">
        <f t="shared" si="298"/>
        <v>0</v>
      </c>
      <c r="QAQ63" s="44">
        <f t="shared" si="298"/>
        <v>0</v>
      </c>
      <c r="QAR63" s="44">
        <f t="shared" si="298"/>
        <v>0</v>
      </c>
      <c r="QAS63" s="44">
        <f t="shared" si="298"/>
        <v>0</v>
      </c>
      <c r="QAT63" s="44">
        <f t="shared" si="298"/>
        <v>0</v>
      </c>
      <c r="QAU63" s="44">
        <f t="shared" si="298"/>
        <v>0</v>
      </c>
      <c r="QAV63" s="44">
        <f t="shared" si="298"/>
        <v>0</v>
      </c>
      <c r="QAW63" s="44">
        <f t="shared" si="298"/>
        <v>0</v>
      </c>
      <c r="QAX63" s="44">
        <f t="shared" ref="QAX63:QDI63" si="299">SUM(QAX56:QAX57)</f>
        <v>0</v>
      </c>
      <c r="QAY63" s="44">
        <f t="shared" si="299"/>
        <v>0</v>
      </c>
      <c r="QAZ63" s="44">
        <f t="shared" si="299"/>
        <v>0</v>
      </c>
      <c r="QBA63" s="44">
        <f t="shared" si="299"/>
        <v>0</v>
      </c>
      <c r="QBB63" s="44">
        <f t="shared" si="299"/>
        <v>0</v>
      </c>
      <c r="QBC63" s="44">
        <f t="shared" si="299"/>
        <v>0</v>
      </c>
      <c r="QBD63" s="44">
        <f t="shared" si="299"/>
        <v>0</v>
      </c>
      <c r="QBE63" s="44">
        <f t="shared" si="299"/>
        <v>0</v>
      </c>
      <c r="QBF63" s="44">
        <f t="shared" si="299"/>
        <v>0</v>
      </c>
      <c r="QBG63" s="44">
        <f t="shared" si="299"/>
        <v>0</v>
      </c>
      <c r="QBH63" s="44">
        <f t="shared" si="299"/>
        <v>0</v>
      </c>
      <c r="QBI63" s="44">
        <f t="shared" si="299"/>
        <v>0</v>
      </c>
      <c r="QBJ63" s="44">
        <f t="shared" si="299"/>
        <v>0</v>
      </c>
      <c r="QBK63" s="44">
        <f t="shared" si="299"/>
        <v>0</v>
      </c>
      <c r="QBL63" s="44">
        <f t="shared" si="299"/>
        <v>0</v>
      </c>
      <c r="QBM63" s="44">
        <f t="shared" si="299"/>
        <v>0</v>
      </c>
      <c r="QBN63" s="44">
        <f t="shared" si="299"/>
        <v>0</v>
      </c>
      <c r="QBO63" s="44">
        <f t="shared" si="299"/>
        <v>0</v>
      </c>
      <c r="QBP63" s="44">
        <f t="shared" si="299"/>
        <v>0</v>
      </c>
      <c r="QBQ63" s="44">
        <f t="shared" si="299"/>
        <v>0</v>
      </c>
      <c r="QBR63" s="44">
        <f t="shared" si="299"/>
        <v>0</v>
      </c>
      <c r="QBS63" s="44">
        <f t="shared" si="299"/>
        <v>0</v>
      </c>
      <c r="QBT63" s="44">
        <f t="shared" si="299"/>
        <v>0</v>
      </c>
      <c r="QBU63" s="44">
        <f t="shared" si="299"/>
        <v>0</v>
      </c>
      <c r="QBV63" s="44">
        <f t="shared" si="299"/>
        <v>0</v>
      </c>
      <c r="QBW63" s="44">
        <f t="shared" si="299"/>
        <v>0</v>
      </c>
      <c r="QBX63" s="44">
        <f t="shared" si="299"/>
        <v>0</v>
      </c>
      <c r="QBY63" s="44">
        <f t="shared" si="299"/>
        <v>0</v>
      </c>
      <c r="QBZ63" s="44">
        <f t="shared" si="299"/>
        <v>0</v>
      </c>
      <c r="QCA63" s="44">
        <f t="shared" si="299"/>
        <v>0</v>
      </c>
      <c r="QCB63" s="44">
        <f t="shared" si="299"/>
        <v>0</v>
      </c>
      <c r="QCC63" s="44">
        <f t="shared" si="299"/>
        <v>0</v>
      </c>
      <c r="QCD63" s="44">
        <f t="shared" si="299"/>
        <v>0</v>
      </c>
      <c r="QCE63" s="44">
        <f t="shared" si="299"/>
        <v>0</v>
      </c>
      <c r="QCF63" s="44">
        <f t="shared" si="299"/>
        <v>0</v>
      </c>
      <c r="QCG63" s="44">
        <f t="shared" si="299"/>
        <v>0</v>
      </c>
      <c r="QCH63" s="44">
        <f t="shared" si="299"/>
        <v>0</v>
      </c>
      <c r="QCI63" s="44">
        <f t="shared" si="299"/>
        <v>0</v>
      </c>
      <c r="QCJ63" s="44">
        <f t="shared" si="299"/>
        <v>0</v>
      </c>
      <c r="QCK63" s="44">
        <f t="shared" si="299"/>
        <v>0</v>
      </c>
      <c r="QCL63" s="44">
        <f t="shared" si="299"/>
        <v>0</v>
      </c>
      <c r="QCM63" s="44">
        <f t="shared" si="299"/>
        <v>0</v>
      </c>
      <c r="QCN63" s="44">
        <f t="shared" si="299"/>
        <v>0</v>
      </c>
      <c r="QCO63" s="44">
        <f t="shared" si="299"/>
        <v>0</v>
      </c>
      <c r="QCP63" s="44">
        <f t="shared" si="299"/>
        <v>0</v>
      </c>
      <c r="QCQ63" s="44">
        <f t="shared" si="299"/>
        <v>0</v>
      </c>
      <c r="QCR63" s="44">
        <f t="shared" si="299"/>
        <v>0</v>
      </c>
      <c r="QCS63" s="44">
        <f t="shared" si="299"/>
        <v>0</v>
      </c>
      <c r="QCT63" s="44">
        <f t="shared" si="299"/>
        <v>0</v>
      </c>
      <c r="QCU63" s="44">
        <f t="shared" si="299"/>
        <v>0</v>
      </c>
      <c r="QCV63" s="44">
        <f t="shared" si="299"/>
        <v>0</v>
      </c>
      <c r="QCW63" s="44">
        <f t="shared" si="299"/>
        <v>0</v>
      </c>
      <c r="QCX63" s="44">
        <f t="shared" si="299"/>
        <v>0</v>
      </c>
      <c r="QCY63" s="44">
        <f t="shared" si="299"/>
        <v>0</v>
      </c>
      <c r="QCZ63" s="44">
        <f t="shared" si="299"/>
        <v>0</v>
      </c>
      <c r="QDA63" s="44">
        <f t="shared" si="299"/>
        <v>0</v>
      </c>
      <c r="QDB63" s="44">
        <f t="shared" si="299"/>
        <v>0</v>
      </c>
      <c r="QDC63" s="44">
        <f t="shared" si="299"/>
        <v>0</v>
      </c>
      <c r="QDD63" s="44">
        <f t="shared" si="299"/>
        <v>0</v>
      </c>
      <c r="QDE63" s="44">
        <f t="shared" si="299"/>
        <v>0</v>
      </c>
      <c r="QDF63" s="44">
        <f t="shared" si="299"/>
        <v>0</v>
      </c>
      <c r="QDG63" s="44">
        <f t="shared" si="299"/>
        <v>0</v>
      </c>
      <c r="QDH63" s="44">
        <f t="shared" si="299"/>
        <v>0</v>
      </c>
      <c r="QDI63" s="44">
        <f t="shared" si="299"/>
        <v>0</v>
      </c>
      <c r="QDJ63" s="44">
        <f t="shared" ref="QDJ63:QFU63" si="300">SUM(QDJ56:QDJ57)</f>
        <v>0</v>
      </c>
      <c r="QDK63" s="44">
        <f t="shared" si="300"/>
        <v>0</v>
      </c>
      <c r="QDL63" s="44">
        <f t="shared" si="300"/>
        <v>0</v>
      </c>
      <c r="QDM63" s="44">
        <f t="shared" si="300"/>
        <v>0</v>
      </c>
      <c r="QDN63" s="44">
        <f t="shared" si="300"/>
        <v>0</v>
      </c>
      <c r="QDO63" s="44">
        <f t="shared" si="300"/>
        <v>0</v>
      </c>
      <c r="QDP63" s="44">
        <f t="shared" si="300"/>
        <v>0</v>
      </c>
      <c r="QDQ63" s="44">
        <f t="shared" si="300"/>
        <v>0</v>
      </c>
      <c r="QDR63" s="44">
        <f t="shared" si="300"/>
        <v>0</v>
      </c>
      <c r="QDS63" s="44">
        <f t="shared" si="300"/>
        <v>0</v>
      </c>
      <c r="QDT63" s="44">
        <f t="shared" si="300"/>
        <v>0</v>
      </c>
      <c r="QDU63" s="44">
        <f t="shared" si="300"/>
        <v>0</v>
      </c>
      <c r="QDV63" s="44">
        <f t="shared" si="300"/>
        <v>0</v>
      </c>
      <c r="QDW63" s="44">
        <f t="shared" si="300"/>
        <v>0</v>
      </c>
      <c r="QDX63" s="44">
        <f t="shared" si="300"/>
        <v>0</v>
      </c>
      <c r="QDY63" s="44">
        <f t="shared" si="300"/>
        <v>0</v>
      </c>
      <c r="QDZ63" s="44">
        <f t="shared" si="300"/>
        <v>0</v>
      </c>
      <c r="QEA63" s="44">
        <f t="shared" si="300"/>
        <v>0</v>
      </c>
      <c r="QEB63" s="44">
        <f t="shared" si="300"/>
        <v>0</v>
      </c>
      <c r="QEC63" s="44">
        <f t="shared" si="300"/>
        <v>0</v>
      </c>
      <c r="QED63" s="44">
        <f t="shared" si="300"/>
        <v>0</v>
      </c>
      <c r="QEE63" s="44">
        <f t="shared" si="300"/>
        <v>0</v>
      </c>
      <c r="QEF63" s="44">
        <f t="shared" si="300"/>
        <v>0</v>
      </c>
      <c r="QEG63" s="44">
        <f t="shared" si="300"/>
        <v>0</v>
      </c>
      <c r="QEH63" s="44">
        <f t="shared" si="300"/>
        <v>0</v>
      </c>
      <c r="QEI63" s="44">
        <f t="shared" si="300"/>
        <v>0</v>
      </c>
      <c r="QEJ63" s="44">
        <f t="shared" si="300"/>
        <v>0</v>
      </c>
      <c r="QEK63" s="44">
        <f t="shared" si="300"/>
        <v>0</v>
      </c>
      <c r="QEL63" s="44">
        <f t="shared" si="300"/>
        <v>0</v>
      </c>
      <c r="QEM63" s="44">
        <f t="shared" si="300"/>
        <v>0</v>
      </c>
      <c r="QEN63" s="44">
        <f t="shared" si="300"/>
        <v>0</v>
      </c>
      <c r="QEO63" s="44">
        <f t="shared" si="300"/>
        <v>0</v>
      </c>
      <c r="QEP63" s="44">
        <f t="shared" si="300"/>
        <v>0</v>
      </c>
      <c r="QEQ63" s="44">
        <f t="shared" si="300"/>
        <v>0</v>
      </c>
      <c r="QER63" s="44">
        <f t="shared" si="300"/>
        <v>0</v>
      </c>
      <c r="QES63" s="44">
        <f t="shared" si="300"/>
        <v>0</v>
      </c>
      <c r="QET63" s="44">
        <f t="shared" si="300"/>
        <v>0</v>
      </c>
      <c r="QEU63" s="44">
        <f t="shared" si="300"/>
        <v>0</v>
      </c>
      <c r="QEV63" s="44">
        <f t="shared" si="300"/>
        <v>0</v>
      </c>
      <c r="QEW63" s="44">
        <f t="shared" si="300"/>
        <v>0</v>
      </c>
      <c r="QEX63" s="44">
        <f t="shared" si="300"/>
        <v>0</v>
      </c>
      <c r="QEY63" s="44">
        <f t="shared" si="300"/>
        <v>0</v>
      </c>
      <c r="QEZ63" s="44">
        <f t="shared" si="300"/>
        <v>0</v>
      </c>
      <c r="QFA63" s="44">
        <f t="shared" si="300"/>
        <v>0</v>
      </c>
      <c r="QFB63" s="44">
        <f t="shared" si="300"/>
        <v>0</v>
      </c>
      <c r="QFC63" s="44">
        <f t="shared" si="300"/>
        <v>0</v>
      </c>
      <c r="QFD63" s="44">
        <f t="shared" si="300"/>
        <v>0</v>
      </c>
      <c r="QFE63" s="44">
        <f t="shared" si="300"/>
        <v>0</v>
      </c>
      <c r="QFF63" s="44">
        <f t="shared" si="300"/>
        <v>0</v>
      </c>
      <c r="QFG63" s="44">
        <f t="shared" si="300"/>
        <v>0</v>
      </c>
      <c r="QFH63" s="44">
        <f t="shared" si="300"/>
        <v>0</v>
      </c>
      <c r="QFI63" s="44">
        <f t="shared" si="300"/>
        <v>0</v>
      </c>
      <c r="QFJ63" s="44">
        <f t="shared" si="300"/>
        <v>0</v>
      </c>
      <c r="QFK63" s="44">
        <f t="shared" si="300"/>
        <v>0</v>
      </c>
      <c r="QFL63" s="44">
        <f t="shared" si="300"/>
        <v>0</v>
      </c>
      <c r="QFM63" s="44">
        <f t="shared" si="300"/>
        <v>0</v>
      </c>
      <c r="QFN63" s="44">
        <f t="shared" si="300"/>
        <v>0</v>
      </c>
      <c r="QFO63" s="44">
        <f t="shared" si="300"/>
        <v>0</v>
      </c>
      <c r="QFP63" s="44">
        <f t="shared" si="300"/>
        <v>0</v>
      </c>
      <c r="QFQ63" s="44">
        <f t="shared" si="300"/>
        <v>0</v>
      </c>
      <c r="QFR63" s="44">
        <f t="shared" si="300"/>
        <v>0</v>
      </c>
      <c r="QFS63" s="44">
        <f t="shared" si="300"/>
        <v>0</v>
      </c>
      <c r="QFT63" s="44">
        <f t="shared" si="300"/>
        <v>0</v>
      </c>
      <c r="QFU63" s="44">
        <f t="shared" si="300"/>
        <v>0</v>
      </c>
      <c r="QFV63" s="44">
        <f t="shared" ref="QFV63:QIG63" si="301">SUM(QFV56:QFV57)</f>
        <v>0</v>
      </c>
      <c r="QFW63" s="44">
        <f t="shared" si="301"/>
        <v>0</v>
      </c>
      <c r="QFX63" s="44">
        <f t="shared" si="301"/>
        <v>0</v>
      </c>
      <c r="QFY63" s="44">
        <f t="shared" si="301"/>
        <v>0</v>
      </c>
      <c r="QFZ63" s="44">
        <f t="shared" si="301"/>
        <v>0</v>
      </c>
      <c r="QGA63" s="44">
        <f t="shared" si="301"/>
        <v>0</v>
      </c>
      <c r="QGB63" s="44">
        <f t="shared" si="301"/>
        <v>0</v>
      </c>
      <c r="QGC63" s="44">
        <f t="shared" si="301"/>
        <v>0</v>
      </c>
      <c r="QGD63" s="44">
        <f t="shared" si="301"/>
        <v>0</v>
      </c>
      <c r="QGE63" s="44">
        <f t="shared" si="301"/>
        <v>0</v>
      </c>
      <c r="QGF63" s="44">
        <f t="shared" si="301"/>
        <v>0</v>
      </c>
      <c r="QGG63" s="44">
        <f t="shared" si="301"/>
        <v>0</v>
      </c>
      <c r="QGH63" s="44">
        <f t="shared" si="301"/>
        <v>0</v>
      </c>
      <c r="QGI63" s="44">
        <f t="shared" si="301"/>
        <v>0</v>
      </c>
      <c r="QGJ63" s="44">
        <f t="shared" si="301"/>
        <v>0</v>
      </c>
      <c r="QGK63" s="44">
        <f t="shared" si="301"/>
        <v>0</v>
      </c>
      <c r="QGL63" s="44">
        <f t="shared" si="301"/>
        <v>0</v>
      </c>
      <c r="QGM63" s="44">
        <f t="shared" si="301"/>
        <v>0</v>
      </c>
      <c r="QGN63" s="44">
        <f t="shared" si="301"/>
        <v>0</v>
      </c>
      <c r="QGO63" s="44">
        <f t="shared" si="301"/>
        <v>0</v>
      </c>
      <c r="QGP63" s="44">
        <f t="shared" si="301"/>
        <v>0</v>
      </c>
      <c r="QGQ63" s="44">
        <f t="shared" si="301"/>
        <v>0</v>
      </c>
      <c r="QGR63" s="44">
        <f t="shared" si="301"/>
        <v>0</v>
      </c>
      <c r="QGS63" s="44">
        <f t="shared" si="301"/>
        <v>0</v>
      </c>
      <c r="QGT63" s="44">
        <f t="shared" si="301"/>
        <v>0</v>
      </c>
      <c r="QGU63" s="44">
        <f t="shared" si="301"/>
        <v>0</v>
      </c>
      <c r="QGV63" s="44">
        <f t="shared" si="301"/>
        <v>0</v>
      </c>
      <c r="QGW63" s="44">
        <f t="shared" si="301"/>
        <v>0</v>
      </c>
      <c r="QGX63" s="44">
        <f t="shared" si="301"/>
        <v>0</v>
      </c>
      <c r="QGY63" s="44">
        <f t="shared" si="301"/>
        <v>0</v>
      </c>
      <c r="QGZ63" s="44">
        <f t="shared" si="301"/>
        <v>0</v>
      </c>
      <c r="QHA63" s="44">
        <f t="shared" si="301"/>
        <v>0</v>
      </c>
      <c r="QHB63" s="44">
        <f t="shared" si="301"/>
        <v>0</v>
      </c>
      <c r="QHC63" s="44">
        <f t="shared" si="301"/>
        <v>0</v>
      </c>
      <c r="QHD63" s="44">
        <f t="shared" si="301"/>
        <v>0</v>
      </c>
      <c r="QHE63" s="44">
        <f t="shared" si="301"/>
        <v>0</v>
      </c>
      <c r="QHF63" s="44">
        <f t="shared" si="301"/>
        <v>0</v>
      </c>
      <c r="QHG63" s="44">
        <f t="shared" si="301"/>
        <v>0</v>
      </c>
      <c r="QHH63" s="44">
        <f t="shared" si="301"/>
        <v>0</v>
      </c>
      <c r="QHI63" s="44">
        <f t="shared" si="301"/>
        <v>0</v>
      </c>
      <c r="QHJ63" s="44">
        <f t="shared" si="301"/>
        <v>0</v>
      </c>
      <c r="QHK63" s="44">
        <f t="shared" si="301"/>
        <v>0</v>
      </c>
      <c r="QHL63" s="44">
        <f t="shared" si="301"/>
        <v>0</v>
      </c>
      <c r="QHM63" s="44">
        <f t="shared" si="301"/>
        <v>0</v>
      </c>
      <c r="QHN63" s="44">
        <f t="shared" si="301"/>
        <v>0</v>
      </c>
      <c r="QHO63" s="44">
        <f t="shared" si="301"/>
        <v>0</v>
      </c>
      <c r="QHP63" s="44">
        <f t="shared" si="301"/>
        <v>0</v>
      </c>
      <c r="QHQ63" s="44">
        <f t="shared" si="301"/>
        <v>0</v>
      </c>
      <c r="QHR63" s="44">
        <f t="shared" si="301"/>
        <v>0</v>
      </c>
      <c r="QHS63" s="44">
        <f t="shared" si="301"/>
        <v>0</v>
      </c>
      <c r="QHT63" s="44">
        <f t="shared" si="301"/>
        <v>0</v>
      </c>
      <c r="QHU63" s="44">
        <f t="shared" si="301"/>
        <v>0</v>
      </c>
      <c r="QHV63" s="44">
        <f t="shared" si="301"/>
        <v>0</v>
      </c>
      <c r="QHW63" s="44">
        <f t="shared" si="301"/>
        <v>0</v>
      </c>
      <c r="QHX63" s="44">
        <f t="shared" si="301"/>
        <v>0</v>
      </c>
      <c r="QHY63" s="44">
        <f t="shared" si="301"/>
        <v>0</v>
      </c>
      <c r="QHZ63" s="44">
        <f t="shared" si="301"/>
        <v>0</v>
      </c>
      <c r="QIA63" s="44">
        <f t="shared" si="301"/>
        <v>0</v>
      </c>
      <c r="QIB63" s="44">
        <f t="shared" si="301"/>
        <v>0</v>
      </c>
      <c r="QIC63" s="44">
        <f t="shared" si="301"/>
        <v>0</v>
      </c>
      <c r="QID63" s="44">
        <f t="shared" si="301"/>
        <v>0</v>
      </c>
      <c r="QIE63" s="44">
        <f t="shared" si="301"/>
        <v>0</v>
      </c>
      <c r="QIF63" s="44">
        <f t="shared" si="301"/>
        <v>0</v>
      </c>
      <c r="QIG63" s="44">
        <f t="shared" si="301"/>
        <v>0</v>
      </c>
      <c r="QIH63" s="44">
        <f t="shared" ref="QIH63:QKS63" si="302">SUM(QIH56:QIH57)</f>
        <v>0</v>
      </c>
      <c r="QII63" s="44">
        <f t="shared" si="302"/>
        <v>0</v>
      </c>
      <c r="QIJ63" s="44">
        <f t="shared" si="302"/>
        <v>0</v>
      </c>
      <c r="QIK63" s="44">
        <f t="shared" si="302"/>
        <v>0</v>
      </c>
      <c r="QIL63" s="44">
        <f t="shared" si="302"/>
        <v>0</v>
      </c>
      <c r="QIM63" s="44">
        <f t="shared" si="302"/>
        <v>0</v>
      </c>
      <c r="QIN63" s="44">
        <f t="shared" si="302"/>
        <v>0</v>
      </c>
      <c r="QIO63" s="44">
        <f t="shared" si="302"/>
        <v>0</v>
      </c>
      <c r="QIP63" s="44">
        <f t="shared" si="302"/>
        <v>0</v>
      </c>
      <c r="QIQ63" s="44">
        <f t="shared" si="302"/>
        <v>0</v>
      </c>
      <c r="QIR63" s="44">
        <f t="shared" si="302"/>
        <v>0</v>
      </c>
      <c r="QIS63" s="44">
        <f t="shared" si="302"/>
        <v>0</v>
      </c>
      <c r="QIT63" s="44">
        <f t="shared" si="302"/>
        <v>0</v>
      </c>
      <c r="QIU63" s="44">
        <f t="shared" si="302"/>
        <v>0</v>
      </c>
      <c r="QIV63" s="44">
        <f t="shared" si="302"/>
        <v>0</v>
      </c>
      <c r="QIW63" s="44">
        <f t="shared" si="302"/>
        <v>0</v>
      </c>
      <c r="QIX63" s="44">
        <f t="shared" si="302"/>
        <v>0</v>
      </c>
      <c r="QIY63" s="44">
        <f t="shared" si="302"/>
        <v>0</v>
      </c>
      <c r="QIZ63" s="44">
        <f t="shared" si="302"/>
        <v>0</v>
      </c>
      <c r="QJA63" s="44">
        <f t="shared" si="302"/>
        <v>0</v>
      </c>
      <c r="QJB63" s="44">
        <f t="shared" si="302"/>
        <v>0</v>
      </c>
      <c r="QJC63" s="44">
        <f t="shared" si="302"/>
        <v>0</v>
      </c>
      <c r="QJD63" s="44">
        <f t="shared" si="302"/>
        <v>0</v>
      </c>
      <c r="QJE63" s="44">
        <f t="shared" si="302"/>
        <v>0</v>
      </c>
      <c r="QJF63" s="44">
        <f t="shared" si="302"/>
        <v>0</v>
      </c>
      <c r="QJG63" s="44">
        <f t="shared" si="302"/>
        <v>0</v>
      </c>
      <c r="QJH63" s="44">
        <f t="shared" si="302"/>
        <v>0</v>
      </c>
      <c r="QJI63" s="44">
        <f t="shared" si="302"/>
        <v>0</v>
      </c>
      <c r="QJJ63" s="44">
        <f t="shared" si="302"/>
        <v>0</v>
      </c>
      <c r="QJK63" s="44">
        <f t="shared" si="302"/>
        <v>0</v>
      </c>
      <c r="QJL63" s="44">
        <f t="shared" si="302"/>
        <v>0</v>
      </c>
      <c r="QJM63" s="44">
        <f t="shared" si="302"/>
        <v>0</v>
      </c>
      <c r="QJN63" s="44">
        <f t="shared" si="302"/>
        <v>0</v>
      </c>
      <c r="QJO63" s="44">
        <f t="shared" si="302"/>
        <v>0</v>
      </c>
      <c r="QJP63" s="44">
        <f t="shared" si="302"/>
        <v>0</v>
      </c>
      <c r="QJQ63" s="44">
        <f t="shared" si="302"/>
        <v>0</v>
      </c>
      <c r="QJR63" s="44">
        <f t="shared" si="302"/>
        <v>0</v>
      </c>
      <c r="QJS63" s="44">
        <f t="shared" si="302"/>
        <v>0</v>
      </c>
      <c r="QJT63" s="44">
        <f t="shared" si="302"/>
        <v>0</v>
      </c>
      <c r="QJU63" s="44">
        <f t="shared" si="302"/>
        <v>0</v>
      </c>
      <c r="QJV63" s="44">
        <f t="shared" si="302"/>
        <v>0</v>
      </c>
      <c r="QJW63" s="44">
        <f t="shared" si="302"/>
        <v>0</v>
      </c>
      <c r="QJX63" s="44">
        <f t="shared" si="302"/>
        <v>0</v>
      </c>
      <c r="QJY63" s="44">
        <f t="shared" si="302"/>
        <v>0</v>
      </c>
      <c r="QJZ63" s="44">
        <f t="shared" si="302"/>
        <v>0</v>
      </c>
      <c r="QKA63" s="44">
        <f t="shared" si="302"/>
        <v>0</v>
      </c>
      <c r="QKB63" s="44">
        <f t="shared" si="302"/>
        <v>0</v>
      </c>
      <c r="QKC63" s="44">
        <f t="shared" si="302"/>
        <v>0</v>
      </c>
      <c r="QKD63" s="44">
        <f t="shared" si="302"/>
        <v>0</v>
      </c>
      <c r="QKE63" s="44">
        <f t="shared" si="302"/>
        <v>0</v>
      </c>
      <c r="QKF63" s="44">
        <f t="shared" si="302"/>
        <v>0</v>
      </c>
      <c r="QKG63" s="44">
        <f t="shared" si="302"/>
        <v>0</v>
      </c>
      <c r="QKH63" s="44">
        <f t="shared" si="302"/>
        <v>0</v>
      </c>
      <c r="QKI63" s="44">
        <f t="shared" si="302"/>
        <v>0</v>
      </c>
      <c r="QKJ63" s="44">
        <f t="shared" si="302"/>
        <v>0</v>
      </c>
      <c r="QKK63" s="44">
        <f t="shared" si="302"/>
        <v>0</v>
      </c>
      <c r="QKL63" s="44">
        <f t="shared" si="302"/>
        <v>0</v>
      </c>
      <c r="QKM63" s="44">
        <f t="shared" si="302"/>
        <v>0</v>
      </c>
      <c r="QKN63" s="44">
        <f t="shared" si="302"/>
        <v>0</v>
      </c>
      <c r="QKO63" s="44">
        <f t="shared" si="302"/>
        <v>0</v>
      </c>
      <c r="QKP63" s="44">
        <f t="shared" si="302"/>
        <v>0</v>
      </c>
      <c r="QKQ63" s="44">
        <f t="shared" si="302"/>
        <v>0</v>
      </c>
      <c r="QKR63" s="44">
        <f t="shared" si="302"/>
        <v>0</v>
      </c>
      <c r="QKS63" s="44">
        <f t="shared" si="302"/>
        <v>0</v>
      </c>
      <c r="QKT63" s="44">
        <f t="shared" ref="QKT63:QNE63" si="303">SUM(QKT56:QKT57)</f>
        <v>0</v>
      </c>
      <c r="QKU63" s="44">
        <f t="shared" si="303"/>
        <v>0</v>
      </c>
      <c r="QKV63" s="44">
        <f t="shared" si="303"/>
        <v>0</v>
      </c>
      <c r="QKW63" s="44">
        <f t="shared" si="303"/>
        <v>0</v>
      </c>
      <c r="QKX63" s="44">
        <f t="shared" si="303"/>
        <v>0</v>
      </c>
      <c r="QKY63" s="44">
        <f t="shared" si="303"/>
        <v>0</v>
      </c>
      <c r="QKZ63" s="44">
        <f t="shared" si="303"/>
        <v>0</v>
      </c>
      <c r="QLA63" s="44">
        <f t="shared" si="303"/>
        <v>0</v>
      </c>
      <c r="QLB63" s="44">
        <f t="shared" si="303"/>
        <v>0</v>
      </c>
      <c r="QLC63" s="44">
        <f t="shared" si="303"/>
        <v>0</v>
      </c>
      <c r="QLD63" s="44">
        <f t="shared" si="303"/>
        <v>0</v>
      </c>
      <c r="QLE63" s="44">
        <f t="shared" si="303"/>
        <v>0</v>
      </c>
      <c r="QLF63" s="44">
        <f t="shared" si="303"/>
        <v>0</v>
      </c>
      <c r="QLG63" s="44">
        <f t="shared" si="303"/>
        <v>0</v>
      </c>
      <c r="QLH63" s="44">
        <f t="shared" si="303"/>
        <v>0</v>
      </c>
      <c r="QLI63" s="44">
        <f t="shared" si="303"/>
        <v>0</v>
      </c>
      <c r="QLJ63" s="44">
        <f t="shared" si="303"/>
        <v>0</v>
      </c>
      <c r="QLK63" s="44">
        <f t="shared" si="303"/>
        <v>0</v>
      </c>
      <c r="QLL63" s="44">
        <f t="shared" si="303"/>
        <v>0</v>
      </c>
      <c r="QLM63" s="44">
        <f t="shared" si="303"/>
        <v>0</v>
      </c>
      <c r="QLN63" s="44">
        <f t="shared" si="303"/>
        <v>0</v>
      </c>
      <c r="QLO63" s="44">
        <f t="shared" si="303"/>
        <v>0</v>
      </c>
      <c r="QLP63" s="44">
        <f t="shared" si="303"/>
        <v>0</v>
      </c>
      <c r="QLQ63" s="44">
        <f t="shared" si="303"/>
        <v>0</v>
      </c>
      <c r="QLR63" s="44">
        <f t="shared" si="303"/>
        <v>0</v>
      </c>
      <c r="QLS63" s="44">
        <f t="shared" si="303"/>
        <v>0</v>
      </c>
      <c r="QLT63" s="44">
        <f t="shared" si="303"/>
        <v>0</v>
      </c>
      <c r="QLU63" s="44">
        <f t="shared" si="303"/>
        <v>0</v>
      </c>
      <c r="QLV63" s="44">
        <f t="shared" si="303"/>
        <v>0</v>
      </c>
      <c r="QLW63" s="44">
        <f t="shared" si="303"/>
        <v>0</v>
      </c>
      <c r="QLX63" s="44">
        <f t="shared" si="303"/>
        <v>0</v>
      </c>
      <c r="QLY63" s="44">
        <f t="shared" si="303"/>
        <v>0</v>
      </c>
      <c r="QLZ63" s="44">
        <f t="shared" si="303"/>
        <v>0</v>
      </c>
      <c r="QMA63" s="44">
        <f t="shared" si="303"/>
        <v>0</v>
      </c>
      <c r="QMB63" s="44">
        <f t="shared" si="303"/>
        <v>0</v>
      </c>
      <c r="QMC63" s="44">
        <f t="shared" si="303"/>
        <v>0</v>
      </c>
      <c r="QMD63" s="44">
        <f t="shared" si="303"/>
        <v>0</v>
      </c>
      <c r="QME63" s="44">
        <f t="shared" si="303"/>
        <v>0</v>
      </c>
      <c r="QMF63" s="44">
        <f t="shared" si="303"/>
        <v>0</v>
      </c>
      <c r="QMG63" s="44">
        <f t="shared" si="303"/>
        <v>0</v>
      </c>
      <c r="QMH63" s="44">
        <f t="shared" si="303"/>
        <v>0</v>
      </c>
      <c r="QMI63" s="44">
        <f t="shared" si="303"/>
        <v>0</v>
      </c>
      <c r="QMJ63" s="44">
        <f t="shared" si="303"/>
        <v>0</v>
      </c>
      <c r="QMK63" s="44">
        <f t="shared" si="303"/>
        <v>0</v>
      </c>
      <c r="QML63" s="44">
        <f t="shared" si="303"/>
        <v>0</v>
      </c>
      <c r="QMM63" s="44">
        <f t="shared" si="303"/>
        <v>0</v>
      </c>
      <c r="QMN63" s="44">
        <f t="shared" si="303"/>
        <v>0</v>
      </c>
      <c r="QMO63" s="44">
        <f t="shared" si="303"/>
        <v>0</v>
      </c>
      <c r="QMP63" s="44">
        <f t="shared" si="303"/>
        <v>0</v>
      </c>
      <c r="QMQ63" s="44">
        <f t="shared" si="303"/>
        <v>0</v>
      </c>
      <c r="QMR63" s="44">
        <f t="shared" si="303"/>
        <v>0</v>
      </c>
      <c r="QMS63" s="44">
        <f t="shared" si="303"/>
        <v>0</v>
      </c>
      <c r="QMT63" s="44">
        <f t="shared" si="303"/>
        <v>0</v>
      </c>
      <c r="QMU63" s="44">
        <f t="shared" si="303"/>
        <v>0</v>
      </c>
      <c r="QMV63" s="44">
        <f t="shared" si="303"/>
        <v>0</v>
      </c>
      <c r="QMW63" s="44">
        <f t="shared" si="303"/>
        <v>0</v>
      </c>
      <c r="QMX63" s="44">
        <f t="shared" si="303"/>
        <v>0</v>
      </c>
      <c r="QMY63" s="44">
        <f t="shared" si="303"/>
        <v>0</v>
      </c>
      <c r="QMZ63" s="44">
        <f t="shared" si="303"/>
        <v>0</v>
      </c>
      <c r="QNA63" s="44">
        <f t="shared" si="303"/>
        <v>0</v>
      </c>
      <c r="QNB63" s="44">
        <f t="shared" si="303"/>
        <v>0</v>
      </c>
      <c r="QNC63" s="44">
        <f t="shared" si="303"/>
        <v>0</v>
      </c>
      <c r="QND63" s="44">
        <f t="shared" si="303"/>
        <v>0</v>
      </c>
      <c r="QNE63" s="44">
        <f t="shared" si="303"/>
        <v>0</v>
      </c>
      <c r="QNF63" s="44">
        <f t="shared" ref="QNF63:QPQ63" si="304">SUM(QNF56:QNF57)</f>
        <v>0</v>
      </c>
      <c r="QNG63" s="44">
        <f t="shared" si="304"/>
        <v>0</v>
      </c>
      <c r="QNH63" s="44">
        <f t="shared" si="304"/>
        <v>0</v>
      </c>
      <c r="QNI63" s="44">
        <f t="shared" si="304"/>
        <v>0</v>
      </c>
      <c r="QNJ63" s="44">
        <f t="shared" si="304"/>
        <v>0</v>
      </c>
      <c r="QNK63" s="44">
        <f t="shared" si="304"/>
        <v>0</v>
      </c>
      <c r="QNL63" s="44">
        <f t="shared" si="304"/>
        <v>0</v>
      </c>
      <c r="QNM63" s="44">
        <f t="shared" si="304"/>
        <v>0</v>
      </c>
      <c r="QNN63" s="44">
        <f t="shared" si="304"/>
        <v>0</v>
      </c>
      <c r="QNO63" s="44">
        <f t="shared" si="304"/>
        <v>0</v>
      </c>
      <c r="QNP63" s="44">
        <f t="shared" si="304"/>
        <v>0</v>
      </c>
      <c r="QNQ63" s="44">
        <f t="shared" si="304"/>
        <v>0</v>
      </c>
      <c r="QNR63" s="44">
        <f t="shared" si="304"/>
        <v>0</v>
      </c>
      <c r="QNS63" s="44">
        <f t="shared" si="304"/>
        <v>0</v>
      </c>
      <c r="QNT63" s="44">
        <f t="shared" si="304"/>
        <v>0</v>
      </c>
      <c r="QNU63" s="44">
        <f t="shared" si="304"/>
        <v>0</v>
      </c>
      <c r="QNV63" s="44">
        <f t="shared" si="304"/>
        <v>0</v>
      </c>
      <c r="QNW63" s="44">
        <f t="shared" si="304"/>
        <v>0</v>
      </c>
      <c r="QNX63" s="44">
        <f t="shared" si="304"/>
        <v>0</v>
      </c>
      <c r="QNY63" s="44">
        <f t="shared" si="304"/>
        <v>0</v>
      </c>
      <c r="QNZ63" s="44">
        <f t="shared" si="304"/>
        <v>0</v>
      </c>
      <c r="QOA63" s="44">
        <f t="shared" si="304"/>
        <v>0</v>
      </c>
      <c r="QOB63" s="44">
        <f t="shared" si="304"/>
        <v>0</v>
      </c>
      <c r="QOC63" s="44">
        <f t="shared" si="304"/>
        <v>0</v>
      </c>
      <c r="QOD63" s="44">
        <f t="shared" si="304"/>
        <v>0</v>
      </c>
      <c r="QOE63" s="44">
        <f t="shared" si="304"/>
        <v>0</v>
      </c>
      <c r="QOF63" s="44">
        <f t="shared" si="304"/>
        <v>0</v>
      </c>
      <c r="QOG63" s="44">
        <f t="shared" si="304"/>
        <v>0</v>
      </c>
      <c r="QOH63" s="44">
        <f t="shared" si="304"/>
        <v>0</v>
      </c>
      <c r="QOI63" s="44">
        <f t="shared" si="304"/>
        <v>0</v>
      </c>
      <c r="QOJ63" s="44">
        <f t="shared" si="304"/>
        <v>0</v>
      </c>
      <c r="QOK63" s="44">
        <f t="shared" si="304"/>
        <v>0</v>
      </c>
      <c r="QOL63" s="44">
        <f t="shared" si="304"/>
        <v>0</v>
      </c>
      <c r="QOM63" s="44">
        <f t="shared" si="304"/>
        <v>0</v>
      </c>
      <c r="QON63" s="44">
        <f t="shared" si="304"/>
        <v>0</v>
      </c>
      <c r="QOO63" s="44">
        <f t="shared" si="304"/>
        <v>0</v>
      </c>
      <c r="QOP63" s="44">
        <f t="shared" si="304"/>
        <v>0</v>
      </c>
      <c r="QOQ63" s="44">
        <f t="shared" si="304"/>
        <v>0</v>
      </c>
      <c r="QOR63" s="44">
        <f t="shared" si="304"/>
        <v>0</v>
      </c>
      <c r="QOS63" s="44">
        <f t="shared" si="304"/>
        <v>0</v>
      </c>
      <c r="QOT63" s="44">
        <f t="shared" si="304"/>
        <v>0</v>
      </c>
      <c r="QOU63" s="44">
        <f t="shared" si="304"/>
        <v>0</v>
      </c>
      <c r="QOV63" s="44">
        <f t="shared" si="304"/>
        <v>0</v>
      </c>
      <c r="QOW63" s="44">
        <f t="shared" si="304"/>
        <v>0</v>
      </c>
      <c r="QOX63" s="44">
        <f t="shared" si="304"/>
        <v>0</v>
      </c>
      <c r="QOY63" s="44">
        <f t="shared" si="304"/>
        <v>0</v>
      </c>
      <c r="QOZ63" s="44">
        <f t="shared" si="304"/>
        <v>0</v>
      </c>
      <c r="QPA63" s="44">
        <f t="shared" si="304"/>
        <v>0</v>
      </c>
      <c r="QPB63" s="44">
        <f t="shared" si="304"/>
        <v>0</v>
      </c>
      <c r="QPC63" s="44">
        <f t="shared" si="304"/>
        <v>0</v>
      </c>
      <c r="QPD63" s="44">
        <f t="shared" si="304"/>
        <v>0</v>
      </c>
      <c r="QPE63" s="44">
        <f t="shared" si="304"/>
        <v>0</v>
      </c>
      <c r="QPF63" s="44">
        <f t="shared" si="304"/>
        <v>0</v>
      </c>
      <c r="QPG63" s="44">
        <f t="shared" si="304"/>
        <v>0</v>
      </c>
      <c r="QPH63" s="44">
        <f t="shared" si="304"/>
        <v>0</v>
      </c>
      <c r="QPI63" s="44">
        <f t="shared" si="304"/>
        <v>0</v>
      </c>
      <c r="QPJ63" s="44">
        <f t="shared" si="304"/>
        <v>0</v>
      </c>
      <c r="QPK63" s="44">
        <f t="shared" si="304"/>
        <v>0</v>
      </c>
      <c r="QPL63" s="44">
        <f t="shared" si="304"/>
        <v>0</v>
      </c>
      <c r="QPM63" s="44">
        <f t="shared" si="304"/>
        <v>0</v>
      </c>
      <c r="QPN63" s="44">
        <f t="shared" si="304"/>
        <v>0</v>
      </c>
      <c r="QPO63" s="44">
        <f t="shared" si="304"/>
        <v>0</v>
      </c>
      <c r="QPP63" s="44">
        <f t="shared" si="304"/>
        <v>0</v>
      </c>
      <c r="QPQ63" s="44">
        <f t="shared" si="304"/>
        <v>0</v>
      </c>
      <c r="QPR63" s="44">
        <f t="shared" ref="QPR63:QSC63" si="305">SUM(QPR56:QPR57)</f>
        <v>0</v>
      </c>
      <c r="QPS63" s="44">
        <f t="shared" si="305"/>
        <v>0</v>
      </c>
      <c r="QPT63" s="44">
        <f t="shared" si="305"/>
        <v>0</v>
      </c>
      <c r="QPU63" s="44">
        <f t="shared" si="305"/>
        <v>0</v>
      </c>
      <c r="QPV63" s="44">
        <f t="shared" si="305"/>
        <v>0</v>
      </c>
      <c r="QPW63" s="44">
        <f t="shared" si="305"/>
        <v>0</v>
      </c>
      <c r="QPX63" s="44">
        <f t="shared" si="305"/>
        <v>0</v>
      </c>
      <c r="QPY63" s="44">
        <f t="shared" si="305"/>
        <v>0</v>
      </c>
      <c r="QPZ63" s="44">
        <f t="shared" si="305"/>
        <v>0</v>
      </c>
      <c r="QQA63" s="44">
        <f t="shared" si="305"/>
        <v>0</v>
      </c>
      <c r="QQB63" s="44">
        <f t="shared" si="305"/>
        <v>0</v>
      </c>
      <c r="QQC63" s="44">
        <f t="shared" si="305"/>
        <v>0</v>
      </c>
      <c r="QQD63" s="44">
        <f t="shared" si="305"/>
        <v>0</v>
      </c>
      <c r="QQE63" s="44">
        <f t="shared" si="305"/>
        <v>0</v>
      </c>
      <c r="QQF63" s="44">
        <f t="shared" si="305"/>
        <v>0</v>
      </c>
      <c r="QQG63" s="44">
        <f t="shared" si="305"/>
        <v>0</v>
      </c>
      <c r="QQH63" s="44">
        <f t="shared" si="305"/>
        <v>0</v>
      </c>
      <c r="QQI63" s="44">
        <f t="shared" si="305"/>
        <v>0</v>
      </c>
      <c r="QQJ63" s="44">
        <f t="shared" si="305"/>
        <v>0</v>
      </c>
      <c r="QQK63" s="44">
        <f t="shared" si="305"/>
        <v>0</v>
      </c>
      <c r="QQL63" s="44">
        <f t="shared" si="305"/>
        <v>0</v>
      </c>
      <c r="QQM63" s="44">
        <f t="shared" si="305"/>
        <v>0</v>
      </c>
      <c r="QQN63" s="44">
        <f t="shared" si="305"/>
        <v>0</v>
      </c>
      <c r="QQO63" s="44">
        <f t="shared" si="305"/>
        <v>0</v>
      </c>
      <c r="QQP63" s="44">
        <f t="shared" si="305"/>
        <v>0</v>
      </c>
      <c r="QQQ63" s="44">
        <f t="shared" si="305"/>
        <v>0</v>
      </c>
      <c r="QQR63" s="44">
        <f t="shared" si="305"/>
        <v>0</v>
      </c>
      <c r="QQS63" s="44">
        <f t="shared" si="305"/>
        <v>0</v>
      </c>
      <c r="QQT63" s="44">
        <f t="shared" si="305"/>
        <v>0</v>
      </c>
      <c r="QQU63" s="44">
        <f t="shared" si="305"/>
        <v>0</v>
      </c>
      <c r="QQV63" s="44">
        <f t="shared" si="305"/>
        <v>0</v>
      </c>
      <c r="QQW63" s="44">
        <f t="shared" si="305"/>
        <v>0</v>
      </c>
      <c r="QQX63" s="44">
        <f t="shared" si="305"/>
        <v>0</v>
      </c>
      <c r="QQY63" s="44">
        <f t="shared" si="305"/>
        <v>0</v>
      </c>
      <c r="QQZ63" s="44">
        <f t="shared" si="305"/>
        <v>0</v>
      </c>
      <c r="QRA63" s="44">
        <f t="shared" si="305"/>
        <v>0</v>
      </c>
      <c r="QRB63" s="44">
        <f t="shared" si="305"/>
        <v>0</v>
      </c>
      <c r="QRC63" s="44">
        <f t="shared" si="305"/>
        <v>0</v>
      </c>
      <c r="QRD63" s="44">
        <f t="shared" si="305"/>
        <v>0</v>
      </c>
      <c r="QRE63" s="44">
        <f t="shared" si="305"/>
        <v>0</v>
      </c>
      <c r="QRF63" s="44">
        <f t="shared" si="305"/>
        <v>0</v>
      </c>
      <c r="QRG63" s="44">
        <f t="shared" si="305"/>
        <v>0</v>
      </c>
      <c r="QRH63" s="44">
        <f t="shared" si="305"/>
        <v>0</v>
      </c>
      <c r="QRI63" s="44">
        <f t="shared" si="305"/>
        <v>0</v>
      </c>
      <c r="QRJ63" s="44">
        <f t="shared" si="305"/>
        <v>0</v>
      </c>
      <c r="QRK63" s="44">
        <f t="shared" si="305"/>
        <v>0</v>
      </c>
      <c r="QRL63" s="44">
        <f t="shared" si="305"/>
        <v>0</v>
      </c>
      <c r="QRM63" s="44">
        <f t="shared" si="305"/>
        <v>0</v>
      </c>
      <c r="QRN63" s="44">
        <f t="shared" si="305"/>
        <v>0</v>
      </c>
      <c r="QRO63" s="44">
        <f t="shared" si="305"/>
        <v>0</v>
      </c>
      <c r="QRP63" s="44">
        <f t="shared" si="305"/>
        <v>0</v>
      </c>
      <c r="QRQ63" s="44">
        <f t="shared" si="305"/>
        <v>0</v>
      </c>
      <c r="QRR63" s="44">
        <f t="shared" si="305"/>
        <v>0</v>
      </c>
      <c r="QRS63" s="44">
        <f t="shared" si="305"/>
        <v>0</v>
      </c>
      <c r="QRT63" s="44">
        <f t="shared" si="305"/>
        <v>0</v>
      </c>
      <c r="QRU63" s="44">
        <f t="shared" si="305"/>
        <v>0</v>
      </c>
      <c r="QRV63" s="44">
        <f t="shared" si="305"/>
        <v>0</v>
      </c>
      <c r="QRW63" s="44">
        <f t="shared" si="305"/>
        <v>0</v>
      </c>
      <c r="QRX63" s="44">
        <f t="shared" si="305"/>
        <v>0</v>
      </c>
      <c r="QRY63" s="44">
        <f t="shared" si="305"/>
        <v>0</v>
      </c>
      <c r="QRZ63" s="44">
        <f t="shared" si="305"/>
        <v>0</v>
      </c>
      <c r="QSA63" s="44">
        <f t="shared" si="305"/>
        <v>0</v>
      </c>
      <c r="QSB63" s="44">
        <f t="shared" si="305"/>
        <v>0</v>
      </c>
      <c r="QSC63" s="44">
        <f t="shared" si="305"/>
        <v>0</v>
      </c>
      <c r="QSD63" s="44">
        <f t="shared" ref="QSD63:QUO63" si="306">SUM(QSD56:QSD57)</f>
        <v>0</v>
      </c>
      <c r="QSE63" s="44">
        <f t="shared" si="306"/>
        <v>0</v>
      </c>
      <c r="QSF63" s="44">
        <f t="shared" si="306"/>
        <v>0</v>
      </c>
      <c r="QSG63" s="44">
        <f t="shared" si="306"/>
        <v>0</v>
      </c>
      <c r="QSH63" s="44">
        <f t="shared" si="306"/>
        <v>0</v>
      </c>
      <c r="QSI63" s="44">
        <f t="shared" si="306"/>
        <v>0</v>
      </c>
      <c r="QSJ63" s="44">
        <f t="shared" si="306"/>
        <v>0</v>
      </c>
      <c r="QSK63" s="44">
        <f t="shared" si="306"/>
        <v>0</v>
      </c>
      <c r="QSL63" s="44">
        <f t="shared" si="306"/>
        <v>0</v>
      </c>
      <c r="QSM63" s="44">
        <f t="shared" si="306"/>
        <v>0</v>
      </c>
      <c r="QSN63" s="44">
        <f t="shared" si="306"/>
        <v>0</v>
      </c>
      <c r="QSO63" s="44">
        <f t="shared" si="306"/>
        <v>0</v>
      </c>
      <c r="QSP63" s="44">
        <f t="shared" si="306"/>
        <v>0</v>
      </c>
      <c r="QSQ63" s="44">
        <f t="shared" si="306"/>
        <v>0</v>
      </c>
      <c r="QSR63" s="44">
        <f t="shared" si="306"/>
        <v>0</v>
      </c>
      <c r="QSS63" s="44">
        <f t="shared" si="306"/>
        <v>0</v>
      </c>
      <c r="QST63" s="44">
        <f t="shared" si="306"/>
        <v>0</v>
      </c>
      <c r="QSU63" s="44">
        <f t="shared" si="306"/>
        <v>0</v>
      </c>
      <c r="QSV63" s="44">
        <f t="shared" si="306"/>
        <v>0</v>
      </c>
      <c r="QSW63" s="44">
        <f t="shared" si="306"/>
        <v>0</v>
      </c>
      <c r="QSX63" s="44">
        <f t="shared" si="306"/>
        <v>0</v>
      </c>
      <c r="QSY63" s="44">
        <f t="shared" si="306"/>
        <v>0</v>
      </c>
      <c r="QSZ63" s="44">
        <f t="shared" si="306"/>
        <v>0</v>
      </c>
      <c r="QTA63" s="44">
        <f t="shared" si="306"/>
        <v>0</v>
      </c>
      <c r="QTB63" s="44">
        <f t="shared" si="306"/>
        <v>0</v>
      </c>
      <c r="QTC63" s="44">
        <f t="shared" si="306"/>
        <v>0</v>
      </c>
      <c r="QTD63" s="44">
        <f t="shared" si="306"/>
        <v>0</v>
      </c>
      <c r="QTE63" s="44">
        <f t="shared" si="306"/>
        <v>0</v>
      </c>
      <c r="QTF63" s="44">
        <f t="shared" si="306"/>
        <v>0</v>
      </c>
      <c r="QTG63" s="44">
        <f t="shared" si="306"/>
        <v>0</v>
      </c>
      <c r="QTH63" s="44">
        <f t="shared" si="306"/>
        <v>0</v>
      </c>
      <c r="QTI63" s="44">
        <f t="shared" si="306"/>
        <v>0</v>
      </c>
      <c r="QTJ63" s="44">
        <f t="shared" si="306"/>
        <v>0</v>
      </c>
      <c r="QTK63" s="44">
        <f t="shared" si="306"/>
        <v>0</v>
      </c>
      <c r="QTL63" s="44">
        <f t="shared" si="306"/>
        <v>0</v>
      </c>
      <c r="QTM63" s="44">
        <f t="shared" si="306"/>
        <v>0</v>
      </c>
      <c r="QTN63" s="44">
        <f t="shared" si="306"/>
        <v>0</v>
      </c>
      <c r="QTO63" s="44">
        <f t="shared" si="306"/>
        <v>0</v>
      </c>
      <c r="QTP63" s="44">
        <f t="shared" si="306"/>
        <v>0</v>
      </c>
      <c r="QTQ63" s="44">
        <f t="shared" si="306"/>
        <v>0</v>
      </c>
      <c r="QTR63" s="44">
        <f t="shared" si="306"/>
        <v>0</v>
      </c>
      <c r="QTS63" s="44">
        <f t="shared" si="306"/>
        <v>0</v>
      </c>
      <c r="QTT63" s="44">
        <f t="shared" si="306"/>
        <v>0</v>
      </c>
      <c r="QTU63" s="44">
        <f t="shared" si="306"/>
        <v>0</v>
      </c>
      <c r="QTV63" s="44">
        <f t="shared" si="306"/>
        <v>0</v>
      </c>
      <c r="QTW63" s="44">
        <f t="shared" si="306"/>
        <v>0</v>
      </c>
      <c r="QTX63" s="44">
        <f t="shared" si="306"/>
        <v>0</v>
      </c>
      <c r="QTY63" s="44">
        <f t="shared" si="306"/>
        <v>0</v>
      </c>
      <c r="QTZ63" s="44">
        <f t="shared" si="306"/>
        <v>0</v>
      </c>
      <c r="QUA63" s="44">
        <f t="shared" si="306"/>
        <v>0</v>
      </c>
      <c r="QUB63" s="44">
        <f t="shared" si="306"/>
        <v>0</v>
      </c>
      <c r="QUC63" s="44">
        <f t="shared" si="306"/>
        <v>0</v>
      </c>
      <c r="QUD63" s="44">
        <f t="shared" si="306"/>
        <v>0</v>
      </c>
      <c r="QUE63" s="44">
        <f t="shared" si="306"/>
        <v>0</v>
      </c>
      <c r="QUF63" s="44">
        <f t="shared" si="306"/>
        <v>0</v>
      </c>
      <c r="QUG63" s="44">
        <f t="shared" si="306"/>
        <v>0</v>
      </c>
      <c r="QUH63" s="44">
        <f t="shared" si="306"/>
        <v>0</v>
      </c>
      <c r="QUI63" s="44">
        <f t="shared" si="306"/>
        <v>0</v>
      </c>
      <c r="QUJ63" s="44">
        <f t="shared" si="306"/>
        <v>0</v>
      </c>
      <c r="QUK63" s="44">
        <f t="shared" si="306"/>
        <v>0</v>
      </c>
      <c r="QUL63" s="44">
        <f t="shared" si="306"/>
        <v>0</v>
      </c>
      <c r="QUM63" s="44">
        <f t="shared" si="306"/>
        <v>0</v>
      </c>
      <c r="QUN63" s="44">
        <f t="shared" si="306"/>
        <v>0</v>
      </c>
      <c r="QUO63" s="44">
        <f t="shared" si="306"/>
        <v>0</v>
      </c>
      <c r="QUP63" s="44">
        <f t="shared" ref="QUP63:QXA63" si="307">SUM(QUP56:QUP57)</f>
        <v>0</v>
      </c>
      <c r="QUQ63" s="44">
        <f t="shared" si="307"/>
        <v>0</v>
      </c>
      <c r="QUR63" s="44">
        <f t="shared" si="307"/>
        <v>0</v>
      </c>
      <c r="QUS63" s="44">
        <f t="shared" si="307"/>
        <v>0</v>
      </c>
      <c r="QUT63" s="44">
        <f t="shared" si="307"/>
        <v>0</v>
      </c>
      <c r="QUU63" s="44">
        <f t="shared" si="307"/>
        <v>0</v>
      </c>
      <c r="QUV63" s="44">
        <f t="shared" si="307"/>
        <v>0</v>
      </c>
      <c r="QUW63" s="44">
        <f t="shared" si="307"/>
        <v>0</v>
      </c>
      <c r="QUX63" s="44">
        <f t="shared" si="307"/>
        <v>0</v>
      </c>
      <c r="QUY63" s="44">
        <f t="shared" si="307"/>
        <v>0</v>
      </c>
      <c r="QUZ63" s="44">
        <f t="shared" si="307"/>
        <v>0</v>
      </c>
      <c r="QVA63" s="44">
        <f t="shared" si="307"/>
        <v>0</v>
      </c>
      <c r="QVB63" s="44">
        <f t="shared" si="307"/>
        <v>0</v>
      </c>
      <c r="QVC63" s="44">
        <f t="shared" si="307"/>
        <v>0</v>
      </c>
      <c r="QVD63" s="44">
        <f t="shared" si="307"/>
        <v>0</v>
      </c>
      <c r="QVE63" s="44">
        <f t="shared" si="307"/>
        <v>0</v>
      </c>
      <c r="QVF63" s="44">
        <f t="shared" si="307"/>
        <v>0</v>
      </c>
      <c r="QVG63" s="44">
        <f t="shared" si="307"/>
        <v>0</v>
      </c>
      <c r="QVH63" s="44">
        <f t="shared" si="307"/>
        <v>0</v>
      </c>
      <c r="QVI63" s="44">
        <f t="shared" si="307"/>
        <v>0</v>
      </c>
      <c r="QVJ63" s="44">
        <f t="shared" si="307"/>
        <v>0</v>
      </c>
      <c r="QVK63" s="44">
        <f t="shared" si="307"/>
        <v>0</v>
      </c>
      <c r="QVL63" s="44">
        <f t="shared" si="307"/>
        <v>0</v>
      </c>
      <c r="QVM63" s="44">
        <f t="shared" si="307"/>
        <v>0</v>
      </c>
      <c r="QVN63" s="44">
        <f t="shared" si="307"/>
        <v>0</v>
      </c>
      <c r="QVO63" s="44">
        <f t="shared" si="307"/>
        <v>0</v>
      </c>
      <c r="QVP63" s="44">
        <f t="shared" si="307"/>
        <v>0</v>
      </c>
      <c r="QVQ63" s="44">
        <f t="shared" si="307"/>
        <v>0</v>
      </c>
      <c r="QVR63" s="44">
        <f t="shared" si="307"/>
        <v>0</v>
      </c>
      <c r="QVS63" s="44">
        <f t="shared" si="307"/>
        <v>0</v>
      </c>
      <c r="QVT63" s="44">
        <f t="shared" si="307"/>
        <v>0</v>
      </c>
      <c r="QVU63" s="44">
        <f t="shared" si="307"/>
        <v>0</v>
      </c>
      <c r="QVV63" s="44">
        <f t="shared" si="307"/>
        <v>0</v>
      </c>
      <c r="QVW63" s="44">
        <f t="shared" si="307"/>
        <v>0</v>
      </c>
      <c r="QVX63" s="44">
        <f t="shared" si="307"/>
        <v>0</v>
      </c>
      <c r="QVY63" s="44">
        <f t="shared" si="307"/>
        <v>0</v>
      </c>
      <c r="QVZ63" s="44">
        <f t="shared" si="307"/>
        <v>0</v>
      </c>
      <c r="QWA63" s="44">
        <f t="shared" si="307"/>
        <v>0</v>
      </c>
      <c r="QWB63" s="44">
        <f t="shared" si="307"/>
        <v>0</v>
      </c>
      <c r="QWC63" s="44">
        <f t="shared" si="307"/>
        <v>0</v>
      </c>
      <c r="QWD63" s="44">
        <f t="shared" si="307"/>
        <v>0</v>
      </c>
      <c r="QWE63" s="44">
        <f t="shared" si="307"/>
        <v>0</v>
      </c>
      <c r="QWF63" s="44">
        <f t="shared" si="307"/>
        <v>0</v>
      </c>
      <c r="QWG63" s="44">
        <f t="shared" si="307"/>
        <v>0</v>
      </c>
      <c r="QWH63" s="44">
        <f t="shared" si="307"/>
        <v>0</v>
      </c>
      <c r="QWI63" s="44">
        <f t="shared" si="307"/>
        <v>0</v>
      </c>
      <c r="QWJ63" s="44">
        <f t="shared" si="307"/>
        <v>0</v>
      </c>
      <c r="QWK63" s="44">
        <f t="shared" si="307"/>
        <v>0</v>
      </c>
      <c r="QWL63" s="44">
        <f t="shared" si="307"/>
        <v>0</v>
      </c>
      <c r="QWM63" s="44">
        <f t="shared" si="307"/>
        <v>0</v>
      </c>
      <c r="QWN63" s="44">
        <f t="shared" si="307"/>
        <v>0</v>
      </c>
      <c r="QWO63" s="44">
        <f t="shared" si="307"/>
        <v>0</v>
      </c>
      <c r="QWP63" s="44">
        <f t="shared" si="307"/>
        <v>0</v>
      </c>
      <c r="QWQ63" s="44">
        <f t="shared" si="307"/>
        <v>0</v>
      </c>
      <c r="QWR63" s="44">
        <f t="shared" si="307"/>
        <v>0</v>
      </c>
      <c r="QWS63" s="44">
        <f t="shared" si="307"/>
        <v>0</v>
      </c>
      <c r="QWT63" s="44">
        <f t="shared" si="307"/>
        <v>0</v>
      </c>
      <c r="QWU63" s="44">
        <f t="shared" si="307"/>
        <v>0</v>
      </c>
      <c r="QWV63" s="44">
        <f t="shared" si="307"/>
        <v>0</v>
      </c>
      <c r="QWW63" s="44">
        <f t="shared" si="307"/>
        <v>0</v>
      </c>
      <c r="QWX63" s="44">
        <f t="shared" si="307"/>
        <v>0</v>
      </c>
      <c r="QWY63" s="44">
        <f t="shared" si="307"/>
        <v>0</v>
      </c>
      <c r="QWZ63" s="44">
        <f t="shared" si="307"/>
        <v>0</v>
      </c>
      <c r="QXA63" s="44">
        <f t="shared" si="307"/>
        <v>0</v>
      </c>
      <c r="QXB63" s="44">
        <f t="shared" ref="QXB63:QZM63" si="308">SUM(QXB56:QXB57)</f>
        <v>0</v>
      </c>
      <c r="QXC63" s="44">
        <f t="shared" si="308"/>
        <v>0</v>
      </c>
      <c r="QXD63" s="44">
        <f t="shared" si="308"/>
        <v>0</v>
      </c>
      <c r="QXE63" s="44">
        <f t="shared" si="308"/>
        <v>0</v>
      </c>
      <c r="QXF63" s="44">
        <f t="shared" si="308"/>
        <v>0</v>
      </c>
      <c r="QXG63" s="44">
        <f t="shared" si="308"/>
        <v>0</v>
      </c>
      <c r="QXH63" s="44">
        <f t="shared" si="308"/>
        <v>0</v>
      </c>
      <c r="QXI63" s="44">
        <f t="shared" si="308"/>
        <v>0</v>
      </c>
      <c r="QXJ63" s="44">
        <f t="shared" si="308"/>
        <v>0</v>
      </c>
      <c r="QXK63" s="44">
        <f t="shared" si="308"/>
        <v>0</v>
      </c>
      <c r="QXL63" s="44">
        <f t="shared" si="308"/>
        <v>0</v>
      </c>
      <c r="QXM63" s="44">
        <f t="shared" si="308"/>
        <v>0</v>
      </c>
      <c r="QXN63" s="44">
        <f t="shared" si="308"/>
        <v>0</v>
      </c>
      <c r="QXO63" s="44">
        <f t="shared" si="308"/>
        <v>0</v>
      </c>
      <c r="QXP63" s="44">
        <f t="shared" si="308"/>
        <v>0</v>
      </c>
      <c r="QXQ63" s="44">
        <f t="shared" si="308"/>
        <v>0</v>
      </c>
      <c r="QXR63" s="44">
        <f t="shared" si="308"/>
        <v>0</v>
      </c>
      <c r="QXS63" s="44">
        <f t="shared" si="308"/>
        <v>0</v>
      </c>
      <c r="QXT63" s="44">
        <f t="shared" si="308"/>
        <v>0</v>
      </c>
      <c r="QXU63" s="44">
        <f t="shared" si="308"/>
        <v>0</v>
      </c>
      <c r="QXV63" s="44">
        <f t="shared" si="308"/>
        <v>0</v>
      </c>
      <c r="QXW63" s="44">
        <f t="shared" si="308"/>
        <v>0</v>
      </c>
      <c r="QXX63" s="44">
        <f t="shared" si="308"/>
        <v>0</v>
      </c>
      <c r="QXY63" s="44">
        <f t="shared" si="308"/>
        <v>0</v>
      </c>
      <c r="QXZ63" s="44">
        <f t="shared" si="308"/>
        <v>0</v>
      </c>
      <c r="QYA63" s="44">
        <f t="shared" si="308"/>
        <v>0</v>
      </c>
      <c r="QYB63" s="44">
        <f t="shared" si="308"/>
        <v>0</v>
      </c>
      <c r="QYC63" s="44">
        <f t="shared" si="308"/>
        <v>0</v>
      </c>
      <c r="QYD63" s="44">
        <f t="shared" si="308"/>
        <v>0</v>
      </c>
      <c r="QYE63" s="44">
        <f t="shared" si="308"/>
        <v>0</v>
      </c>
      <c r="QYF63" s="44">
        <f t="shared" si="308"/>
        <v>0</v>
      </c>
      <c r="QYG63" s="44">
        <f t="shared" si="308"/>
        <v>0</v>
      </c>
      <c r="QYH63" s="44">
        <f t="shared" si="308"/>
        <v>0</v>
      </c>
      <c r="QYI63" s="44">
        <f t="shared" si="308"/>
        <v>0</v>
      </c>
      <c r="QYJ63" s="44">
        <f t="shared" si="308"/>
        <v>0</v>
      </c>
      <c r="QYK63" s="44">
        <f t="shared" si="308"/>
        <v>0</v>
      </c>
      <c r="QYL63" s="44">
        <f t="shared" si="308"/>
        <v>0</v>
      </c>
      <c r="QYM63" s="44">
        <f t="shared" si="308"/>
        <v>0</v>
      </c>
      <c r="QYN63" s="44">
        <f t="shared" si="308"/>
        <v>0</v>
      </c>
      <c r="QYO63" s="44">
        <f t="shared" si="308"/>
        <v>0</v>
      </c>
      <c r="QYP63" s="44">
        <f t="shared" si="308"/>
        <v>0</v>
      </c>
      <c r="QYQ63" s="44">
        <f t="shared" si="308"/>
        <v>0</v>
      </c>
      <c r="QYR63" s="44">
        <f t="shared" si="308"/>
        <v>0</v>
      </c>
      <c r="QYS63" s="44">
        <f t="shared" si="308"/>
        <v>0</v>
      </c>
      <c r="QYT63" s="44">
        <f t="shared" si="308"/>
        <v>0</v>
      </c>
      <c r="QYU63" s="44">
        <f t="shared" si="308"/>
        <v>0</v>
      </c>
      <c r="QYV63" s="44">
        <f t="shared" si="308"/>
        <v>0</v>
      </c>
      <c r="QYW63" s="44">
        <f t="shared" si="308"/>
        <v>0</v>
      </c>
      <c r="QYX63" s="44">
        <f t="shared" si="308"/>
        <v>0</v>
      </c>
      <c r="QYY63" s="44">
        <f t="shared" si="308"/>
        <v>0</v>
      </c>
      <c r="QYZ63" s="44">
        <f t="shared" si="308"/>
        <v>0</v>
      </c>
      <c r="QZA63" s="44">
        <f t="shared" si="308"/>
        <v>0</v>
      </c>
      <c r="QZB63" s="44">
        <f t="shared" si="308"/>
        <v>0</v>
      </c>
      <c r="QZC63" s="44">
        <f t="shared" si="308"/>
        <v>0</v>
      </c>
      <c r="QZD63" s="44">
        <f t="shared" si="308"/>
        <v>0</v>
      </c>
      <c r="QZE63" s="44">
        <f t="shared" si="308"/>
        <v>0</v>
      </c>
      <c r="QZF63" s="44">
        <f t="shared" si="308"/>
        <v>0</v>
      </c>
      <c r="QZG63" s="44">
        <f t="shared" si="308"/>
        <v>0</v>
      </c>
      <c r="QZH63" s="44">
        <f t="shared" si="308"/>
        <v>0</v>
      </c>
      <c r="QZI63" s="44">
        <f t="shared" si="308"/>
        <v>0</v>
      </c>
      <c r="QZJ63" s="44">
        <f t="shared" si="308"/>
        <v>0</v>
      </c>
      <c r="QZK63" s="44">
        <f t="shared" si="308"/>
        <v>0</v>
      </c>
      <c r="QZL63" s="44">
        <f t="shared" si="308"/>
        <v>0</v>
      </c>
      <c r="QZM63" s="44">
        <f t="shared" si="308"/>
        <v>0</v>
      </c>
      <c r="QZN63" s="44">
        <f t="shared" ref="QZN63:RBY63" si="309">SUM(QZN56:QZN57)</f>
        <v>0</v>
      </c>
      <c r="QZO63" s="44">
        <f t="shared" si="309"/>
        <v>0</v>
      </c>
      <c r="QZP63" s="44">
        <f t="shared" si="309"/>
        <v>0</v>
      </c>
      <c r="QZQ63" s="44">
        <f t="shared" si="309"/>
        <v>0</v>
      </c>
      <c r="QZR63" s="44">
        <f t="shared" si="309"/>
        <v>0</v>
      </c>
      <c r="QZS63" s="44">
        <f t="shared" si="309"/>
        <v>0</v>
      </c>
      <c r="QZT63" s="44">
        <f t="shared" si="309"/>
        <v>0</v>
      </c>
      <c r="QZU63" s="44">
        <f t="shared" si="309"/>
        <v>0</v>
      </c>
      <c r="QZV63" s="44">
        <f t="shared" si="309"/>
        <v>0</v>
      </c>
      <c r="QZW63" s="44">
        <f t="shared" si="309"/>
        <v>0</v>
      </c>
      <c r="QZX63" s="44">
        <f t="shared" si="309"/>
        <v>0</v>
      </c>
      <c r="QZY63" s="44">
        <f t="shared" si="309"/>
        <v>0</v>
      </c>
      <c r="QZZ63" s="44">
        <f t="shared" si="309"/>
        <v>0</v>
      </c>
      <c r="RAA63" s="44">
        <f t="shared" si="309"/>
        <v>0</v>
      </c>
      <c r="RAB63" s="44">
        <f t="shared" si="309"/>
        <v>0</v>
      </c>
      <c r="RAC63" s="44">
        <f t="shared" si="309"/>
        <v>0</v>
      </c>
      <c r="RAD63" s="44">
        <f t="shared" si="309"/>
        <v>0</v>
      </c>
      <c r="RAE63" s="44">
        <f t="shared" si="309"/>
        <v>0</v>
      </c>
      <c r="RAF63" s="44">
        <f t="shared" si="309"/>
        <v>0</v>
      </c>
      <c r="RAG63" s="44">
        <f t="shared" si="309"/>
        <v>0</v>
      </c>
      <c r="RAH63" s="44">
        <f t="shared" si="309"/>
        <v>0</v>
      </c>
      <c r="RAI63" s="44">
        <f t="shared" si="309"/>
        <v>0</v>
      </c>
      <c r="RAJ63" s="44">
        <f t="shared" si="309"/>
        <v>0</v>
      </c>
      <c r="RAK63" s="44">
        <f t="shared" si="309"/>
        <v>0</v>
      </c>
      <c r="RAL63" s="44">
        <f t="shared" si="309"/>
        <v>0</v>
      </c>
      <c r="RAM63" s="44">
        <f t="shared" si="309"/>
        <v>0</v>
      </c>
      <c r="RAN63" s="44">
        <f t="shared" si="309"/>
        <v>0</v>
      </c>
      <c r="RAO63" s="44">
        <f t="shared" si="309"/>
        <v>0</v>
      </c>
      <c r="RAP63" s="44">
        <f t="shared" si="309"/>
        <v>0</v>
      </c>
      <c r="RAQ63" s="44">
        <f t="shared" si="309"/>
        <v>0</v>
      </c>
      <c r="RAR63" s="44">
        <f t="shared" si="309"/>
        <v>0</v>
      </c>
      <c r="RAS63" s="44">
        <f t="shared" si="309"/>
        <v>0</v>
      </c>
      <c r="RAT63" s="44">
        <f t="shared" si="309"/>
        <v>0</v>
      </c>
      <c r="RAU63" s="44">
        <f t="shared" si="309"/>
        <v>0</v>
      </c>
      <c r="RAV63" s="44">
        <f t="shared" si="309"/>
        <v>0</v>
      </c>
      <c r="RAW63" s="44">
        <f t="shared" si="309"/>
        <v>0</v>
      </c>
      <c r="RAX63" s="44">
        <f t="shared" si="309"/>
        <v>0</v>
      </c>
      <c r="RAY63" s="44">
        <f t="shared" si="309"/>
        <v>0</v>
      </c>
      <c r="RAZ63" s="44">
        <f t="shared" si="309"/>
        <v>0</v>
      </c>
      <c r="RBA63" s="44">
        <f t="shared" si="309"/>
        <v>0</v>
      </c>
      <c r="RBB63" s="44">
        <f t="shared" si="309"/>
        <v>0</v>
      </c>
      <c r="RBC63" s="44">
        <f t="shared" si="309"/>
        <v>0</v>
      </c>
      <c r="RBD63" s="44">
        <f t="shared" si="309"/>
        <v>0</v>
      </c>
      <c r="RBE63" s="44">
        <f t="shared" si="309"/>
        <v>0</v>
      </c>
      <c r="RBF63" s="44">
        <f t="shared" si="309"/>
        <v>0</v>
      </c>
      <c r="RBG63" s="44">
        <f t="shared" si="309"/>
        <v>0</v>
      </c>
      <c r="RBH63" s="44">
        <f t="shared" si="309"/>
        <v>0</v>
      </c>
      <c r="RBI63" s="44">
        <f t="shared" si="309"/>
        <v>0</v>
      </c>
      <c r="RBJ63" s="44">
        <f t="shared" si="309"/>
        <v>0</v>
      </c>
      <c r="RBK63" s="44">
        <f t="shared" si="309"/>
        <v>0</v>
      </c>
      <c r="RBL63" s="44">
        <f t="shared" si="309"/>
        <v>0</v>
      </c>
      <c r="RBM63" s="44">
        <f t="shared" si="309"/>
        <v>0</v>
      </c>
      <c r="RBN63" s="44">
        <f t="shared" si="309"/>
        <v>0</v>
      </c>
      <c r="RBO63" s="44">
        <f t="shared" si="309"/>
        <v>0</v>
      </c>
      <c r="RBP63" s="44">
        <f t="shared" si="309"/>
        <v>0</v>
      </c>
      <c r="RBQ63" s="44">
        <f t="shared" si="309"/>
        <v>0</v>
      </c>
      <c r="RBR63" s="44">
        <f t="shared" si="309"/>
        <v>0</v>
      </c>
      <c r="RBS63" s="44">
        <f t="shared" si="309"/>
        <v>0</v>
      </c>
      <c r="RBT63" s="44">
        <f t="shared" si="309"/>
        <v>0</v>
      </c>
      <c r="RBU63" s="44">
        <f t="shared" si="309"/>
        <v>0</v>
      </c>
      <c r="RBV63" s="44">
        <f t="shared" si="309"/>
        <v>0</v>
      </c>
      <c r="RBW63" s="44">
        <f t="shared" si="309"/>
        <v>0</v>
      </c>
      <c r="RBX63" s="44">
        <f t="shared" si="309"/>
        <v>0</v>
      </c>
      <c r="RBY63" s="44">
        <f t="shared" si="309"/>
        <v>0</v>
      </c>
      <c r="RBZ63" s="44">
        <f t="shared" ref="RBZ63:REK63" si="310">SUM(RBZ56:RBZ57)</f>
        <v>0</v>
      </c>
      <c r="RCA63" s="44">
        <f t="shared" si="310"/>
        <v>0</v>
      </c>
      <c r="RCB63" s="44">
        <f t="shared" si="310"/>
        <v>0</v>
      </c>
      <c r="RCC63" s="44">
        <f t="shared" si="310"/>
        <v>0</v>
      </c>
      <c r="RCD63" s="44">
        <f t="shared" si="310"/>
        <v>0</v>
      </c>
      <c r="RCE63" s="44">
        <f t="shared" si="310"/>
        <v>0</v>
      </c>
      <c r="RCF63" s="44">
        <f t="shared" si="310"/>
        <v>0</v>
      </c>
      <c r="RCG63" s="44">
        <f t="shared" si="310"/>
        <v>0</v>
      </c>
      <c r="RCH63" s="44">
        <f t="shared" si="310"/>
        <v>0</v>
      </c>
      <c r="RCI63" s="44">
        <f t="shared" si="310"/>
        <v>0</v>
      </c>
      <c r="RCJ63" s="44">
        <f t="shared" si="310"/>
        <v>0</v>
      </c>
      <c r="RCK63" s="44">
        <f t="shared" si="310"/>
        <v>0</v>
      </c>
      <c r="RCL63" s="44">
        <f t="shared" si="310"/>
        <v>0</v>
      </c>
      <c r="RCM63" s="44">
        <f t="shared" si="310"/>
        <v>0</v>
      </c>
      <c r="RCN63" s="44">
        <f t="shared" si="310"/>
        <v>0</v>
      </c>
      <c r="RCO63" s="44">
        <f t="shared" si="310"/>
        <v>0</v>
      </c>
      <c r="RCP63" s="44">
        <f t="shared" si="310"/>
        <v>0</v>
      </c>
      <c r="RCQ63" s="44">
        <f t="shared" si="310"/>
        <v>0</v>
      </c>
      <c r="RCR63" s="44">
        <f t="shared" si="310"/>
        <v>0</v>
      </c>
      <c r="RCS63" s="44">
        <f t="shared" si="310"/>
        <v>0</v>
      </c>
      <c r="RCT63" s="44">
        <f t="shared" si="310"/>
        <v>0</v>
      </c>
      <c r="RCU63" s="44">
        <f t="shared" si="310"/>
        <v>0</v>
      </c>
      <c r="RCV63" s="44">
        <f t="shared" si="310"/>
        <v>0</v>
      </c>
      <c r="RCW63" s="44">
        <f t="shared" si="310"/>
        <v>0</v>
      </c>
      <c r="RCX63" s="44">
        <f t="shared" si="310"/>
        <v>0</v>
      </c>
      <c r="RCY63" s="44">
        <f t="shared" si="310"/>
        <v>0</v>
      </c>
      <c r="RCZ63" s="44">
        <f t="shared" si="310"/>
        <v>0</v>
      </c>
      <c r="RDA63" s="44">
        <f t="shared" si="310"/>
        <v>0</v>
      </c>
      <c r="RDB63" s="44">
        <f t="shared" si="310"/>
        <v>0</v>
      </c>
      <c r="RDC63" s="44">
        <f t="shared" si="310"/>
        <v>0</v>
      </c>
      <c r="RDD63" s="44">
        <f t="shared" si="310"/>
        <v>0</v>
      </c>
      <c r="RDE63" s="44">
        <f t="shared" si="310"/>
        <v>0</v>
      </c>
      <c r="RDF63" s="44">
        <f t="shared" si="310"/>
        <v>0</v>
      </c>
      <c r="RDG63" s="44">
        <f t="shared" si="310"/>
        <v>0</v>
      </c>
      <c r="RDH63" s="44">
        <f t="shared" si="310"/>
        <v>0</v>
      </c>
      <c r="RDI63" s="44">
        <f t="shared" si="310"/>
        <v>0</v>
      </c>
      <c r="RDJ63" s="44">
        <f t="shared" si="310"/>
        <v>0</v>
      </c>
      <c r="RDK63" s="44">
        <f t="shared" si="310"/>
        <v>0</v>
      </c>
      <c r="RDL63" s="44">
        <f t="shared" si="310"/>
        <v>0</v>
      </c>
      <c r="RDM63" s="44">
        <f t="shared" si="310"/>
        <v>0</v>
      </c>
      <c r="RDN63" s="44">
        <f t="shared" si="310"/>
        <v>0</v>
      </c>
      <c r="RDO63" s="44">
        <f t="shared" si="310"/>
        <v>0</v>
      </c>
      <c r="RDP63" s="44">
        <f t="shared" si="310"/>
        <v>0</v>
      </c>
      <c r="RDQ63" s="44">
        <f t="shared" si="310"/>
        <v>0</v>
      </c>
      <c r="RDR63" s="44">
        <f t="shared" si="310"/>
        <v>0</v>
      </c>
      <c r="RDS63" s="44">
        <f t="shared" si="310"/>
        <v>0</v>
      </c>
      <c r="RDT63" s="44">
        <f t="shared" si="310"/>
        <v>0</v>
      </c>
      <c r="RDU63" s="44">
        <f t="shared" si="310"/>
        <v>0</v>
      </c>
      <c r="RDV63" s="44">
        <f t="shared" si="310"/>
        <v>0</v>
      </c>
      <c r="RDW63" s="44">
        <f t="shared" si="310"/>
        <v>0</v>
      </c>
      <c r="RDX63" s="44">
        <f t="shared" si="310"/>
        <v>0</v>
      </c>
      <c r="RDY63" s="44">
        <f t="shared" si="310"/>
        <v>0</v>
      </c>
      <c r="RDZ63" s="44">
        <f t="shared" si="310"/>
        <v>0</v>
      </c>
      <c r="REA63" s="44">
        <f t="shared" si="310"/>
        <v>0</v>
      </c>
      <c r="REB63" s="44">
        <f t="shared" si="310"/>
        <v>0</v>
      </c>
      <c r="REC63" s="44">
        <f t="shared" si="310"/>
        <v>0</v>
      </c>
      <c r="RED63" s="44">
        <f t="shared" si="310"/>
        <v>0</v>
      </c>
      <c r="REE63" s="44">
        <f t="shared" si="310"/>
        <v>0</v>
      </c>
      <c r="REF63" s="44">
        <f t="shared" si="310"/>
        <v>0</v>
      </c>
      <c r="REG63" s="44">
        <f t="shared" si="310"/>
        <v>0</v>
      </c>
      <c r="REH63" s="44">
        <f t="shared" si="310"/>
        <v>0</v>
      </c>
      <c r="REI63" s="44">
        <f t="shared" si="310"/>
        <v>0</v>
      </c>
      <c r="REJ63" s="44">
        <f t="shared" si="310"/>
        <v>0</v>
      </c>
      <c r="REK63" s="44">
        <f t="shared" si="310"/>
        <v>0</v>
      </c>
      <c r="REL63" s="44">
        <f t="shared" ref="REL63:RGW63" si="311">SUM(REL56:REL57)</f>
        <v>0</v>
      </c>
      <c r="REM63" s="44">
        <f t="shared" si="311"/>
        <v>0</v>
      </c>
      <c r="REN63" s="44">
        <f t="shared" si="311"/>
        <v>0</v>
      </c>
      <c r="REO63" s="44">
        <f t="shared" si="311"/>
        <v>0</v>
      </c>
      <c r="REP63" s="44">
        <f t="shared" si="311"/>
        <v>0</v>
      </c>
      <c r="REQ63" s="44">
        <f t="shared" si="311"/>
        <v>0</v>
      </c>
      <c r="RER63" s="44">
        <f t="shared" si="311"/>
        <v>0</v>
      </c>
      <c r="RES63" s="44">
        <f t="shared" si="311"/>
        <v>0</v>
      </c>
      <c r="RET63" s="44">
        <f t="shared" si="311"/>
        <v>0</v>
      </c>
      <c r="REU63" s="44">
        <f t="shared" si="311"/>
        <v>0</v>
      </c>
      <c r="REV63" s="44">
        <f t="shared" si="311"/>
        <v>0</v>
      </c>
      <c r="REW63" s="44">
        <f t="shared" si="311"/>
        <v>0</v>
      </c>
      <c r="REX63" s="44">
        <f t="shared" si="311"/>
        <v>0</v>
      </c>
      <c r="REY63" s="44">
        <f t="shared" si="311"/>
        <v>0</v>
      </c>
      <c r="REZ63" s="44">
        <f t="shared" si="311"/>
        <v>0</v>
      </c>
      <c r="RFA63" s="44">
        <f t="shared" si="311"/>
        <v>0</v>
      </c>
      <c r="RFB63" s="44">
        <f t="shared" si="311"/>
        <v>0</v>
      </c>
      <c r="RFC63" s="44">
        <f t="shared" si="311"/>
        <v>0</v>
      </c>
      <c r="RFD63" s="44">
        <f t="shared" si="311"/>
        <v>0</v>
      </c>
      <c r="RFE63" s="44">
        <f t="shared" si="311"/>
        <v>0</v>
      </c>
      <c r="RFF63" s="44">
        <f t="shared" si="311"/>
        <v>0</v>
      </c>
      <c r="RFG63" s="44">
        <f t="shared" si="311"/>
        <v>0</v>
      </c>
      <c r="RFH63" s="44">
        <f t="shared" si="311"/>
        <v>0</v>
      </c>
      <c r="RFI63" s="44">
        <f t="shared" si="311"/>
        <v>0</v>
      </c>
      <c r="RFJ63" s="44">
        <f t="shared" si="311"/>
        <v>0</v>
      </c>
      <c r="RFK63" s="44">
        <f t="shared" si="311"/>
        <v>0</v>
      </c>
      <c r="RFL63" s="44">
        <f t="shared" si="311"/>
        <v>0</v>
      </c>
      <c r="RFM63" s="44">
        <f t="shared" si="311"/>
        <v>0</v>
      </c>
      <c r="RFN63" s="44">
        <f t="shared" si="311"/>
        <v>0</v>
      </c>
      <c r="RFO63" s="44">
        <f t="shared" si="311"/>
        <v>0</v>
      </c>
      <c r="RFP63" s="44">
        <f t="shared" si="311"/>
        <v>0</v>
      </c>
      <c r="RFQ63" s="44">
        <f t="shared" si="311"/>
        <v>0</v>
      </c>
      <c r="RFR63" s="44">
        <f t="shared" si="311"/>
        <v>0</v>
      </c>
      <c r="RFS63" s="44">
        <f t="shared" si="311"/>
        <v>0</v>
      </c>
      <c r="RFT63" s="44">
        <f t="shared" si="311"/>
        <v>0</v>
      </c>
      <c r="RFU63" s="44">
        <f t="shared" si="311"/>
        <v>0</v>
      </c>
      <c r="RFV63" s="44">
        <f t="shared" si="311"/>
        <v>0</v>
      </c>
      <c r="RFW63" s="44">
        <f t="shared" si="311"/>
        <v>0</v>
      </c>
      <c r="RFX63" s="44">
        <f t="shared" si="311"/>
        <v>0</v>
      </c>
      <c r="RFY63" s="44">
        <f t="shared" si="311"/>
        <v>0</v>
      </c>
      <c r="RFZ63" s="44">
        <f t="shared" si="311"/>
        <v>0</v>
      </c>
      <c r="RGA63" s="44">
        <f t="shared" si="311"/>
        <v>0</v>
      </c>
      <c r="RGB63" s="44">
        <f t="shared" si="311"/>
        <v>0</v>
      </c>
      <c r="RGC63" s="44">
        <f t="shared" si="311"/>
        <v>0</v>
      </c>
      <c r="RGD63" s="44">
        <f t="shared" si="311"/>
        <v>0</v>
      </c>
      <c r="RGE63" s="44">
        <f t="shared" si="311"/>
        <v>0</v>
      </c>
      <c r="RGF63" s="44">
        <f t="shared" si="311"/>
        <v>0</v>
      </c>
      <c r="RGG63" s="44">
        <f t="shared" si="311"/>
        <v>0</v>
      </c>
      <c r="RGH63" s="44">
        <f t="shared" si="311"/>
        <v>0</v>
      </c>
      <c r="RGI63" s="44">
        <f t="shared" si="311"/>
        <v>0</v>
      </c>
      <c r="RGJ63" s="44">
        <f t="shared" si="311"/>
        <v>0</v>
      </c>
      <c r="RGK63" s="44">
        <f t="shared" si="311"/>
        <v>0</v>
      </c>
      <c r="RGL63" s="44">
        <f t="shared" si="311"/>
        <v>0</v>
      </c>
      <c r="RGM63" s="44">
        <f t="shared" si="311"/>
        <v>0</v>
      </c>
      <c r="RGN63" s="44">
        <f t="shared" si="311"/>
        <v>0</v>
      </c>
      <c r="RGO63" s="44">
        <f t="shared" si="311"/>
        <v>0</v>
      </c>
      <c r="RGP63" s="44">
        <f t="shared" si="311"/>
        <v>0</v>
      </c>
      <c r="RGQ63" s="44">
        <f t="shared" si="311"/>
        <v>0</v>
      </c>
      <c r="RGR63" s="44">
        <f t="shared" si="311"/>
        <v>0</v>
      </c>
      <c r="RGS63" s="44">
        <f t="shared" si="311"/>
        <v>0</v>
      </c>
      <c r="RGT63" s="44">
        <f t="shared" si="311"/>
        <v>0</v>
      </c>
      <c r="RGU63" s="44">
        <f t="shared" si="311"/>
        <v>0</v>
      </c>
      <c r="RGV63" s="44">
        <f t="shared" si="311"/>
        <v>0</v>
      </c>
      <c r="RGW63" s="44">
        <f t="shared" si="311"/>
        <v>0</v>
      </c>
      <c r="RGX63" s="44">
        <f t="shared" ref="RGX63:RJI63" si="312">SUM(RGX56:RGX57)</f>
        <v>0</v>
      </c>
      <c r="RGY63" s="44">
        <f t="shared" si="312"/>
        <v>0</v>
      </c>
      <c r="RGZ63" s="44">
        <f t="shared" si="312"/>
        <v>0</v>
      </c>
      <c r="RHA63" s="44">
        <f t="shared" si="312"/>
        <v>0</v>
      </c>
      <c r="RHB63" s="44">
        <f t="shared" si="312"/>
        <v>0</v>
      </c>
      <c r="RHC63" s="44">
        <f t="shared" si="312"/>
        <v>0</v>
      </c>
      <c r="RHD63" s="44">
        <f t="shared" si="312"/>
        <v>0</v>
      </c>
      <c r="RHE63" s="44">
        <f t="shared" si="312"/>
        <v>0</v>
      </c>
      <c r="RHF63" s="44">
        <f t="shared" si="312"/>
        <v>0</v>
      </c>
      <c r="RHG63" s="44">
        <f t="shared" si="312"/>
        <v>0</v>
      </c>
      <c r="RHH63" s="44">
        <f t="shared" si="312"/>
        <v>0</v>
      </c>
      <c r="RHI63" s="44">
        <f t="shared" si="312"/>
        <v>0</v>
      </c>
      <c r="RHJ63" s="44">
        <f t="shared" si="312"/>
        <v>0</v>
      </c>
      <c r="RHK63" s="44">
        <f t="shared" si="312"/>
        <v>0</v>
      </c>
      <c r="RHL63" s="44">
        <f t="shared" si="312"/>
        <v>0</v>
      </c>
      <c r="RHM63" s="44">
        <f t="shared" si="312"/>
        <v>0</v>
      </c>
      <c r="RHN63" s="44">
        <f t="shared" si="312"/>
        <v>0</v>
      </c>
      <c r="RHO63" s="44">
        <f t="shared" si="312"/>
        <v>0</v>
      </c>
      <c r="RHP63" s="44">
        <f t="shared" si="312"/>
        <v>0</v>
      </c>
      <c r="RHQ63" s="44">
        <f t="shared" si="312"/>
        <v>0</v>
      </c>
      <c r="RHR63" s="44">
        <f t="shared" si="312"/>
        <v>0</v>
      </c>
      <c r="RHS63" s="44">
        <f t="shared" si="312"/>
        <v>0</v>
      </c>
      <c r="RHT63" s="44">
        <f t="shared" si="312"/>
        <v>0</v>
      </c>
      <c r="RHU63" s="44">
        <f t="shared" si="312"/>
        <v>0</v>
      </c>
      <c r="RHV63" s="44">
        <f t="shared" si="312"/>
        <v>0</v>
      </c>
      <c r="RHW63" s="44">
        <f t="shared" si="312"/>
        <v>0</v>
      </c>
      <c r="RHX63" s="44">
        <f t="shared" si="312"/>
        <v>0</v>
      </c>
      <c r="RHY63" s="44">
        <f t="shared" si="312"/>
        <v>0</v>
      </c>
      <c r="RHZ63" s="44">
        <f t="shared" si="312"/>
        <v>0</v>
      </c>
      <c r="RIA63" s="44">
        <f t="shared" si="312"/>
        <v>0</v>
      </c>
      <c r="RIB63" s="44">
        <f t="shared" si="312"/>
        <v>0</v>
      </c>
      <c r="RIC63" s="44">
        <f t="shared" si="312"/>
        <v>0</v>
      </c>
      <c r="RID63" s="44">
        <f t="shared" si="312"/>
        <v>0</v>
      </c>
      <c r="RIE63" s="44">
        <f t="shared" si="312"/>
        <v>0</v>
      </c>
      <c r="RIF63" s="44">
        <f t="shared" si="312"/>
        <v>0</v>
      </c>
      <c r="RIG63" s="44">
        <f t="shared" si="312"/>
        <v>0</v>
      </c>
      <c r="RIH63" s="44">
        <f t="shared" si="312"/>
        <v>0</v>
      </c>
      <c r="RII63" s="44">
        <f t="shared" si="312"/>
        <v>0</v>
      </c>
      <c r="RIJ63" s="44">
        <f t="shared" si="312"/>
        <v>0</v>
      </c>
      <c r="RIK63" s="44">
        <f t="shared" si="312"/>
        <v>0</v>
      </c>
      <c r="RIL63" s="44">
        <f t="shared" si="312"/>
        <v>0</v>
      </c>
      <c r="RIM63" s="44">
        <f t="shared" si="312"/>
        <v>0</v>
      </c>
      <c r="RIN63" s="44">
        <f t="shared" si="312"/>
        <v>0</v>
      </c>
      <c r="RIO63" s="44">
        <f t="shared" si="312"/>
        <v>0</v>
      </c>
      <c r="RIP63" s="44">
        <f t="shared" si="312"/>
        <v>0</v>
      </c>
      <c r="RIQ63" s="44">
        <f t="shared" si="312"/>
        <v>0</v>
      </c>
      <c r="RIR63" s="44">
        <f t="shared" si="312"/>
        <v>0</v>
      </c>
      <c r="RIS63" s="44">
        <f t="shared" si="312"/>
        <v>0</v>
      </c>
      <c r="RIT63" s="44">
        <f t="shared" si="312"/>
        <v>0</v>
      </c>
      <c r="RIU63" s="44">
        <f t="shared" si="312"/>
        <v>0</v>
      </c>
      <c r="RIV63" s="44">
        <f t="shared" si="312"/>
        <v>0</v>
      </c>
      <c r="RIW63" s="44">
        <f t="shared" si="312"/>
        <v>0</v>
      </c>
      <c r="RIX63" s="44">
        <f t="shared" si="312"/>
        <v>0</v>
      </c>
      <c r="RIY63" s="44">
        <f t="shared" si="312"/>
        <v>0</v>
      </c>
      <c r="RIZ63" s="44">
        <f t="shared" si="312"/>
        <v>0</v>
      </c>
      <c r="RJA63" s="44">
        <f t="shared" si="312"/>
        <v>0</v>
      </c>
      <c r="RJB63" s="44">
        <f t="shared" si="312"/>
        <v>0</v>
      </c>
      <c r="RJC63" s="44">
        <f t="shared" si="312"/>
        <v>0</v>
      </c>
      <c r="RJD63" s="44">
        <f t="shared" si="312"/>
        <v>0</v>
      </c>
      <c r="RJE63" s="44">
        <f t="shared" si="312"/>
        <v>0</v>
      </c>
      <c r="RJF63" s="44">
        <f t="shared" si="312"/>
        <v>0</v>
      </c>
      <c r="RJG63" s="44">
        <f t="shared" si="312"/>
        <v>0</v>
      </c>
      <c r="RJH63" s="44">
        <f t="shared" si="312"/>
        <v>0</v>
      </c>
      <c r="RJI63" s="44">
        <f t="shared" si="312"/>
        <v>0</v>
      </c>
      <c r="RJJ63" s="44">
        <f t="shared" ref="RJJ63:RLU63" si="313">SUM(RJJ56:RJJ57)</f>
        <v>0</v>
      </c>
      <c r="RJK63" s="44">
        <f t="shared" si="313"/>
        <v>0</v>
      </c>
      <c r="RJL63" s="44">
        <f t="shared" si="313"/>
        <v>0</v>
      </c>
      <c r="RJM63" s="44">
        <f t="shared" si="313"/>
        <v>0</v>
      </c>
      <c r="RJN63" s="44">
        <f t="shared" si="313"/>
        <v>0</v>
      </c>
      <c r="RJO63" s="44">
        <f t="shared" si="313"/>
        <v>0</v>
      </c>
      <c r="RJP63" s="44">
        <f t="shared" si="313"/>
        <v>0</v>
      </c>
      <c r="RJQ63" s="44">
        <f t="shared" si="313"/>
        <v>0</v>
      </c>
      <c r="RJR63" s="44">
        <f t="shared" si="313"/>
        <v>0</v>
      </c>
      <c r="RJS63" s="44">
        <f t="shared" si="313"/>
        <v>0</v>
      </c>
      <c r="RJT63" s="44">
        <f t="shared" si="313"/>
        <v>0</v>
      </c>
      <c r="RJU63" s="44">
        <f t="shared" si="313"/>
        <v>0</v>
      </c>
      <c r="RJV63" s="44">
        <f t="shared" si="313"/>
        <v>0</v>
      </c>
      <c r="RJW63" s="44">
        <f t="shared" si="313"/>
        <v>0</v>
      </c>
      <c r="RJX63" s="44">
        <f t="shared" si="313"/>
        <v>0</v>
      </c>
      <c r="RJY63" s="44">
        <f t="shared" si="313"/>
        <v>0</v>
      </c>
      <c r="RJZ63" s="44">
        <f t="shared" si="313"/>
        <v>0</v>
      </c>
      <c r="RKA63" s="44">
        <f t="shared" si="313"/>
        <v>0</v>
      </c>
      <c r="RKB63" s="44">
        <f t="shared" si="313"/>
        <v>0</v>
      </c>
      <c r="RKC63" s="44">
        <f t="shared" si="313"/>
        <v>0</v>
      </c>
      <c r="RKD63" s="44">
        <f t="shared" si="313"/>
        <v>0</v>
      </c>
      <c r="RKE63" s="44">
        <f t="shared" si="313"/>
        <v>0</v>
      </c>
      <c r="RKF63" s="44">
        <f t="shared" si="313"/>
        <v>0</v>
      </c>
      <c r="RKG63" s="44">
        <f t="shared" si="313"/>
        <v>0</v>
      </c>
      <c r="RKH63" s="44">
        <f t="shared" si="313"/>
        <v>0</v>
      </c>
      <c r="RKI63" s="44">
        <f t="shared" si="313"/>
        <v>0</v>
      </c>
      <c r="RKJ63" s="44">
        <f t="shared" si="313"/>
        <v>0</v>
      </c>
      <c r="RKK63" s="44">
        <f t="shared" si="313"/>
        <v>0</v>
      </c>
      <c r="RKL63" s="44">
        <f t="shared" si="313"/>
        <v>0</v>
      </c>
      <c r="RKM63" s="44">
        <f t="shared" si="313"/>
        <v>0</v>
      </c>
      <c r="RKN63" s="44">
        <f t="shared" si="313"/>
        <v>0</v>
      </c>
      <c r="RKO63" s="44">
        <f t="shared" si="313"/>
        <v>0</v>
      </c>
      <c r="RKP63" s="44">
        <f t="shared" si="313"/>
        <v>0</v>
      </c>
      <c r="RKQ63" s="44">
        <f t="shared" si="313"/>
        <v>0</v>
      </c>
      <c r="RKR63" s="44">
        <f t="shared" si="313"/>
        <v>0</v>
      </c>
      <c r="RKS63" s="44">
        <f t="shared" si="313"/>
        <v>0</v>
      </c>
      <c r="RKT63" s="44">
        <f t="shared" si="313"/>
        <v>0</v>
      </c>
      <c r="RKU63" s="44">
        <f t="shared" si="313"/>
        <v>0</v>
      </c>
      <c r="RKV63" s="44">
        <f t="shared" si="313"/>
        <v>0</v>
      </c>
      <c r="RKW63" s="44">
        <f t="shared" si="313"/>
        <v>0</v>
      </c>
      <c r="RKX63" s="44">
        <f t="shared" si="313"/>
        <v>0</v>
      </c>
      <c r="RKY63" s="44">
        <f t="shared" si="313"/>
        <v>0</v>
      </c>
      <c r="RKZ63" s="44">
        <f t="shared" si="313"/>
        <v>0</v>
      </c>
      <c r="RLA63" s="44">
        <f t="shared" si="313"/>
        <v>0</v>
      </c>
      <c r="RLB63" s="44">
        <f t="shared" si="313"/>
        <v>0</v>
      </c>
      <c r="RLC63" s="44">
        <f t="shared" si="313"/>
        <v>0</v>
      </c>
      <c r="RLD63" s="44">
        <f t="shared" si="313"/>
        <v>0</v>
      </c>
      <c r="RLE63" s="44">
        <f t="shared" si="313"/>
        <v>0</v>
      </c>
      <c r="RLF63" s="44">
        <f t="shared" si="313"/>
        <v>0</v>
      </c>
      <c r="RLG63" s="44">
        <f t="shared" si="313"/>
        <v>0</v>
      </c>
      <c r="RLH63" s="44">
        <f t="shared" si="313"/>
        <v>0</v>
      </c>
      <c r="RLI63" s="44">
        <f t="shared" si="313"/>
        <v>0</v>
      </c>
      <c r="RLJ63" s="44">
        <f t="shared" si="313"/>
        <v>0</v>
      </c>
      <c r="RLK63" s="44">
        <f t="shared" si="313"/>
        <v>0</v>
      </c>
      <c r="RLL63" s="44">
        <f t="shared" si="313"/>
        <v>0</v>
      </c>
      <c r="RLM63" s="44">
        <f t="shared" si="313"/>
        <v>0</v>
      </c>
      <c r="RLN63" s="44">
        <f t="shared" si="313"/>
        <v>0</v>
      </c>
      <c r="RLO63" s="44">
        <f t="shared" si="313"/>
        <v>0</v>
      </c>
      <c r="RLP63" s="44">
        <f t="shared" si="313"/>
        <v>0</v>
      </c>
      <c r="RLQ63" s="44">
        <f t="shared" si="313"/>
        <v>0</v>
      </c>
      <c r="RLR63" s="44">
        <f t="shared" si="313"/>
        <v>0</v>
      </c>
      <c r="RLS63" s="44">
        <f t="shared" si="313"/>
        <v>0</v>
      </c>
      <c r="RLT63" s="44">
        <f t="shared" si="313"/>
        <v>0</v>
      </c>
      <c r="RLU63" s="44">
        <f t="shared" si="313"/>
        <v>0</v>
      </c>
      <c r="RLV63" s="44">
        <f t="shared" ref="RLV63:ROG63" si="314">SUM(RLV56:RLV57)</f>
        <v>0</v>
      </c>
      <c r="RLW63" s="44">
        <f t="shared" si="314"/>
        <v>0</v>
      </c>
      <c r="RLX63" s="44">
        <f t="shared" si="314"/>
        <v>0</v>
      </c>
      <c r="RLY63" s="44">
        <f t="shared" si="314"/>
        <v>0</v>
      </c>
      <c r="RLZ63" s="44">
        <f t="shared" si="314"/>
        <v>0</v>
      </c>
      <c r="RMA63" s="44">
        <f t="shared" si="314"/>
        <v>0</v>
      </c>
      <c r="RMB63" s="44">
        <f t="shared" si="314"/>
        <v>0</v>
      </c>
      <c r="RMC63" s="44">
        <f t="shared" si="314"/>
        <v>0</v>
      </c>
      <c r="RMD63" s="44">
        <f t="shared" si="314"/>
        <v>0</v>
      </c>
      <c r="RME63" s="44">
        <f t="shared" si="314"/>
        <v>0</v>
      </c>
      <c r="RMF63" s="44">
        <f t="shared" si="314"/>
        <v>0</v>
      </c>
      <c r="RMG63" s="44">
        <f t="shared" si="314"/>
        <v>0</v>
      </c>
      <c r="RMH63" s="44">
        <f t="shared" si="314"/>
        <v>0</v>
      </c>
      <c r="RMI63" s="44">
        <f t="shared" si="314"/>
        <v>0</v>
      </c>
      <c r="RMJ63" s="44">
        <f t="shared" si="314"/>
        <v>0</v>
      </c>
      <c r="RMK63" s="44">
        <f t="shared" si="314"/>
        <v>0</v>
      </c>
      <c r="RML63" s="44">
        <f t="shared" si="314"/>
        <v>0</v>
      </c>
      <c r="RMM63" s="44">
        <f t="shared" si="314"/>
        <v>0</v>
      </c>
      <c r="RMN63" s="44">
        <f t="shared" si="314"/>
        <v>0</v>
      </c>
      <c r="RMO63" s="44">
        <f t="shared" si="314"/>
        <v>0</v>
      </c>
      <c r="RMP63" s="44">
        <f t="shared" si="314"/>
        <v>0</v>
      </c>
      <c r="RMQ63" s="44">
        <f t="shared" si="314"/>
        <v>0</v>
      </c>
      <c r="RMR63" s="44">
        <f t="shared" si="314"/>
        <v>0</v>
      </c>
      <c r="RMS63" s="44">
        <f t="shared" si="314"/>
        <v>0</v>
      </c>
      <c r="RMT63" s="44">
        <f t="shared" si="314"/>
        <v>0</v>
      </c>
      <c r="RMU63" s="44">
        <f t="shared" si="314"/>
        <v>0</v>
      </c>
      <c r="RMV63" s="44">
        <f t="shared" si="314"/>
        <v>0</v>
      </c>
      <c r="RMW63" s="44">
        <f t="shared" si="314"/>
        <v>0</v>
      </c>
      <c r="RMX63" s="44">
        <f t="shared" si="314"/>
        <v>0</v>
      </c>
      <c r="RMY63" s="44">
        <f t="shared" si="314"/>
        <v>0</v>
      </c>
      <c r="RMZ63" s="44">
        <f t="shared" si="314"/>
        <v>0</v>
      </c>
      <c r="RNA63" s="44">
        <f t="shared" si="314"/>
        <v>0</v>
      </c>
      <c r="RNB63" s="44">
        <f t="shared" si="314"/>
        <v>0</v>
      </c>
      <c r="RNC63" s="44">
        <f t="shared" si="314"/>
        <v>0</v>
      </c>
      <c r="RND63" s="44">
        <f t="shared" si="314"/>
        <v>0</v>
      </c>
      <c r="RNE63" s="44">
        <f t="shared" si="314"/>
        <v>0</v>
      </c>
      <c r="RNF63" s="44">
        <f t="shared" si="314"/>
        <v>0</v>
      </c>
      <c r="RNG63" s="44">
        <f t="shared" si="314"/>
        <v>0</v>
      </c>
      <c r="RNH63" s="44">
        <f t="shared" si="314"/>
        <v>0</v>
      </c>
      <c r="RNI63" s="44">
        <f t="shared" si="314"/>
        <v>0</v>
      </c>
      <c r="RNJ63" s="44">
        <f t="shared" si="314"/>
        <v>0</v>
      </c>
      <c r="RNK63" s="44">
        <f t="shared" si="314"/>
        <v>0</v>
      </c>
      <c r="RNL63" s="44">
        <f t="shared" si="314"/>
        <v>0</v>
      </c>
      <c r="RNM63" s="44">
        <f t="shared" si="314"/>
        <v>0</v>
      </c>
      <c r="RNN63" s="44">
        <f t="shared" si="314"/>
        <v>0</v>
      </c>
      <c r="RNO63" s="44">
        <f t="shared" si="314"/>
        <v>0</v>
      </c>
      <c r="RNP63" s="44">
        <f t="shared" si="314"/>
        <v>0</v>
      </c>
      <c r="RNQ63" s="44">
        <f t="shared" si="314"/>
        <v>0</v>
      </c>
      <c r="RNR63" s="44">
        <f t="shared" si="314"/>
        <v>0</v>
      </c>
      <c r="RNS63" s="44">
        <f t="shared" si="314"/>
        <v>0</v>
      </c>
      <c r="RNT63" s="44">
        <f t="shared" si="314"/>
        <v>0</v>
      </c>
      <c r="RNU63" s="44">
        <f t="shared" si="314"/>
        <v>0</v>
      </c>
      <c r="RNV63" s="44">
        <f t="shared" si="314"/>
        <v>0</v>
      </c>
      <c r="RNW63" s="44">
        <f t="shared" si="314"/>
        <v>0</v>
      </c>
      <c r="RNX63" s="44">
        <f t="shared" si="314"/>
        <v>0</v>
      </c>
      <c r="RNY63" s="44">
        <f t="shared" si="314"/>
        <v>0</v>
      </c>
      <c r="RNZ63" s="44">
        <f t="shared" si="314"/>
        <v>0</v>
      </c>
      <c r="ROA63" s="44">
        <f t="shared" si="314"/>
        <v>0</v>
      </c>
      <c r="ROB63" s="44">
        <f t="shared" si="314"/>
        <v>0</v>
      </c>
      <c r="ROC63" s="44">
        <f t="shared" si="314"/>
        <v>0</v>
      </c>
      <c r="ROD63" s="44">
        <f t="shared" si="314"/>
        <v>0</v>
      </c>
      <c r="ROE63" s="44">
        <f t="shared" si="314"/>
        <v>0</v>
      </c>
      <c r="ROF63" s="44">
        <f t="shared" si="314"/>
        <v>0</v>
      </c>
      <c r="ROG63" s="44">
        <f t="shared" si="314"/>
        <v>0</v>
      </c>
      <c r="ROH63" s="44">
        <f t="shared" ref="ROH63:RQS63" si="315">SUM(ROH56:ROH57)</f>
        <v>0</v>
      </c>
      <c r="ROI63" s="44">
        <f t="shared" si="315"/>
        <v>0</v>
      </c>
      <c r="ROJ63" s="44">
        <f t="shared" si="315"/>
        <v>0</v>
      </c>
      <c r="ROK63" s="44">
        <f t="shared" si="315"/>
        <v>0</v>
      </c>
      <c r="ROL63" s="44">
        <f t="shared" si="315"/>
        <v>0</v>
      </c>
      <c r="ROM63" s="44">
        <f t="shared" si="315"/>
        <v>0</v>
      </c>
      <c r="RON63" s="44">
        <f t="shared" si="315"/>
        <v>0</v>
      </c>
      <c r="ROO63" s="44">
        <f t="shared" si="315"/>
        <v>0</v>
      </c>
      <c r="ROP63" s="44">
        <f t="shared" si="315"/>
        <v>0</v>
      </c>
      <c r="ROQ63" s="44">
        <f t="shared" si="315"/>
        <v>0</v>
      </c>
      <c r="ROR63" s="44">
        <f t="shared" si="315"/>
        <v>0</v>
      </c>
      <c r="ROS63" s="44">
        <f t="shared" si="315"/>
        <v>0</v>
      </c>
      <c r="ROT63" s="44">
        <f t="shared" si="315"/>
        <v>0</v>
      </c>
      <c r="ROU63" s="44">
        <f t="shared" si="315"/>
        <v>0</v>
      </c>
      <c r="ROV63" s="44">
        <f t="shared" si="315"/>
        <v>0</v>
      </c>
      <c r="ROW63" s="44">
        <f t="shared" si="315"/>
        <v>0</v>
      </c>
      <c r="ROX63" s="44">
        <f t="shared" si="315"/>
        <v>0</v>
      </c>
      <c r="ROY63" s="44">
        <f t="shared" si="315"/>
        <v>0</v>
      </c>
      <c r="ROZ63" s="44">
        <f t="shared" si="315"/>
        <v>0</v>
      </c>
      <c r="RPA63" s="44">
        <f t="shared" si="315"/>
        <v>0</v>
      </c>
      <c r="RPB63" s="44">
        <f t="shared" si="315"/>
        <v>0</v>
      </c>
      <c r="RPC63" s="44">
        <f t="shared" si="315"/>
        <v>0</v>
      </c>
      <c r="RPD63" s="44">
        <f t="shared" si="315"/>
        <v>0</v>
      </c>
      <c r="RPE63" s="44">
        <f t="shared" si="315"/>
        <v>0</v>
      </c>
      <c r="RPF63" s="44">
        <f t="shared" si="315"/>
        <v>0</v>
      </c>
      <c r="RPG63" s="44">
        <f t="shared" si="315"/>
        <v>0</v>
      </c>
      <c r="RPH63" s="44">
        <f t="shared" si="315"/>
        <v>0</v>
      </c>
      <c r="RPI63" s="44">
        <f t="shared" si="315"/>
        <v>0</v>
      </c>
      <c r="RPJ63" s="44">
        <f t="shared" si="315"/>
        <v>0</v>
      </c>
      <c r="RPK63" s="44">
        <f t="shared" si="315"/>
        <v>0</v>
      </c>
      <c r="RPL63" s="44">
        <f t="shared" si="315"/>
        <v>0</v>
      </c>
      <c r="RPM63" s="44">
        <f t="shared" si="315"/>
        <v>0</v>
      </c>
      <c r="RPN63" s="44">
        <f t="shared" si="315"/>
        <v>0</v>
      </c>
      <c r="RPO63" s="44">
        <f t="shared" si="315"/>
        <v>0</v>
      </c>
      <c r="RPP63" s="44">
        <f t="shared" si="315"/>
        <v>0</v>
      </c>
      <c r="RPQ63" s="44">
        <f t="shared" si="315"/>
        <v>0</v>
      </c>
      <c r="RPR63" s="44">
        <f t="shared" si="315"/>
        <v>0</v>
      </c>
      <c r="RPS63" s="44">
        <f t="shared" si="315"/>
        <v>0</v>
      </c>
      <c r="RPT63" s="44">
        <f t="shared" si="315"/>
        <v>0</v>
      </c>
      <c r="RPU63" s="44">
        <f t="shared" si="315"/>
        <v>0</v>
      </c>
      <c r="RPV63" s="44">
        <f t="shared" si="315"/>
        <v>0</v>
      </c>
      <c r="RPW63" s="44">
        <f t="shared" si="315"/>
        <v>0</v>
      </c>
      <c r="RPX63" s="44">
        <f t="shared" si="315"/>
        <v>0</v>
      </c>
      <c r="RPY63" s="44">
        <f t="shared" si="315"/>
        <v>0</v>
      </c>
      <c r="RPZ63" s="44">
        <f t="shared" si="315"/>
        <v>0</v>
      </c>
      <c r="RQA63" s="44">
        <f t="shared" si="315"/>
        <v>0</v>
      </c>
      <c r="RQB63" s="44">
        <f t="shared" si="315"/>
        <v>0</v>
      </c>
      <c r="RQC63" s="44">
        <f t="shared" si="315"/>
        <v>0</v>
      </c>
      <c r="RQD63" s="44">
        <f t="shared" si="315"/>
        <v>0</v>
      </c>
      <c r="RQE63" s="44">
        <f t="shared" si="315"/>
        <v>0</v>
      </c>
      <c r="RQF63" s="44">
        <f t="shared" si="315"/>
        <v>0</v>
      </c>
      <c r="RQG63" s="44">
        <f t="shared" si="315"/>
        <v>0</v>
      </c>
      <c r="RQH63" s="44">
        <f t="shared" si="315"/>
        <v>0</v>
      </c>
      <c r="RQI63" s="44">
        <f t="shared" si="315"/>
        <v>0</v>
      </c>
      <c r="RQJ63" s="44">
        <f t="shared" si="315"/>
        <v>0</v>
      </c>
      <c r="RQK63" s="44">
        <f t="shared" si="315"/>
        <v>0</v>
      </c>
      <c r="RQL63" s="44">
        <f t="shared" si="315"/>
        <v>0</v>
      </c>
      <c r="RQM63" s="44">
        <f t="shared" si="315"/>
        <v>0</v>
      </c>
      <c r="RQN63" s="44">
        <f t="shared" si="315"/>
        <v>0</v>
      </c>
      <c r="RQO63" s="44">
        <f t="shared" si="315"/>
        <v>0</v>
      </c>
      <c r="RQP63" s="44">
        <f t="shared" si="315"/>
        <v>0</v>
      </c>
      <c r="RQQ63" s="44">
        <f t="shared" si="315"/>
        <v>0</v>
      </c>
      <c r="RQR63" s="44">
        <f t="shared" si="315"/>
        <v>0</v>
      </c>
      <c r="RQS63" s="44">
        <f t="shared" si="315"/>
        <v>0</v>
      </c>
      <c r="RQT63" s="44">
        <f t="shared" ref="RQT63:RTE63" si="316">SUM(RQT56:RQT57)</f>
        <v>0</v>
      </c>
      <c r="RQU63" s="44">
        <f t="shared" si="316"/>
        <v>0</v>
      </c>
      <c r="RQV63" s="44">
        <f t="shared" si="316"/>
        <v>0</v>
      </c>
      <c r="RQW63" s="44">
        <f t="shared" si="316"/>
        <v>0</v>
      </c>
      <c r="RQX63" s="44">
        <f t="shared" si="316"/>
        <v>0</v>
      </c>
      <c r="RQY63" s="44">
        <f t="shared" si="316"/>
        <v>0</v>
      </c>
      <c r="RQZ63" s="44">
        <f t="shared" si="316"/>
        <v>0</v>
      </c>
      <c r="RRA63" s="44">
        <f t="shared" si="316"/>
        <v>0</v>
      </c>
      <c r="RRB63" s="44">
        <f t="shared" si="316"/>
        <v>0</v>
      </c>
      <c r="RRC63" s="44">
        <f t="shared" si="316"/>
        <v>0</v>
      </c>
      <c r="RRD63" s="44">
        <f t="shared" si="316"/>
        <v>0</v>
      </c>
      <c r="RRE63" s="44">
        <f t="shared" si="316"/>
        <v>0</v>
      </c>
      <c r="RRF63" s="44">
        <f t="shared" si="316"/>
        <v>0</v>
      </c>
      <c r="RRG63" s="44">
        <f t="shared" si="316"/>
        <v>0</v>
      </c>
      <c r="RRH63" s="44">
        <f t="shared" si="316"/>
        <v>0</v>
      </c>
      <c r="RRI63" s="44">
        <f t="shared" si="316"/>
        <v>0</v>
      </c>
      <c r="RRJ63" s="44">
        <f t="shared" si="316"/>
        <v>0</v>
      </c>
      <c r="RRK63" s="44">
        <f t="shared" si="316"/>
        <v>0</v>
      </c>
      <c r="RRL63" s="44">
        <f t="shared" si="316"/>
        <v>0</v>
      </c>
      <c r="RRM63" s="44">
        <f t="shared" si="316"/>
        <v>0</v>
      </c>
      <c r="RRN63" s="44">
        <f t="shared" si="316"/>
        <v>0</v>
      </c>
      <c r="RRO63" s="44">
        <f t="shared" si="316"/>
        <v>0</v>
      </c>
      <c r="RRP63" s="44">
        <f t="shared" si="316"/>
        <v>0</v>
      </c>
      <c r="RRQ63" s="44">
        <f t="shared" si="316"/>
        <v>0</v>
      </c>
      <c r="RRR63" s="44">
        <f t="shared" si="316"/>
        <v>0</v>
      </c>
      <c r="RRS63" s="44">
        <f t="shared" si="316"/>
        <v>0</v>
      </c>
      <c r="RRT63" s="44">
        <f t="shared" si="316"/>
        <v>0</v>
      </c>
      <c r="RRU63" s="44">
        <f t="shared" si="316"/>
        <v>0</v>
      </c>
      <c r="RRV63" s="44">
        <f t="shared" si="316"/>
        <v>0</v>
      </c>
      <c r="RRW63" s="44">
        <f t="shared" si="316"/>
        <v>0</v>
      </c>
      <c r="RRX63" s="44">
        <f t="shared" si="316"/>
        <v>0</v>
      </c>
      <c r="RRY63" s="44">
        <f t="shared" si="316"/>
        <v>0</v>
      </c>
      <c r="RRZ63" s="44">
        <f t="shared" si="316"/>
        <v>0</v>
      </c>
      <c r="RSA63" s="44">
        <f t="shared" si="316"/>
        <v>0</v>
      </c>
      <c r="RSB63" s="44">
        <f t="shared" si="316"/>
        <v>0</v>
      </c>
      <c r="RSC63" s="44">
        <f t="shared" si="316"/>
        <v>0</v>
      </c>
      <c r="RSD63" s="44">
        <f t="shared" si="316"/>
        <v>0</v>
      </c>
      <c r="RSE63" s="44">
        <f t="shared" si="316"/>
        <v>0</v>
      </c>
      <c r="RSF63" s="44">
        <f t="shared" si="316"/>
        <v>0</v>
      </c>
      <c r="RSG63" s="44">
        <f t="shared" si="316"/>
        <v>0</v>
      </c>
      <c r="RSH63" s="44">
        <f t="shared" si="316"/>
        <v>0</v>
      </c>
      <c r="RSI63" s="44">
        <f t="shared" si="316"/>
        <v>0</v>
      </c>
      <c r="RSJ63" s="44">
        <f t="shared" si="316"/>
        <v>0</v>
      </c>
      <c r="RSK63" s="44">
        <f t="shared" si="316"/>
        <v>0</v>
      </c>
      <c r="RSL63" s="44">
        <f t="shared" si="316"/>
        <v>0</v>
      </c>
      <c r="RSM63" s="44">
        <f t="shared" si="316"/>
        <v>0</v>
      </c>
      <c r="RSN63" s="44">
        <f t="shared" si="316"/>
        <v>0</v>
      </c>
      <c r="RSO63" s="44">
        <f t="shared" si="316"/>
        <v>0</v>
      </c>
      <c r="RSP63" s="44">
        <f t="shared" si="316"/>
        <v>0</v>
      </c>
      <c r="RSQ63" s="44">
        <f t="shared" si="316"/>
        <v>0</v>
      </c>
      <c r="RSR63" s="44">
        <f t="shared" si="316"/>
        <v>0</v>
      </c>
      <c r="RSS63" s="44">
        <f t="shared" si="316"/>
        <v>0</v>
      </c>
      <c r="RST63" s="44">
        <f t="shared" si="316"/>
        <v>0</v>
      </c>
      <c r="RSU63" s="44">
        <f t="shared" si="316"/>
        <v>0</v>
      </c>
      <c r="RSV63" s="44">
        <f t="shared" si="316"/>
        <v>0</v>
      </c>
      <c r="RSW63" s="44">
        <f t="shared" si="316"/>
        <v>0</v>
      </c>
      <c r="RSX63" s="44">
        <f t="shared" si="316"/>
        <v>0</v>
      </c>
      <c r="RSY63" s="44">
        <f t="shared" si="316"/>
        <v>0</v>
      </c>
      <c r="RSZ63" s="44">
        <f t="shared" si="316"/>
        <v>0</v>
      </c>
      <c r="RTA63" s="44">
        <f t="shared" si="316"/>
        <v>0</v>
      </c>
      <c r="RTB63" s="44">
        <f t="shared" si="316"/>
        <v>0</v>
      </c>
      <c r="RTC63" s="44">
        <f t="shared" si="316"/>
        <v>0</v>
      </c>
      <c r="RTD63" s="44">
        <f t="shared" si="316"/>
        <v>0</v>
      </c>
      <c r="RTE63" s="44">
        <f t="shared" si="316"/>
        <v>0</v>
      </c>
      <c r="RTF63" s="44">
        <f t="shared" ref="RTF63:RVQ63" si="317">SUM(RTF56:RTF57)</f>
        <v>0</v>
      </c>
      <c r="RTG63" s="44">
        <f t="shared" si="317"/>
        <v>0</v>
      </c>
      <c r="RTH63" s="44">
        <f t="shared" si="317"/>
        <v>0</v>
      </c>
      <c r="RTI63" s="44">
        <f t="shared" si="317"/>
        <v>0</v>
      </c>
      <c r="RTJ63" s="44">
        <f t="shared" si="317"/>
        <v>0</v>
      </c>
      <c r="RTK63" s="44">
        <f t="shared" si="317"/>
        <v>0</v>
      </c>
      <c r="RTL63" s="44">
        <f t="shared" si="317"/>
        <v>0</v>
      </c>
      <c r="RTM63" s="44">
        <f t="shared" si="317"/>
        <v>0</v>
      </c>
      <c r="RTN63" s="44">
        <f t="shared" si="317"/>
        <v>0</v>
      </c>
      <c r="RTO63" s="44">
        <f t="shared" si="317"/>
        <v>0</v>
      </c>
      <c r="RTP63" s="44">
        <f t="shared" si="317"/>
        <v>0</v>
      </c>
      <c r="RTQ63" s="44">
        <f t="shared" si="317"/>
        <v>0</v>
      </c>
      <c r="RTR63" s="44">
        <f t="shared" si="317"/>
        <v>0</v>
      </c>
      <c r="RTS63" s="44">
        <f t="shared" si="317"/>
        <v>0</v>
      </c>
      <c r="RTT63" s="44">
        <f t="shared" si="317"/>
        <v>0</v>
      </c>
      <c r="RTU63" s="44">
        <f t="shared" si="317"/>
        <v>0</v>
      </c>
      <c r="RTV63" s="44">
        <f t="shared" si="317"/>
        <v>0</v>
      </c>
      <c r="RTW63" s="44">
        <f t="shared" si="317"/>
        <v>0</v>
      </c>
      <c r="RTX63" s="44">
        <f t="shared" si="317"/>
        <v>0</v>
      </c>
      <c r="RTY63" s="44">
        <f t="shared" si="317"/>
        <v>0</v>
      </c>
      <c r="RTZ63" s="44">
        <f t="shared" si="317"/>
        <v>0</v>
      </c>
      <c r="RUA63" s="44">
        <f t="shared" si="317"/>
        <v>0</v>
      </c>
      <c r="RUB63" s="44">
        <f t="shared" si="317"/>
        <v>0</v>
      </c>
      <c r="RUC63" s="44">
        <f t="shared" si="317"/>
        <v>0</v>
      </c>
      <c r="RUD63" s="44">
        <f t="shared" si="317"/>
        <v>0</v>
      </c>
      <c r="RUE63" s="44">
        <f t="shared" si="317"/>
        <v>0</v>
      </c>
      <c r="RUF63" s="44">
        <f t="shared" si="317"/>
        <v>0</v>
      </c>
      <c r="RUG63" s="44">
        <f t="shared" si="317"/>
        <v>0</v>
      </c>
      <c r="RUH63" s="44">
        <f t="shared" si="317"/>
        <v>0</v>
      </c>
      <c r="RUI63" s="44">
        <f t="shared" si="317"/>
        <v>0</v>
      </c>
      <c r="RUJ63" s="44">
        <f t="shared" si="317"/>
        <v>0</v>
      </c>
      <c r="RUK63" s="44">
        <f t="shared" si="317"/>
        <v>0</v>
      </c>
      <c r="RUL63" s="44">
        <f t="shared" si="317"/>
        <v>0</v>
      </c>
      <c r="RUM63" s="44">
        <f t="shared" si="317"/>
        <v>0</v>
      </c>
      <c r="RUN63" s="44">
        <f t="shared" si="317"/>
        <v>0</v>
      </c>
      <c r="RUO63" s="44">
        <f t="shared" si="317"/>
        <v>0</v>
      </c>
      <c r="RUP63" s="44">
        <f t="shared" si="317"/>
        <v>0</v>
      </c>
      <c r="RUQ63" s="44">
        <f t="shared" si="317"/>
        <v>0</v>
      </c>
      <c r="RUR63" s="44">
        <f t="shared" si="317"/>
        <v>0</v>
      </c>
      <c r="RUS63" s="44">
        <f t="shared" si="317"/>
        <v>0</v>
      </c>
      <c r="RUT63" s="44">
        <f t="shared" si="317"/>
        <v>0</v>
      </c>
      <c r="RUU63" s="44">
        <f t="shared" si="317"/>
        <v>0</v>
      </c>
      <c r="RUV63" s="44">
        <f t="shared" si="317"/>
        <v>0</v>
      </c>
      <c r="RUW63" s="44">
        <f t="shared" si="317"/>
        <v>0</v>
      </c>
      <c r="RUX63" s="44">
        <f t="shared" si="317"/>
        <v>0</v>
      </c>
      <c r="RUY63" s="44">
        <f t="shared" si="317"/>
        <v>0</v>
      </c>
      <c r="RUZ63" s="44">
        <f t="shared" si="317"/>
        <v>0</v>
      </c>
      <c r="RVA63" s="44">
        <f t="shared" si="317"/>
        <v>0</v>
      </c>
      <c r="RVB63" s="44">
        <f t="shared" si="317"/>
        <v>0</v>
      </c>
      <c r="RVC63" s="44">
        <f t="shared" si="317"/>
        <v>0</v>
      </c>
      <c r="RVD63" s="44">
        <f t="shared" si="317"/>
        <v>0</v>
      </c>
      <c r="RVE63" s="44">
        <f t="shared" si="317"/>
        <v>0</v>
      </c>
      <c r="RVF63" s="44">
        <f t="shared" si="317"/>
        <v>0</v>
      </c>
      <c r="RVG63" s="44">
        <f t="shared" si="317"/>
        <v>0</v>
      </c>
      <c r="RVH63" s="44">
        <f t="shared" si="317"/>
        <v>0</v>
      </c>
      <c r="RVI63" s="44">
        <f t="shared" si="317"/>
        <v>0</v>
      </c>
      <c r="RVJ63" s="44">
        <f t="shared" si="317"/>
        <v>0</v>
      </c>
      <c r="RVK63" s="44">
        <f t="shared" si="317"/>
        <v>0</v>
      </c>
      <c r="RVL63" s="44">
        <f t="shared" si="317"/>
        <v>0</v>
      </c>
      <c r="RVM63" s="44">
        <f t="shared" si="317"/>
        <v>0</v>
      </c>
      <c r="RVN63" s="44">
        <f t="shared" si="317"/>
        <v>0</v>
      </c>
      <c r="RVO63" s="44">
        <f t="shared" si="317"/>
        <v>0</v>
      </c>
      <c r="RVP63" s="44">
        <f t="shared" si="317"/>
        <v>0</v>
      </c>
      <c r="RVQ63" s="44">
        <f t="shared" si="317"/>
        <v>0</v>
      </c>
      <c r="RVR63" s="44">
        <f t="shared" ref="RVR63:RYC63" si="318">SUM(RVR56:RVR57)</f>
        <v>0</v>
      </c>
      <c r="RVS63" s="44">
        <f t="shared" si="318"/>
        <v>0</v>
      </c>
      <c r="RVT63" s="44">
        <f t="shared" si="318"/>
        <v>0</v>
      </c>
      <c r="RVU63" s="44">
        <f t="shared" si="318"/>
        <v>0</v>
      </c>
      <c r="RVV63" s="44">
        <f t="shared" si="318"/>
        <v>0</v>
      </c>
      <c r="RVW63" s="44">
        <f t="shared" si="318"/>
        <v>0</v>
      </c>
      <c r="RVX63" s="44">
        <f t="shared" si="318"/>
        <v>0</v>
      </c>
      <c r="RVY63" s="44">
        <f t="shared" si="318"/>
        <v>0</v>
      </c>
      <c r="RVZ63" s="44">
        <f t="shared" si="318"/>
        <v>0</v>
      </c>
      <c r="RWA63" s="44">
        <f t="shared" si="318"/>
        <v>0</v>
      </c>
      <c r="RWB63" s="44">
        <f t="shared" si="318"/>
        <v>0</v>
      </c>
      <c r="RWC63" s="44">
        <f t="shared" si="318"/>
        <v>0</v>
      </c>
      <c r="RWD63" s="44">
        <f t="shared" si="318"/>
        <v>0</v>
      </c>
      <c r="RWE63" s="44">
        <f t="shared" si="318"/>
        <v>0</v>
      </c>
      <c r="RWF63" s="44">
        <f t="shared" si="318"/>
        <v>0</v>
      </c>
      <c r="RWG63" s="44">
        <f t="shared" si="318"/>
        <v>0</v>
      </c>
      <c r="RWH63" s="44">
        <f t="shared" si="318"/>
        <v>0</v>
      </c>
      <c r="RWI63" s="44">
        <f t="shared" si="318"/>
        <v>0</v>
      </c>
      <c r="RWJ63" s="44">
        <f t="shared" si="318"/>
        <v>0</v>
      </c>
      <c r="RWK63" s="44">
        <f t="shared" si="318"/>
        <v>0</v>
      </c>
      <c r="RWL63" s="44">
        <f t="shared" si="318"/>
        <v>0</v>
      </c>
      <c r="RWM63" s="44">
        <f t="shared" si="318"/>
        <v>0</v>
      </c>
      <c r="RWN63" s="44">
        <f t="shared" si="318"/>
        <v>0</v>
      </c>
      <c r="RWO63" s="44">
        <f t="shared" si="318"/>
        <v>0</v>
      </c>
      <c r="RWP63" s="44">
        <f t="shared" si="318"/>
        <v>0</v>
      </c>
      <c r="RWQ63" s="44">
        <f t="shared" si="318"/>
        <v>0</v>
      </c>
      <c r="RWR63" s="44">
        <f t="shared" si="318"/>
        <v>0</v>
      </c>
      <c r="RWS63" s="44">
        <f t="shared" si="318"/>
        <v>0</v>
      </c>
      <c r="RWT63" s="44">
        <f t="shared" si="318"/>
        <v>0</v>
      </c>
      <c r="RWU63" s="44">
        <f t="shared" si="318"/>
        <v>0</v>
      </c>
      <c r="RWV63" s="44">
        <f t="shared" si="318"/>
        <v>0</v>
      </c>
      <c r="RWW63" s="44">
        <f t="shared" si="318"/>
        <v>0</v>
      </c>
      <c r="RWX63" s="44">
        <f t="shared" si="318"/>
        <v>0</v>
      </c>
      <c r="RWY63" s="44">
        <f t="shared" si="318"/>
        <v>0</v>
      </c>
      <c r="RWZ63" s="44">
        <f t="shared" si="318"/>
        <v>0</v>
      </c>
      <c r="RXA63" s="44">
        <f t="shared" si="318"/>
        <v>0</v>
      </c>
      <c r="RXB63" s="44">
        <f t="shared" si="318"/>
        <v>0</v>
      </c>
      <c r="RXC63" s="44">
        <f t="shared" si="318"/>
        <v>0</v>
      </c>
      <c r="RXD63" s="44">
        <f t="shared" si="318"/>
        <v>0</v>
      </c>
      <c r="RXE63" s="44">
        <f t="shared" si="318"/>
        <v>0</v>
      </c>
      <c r="RXF63" s="44">
        <f t="shared" si="318"/>
        <v>0</v>
      </c>
      <c r="RXG63" s="44">
        <f t="shared" si="318"/>
        <v>0</v>
      </c>
      <c r="RXH63" s="44">
        <f t="shared" si="318"/>
        <v>0</v>
      </c>
      <c r="RXI63" s="44">
        <f t="shared" si="318"/>
        <v>0</v>
      </c>
      <c r="RXJ63" s="44">
        <f t="shared" si="318"/>
        <v>0</v>
      </c>
      <c r="RXK63" s="44">
        <f t="shared" si="318"/>
        <v>0</v>
      </c>
      <c r="RXL63" s="44">
        <f t="shared" si="318"/>
        <v>0</v>
      </c>
      <c r="RXM63" s="44">
        <f t="shared" si="318"/>
        <v>0</v>
      </c>
      <c r="RXN63" s="44">
        <f t="shared" si="318"/>
        <v>0</v>
      </c>
      <c r="RXO63" s="44">
        <f t="shared" si="318"/>
        <v>0</v>
      </c>
      <c r="RXP63" s="44">
        <f t="shared" si="318"/>
        <v>0</v>
      </c>
      <c r="RXQ63" s="44">
        <f t="shared" si="318"/>
        <v>0</v>
      </c>
      <c r="RXR63" s="44">
        <f t="shared" si="318"/>
        <v>0</v>
      </c>
      <c r="RXS63" s="44">
        <f t="shared" si="318"/>
        <v>0</v>
      </c>
      <c r="RXT63" s="44">
        <f t="shared" si="318"/>
        <v>0</v>
      </c>
      <c r="RXU63" s="44">
        <f t="shared" si="318"/>
        <v>0</v>
      </c>
      <c r="RXV63" s="44">
        <f t="shared" si="318"/>
        <v>0</v>
      </c>
      <c r="RXW63" s="44">
        <f t="shared" si="318"/>
        <v>0</v>
      </c>
      <c r="RXX63" s="44">
        <f t="shared" si="318"/>
        <v>0</v>
      </c>
      <c r="RXY63" s="44">
        <f t="shared" si="318"/>
        <v>0</v>
      </c>
      <c r="RXZ63" s="44">
        <f t="shared" si="318"/>
        <v>0</v>
      </c>
      <c r="RYA63" s="44">
        <f t="shared" si="318"/>
        <v>0</v>
      </c>
      <c r="RYB63" s="44">
        <f t="shared" si="318"/>
        <v>0</v>
      </c>
      <c r="RYC63" s="44">
        <f t="shared" si="318"/>
        <v>0</v>
      </c>
      <c r="RYD63" s="44">
        <f t="shared" ref="RYD63:SAO63" si="319">SUM(RYD56:RYD57)</f>
        <v>0</v>
      </c>
      <c r="RYE63" s="44">
        <f t="shared" si="319"/>
        <v>0</v>
      </c>
      <c r="RYF63" s="44">
        <f t="shared" si="319"/>
        <v>0</v>
      </c>
      <c r="RYG63" s="44">
        <f t="shared" si="319"/>
        <v>0</v>
      </c>
      <c r="RYH63" s="44">
        <f t="shared" si="319"/>
        <v>0</v>
      </c>
      <c r="RYI63" s="44">
        <f t="shared" si="319"/>
        <v>0</v>
      </c>
      <c r="RYJ63" s="44">
        <f t="shared" si="319"/>
        <v>0</v>
      </c>
      <c r="RYK63" s="44">
        <f t="shared" si="319"/>
        <v>0</v>
      </c>
      <c r="RYL63" s="44">
        <f t="shared" si="319"/>
        <v>0</v>
      </c>
      <c r="RYM63" s="44">
        <f t="shared" si="319"/>
        <v>0</v>
      </c>
      <c r="RYN63" s="44">
        <f t="shared" si="319"/>
        <v>0</v>
      </c>
      <c r="RYO63" s="44">
        <f t="shared" si="319"/>
        <v>0</v>
      </c>
      <c r="RYP63" s="44">
        <f t="shared" si="319"/>
        <v>0</v>
      </c>
      <c r="RYQ63" s="44">
        <f t="shared" si="319"/>
        <v>0</v>
      </c>
      <c r="RYR63" s="44">
        <f t="shared" si="319"/>
        <v>0</v>
      </c>
      <c r="RYS63" s="44">
        <f t="shared" si="319"/>
        <v>0</v>
      </c>
      <c r="RYT63" s="44">
        <f t="shared" si="319"/>
        <v>0</v>
      </c>
      <c r="RYU63" s="44">
        <f t="shared" si="319"/>
        <v>0</v>
      </c>
      <c r="RYV63" s="44">
        <f t="shared" si="319"/>
        <v>0</v>
      </c>
      <c r="RYW63" s="44">
        <f t="shared" si="319"/>
        <v>0</v>
      </c>
      <c r="RYX63" s="44">
        <f t="shared" si="319"/>
        <v>0</v>
      </c>
      <c r="RYY63" s="44">
        <f t="shared" si="319"/>
        <v>0</v>
      </c>
      <c r="RYZ63" s="44">
        <f t="shared" si="319"/>
        <v>0</v>
      </c>
      <c r="RZA63" s="44">
        <f t="shared" si="319"/>
        <v>0</v>
      </c>
      <c r="RZB63" s="44">
        <f t="shared" si="319"/>
        <v>0</v>
      </c>
      <c r="RZC63" s="44">
        <f t="shared" si="319"/>
        <v>0</v>
      </c>
      <c r="RZD63" s="44">
        <f t="shared" si="319"/>
        <v>0</v>
      </c>
      <c r="RZE63" s="44">
        <f t="shared" si="319"/>
        <v>0</v>
      </c>
      <c r="RZF63" s="44">
        <f t="shared" si="319"/>
        <v>0</v>
      </c>
      <c r="RZG63" s="44">
        <f t="shared" si="319"/>
        <v>0</v>
      </c>
      <c r="RZH63" s="44">
        <f t="shared" si="319"/>
        <v>0</v>
      </c>
      <c r="RZI63" s="44">
        <f t="shared" si="319"/>
        <v>0</v>
      </c>
      <c r="RZJ63" s="44">
        <f t="shared" si="319"/>
        <v>0</v>
      </c>
      <c r="RZK63" s="44">
        <f t="shared" si="319"/>
        <v>0</v>
      </c>
      <c r="RZL63" s="44">
        <f t="shared" si="319"/>
        <v>0</v>
      </c>
      <c r="RZM63" s="44">
        <f t="shared" si="319"/>
        <v>0</v>
      </c>
      <c r="RZN63" s="44">
        <f t="shared" si="319"/>
        <v>0</v>
      </c>
      <c r="RZO63" s="44">
        <f t="shared" si="319"/>
        <v>0</v>
      </c>
      <c r="RZP63" s="44">
        <f t="shared" si="319"/>
        <v>0</v>
      </c>
      <c r="RZQ63" s="44">
        <f t="shared" si="319"/>
        <v>0</v>
      </c>
      <c r="RZR63" s="44">
        <f t="shared" si="319"/>
        <v>0</v>
      </c>
      <c r="RZS63" s="44">
        <f t="shared" si="319"/>
        <v>0</v>
      </c>
      <c r="RZT63" s="44">
        <f t="shared" si="319"/>
        <v>0</v>
      </c>
      <c r="RZU63" s="44">
        <f t="shared" si="319"/>
        <v>0</v>
      </c>
      <c r="RZV63" s="44">
        <f t="shared" si="319"/>
        <v>0</v>
      </c>
      <c r="RZW63" s="44">
        <f t="shared" si="319"/>
        <v>0</v>
      </c>
      <c r="RZX63" s="44">
        <f t="shared" si="319"/>
        <v>0</v>
      </c>
      <c r="RZY63" s="44">
        <f t="shared" si="319"/>
        <v>0</v>
      </c>
      <c r="RZZ63" s="44">
        <f t="shared" si="319"/>
        <v>0</v>
      </c>
      <c r="SAA63" s="44">
        <f t="shared" si="319"/>
        <v>0</v>
      </c>
      <c r="SAB63" s="44">
        <f t="shared" si="319"/>
        <v>0</v>
      </c>
      <c r="SAC63" s="44">
        <f t="shared" si="319"/>
        <v>0</v>
      </c>
      <c r="SAD63" s="44">
        <f t="shared" si="319"/>
        <v>0</v>
      </c>
      <c r="SAE63" s="44">
        <f t="shared" si="319"/>
        <v>0</v>
      </c>
      <c r="SAF63" s="44">
        <f t="shared" si="319"/>
        <v>0</v>
      </c>
      <c r="SAG63" s="44">
        <f t="shared" si="319"/>
        <v>0</v>
      </c>
      <c r="SAH63" s="44">
        <f t="shared" si="319"/>
        <v>0</v>
      </c>
      <c r="SAI63" s="44">
        <f t="shared" si="319"/>
        <v>0</v>
      </c>
      <c r="SAJ63" s="44">
        <f t="shared" si="319"/>
        <v>0</v>
      </c>
      <c r="SAK63" s="44">
        <f t="shared" si="319"/>
        <v>0</v>
      </c>
      <c r="SAL63" s="44">
        <f t="shared" si="319"/>
        <v>0</v>
      </c>
      <c r="SAM63" s="44">
        <f t="shared" si="319"/>
        <v>0</v>
      </c>
      <c r="SAN63" s="44">
        <f t="shared" si="319"/>
        <v>0</v>
      </c>
      <c r="SAO63" s="44">
        <f t="shared" si="319"/>
        <v>0</v>
      </c>
      <c r="SAP63" s="44">
        <f t="shared" ref="SAP63:SDA63" si="320">SUM(SAP56:SAP57)</f>
        <v>0</v>
      </c>
      <c r="SAQ63" s="44">
        <f t="shared" si="320"/>
        <v>0</v>
      </c>
      <c r="SAR63" s="44">
        <f t="shared" si="320"/>
        <v>0</v>
      </c>
      <c r="SAS63" s="44">
        <f t="shared" si="320"/>
        <v>0</v>
      </c>
      <c r="SAT63" s="44">
        <f t="shared" si="320"/>
        <v>0</v>
      </c>
      <c r="SAU63" s="44">
        <f t="shared" si="320"/>
        <v>0</v>
      </c>
      <c r="SAV63" s="44">
        <f t="shared" si="320"/>
        <v>0</v>
      </c>
      <c r="SAW63" s="44">
        <f t="shared" si="320"/>
        <v>0</v>
      </c>
      <c r="SAX63" s="44">
        <f t="shared" si="320"/>
        <v>0</v>
      </c>
      <c r="SAY63" s="44">
        <f t="shared" si="320"/>
        <v>0</v>
      </c>
      <c r="SAZ63" s="44">
        <f t="shared" si="320"/>
        <v>0</v>
      </c>
      <c r="SBA63" s="44">
        <f t="shared" si="320"/>
        <v>0</v>
      </c>
      <c r="SBB63" s="44">
        <f t="shared" si="320"/>
        <v>0</v>
      </c>
      <c r="SBC63" s="44">
        <f t="shared" si="320"/>
        <v>0</v>
      </c>
      <c r="SBD63" s="44">
        <f t="shared" si="320"/>
        <v>0</v>
      </c>
      <c r="SBE63" s="44">
        <f t="shared" si="320"/>
        <v>0</v>
      </c>
      <c r="SBF63" s="44">
        <f t="shared" si="320"/>
        <v>0</v>
      </c>
      <c r="SBG63" s="44">
        <f t="shared" si="320"/>
        <v>0</v>
      </c>
      <c r="SBH63" s="44">
        <f t="shared" si="320"/>
        <v>0</v>
      </c>
      <c r="SBI63" s="44">
        <f t="shared" si="320"/>
        <v>0</v>
      </c>
      <c r="SBJ63" s="44">
        <f t="shared" si="320"/>
        <v>0</v>
      </c>
      <c r="SBK63" s="44">
        <f t="shared" si="320"/>
        <v>0</v>
      </c>
      <c r="SBL63" s="44">
        <f t="shared" si="320"/>
        <v>0</v>
      </c>
      <c r="SBM63" s="44">
        <f t="shared" si="320"/>
        <v>0</v>
      </c>
      <c r="SBN63" s="44">
        <f t="shared" si="320"/>
        <v>0</v>
      </c>
      <c r="SBO63" s="44">
        <f t="shared" si="320"/>
        <v>0</v>
      </c>
      <c r="SBP63" s="44">
        <f t="shared" si="320"/>
        <v>0</v>
      </c>
      <c r="SBQ63" s="44">
        <f t="shared" si="320"/>
        <v>0</v>
      </c>
      <c r="SBR63" s="44">
        <f t="shared" si="320"/>
        <v>0</v>
      </c>
      <c r="SBS63" s="44">
        <f t="shared" si="320"/>
        <v>0</v>
      </c>
      <c r="SBT63" s="44">
        <f t="shared" si="320"/>
        <v>0</v>
      </c>
      <c r="SBU63" s="44">
        <f t="shared" si="320"/>
        <v>0</v>
      </c>
      <c r="SBV63" s="44">
        <f t="shared" si="320"/>
        <v>0</v>
      </c>
      <c r="SBW63" s="44">
        <f t="shared" si="320"/>
        <v>0</v>
      </c>
      <c r="SBX63" s="44">
        <f t="shared" si="320"/>
        <v>0</v>
      </c>
      <c r="SBY63" s="44">
        <f t="shared" si="320"/>
        <v>0</v>
      </c>
      <c r="SBZ63" s="44">
        <f t="shared" si="320"/>
        <v>0</v>
      </c>
      <c r="SCA63" s="44">
        <f t="shared" si="320"/>
        <v>0</v>
      </c>
      <c r="SCB63" s="44">
        <f t="shared" si="320"/>
        <v>0</v>
      </c>
      <c r="SCC63" s="44">
        <f t="shared" si="320"/>
        <v>0</v>
      </c>
      <c r="SCD63" s="44">
        <f t="shared" si="320"/>
        <v>0</v>
      </c>
      <c r="SCE63" s="44">
        <f t="shared" si="320"/>
        <v>0</v>
      </c>
      <c r="SCF63" s="44">
        <f t="shared" si="320"/>
        <v>0</v>
      </c>
      <c r="SCG63" s="44">
        <f t="shared" si="320"/>
        <v>0</v>
      </c>
      <c r="SCH63" s="44">
        <f t="shared" si="320"/>
        <v>0</v>
      </c>
      <c r="SCI63" s="44">
        <f t="shared" si="320"/>
        <v>0</v>
      </c>
      <c r="SCJ63" s="44">
        <f t="shared" si="320"/>
        <v>0</v>
      </c>
      <c r="SCK63" s="44">
        <f t="shared" si="320"/>
        <v>0</v>
      </c>
      <c r="SCL63" s="44">
        <f t="shared" si="320"/>
        <v>0</v>
      </c>
      <c r="SCM63" s="44">
        <f t="shared" si="320"/>
        <v>0</v>
      </c>
      <c r="SCN63" s="44">
        <f t="shared" si="320"/>
        <v>0</v>
      </c>
      <c r="SCO63" s="44">
        <f t="shared" si="320"/>
        <v>0</v>
      </c>
      <c r="SCP63" s="44">
        <f t="shared" si="320"/>
        <v>0</v>
      </c>
      <c r="SCQ63" s="44">
        <f t="shared" si="320"/>
        <v>0</v>
      </c>
      <c r="SCR63" s="44">
        <f t="shared" si="320"/>
        <v>0</v>
      </c>
      <c r="SCS63" s="44">
        <f t="shared" si="320"/>
        <v>0</v>
      </c>
      <c r="SCT63" s="44">
        <f t="shared" si="320"/>
        <v>0</v>
      </c>
      <c r="SCU63" s="44">
        <f t="shared" si="320"/>
        <v>0</v>
      </c>
      <c r="SCV63" s="44">
        <f t="shared" si="320"/>
        <v>0</v>
      </c>
      <c r="SCW63" s="44">
        <f t="shared" si="320"/>
        <v>0</v>
      </c>
      <c r="SCX63" s="44">
        <f t="shared" si="320"/>
        <v>0</v>
      </c>
      <c r="SCY63" s="44">
        <f t="shared" si="320"/>
        <v>0</v>
      </c>
      <c r="SCZ63" s="44">
        <f t="shared" si="320"/>
        <v>0</v>
      </c>
      <c r="SDA63" s="44">
        <f t="shared" si="320"/>
        <v>0</v>
      </c>
      <c r="SDB63" s="44">
        <f t="shared" ref="SDB63:SFM63" si="321">SUM(SDB56:SDB57)</f>
        <v>0</v>
      </c>
      <c r="SDC63" s="44">
        <f t="shared" si="321"/>
        <v>0</v>
      </c>
      <c r="SDD63" s="44">
        <f t="shared" si="321"/>
        <v>0</v>
      </c>
      <c r="SDE63" s="44">
        <f t="shared" si="321"/>
        <v>0</v>
      </c>
      <c r="SDF63" s="44">
        <f t="shared" si="321"/>
        <v>0</v>
      </c>
      <c r="SDG63" s="44">
        <f t="shared" si="321"/>
        <v>0</v>
      </c>
      <c r="SDH63" s="44">
        <f t="shared" si="321"/>
        <v>0</v>
      </c>
      <c r="SDI63" s="44">
        <f t="shared" si="321"/>
        <v>0</v>
      </c>
      <c r="SDJ63" s="44">
        <f t="shared" si="321"/>
        <v>0</v>
      </c>
      <c r="SDK63" s="44">
        <f t="shared" si="321"/>
        <v>0</v>
      </c>
      <c r="SDL63" s="44">
        <f t="shared" si="321"/>
        <v>0</v>
      </c>
      <c r="SDM63" s="44">
        <f t="shared" si="321"/>
        <v>0</v>
      </c>
      <c r="SDN63" s="44">
        <f t="shared" si="321"/>
        <v>0</v>
      </c>
      <c r="SDO63" s="44">
        <f t="shared" si="321"/>
        <v>0</v>
      </c>
      <c r="SDP63" s="44">
        <f t="shared" si="321"/>
        <v>0</v>
      </c>
      <c r="SDQ63" s="44">
        <f t="shared" si="321"/>
        <v>0</v>
      </c>
      <c r="SDR63" s="44">
        <f t="shared" si="321"/>
        <v>0</v>
      </c>
      <c r="SDS63" s="44">
        <f t="shared" si="321"/>
        <v>0</v>
      </c>
      <c r="SDT63" s="44">
        <f t="shared" si="321"/>
        <v>0</v>
      </c>
      <c r="SDU63" s="44">
        <f t="shared" si="321"/>
        <v>0</v>
      </c>
      <c r="SDV63" s="44">
        <f t="shared" si="321"/>
        <v>0</v>
      </c>
      <c r="SDW63" s="44">
        <f t="shared" si="321"/>
        <v>0</v>
      </c>
      <c r="SDX63" s="44">
        <f t="shared" si="321"/>
        <v>0</v>
      </c>
      <c r="SDY63" s="44">
        <f t="shared" si="321"/>
        <v>0</v>
      </c>
      <c r="SDZ63" s="44">
        <f t="shared" si="321"/>
        <v>0</v>
      </c>
      <c r="SEA63" s="44">
        <f t="shared" si="321"/>
        <v>0</v>
      </c>
      <c r="SEB63" s="44">
        <f t="shared" si="321"/>
        <v>0</v>
      </c>
      <c r="SEC63" s="44">
        <f t="shared" si="321"/>
        <v>0</v>
      </c>
      <c r="SED63" s="44">
        <f t="shared" si="321"/>
        <v>0</v>
      </c>
      <c r="SEE63" s="44">
        <f t="shared" si="321"/>
        <v>0</v>
      </c>
      <c r="SEF63" s="44">
        <f t="shared" si="321"/>
        <v>0</v>
      </c>
      <c r="SEG63" s="44">
        <f t="shared" si="321"/>
        <v>0</v>
      </c>
      <c r="SEH63" s="44">
        <f t="shared" si="321"/>
        <v>0</v>
      </c>
      <c r="SEI63" s="44">
        <f t="shared" si="321"/>
        <v>0</v>
      </c>
      <c r="SEJ63" s="44">
        <f t="shared" si="321"/>
        <v>0</v>
      </c>
      <c r="SEK63" s="44">
        <f t="shared" si="321"/>
        <v>0</v>
      </c>
      <c r="SEL63" s="44">
        <f t="shared" si="321"/>
        <v>0</v>
      </c>
      <c r="SEM63" s="44">
        <f t="shared" si="321"/>
        <v>0</v>
      </c>
      <c r="SEN63" s="44">
        <f t="shared" si="321"/>
        <v>0</v>
      </c>
      <c r="SEO63" s="44">
        <f t="shared" si="321"/>
        <v>0</v>
      </c>
      <c r="SEP63" s="44">
        <f t="shared" si="321"/>
        <v>0</v>
      </c>
      <c r="SEQ63" s="44">
        <f t="shared" si="321"/>
        <v>0</v>
      </c>
      <c r="SER63" s="44">
        <f t="shared" si="321"/>
        <v>0</v>
      </c>
      <c r="SES63" s="44">
        <f t="shared" si="321"/>
        <v>0</v>
      </c>
      <c r="SET63" s="44">
        <f t="shared" si="321"/>
        <v>0</v>
      </c>
      <c r="SEU63" s="44">
        <f t="shared" si="321"/>
        <v>0</v>
      </c>
      <c r="SEV63" s="44">
        <f t="shared" si="321"/>
        <v>0</v>
      </c>
      <c r="SEW63" s="44">
        <f t="shared" si="321"/>
        <v>0</v>
      </c>
      <c r="SEX63" s="44">
        <f t="shared" si="321"/>
        <v>0</v>
      </c>
      <c r="SEY63" s="44">
        <f t="shared" si="321"/>
        <v>0</v>
      </c>
      <c r="SEZ63" s="44">
        <f t="shared" si="321"/>
        <v>0</v>
      </c>
      <c r="SFA63" s="44">
        <f t="shared" si="321"/>
        <v>0</v>
      </c>
      <c r="SFB63" s="44">
        <f t="shared" si="321"/>
        <v>0</v>
      </c>
      <c r="SFC63" s="44">
        <f t="shared" si="321"/>
        <v>0</v>
      </c>
      <c r="SFD63" s="44">
        <f t="shared" si="321"/>
        <v>0</v>
      </c>
      <c r="SFE63" s="44">
        <f t="shared" si="321"/>
        <v>0</v>
      </c>
      <c r="SFF63" s="44">
        <f t="shared" si="321"/>
        <v>0</v>
      </c>
      <c r="SFG63" s="44">
        <f t="shared" si="321"/>
        <v>0</v>
      </c>
      <c r="SFH63" s="44">
        <f t="shared" si="321"/>
        <v>0</v>
      </c>
      <c r="SFI63" s="44">
        <f t="shared" si="321"/>
        <v>0</v>
      </c>
      <c r="SFJ63" s="44">
        <f t="shared" si="321"/>
        <v>0</v>
      </c>
      <c r="SFK63" s="44">
        <f t="shared" si="321"/>
        <v>0</v>
      </c>
      <c r="SFL63" s="44">
        <f t="shared" si="321"/>
        <v>0</v>
      </c>
      <c r="SFM63" s="44">
        <f t="shared" si="321"/>
        <v>0</v>
      </c>
      <c r="SFN63" s="44">
        <f t="shared" ref="SFN63:SHY63" si="322">SUM(SFN56:SFN57)</f>
        <v>0</v>
      </c>
      <c r="SFO63" s="44">
        <f t="shared" si="322"/>
        <v>0</v>
      </c>
      <c r="SFP63" s="44">
        <f t="shared" si="322"/>
        <v>0</v>
      </c>
      <c r="SFQ63" s="44">
        <f t="shared" si="322"/>
        <v>0</v>
      </c>
      <c r="SFR63" s="44">
        <f t="shared" si="322"/>
        <v>0</v>
      </c>
      <c r="SFS63" s="44">
        <f t="shared" si="322"/>
        <v>0</v>
      </c>
      <c r="SFT63" s="44">
        <f t="shared" si="322"/>
        <v>0</v>
      </c>
      <c r="SFU63" s="44">
        <f t="shared" si="322"/>
        <v>0</v>
      </c>
      <c r="SFV63" s="44">
        <f t="shared" si="322"/>
        <v>0</v>
      </c>
      <c r="SFW63" s="44">
        <f t="shared" si="322"/>
        <v>0</v>
      </c>
      <c r="SFX63" s="44">
        <f t="shared" si="322"/>
        <v>0</v>
      </c>
      <c r="SFY63" s="44">
        <f t="shared" si="322"/>
        <v>0</v>
      </c>
      <c r="SFZ63" s="44">
        <f t="shared" si="322"/>
        <v>0</v>
      </c>
      <c r="SGA63" s="44">
        <f t="shared" si="322"/>
        <v>0</v>
      </c>
      <c r="SGB63" s="44">
        <f t="shared" si="322"/>
        <v>0</v>
      </c>
      <c r="SGC63" s="44">
        <f t="shared" si="322"/>
        <v>0</v>
      </c>
      <c r="SGD63" s="44">
        <f t="shared" si="322"/>
        <v>0</v>
      </c>
      <c r="SGE63" s="44">
        <f t="shared" si="322"/>
        <v>0</v>
      </c>
      <c r="SGF63" s="44">
        <f t="shared" si="322"/>
        <v>0</v>
      </c>
      <c r="SGG63" s="44">
        <f t="shared" si="322"/>
        <v>0</v>
      </c>
      <c r="SGH63" s="44">
        <f t="shared" si="322"/>
        <v>0</v>
      </c>
      <c r="SGI63" s="44">
        <f t="shared" si="322"/>
        <v>0</v>
      </c>
      <c r="SGJ63" s="44">
        <f t="shared" si="322"/>
        <v>0</v>
      </c>
      <c r="SGK63" s="44">
        <f t="shared" si="322"/>
        <v>0</v>
      </c>
      <c r="SGL63" s="44">
        <f t="shared" si="322"/>
        <v>0</v>
      </c>
      <c r="SGM63" s="44">
        <f t="shared" si="322"/>
        <v>0</v>
      </c>
      <c r="SGN63" s="44">
        <f t="shared" si="322"/>
        <v>0</v>
      </c>
      <c r="SGO63" s="44">
        <f t="shared" si="322"/>
        <v>0</v>
      </c>
      <c r="SGP63" s="44">
        <f t="shared" si="322"/>
        <v>0</v>
      </c>
      <c r="SGQ63" s="44">
        <f t="shared" si="322"/>
        <v>0</v>
      </c>
      <c r="SGR63" s="44">
        <f t="shared" si="322"/>
        <v>0</v>
      </c>
      <c r="SGS63" s="44">
        <f t="shared" si="322"/>
        <v>0</v>
      </c>
      <c r="SGT63" s="44">
        <f t="shared" si="322"/>
        <v>0</v>
      </c>
      <c r="SGU63" s="44">
        <f t="shared" si="322"/>
        <v>0</v>
      </c>
      <c r="SGV63" s="44">
        <f t="shared" si="322"/>
        <v>0</v>
      </c>
      <c r="SGW63" s="44">
        <f t="shared" si="322"/>
        <v>0</v>
      </c>
      <c r="SGX63" s="44">
        <f t="shared" si="322"/>
        <v>0</v>
      </c>
      <c r="SGY63" s="44">
        <f t="shared" si="322"/>
        <v>0</v>
      </c>
      <c r="SGZ63" s="44">
        <f t="shared" si="322"/>
        <v>0</v>
      </c>
      <c r="SHA63" s="44">
        <f t="shared" si="322"/>
        <v>0</v>
      </c>
      <c r="SHB63" s="44">
        <f t="shared" si="322"/>
        <v>0</v>
      </c>
      <c r="SHC63" s="44">
        <f t="shared" si="322"/>
        <v>0</v>
      </c>
      <c r="SHD63" s="44">
        <f t="shared" si="322"/>
        <v>0</v>
      </c>
      <c r="SHE63" s="44">
        <f t="shared" si="322"/>
        <v>0</v>
      </c>
      <c r="SHF63" s="44">
        <f t="shared" si="322"/>
        <v>0</v>
      </c>
      <c r="SHG63" s="44">
        <f t="shared" si="322"/>
        <v>0</v>
      </c>
      <c r="SHH63" s="44">
        <f t="shared" si="322"/>
        <v>0</v>
      </c>
      <c r="SHI63" s="44">
        <f t="shared" si="322"/>
        <v>0</v>
      </c>
      <c r="SHJ63" s="44">
        <f t="shared" si="322"/>
        <v>0</v>
      </c>
      <c r="SHK63" s="44">
        <f t="shared" si="322"/>
        <v>0</v>
      </c>
      <c r="SHL63" s="44">
        <f t="shared" si="322"/>
        <v>0</v>
      </c>
      <c r="SHM63" s="44">
        <f t="shared" si="322"/>
        <v>0</v>
      </c>
      <c r="SHN63" s="44">
        <f t="shared" si="322"/>
        <v>0</v>
      </c>
      <c r="SHO63" s="44">
        <f t="shared" si="322"/>
        <v>0</v>
      </c>
      <c r="SHP63" s="44">
        <f t="shared" si="322"/>
        <v>0</v>
      </c>
      <c r="SHQ63" s="44">
        <f t="shared" si="322"/>
        <v>0</v>
      </c>
      <c r="SHR63" s="44">
        <f t="shared" si="322"/>
        <v>0</v>
      </c>
      <c r="SHS63" s="44">
        <f t="shared" si="322"/>
        <v>0</v>
      </c>
      <c r="SHT63" s="44">
        <f t="shared" si="322"/>
        <v>0</v>
      </c>
      <c r="SHU63" s="44">
        <f t="shared" si="322"/>
        <v>0</v>
      </c>
      <c r="SHV63" s="44">
        <f t="shared" si="322"/>
        <v>0</v>
      </c>
      <c r="SHW63" s="44">
        <f t="shared" si="322"/>
        <v>0</v>
      </c>
      <c r="SHX63" s="44">
        <f t="shared" si="322"/>
        <v>0</v>
      </c>
      <c r="SHY63" s="44">
        <f t="shared" si="322"/>
        <v>0</v>
      </c>
      <c r="SHZ63" s="44">
        <f t="shared" ref="SHZ63:SKK63" si="323">SUM(SHZ56:SHZ57)</f>
        <v>0</v>
      </c>
      <c r="SIA63" s="44">
        <f t="shared" si="323"/>
        <v>0</v>
      </c>
      <c r="SIB63" s="44">
        <f t="shared" si="323"/>
        <v>0</v>
      </c>
      <c r="SIC63" s="44">
        <f t="shared" si="323"/>
        <v>0</v>
      </c>
      <c r="SID63" s="44">
        <f t="shared" si="323"/>
        <v>0</v>
      </c>
      <c r="SIE63" s="44">
        <f t="shared" si="323"/>
        <v>0</v>
      </c>
      <c r="SIF63" s="44">
        <f t="shared" si="323"/>
        <v>0</v>
      </c>
      <c r="SIG63" s="44">
        <f t="shared" si="323"/>
        <v>0</v>
      </c>
      <c r="SIH63" s="44">
        <f t="shared" si="323"/>
        <v>0</v>
      </c>
      <c r="SII63" s="44">
        <f t="shared" si="323"/>
        <v>0</v>
      </c>
      <c r="SIJ63" s="44">
        <f t="shared" si="323"/>
        <v>0</v>
      </c>
      <c r="SIK63" s="44">
        <f t="shared" si="323"/>
        <v>0</v>
      </c>
      <c r="SIL63" s="44">
        <f t="shared" si="323"/>
        <v>0</v>
      </c>
      <c r="SIM63" s="44">
        <f t="shared" si="323"/>
        <v>0</v>
      </c>
      <c r="SIN63" s="44">
        <f t="shared" si="323"/>
        <v>0</v>
      </c>
      <c r="SIO63" s="44">
        <f t="shared" si="323"/>
        <v>0</v>
      </c>
      <c r="SIP63" s="44">
        <f t="shared" si="323"/>
        <v>0</v>
      </c>
      <c r="SIQ63" s="44">
        <f t="shared" si="323"/>
        <v>0</v>
      </c>
      <c r="SIR63" s="44">
        <f t="shared" si="323"/>
        <v>0</v>
      </c>
      <c r="SIS63" s="44">
        <f t="shared" si="323"/>
        <v>0</v>
      </c>
      <c r="SIT63" s="44">
        <f t="shared" si="323"/>
        <v>0</v>
      </c>
      <c r="SIU63" s="44">
        <f t="shared" si="323"/>
        <v>0</v>
      </c>
      <c r="SIV63" s="44">
        <f t="shared" si="323"/>
        <v>0</v>
      </c>
      <c r="SIW63" s="44">
        <f t="shared" si="323"/>
        <v>0</v>
      </c>
      <c r="SIX63" s="44">
        <f t="shared" si="323"/>
        <v>0</v>
      </c>
      <c r="SIY63" s="44">
        <f t="shared" si="323"/>
        <v>0</v>
      </c>
      <c r="SIZ63" s="44">
        <f t="shared" si="323"/>
        <v>0</v>
      </c>
      <c r="SJA63" s="44">
        <f t="shared" si="323"/>
        <v>0</v>
      </c>
      <c r="SJB63" s="44">
        <f t="shared" si="323"/>
        <v>0</v>
      </c>
      <c r="SJC63" s="44">
        <f t="shared" si="323"/>
        <v>0</v>
      </c>
      <c r="SJD63" s="44">
        <f t="shared" si="323"/>
        <v>0</v>
      </c>
      <c r="SJE63" s="44">
        <f t="shared" si="323"/>
        <v>0</v>
      </c>
      <c r="SJF63" s="44">
        <f t="shared" si="323"/>
        <v>0</v>
      </c>
      <c r="SJG63" s="44">
        <f t="shared" si="323"/>
        <v>0</v>
      </c>
      <c r="SJH63" s="44">
        <f t="shared" si="323"/>
        <v>0</v>
      </c>
      <c r="SJI63" s="44">
        <f t="shared" si="323"/>
        <v>0</v>
      </c>
      <c r="SJJ63" s="44">
        <f t="shared" si="323"/>
        <v>0</v>
      </c>
      <c r="SJK63" s="44">
        <f t="shared" si="323"/>
        <v>0</v>
      </c>
      <c r="SJL63" s="44">
        <f t="shared" si="323"/>
        <v>0</v>
      </c>
      <c r="SJM63" s="44">
        <f t="shared" si="323"/>
        <v>0</v>
      </c>
      <c r="SJN63" s="44">
        <f t="shared" si="323"/>
        <v>0</v>
      </c>
      <c r="SJO63" s="44">
        <f t="shared" si="323"/>
        <v>0</v>
      </c>
      <c r="SJP63" s="44">
        <f t="shared" si="323"/>
        <v>0</v>
      </c>
      <c r="SJQ63" s="44">
        <f t="shared" si="323"/>
        <v>0</v>
      </c>
      <c r="SJR63" s="44">
        <f t="shared" si="323"/>
        <v>0</v>
      </c>
      <c r="SJS63" s="44">
        <f t="shared" si="323"/>
        <v>0</v>
      </c>
      <c r="SJT63" s="44">
        <f t="shared" si="323"/>
        <v>0</v>
      </c>
      <c r="SJU63" s="44">
        <f t="shared" si="323"/>
        <v>0</v>
      </c>
      <c r="SJV63" s="44">
        <f t="shared" si="323"/>
        <v>0</v>
      </c>
      <c r="SJW63" s="44">
        <f t="shared" si="323"/>
        <v>0</v>
      </c>
      <c r="SJX63" s="44">
        <f t="shared" si="323"/>
        <v>0</v>
      </c>
      <c r="SJY63" s="44">
        <f t="shared" si="323"/>
        <v>0</v>
      </c>
      <c r="SJZ63" s="44">
        <f t="shared" si="323"/>
        <v>0</v>
      </c>
      <c r="SKA63" s="44">
        <f t="shared" si="323"/>
        <v>0</v>
      </c>
      <c r="SKB63" s="44">
        <f t="shared" si="323"/>
        <v>0</v>
      </c>
      <c r="SKC63" s="44">
        <f t="shared" si="323"/>
        <v>0</v>
      </c>
      <c r="SKD63" s="44">
        <f t="shared" si="323"/>
        <v>0</v>
      </c>
      <c r="SKE63" s="44">
        <f t="shared" si="323"/>
        <v>0</v>
      </c>
      <c r="SKF63" s="44">
        <f t="shared" si="323"/>
        <v>0</v>
      </c>
      <c r="SKG63" s="44">
        <f t="shared" si="323"/>
        <v>0</v>
      </c>
      <c r="SKH63" s="44">
        <f t="shared" si="323"/>
        <v>0</v>
      </c>
      <c r="SKI63" s="44">
        <f t="shared" si="323"/>
        <v>0</v>
      </c>
      <c r="SKJ63" s="44">
        <f t="shared" si="323"/>
        <v>0</v>
      </c>
      <c r="SKK63" s="44">
        <f t="shared" si="323"/>
        <v>0</v>
      </c>
      <c r="SKL63" s="44">
        <f t="shared" ref="SKL63:SMW63" si="324">SUM(SKL56:SKL57)</f>
        <v>0</v>
      </c>
      <c r="SKM63" s="44">
        <f t="shared" si="324"/>
        <v>0</v>
      </c>
      <c r="SKN63" s="44">
        <f t="shared" si="324"/>
        <v>0</v>
      </c>
      <c r="SKO63" s="44">
        <f t="shared" si="324"/>
        <v>0</v>
      </c>
      <c r="SKP63" s="44">
        <f t="shared" si="324"/>
        <v>0</v>
      </c>
      <c r="SKQ63" s="44">
        <f t="shared" si="324"/>
        <v>0</v>
      </c>
      <c r="SKR63" s="44">
        <f t="shared" si="324"/>
        <v>0</v>
      </c>
      <c r="SKS63" s="44">
        <f t="shared" si="324"/>
        <v>0</v>
      </c>
      <c r="SKT63" s="44">
        <f t="shared" si="324"/>
        <v>0</v>
      </c>
      <c r="SKU63" s="44">
        <f t="shared" si="324"/>
        <v>0</v>
      </c>
      <c r="SKV63" s="44">
        <f t="shared" si="324"/>
        <v>0</v>
      </c>
      <c r="SKW63" s="44">
        <f t="shared" si="324"/>
        <v>0</v>
      </c>
      <c r="SKX63" s="44">
        <f t="shared" si="324"/>
        <v>0</v>
      </c>
      <c r="SKY63" s="44">
        <f t="shared" si="324"/>
        <v>0</v>
      </c>
      <c r="SKZ63" s="44">
        <f t="shared" si="324"/>
        <v>0</v>
      </c>
      <c r="SLA63" s="44">
        <f t="shared" si="324"/>
        <v>0</v>
      </c>
      <c r="SLB63" s="44">
        <f t="shared" si="324"/>
        <v>0</v>
      </c>
      <c r="SLC63" s="44">
        <f t="shared" si="324"/>
        <v>0</v>
      </c>
      <c r="SLD63" s="44">
        <f t="shared" si="324"/>
        <v>0</v>
      </c>
      <c r="SLE63" s="44">
        <f t="shared" si="324"/>
        <v>0</v>
      </c>
      <c r="SLF63" s="44">
        <f t="shared" si="324"/>
        <v>0</v>
      </c>
      <c r="SLG63" s="44">
        <f t="shared" si="324"/>
        <v>0</v>
      </c>
      <c r="SLH63" s="44">
        <f t="shared" si="324"/>
        <v>0</v>
      </c>
      <c r="SLI63" s="44">
        <f t="shared" si="324"/>
        <v>0</v>
      </c>
      <c r="SLJ63" s="44">
        <f t="shared" si="324"/>
        <v>0</v>
      </c>
      <c r="SLK63" s="44">
        <f t="shared" si="324"/>
        <v>0</v>
      </c>
      <c r="SLL63" s="44">
        <f t="shared" si="324"/>
        <v>0</v>
      </c>
      <c r="SLM63" s="44">
        <f t="shared" si="324"/>
        <v>0</v>
      </c>
      <c r="SLN63" s="44">
        <f t="shared" si="324"/>
        <v>0</v>
      </c>
      <c r="SLO63" s="44">
        <f t="shared" si="324"/>
        <v>0</v>
      </c>
      <c r="SLP63" s="44">
        <f t="shared" si="324"/>
        <v>0</v>
      </c>
      <c r="SLQ63" s="44">
        <f t="shared" si="324"/>
        <v>0</v>
      </c>
      <c r="SLR63" s="44">
        <f t="shared" si="324"/>
        <v>0</v>
      </c>
      <c r="SLS63" s="44">
        <f t="shared" si="324"/>
        <v>0</v>
      </c>
      <c r="SLT63" s="44">
        <f t="shared" si="324"/>
        <v>0</v>
      </c>
      <c r="SLU63" s="44">
        <f t="shared" si="324"/>
        <v>0</v>
      </c>
      <c r="SLV63" s="44">
        <f t="shared" si="324"/>
        <v>0</v>
      </c>
      <c r="SLW63" s="44">
        <f t="shared" si="324"/>
        <v>0</v>
      </c>
      <c r="SLX63" s="44">
        <f t="shared" si="324"/>
        <v>0</v>
      </c>
      <c r="SLY63" s="44">
        <f t="shared" si="324"/>
        <v>0</v>
      </c>
      <c r="SLZ63" s="44">
        <f t="shared" si="324"/>
        <v>0</v>
      </c>
      <c r="SMA63" s="44">
        <f t="shared" si="324"/>
        <v>0</v>
      </c>
      <c r="SMB63" s="44">
        <f t="shared" si="324"/>
        <v>0</v>
      </c>
      <c r="SMC63" s="44">
        <f t="shared" si="324"/>
        <v>0</v>
      </c>
      <c r="SMD63" s="44">
        <f t="shared" si="324"/>
        <v>0</v>
      </c>
      <c r="SME63" s="44">
        <f t="shared" si="324"/>
        <v>0</v>
      </c>
      <c r="SMF63" s="44">
        <f t="shared" si="324"/>
        <v>0</v>
      </c>
      <c r="SMG63" s="44">
        <f t="shared" si="324"/>
        <v>0</v>
      </c>
      <c r="SMH63" s="44">
        <f t="shared" si="324"/>
        <v>0</v>
      </c>
      <c r="SMI63" s="44">
        <f t="shared" si="324"/>
        <v>0</v>
      </c>
      <c r="SMJ63" s="44">
        <f t="shared" si="324"/>
        <v>0</v>
      </c>
      <c r="SMK63" s="44">
        <f t="shared" si="324"/>
        <v>0</v>
      </c>
      <c r="SML63" s="44">
        <f t="shared" si="324"/>
        <v>0</v>
      </c>
      <c r="SMM63" s="44">
        <f t="shared" si="324"/>
        <v>0</v>
      </c>
      <c r="SMN63" s="44">
        <f t="shared" si="324"/>
        <v>0</v>
      </c>
      <c r="SMO63" s="44">
        <f t="shared" si="324"/>
        <v>0</v>
      </c>
      <c r="SMP63" s="44">
        <f t="shared" si="324"/>
        <v>0</v>
      </c>
      <c r="SMQ63" s="44">
        <f t="shared" si="324"/>
        <v>0</v>
      </c>
      <c r="SMR63" s="44">
        <f t="shared" si="324"/>
        <v>0</v>
      </c>
      <c r="SMS63" s="44">
        <f t="shared" si="324"/>
        <v>0</v>
      </c>
      <c r="SMT63" s="44">
        <f t="shared" si="324"/>
        <v>0</v>
      </c>
      <c r="SMU63" s="44">
        <f t="shared" si="324"/>
        <v>0</v>
      </c>
      <c r="SMV63" s="44">
        <f t="shared" si="324"/>
        <v>0</v>
      </c>
      <c r="SMW63" s="44">
        <f t="shared" si="324"/>
        <v>0</v>
      </c>
      <c r="SMX63" s="44">
        <f t="shared" ref="SMX63:SPI63" si="325">SUM(SMX56:SMX57)</f>
        <v>0</v>
      </c>
      <c r="SMY63" s="44">
        <f t="shared" si="325"/>
        <v>0</v>
      </c>
      <c r="SMZ63" s="44">
        <f t="shared" si="325"/>
        <v>0</v>
      </c>
      <c r="SNA63" s="44">
        <f t="shared" si="325"/>
        <v>0</v>
      </c>
      <c r="SNB63" s="44">
        <f t="shared" si="325"/>
        <v>0</v>
      </c>
      <c r="SNC63" s="44">
        <f t="shared" si="325"/>
        <v>0</v>
      </c>
      <c r="SND63" s="44">
        <f t="shared" si="325"/>
        <v>0</v>
      </c>
      <c r="SNE63" s="44">
        <f t="shared" si="325"/>
        <v>0</v>
      </c>
      <c r="SNF63" s="44">
        <f t="shared" si="325"/>
        <v>0</v>
      </c>
      <c r="SNG63" s="44">
        <f t="shared" si="325"/>
        <v>0</v>
      </c>
      <c r="SNH63" s="44">
        <f t="shared" si="325"/>
        <v>0</v>
      </c>
      <c r="SNI63" s="44">
        <f t="shared" si="325"/>
        <v>0</v>
      </c>
      <c r="SNJ63" s="44">
        <f t="shared" si="325"/>
        <v>0</v>
      </c>
      <c r="SNK63" s="44">
        <f t="shared" si="325"/>
        <v>0</v>
      </c>
      <c r="SNL63" s="44">
        <f t="shared" si="325"/>
        <v>0</v>
      </c>
      <c r="SNM63" s="44">
        <f t="shared" si="325"/>
        <v>0</v>
      </c>
      <c r="SNN63" s="44">
        <f t="shared" si="325"/>
        <v>0</v>
      </c>
      <c r="SNO63" s="44">
        <f t="shared" si="325"/>
        <v>0</v>
      </c>
      <c r="SNP63" s="44">
        <f t="shared" si="325"/>
        <v>0</v>
      </c>
      <c r="SNQ63" s="44">
        <f t="shared" si="325"/>
        <v>0</v>
      </c>
      <c r="SNR63" s="44">
        <f t="shared" si="325"/>
        <v>0</v>
      </c>
      <c r="SNS63" s="44">
        <f t="shared" si="325"/>
        <v>0</v>
      </c>
      <c r="SNT63" s="44">
        <f t="shared" si="325"/>
        <v>0</v>
      </c>
      <c r="SNU63" s="44">
        <f t="shared" si="325"/>
        <v>0</v>
      </c>
      <c r="SNV63" s="44">
        <f t="shared" si="325"/>
        <v>0</v>
      </c>
      <c r="SNW63" s="44">
        <f t="shared" si="325"/>
        <v>0</v>
      </c>
      <c r="SNX63" s="44">
        <f t="shared" si="325"/>
        <v>0</v>
      </c>
      <c r="SNY63" s="44">
        <f t="shared" si="325"/>
        <v>0</v>
      </c>
      <c r="SNZ63" s="44">
        <f t="shared" si="325"/>
        <v>0</v>
      </c>
      <c r="SOA63" s="44">
        <f t="shared" si="325"/>
        <v>0</v>
      </c>
      <c r="SOB63" s="44">
        <f t="shared" si="325"/>
        <v>0</v>
      </c>
      <c r="SOC63" s="44">
        <f t="shared" si="325"/>
        <v>0</v>
      </c>
      <c r="SOD63" s="44">
        <f t="shared" si="325"/>
        <v>0</v>
      </c>
      <c r="SOE63" s="44">
        <f t="shared" si="325"/>
        <v>0</v>
      </c>
      <c r="SOF63" s="44">
        <f t="shared" si="325"/>
        <v>0</v>
      </c>
      <c r="SOG63" s="44">
        <f t="shared" si="325"/>
        <v>0</v>
      </c>
      <c r="SOH63" s="44">
        <f t="shared" si="325"/>
        <v>0</v>
      </c>
      <c r="SOI63" s="44">
        <f t="shared" si="325"/>
        <v>0</v>
      </c>
      <c r="SOJ63" s="44">
        <f t="shared" si="325"/>
        <v>0</v>
      </c>
      <c r="SOK63" s="44">
        <f t="shared" si="325"/>
        <v>0</v>
      </c>
      <c r="SOL63" s="44">
        <f t="shared" si="325"/>
        <v>0</v>
      </c>
      <c r="SOM63" s="44">
        <f t="shared" si="325"/>
        <v>0</v>
      </c>
      <c r="SON63" s="44">
        <f t="shared" si="325"/>
        <v>0</v>
      </c>
      <c r="SOO63" s="44">
        <f t="shared" si="325"/>
        <v>0</v>
      </c>
      <c r="SOP63" s="44">
        <f t="shared" si="325"/>
        <v>0</v>
      </c>
      <c r="SOQ63" s="44">
        <f t="shared" si="325"/>
        <v>0</v>
      </c>
      <c r="SOR63" s="44">
        <f t="shared" si="325"/>
        <v>0</v>
      </c>
      <c r="SOS63" s="44">
        <f t="shared" si="325"/>
        <v>0</v>
      </c>
      <c r="SOT63" s="44">
        <f t="shared" si="325"/>
        <v>0</v>
      </c>
      <c r="SOU63" s="44">
        <f t="shared" si="325"/>
        <v>0</v>
      </c>
      <c r="SOV63" s="44">
        <f t="shared" si="325"/>
        <v>0</v>
      </c>
      <c r="SOW63" s="44">
        <f t="shared" si="325"/>
        <v>0</v>
      </c>
      <c r="SOX63" s="44">
        <f t="shared" si="325"/>
        <v>0</v>
      </c>
      <c r="SOY63" s="44">
        <f t="shared" si="325"/>
        <v>0</v>
      </c>
      <c r="SOZ63" s="44">
        <f t="shared" si="325"/>
        <v>0</v>
      </c>
      <c r="SPA63" s="44">
        <f t="shared" si="325"/>
        <v>0</v>
      </c>
      <c r="SPB63" s="44">
        <f t="shared" si="325"/>
        <v>0</v>
      </c>
      <c r="SPC63" s="44">
        <f t="shared" si="325"/>
        <v>0</v>
      </c>
      <c r="SPD63" s="44">
        <f t="shared" si="325"/>
        <v>0</v>
      </c>
      <c r="SPE63" s="44">
        <f t="shared" si="325"/>
        <v>0</v>
      </c>
      <c r="SPF63" s="44">
        <f t="shared" si="325"/>
        <v>0</v>
      </c>
      <c r="SPG63" s="44">
        <f t="shared" si="325"/>
        <v>0</v>
      </c>
      <c r="SPH63" s="44">
        <f t="shared" si="325"/>
        <v>0</v>
      </c>
      <c r="SPI63" s="44">
        <f t="shared" si="325"/>
        <v>0</v>
      </c>
      <c r="SPJ63" s="44">
        <f t="shared" ref="SPJ63:SRU63" si="326">SUM(SPJ56:SPJ57)</f>
        <v>0</v>
      </c>
      <c r="SPK63" s="44">
        <f t="shared" si="326"/>
        <v>0</v>
      </c>
      <c r="SPL63" s="44">
        <f t="shared" si="326"/>
        <v>0</v>
      </c>
      <c r="SPM63" s="44">
        <f t="shared" si="326"/>
        <v>0</v>
      </c>
      <c r="SPN63" s="44">
        <f t="shared" si="326"/>
        <v>0</v>
      </c>
      <c r="SPO63" s="44">
        <f t="shared" si="326"/>
        <v>0</v>
      </c>
      <c r="SPP63" s="44">
        <f t="shared" si="326"/>
        <v>0</v>
      </c>
      <c r="SPQ63" s="44">
        <f t="shared" si="326"/>
        <v>0</v>
      </c>
      <c r="SPR63" s="44">
        <f t="shared" si="326"/>
        <v>0</v>
      </c>
      <c r="SPS63" s="44">
        <f t="shared" si="326"/>
        <v>0</v>
      </c>
      <c r="SPT63" s="44">
        <f t="shared" si="326"/>
        <v>0</v>
      </c>
      <c r="SPU63" s="44">
        <f t="shared" si="326"/>
        <v>0</v>
      </c>
      <c r="SPV63" s="44">
        <f t="shared" si="326"/>
        <v>0</v>
      </c>
      <c r="SPW63" s="44">
        <f t="shared" si="326"/>
        <v>0</v>
      </c>
      <c r="SPX63" s="44">
        <f t="shared" si="326"/>
        <v>0</v>
      </c>
      <c r="SPY63" s="44">
        <f t="shared" si="326"/>
        <v>0</v>
      </c>
      <c r="SPZ63" s="44">
        <f t="shared" si="326"/>
        <v>0</v>
      </c>
      <c r="SQA63" s="44">
        <f t="shared" si="326"/>
        <v>0</v>
      </c>
      <c r="SQB63" s="44">
        <f t="shared" si="326"/>
        <v>0</v>
      </c>
      <c r="SQC63" s="44">
        <f t="shared" si="326"/>
        <v>0</v>
      </c>
      <c r="SQD63" s="44">
        <f t="shared" si="326"/>
        <v>0</v>
      </c>
      <c r="SQE63" s="44">
        <f t="shared" si="326"/>
        <v>0</v>
      </c>
      <c r="SQF63" s="44">
        <f t="shared" si="326"/>
        <v>0</v>
      </c>
      <c r="SQG63" s="44">
        <f t="shared" si="326"/>
        <v>0</v>
      </c>
      <c r="SQH63" s="44">
        <f t="shared" si="326"/>
        <v>0</v>
      </c>
      <c r="SQI63" s="44">
        <f t="shared" si="326"/>
        <v>0</v>
      </c>
      <c r="SQJ63" s="44">
        <f t="shared" si="326"/>
        <v>0</v>
      </c>
      <c r="SQK63" s="44">
        <f t="shared" si="326"/>
        <v>0</v>
      </c>
      <c r="SQL63" s="44">
        <f t="shared" si="326"/>
        <v>0</v>
      </c>
      <c r="SQM63" s="44">
        <f t="shared" si="326"/>
        <v>0</v>
      </c>
      <c r="SQN63" s="44">
        <f t="shared" si="326"/>
        <v>0</v>
      </c>
      <c r="SQO63" s="44">
        <f t="shared" si="326"/>
        <v>0</v>
      </c>
      <c r="SQP63" s="44">
        <f t="shared" si="326"/>
        <v>0</v>
      </c>
      <c r="SQQ63" s="44">
        <f t="shared" si="326"/>
        <v>0</v>
      </c>
      <c r="SQR63" s="44">
        <f t="shared" si="326"/>
        <v>0</v>
      </c>
      <c r="SQS63" s="44">
        <f t="shared" si="326"/>
        <v>0</v>
      </c>
      <c r="SQT63" s="44">
        <f t="shared" si="326"/>
        <v>0</v>
      </c>
      <c r="SQU63" s="44">
        <f t="shared" si="326"/>
        <v>0</v>
      </c>
      <c r="SQV63" s="44">
        <f t="shared" si="326"/>
        <v>0</v>
      </c>
      <c r="SQW63" s="44">
        <f t="shared" si="326"/>
        <v>0</v>
      </c>
      <c r="SQX63" s="44">
        <f t="shared" si="326"/>
        <v>0</v>
      </c>
      <c r="SQY63" s="44">
        <f t="shared" si="326"/>
        <v>0</v>
      </c>
      <c r="SQZ63" s="44">
        <f t="shared" si="326"/>
        <v>0</v>
      </c>
      <c r="SRA63" s="44">
        <f t="shared" si="326"/>
        <v>0</v>
      </c>
      <c r="SRB63" s="44">
        <f t="shared" si="326"/>
        <v>0</v>
      </c>
      <c r="SRC63" s="44">
        <f t="shared" si="326"/>
        <v>0</v>
      </c>
      <c r="SRD63" s="44">
        <f t="shared" si="326"/>
        <v>0</v>
      </c>
      <c r="SRE63" s="44">
        <f t="shared" si="326"/>
        <v>0</v>
      </c>
      <c r="SRF63" s="44">
        <f t="shared" si="326"/>
        <v>0</v>
      </c>
      <c r="SRG63" s="44">
        <f t="shared" si="326"/>
        <v>0</v>
      </c>
      <c r="SRH63" s="44">
        <f t="shared" si="326"/>
        <v>0</v>
      </c>
      <c r="SRI63" s="44">
        <f t="shared" si="326"/>
        <v>0</v>
      </c>
      <c r="SRJ63" s="44">
        <f t="shared" si="326"/>
        <v>0</v>
      </c>
      <c r="SRK63" s="44">
        <f t="shared" si="326"/>
        <v>0</v>
      </c>
      <c r="SRL63" s="44">
        <f t="shared" si="326"/>
        <v>0</v>
      </c>
      <c r="SRM63" s="44">
        <f t="shared" si="326"/>
        <v>0</v>
      </c>
      <c r="SRN63" s="44">
        <f t="shared" si="326"/>
        <v>0</v>
      </c>
      <c r="SRO63" s="44">
        <f t="shared" si="326"/>
        <v>0</v>
      </c>
      <c r="SRP63" s="44">
        <f t="shared" si="326"/>
        <v>0</v>
      </c>
      <c r="SRQ63" s="44">
        <f t="shared" si="326"/>
        <v>0</v>
      </c>
      <c r="SRR63" s="44">
        <f t="shared" si="326"/>
        <v>0</v>
      </c>
      <c r="SRS63" s="44">
        <f t="shared" si="326"/>
        <v>0</v>
      </c>
      <c r="SRT63" s="44">
        <f t="shared" si="326"/>
        <v>0</v>
      </c>
      <c r="SRU63" s="44">
        <f t="shared" si="326"/>
        <v>0</v>
      </c>
      <c r="SRV63" s="44">
        <f t="shared" ref="SRV63:SUG63" si="327">SUM(SRV56:SRV57)</f>
        <v>0</v>
      </c>
      <c r="SRW63" s="44">
        <f t="shared" si="327"/>
        <v>0</v>
      </c>
      <c r="SRX63" s="44">
        <f t="shared" si="327"/>
        <v>0</v>
      </c>
      <c r="SRY63" s="44">
        <f t="shared" si="327"/>
        <v>0</v>
      </c>
      <c r="SRZ63" s="44">
        <f t="shared" si="327"/>
        <v>0</v>
      </c>
      <c r="SSA63" s="44">
        <f t="shared" si="327"/>
        <v>0</v>
      </c>
      <c r="SSB63" s="44">
        <f t="shared" si="327"/>
        <v>0</v>
      </c>
      <c r="SSC63" s="44">
        <f t="shared" si="327"/>
        <v>0</v>
      </c>
      <c r="SSD63" s="44">
        <f t="shared" si="327"/>
        <v>0</v>
      </c>
      <c r="SSE63" s="44">
        <f t="shared" si="327"/>
        <v>0</v>
      </c>
      <c r="SSF63" s="44">
        <f t="shared" si="327"/>
        <v>0</v>
      </c>
      <c r="SSG63" s="44">
        <f t="shared" si="327"/>
        <v>0</v>
      </c>
      <c r="SSH63" s="44">
        <f t="shared" si="327"/>
        <v>0</v>
      </c>
      <c r="SSI63" s="44">
        <f t="shared" si="327"/>
        <v>0</v>
      </c>
      <c r="SSJ63" s="44">
        <f t="shared" si="327"/>
        <v>0</v>
      </c>
      <c r="SSK63" s="44">
        <f t="shared" si="327"/>
        <v>0</v>
      </c>
      <c r="SSL63" s="44">
        <f t="shared" si="327"/>
        <v>0</v>
      </c>
      <c r="SSM63" s="44">
        <f t="shared" si="327"/>
        <v>0</v>
      </c>
      <c r="SSN63" s="44">
        <f t="shared" si="327"/>
        <v>0</v>
      </c>
      <c r="SSO63" s="44">
        <f t="shared" si="327"/>
        <v>0</v>
      </c>
      <c r="SSP63" s="44">
        <f t="shared" si="327"/>
        <v>0</v>
      </c>
      <c r="SSQ63" s="44">
        <f t="shared" si="327"/>
        <v>0</v>
      </c>
      <c r="SSR63" s="44">
        <f t="shared" si="327"/>
        <v>0</v>
      </c>
      <c r="SSS63" s="44">
        <f t="shared" si="327"/>
        <v>0</v>
      </c>
      <c r="SST63" s="44">
        <f t="shared" si="327"/>
        <v>0</v>
      </c>
      <c r="SSU63" s="44">
        <f t="shared" si="327"/>
        <v>0</v>
      </c>
      <c r="SSV63" s="44">
        <f t="shared" si="327"/>
        <v>0</v>
      </c>
      <c r="SSW63" s="44">
        <f t="shared" si="327"/>
        <v>0</v>
      </c>
      <c r="SSX63" s="44">
        <f t="shared" si="327"/>
        <v>0</v>
      </c>
      <c r="SSY63" s="44">
        <f t="shared" si="327"/>
        <v>0</v>
      </c>
      <c r="SSZ63" s="44">
        <f t="shared" si="327"/>
        <v>0</v>
      </c>
      <c r="STA63" s="44">
        <f t="shared" si="327"/>
        <v>0</v>
      </c>
      <c r="STB63" s="44">
        <f t="shared" si="327"/>
        <v>0</v>
      </c>
      <c r="STC63" s="44">
        <f t="shared" si="327"/>
        <v>0</v>
      </c>
      <c r="STD63" s="44">
        <f t="shared" si="327"/>
        <v>0</v>
      </c>
      <c r="STE63" s="44">
        <f t="shared" si="327"/>
        <v>0</v>
      </c>
      <c r="STF63" s="44">
        <f t="shared" si="327"/>
        <v>0</v>
      </c>
      <c r="STG63" s="44">
        <f t="shared" si="327"/>
        <v>0</v>
      </c>
      <c r="STH63" s="44">
        <f t="shared" si="327"/>
        <v>0</v>
      </c>
      <c r="STI63" s="44">
        <f t="shared" si="327"/>
        <v>0</v>
      </c>
      <c r="STJ63" s="44">
        <f t="shared" si="327"/>
        <v>0</v>
      </c>
      <c r="STK63" s="44">
        <f t="shared" si="327"/>
        <v>0</v>
      </c>
      <c r="STL63" s="44">
        <f t="shared" si="327"/>
        <v>0</v>
      </c>
      <c r="STM63" s="44">
        <f t="shared" si="327"/>
        <v>0</v>
      </c>
      <c r="STN63" s="44">
        <f t="shared" si="327"/>
        <v>0</v>
      </c>
      <c r="STO63" s="44">
        <f t="shared" si="327"/>
        <v>0</v>
      </c>
      <c r="STP63" s="44">
        <f t="shared" si="327"/>
        <v>0</v>
      </c>
      <c r="STQ63" s="44">
        <f t="shared" si="327"/>
        <v>0</v>
      </c>
      <c r="STR63" s="44">
        <f t="shared" si="327"/>
        <v>0</v>
      </c>
      <c r="STS63" s="44">
        <f t="shared" si="327"/>
        <v>0</v>
      </c>
      <c r="STT63" s="44">
        <f t="shared" si="327"/>
        <v>0</v>
      </c>
      <c r="STU63" s="44">
        <f t="shared" si="327"/>
        <v>0</v>
      </c>
      <c r="STV63" s="44">
        <f t="shared" si="327"/>
        <v>0</v>
      </c>
      <c r="STW63" s="44">
        <f t="shared" si="327"/>
        <v>0</v>
      </c>
      <c r="STX63" s="44">
        <f t="shared" si="327"/>
        <v>0</v>
      </c>
      <c r="STY63" s="44">
        <f t="shared" si="327"/>
        <v>0</v>
      </c>
      <c r="STZ63" s="44">
        <f t="shared" si="327"/>
        <v>0</v>
      </c>
      <c r="SUA63" s="44">
        <f t="shared" si="327"/>
        <v>0</v>
      </c>
      <c r="SUB63" s="44">
        <f t="shared" si="327"/>
        <v>0</v>
      </c>
      <c r="SUC63" s="44">
        <f t="shared" si="327"/>
        <v>0</v>
      </c>
      <c r="SUD63" s="44">
        <f t="shared" si="327"/>
        <v>0</v>
      </c>
      <c r="SUE63" s="44">
        <f t="shared" si="327"/>
        <v>0</v>
      </c>
      <c r="SUF63" s="44">
        <f t="shared" si="327"/>
        <v>0</v>
      </c>
      <c r="SUG63" s="44">
        <f t="shared" si="327"/>
        <v>0</v>
      </c>
      <c r="SUH63" s="44">
        <f t="shared" ref="SUH63:SWS63" si="328">SUM(SUH56:SUH57)</f>
        <v>0</v>
      </c>
      <c r="SUI63" s="44">
        <f t="shared" si="328"/>
        <v>0</v>
      </c>
      <c r="SUJ63" s="44">
        <f t="shared" si="328"/>
        <v>0</v>
      </c>
      <c r="SUK63" s="44">
        <f t="shared" si="328"/>
        <v>0</v>
      </c>
      <c r="SUL63" s="44">
        <f t="shared" si="328"/>
        <v>0</v>
      </c>
      <c r="SUM63" s="44">
        <f t="shared" si="328"/>
        <v>0</v>
      </c>
      <c r="SUN63" s="44">
        <f t="shared" si="328"/>
        <v>0</v>
      </c>
      <c r="SUO63" s="44">
        <f t="shared" si="328"/>
        <v>0</v>
      </c>
      <c r="SUP63" s="44">
        <f t="shared" si="328"/>
        <v>0</v>
      </c>
      <c r="SUQ63" s="44">
        <f t="shared" si="328"/>
        <v>0</v>
      </c>
      <c r="SUR63" s="44">
        <f t="shared" si="328"/>
        <v>0</v>
      </c>
      <c r="SUS63" s="44">
        <f t="shared" si="328"/>
        <v>0</v>
      </c>
      <c r="SUT63" s="44">
        <f t="shared" si="328"/>
        <v>0</v>
      </c>
      <c r="SUU63" s="44">
        <f t="shared" si="328"/>
        <v>0</v>
      </c>
      <c r="SUV63" s="44">
        <f t="shared" si="328"/>
        <v>0</v>
      </c>
      <c r="SUW63" s="44">
        <f t="shared" si="328"/>
        <v>0</v>
      </c>
      <c r="SUX63" s="44">
        <f t="shared" si="328"/>
        <v>0</v>
      </c>
      <c r="SUY63" s="44">
        <f t="shared" si="328"/>
        <v>0</v>
      </c>
      <c r="SUZ63" s="44">
        <f t="shared" si="328"/>
        <v>0</v>
      </c>
      <c r="SVA63" s="44">
        <f t="shared" si="328"/>
        <v>0</v>
      </c>
      <c r="SVB63" s="44">
        <f t="shared" si="328"/>
        <v>0</v>
      </c>
      <c r="SVC63" s="44">
        <f t="shared" si="328"/>
        <v>0</v>
      </c>
      <c r="SVD63" s="44">
        <f t="shared" si="328"/>
        <v>0</v>
      </c>
      <c r="SVE63" s="44">
        <f t="shared" si="328"/>
        <v>0</v>
      </c>
      <c r="SVF63" s="44">
        <f t="shared" si="328"/>
        <v>0</v>
      </c>
      <c r="SVG63" s="44">
        <f t="shared" si="328"/>
        <v>0</v>
      </c>
      <c r="SVH63" s="44">
        <f t="shared" si="328"/>
        <v>0</v>
      </c>
      <c r="SVI63" s="44">
        <f t="shared" si="328"/>
        <v>0</v>
      </c>
      <c r="SVJ63" s="44">
        <f t="shared" si="328"/>
        <v>0</v>
      </c>
      <c r="SVK63" s="44">
        <f t="shared" si="328"/>
        <v>0</v>
      </c>
      <c r="SVL63" s="44">
        <f t="shared" si="328"/>
        <v>0</v>
      </c>
      <c r="SVM63" s="44">
        <f t="shared" si="328"/>
        <v>0</v>
      </c>
      <c r="SVN63" s="44">
        <f t="shared" si="328"/>
        <v>0</v>
      </c>
      <c r="SVO63" s="44">
        <f t="shared" si="328"/>
        <v>0</v>
      </c>
      <c r="SVP63" s="44">
        <f t="shared" si="328"/>
        <v>0</v>
      </c>
      <c r="SVQ63" s="44">
        <f t="shared" si="328"/>
        <v>0</v>
      </c>
      <c r="SVR63" s="44">
        <f t="shared" si="328"/>
        <v>0</v>
      </c>
      <c r="SVS63" s="44">
        <f t="shared" si="328"/>
        <v>0</v>
      </c>
      <c r="SVT63" s="44">
        <f t="shared" si="328"/>
        <v>0</v>
      </c>
      <c r="SVU63" s="44">
        <f t="shared" si="328"/>
        <v>0</v>
      </c>
      <c r="SVV63" s="44">
        <f t="shared" si="328"/>
        <v>0</v>
      </c>
      <c r="SVW63" s="44">
        <f t="shared" si="328"/>
        <v>0</v>
      </c>
      <c r="SVX63" s="44">
        <f t="shared" si="328"/>
        <v>0</v>
      </c>
      <c r="SVY63" s="44">
        <f t="shared" si="328"/>
        <v>0</v>
      </c>
      <c r="SVZ63" s="44">
        <f t="shared" si="328"/>
        <v>0</v>
      </c>
      <c r="SWA63" s="44">
        <f t="shared" si="328"/>
        <v>0</v>
      </c>
      <c r="SWB63" s="44">
        <f t="shared" si="328"/>
        <v>0</v>
      </c>
      <c r="SWC63" s="44">
        <f t="shared" si="328"/>
        <v>0</v>
      </c>
      <c r="SWD63" s="44">
        <f t="shared" si="328"/>
        <v>0</v>
      </c>
      <c r="SWE63" s="44">
        <f t="shared" si="328"/>
        <v>0</v>
      </c>
      <c r="SWF63" s="44">
        <f t="shared" si="328"/>
        <v>0</v>
      </c>
      <c r="SWG63" s="44">
        <f t="shared" si="328"/>
        <v>0</v>
      </c>
      <c r="SWH63" s="44">
        <f t="shared" si="328"/>
        <v>0</v>
      </c>
      <c r="SWI63" s="44">
        <f t="shared" si="328"/>
        <v>0</v>
      </c>
      <c r="SWJ63" s="44">
        <f t="shared" si="328"/>
        <v>0</v>
      </c>
      <c r="SWK63" s="44">
        <f t="shared" si="328"/>
        <v>0</v>
      </c>
      <c r="SWL63" s="44">
        <f t="shared" si="328"/>
        <v>0</v>
      </c>
      <c r="SWM63" s="44">
        <f t="shared" si="328"/>
        <v>0</v>
      </c>
      <c r="SWN63" s="44">
        <f t="shared" si="328"/>
        <v>0</v>
      </c>
      <c r="SWO63" s="44">
        <f t="shared" si="328"/>
        <v>0</v>
      </c>
      <c r="SWP63" s="44">
        <f t="shared" si="328"/>
        <v>0</v>
      </c>
      <c r="SWQ63" s="44">
        <f t="shared" si="328"/>
        <v>0</v>
      </c>
      <c r="SWR63" s="44">
        <f t="shared" si="328"/>
        <v>0</v>
      </c>
      <c r="SWS63" s="44">
        <f t="shared" si="328"/>
        <v>0</v>
      </c>
      <c r="SWT63" s="44">
        <f t="shared" ref="SWT63:SZE63" si="329">SUM(SWT56:SWT57)</f>
        <v>0</v>
      </c>
      <c r="SWU63" s="44">
        <f t="shared" si="329"/>
        <v>0</v>
      </c>
      <c r="SWV63" s="44">
        <f t="shared" si="329"/>
        <v>0</v>
      </c>
      <c r="SWW63" s="44">
        <f t="shared" si="329"/>
        <v>0</v>
      </c>
      <c r="SWX63" s="44">
        <f t="shared" si="329"/>
        <v>0</v>
      </c>
      <c r="SWY63" s="44">
        <f t="shared" si="329"/>
        <v>0</v>
      </c>
      <c r="SWZ63" s="44">
        <f t="shared" si="329"/>
        <v>0</v>
      </c>
      <c r="SXA63" s="44">
        <f t="shared" si="329"/>
        <v>0</v>
      </c>
      <c r="SXB63" s="44">
        <f t="shared" si="329"/>
        <v>0</v>
      </c>
      <c r="SXC63" s="44">
        <f t="shared" si="329"/>
        <v>0</v>
      </c>
      <c r="SXD63" s="44">
        <f t="shared" si="329"/>
        <v>0</v>
      </c>
      <c r="SXE63" s="44">
        <f t="shared" si="329"/>
        <v>0</v>
      </c>
      <c r="SXF63" s="44">
        <f t="shared" si="329"/>
        <v>0</v>
      </c>
      <c r="SXG63" s="44">
        <f t="shared" si="329"/>
        <v>0</v>
      </c>
      <c r="SXH63" s="44">
        <f t="shared" si="329"/>
        <v>0</v>
      </c>
      <c r="SXI63" s="44">
        <f t="shared" si="329"/>
        <v>0</v>
      </c>
      <c r="SXJ63" s="44">
        <f t="shared" si="329"/>
        <v>0</v>
      </c>
      <c r="SXK63" s="44">
        <f t="shared" si="329"/>
        <v>0</v>
      </c>
      <c r="SXL63" s="44">
        <f t="shared" si="329"/>
        <v>0</v>
      </c>
      <c r="SXM63" s="44">
        <f t="shared" si="329"/>
        <v>0</v>
      </c>
      <c r="SXN63" s="44">
        <f t="shared" si="329"/>
        <v>0</v>
      </c>
      <c r="SXO63" s="44">
        <f t="shared" si="329"/>
        <v>0</v>
      </c>
      <c r="SXP63" s="44">
        <f t="shared" si="329"/>
        <v>0</v>
      </c>
      <c r="SXQ63" s="44">
        <f t="shared" si="329"/>
        <v>0</v>
      </c>
      <c r="SXR63" s="44">
        <f t="shared" si="329"/>
        <v>0</v>
      </c>
      <c r="SXS63" s="44">
        <f t="shared" si="329"/>
        <v>0</v>
      </c>
      <c r="SXT63" s="44">
        <f t="shared" si="329"/>
        <v>0</v>
      </c>
      <c r="SXU63" s="44">
        <f t="shared" si="329"/>
        <v>0</v>
      </c>
      <c r="SXV63" s="44">
        <f t="shared" si="329"/>
        <v>0</v>
      </c>
      <c r="SXW63" s="44">
        <f t="shared" si="329"/>
        <v>0</v>
      </c>
      <c r="SXX63" s="44">
        <f t="shared" si="329"/>
        <v>0</v>
      </c>
      <c r="SXY63" s="44">
        <f t="shared" si="329"/>
        <v>0</v>
      </c>
      <c r="SXZ63" s="44">
        <f t="shared" si="329"/>
        <v>0</v>
      </c>
      <c r="SYA63" s="44">
        <f t="shared" si="329"/>
        <v>0</v>
      </c>
      <c r="SYB63" s="44">
        <f t="shared" si="329"/>
        <v>0</v>
      </c>
      <c r="SYC63" s="44">
        <f t="shared" si="329"/>
        <v>0</v>
      </c>
      <c r="SYD63" s="44">
        <f t="shared" si="329"/>
        <v>0</v>
      </c>
      <c r="SYE63" s="44">
        <f t="shared" si="329"/>
        <v>0</v>
      </c>
      <c r="SYF63" s="44">
        <f t="shared" si="329"/>
        <v>0</v>
      </c>
      <c r="SYG63" s="44">
        <f t="shared" si="329"/>
        <v>0</v>
      </c>
      <c r="SYH63" s="44">
        <f t="shared" si="329"/>
        <v>0</v>
      </c>
      <c r="SYI63" s="44">
        <f t="shared" si="329"/>
        <v>0</v>
      </c>
      <c r="SYJ63" s="44">
        <f t="shared" si="329"/>
        <v>0</v>
      </c>
      <c r="SYK63" s="44">
        <f t="shared" si="329"/>
        <v>0</v>
      </c>
      <c r="SYL63" s="44">
        <f t="shared" si="329"/>
        <v>0</v>
      </c>
      <c r="SYM63" s="44">
        <f t="shared" si="329"/>
        <v>0</v>
      </c>
      <c r="SYN63" s="44">
        <f t="shared" si="329"/>
        <v>0</v>
      </c>
      <c r="SYO63" s="44">
        <f t="shared" si="329"/>
        <v>0</v>
      </c>
      <c r="SYP63" s="44">
        <f t="shared" si="329"/>
        <v>0</v>
      </c>
      <c r="SYQ63" s="44">
        <f t="shared" si="329"/>
        <v>0</v>
      </c>
      <c r="SYR63" s="44">
        <f t="shared" si="329"/>
        <v>0</v>
      </c>
      <c r="SYS63" s="44">
        <f t="shared" si="329"/>
        <v>0</v>
      </c>
      <c r="SYT63" s="44">
        <f t="shared" si="329"/>
        <v>0</v>
      </c>
      <c r="SYU63" s="44">
        <f t="shared" si="329"/>
        <v>0</v>
      </c>
      <c r="SYV63" s="44">
        <f t="shared" si="329"/>
        <v>0</v>
      </c>
      <c r="SYW63" s="44">
        <f t="shared" si="329"/>
        <v>0</v>
      </c>
      <c r="SYX63" s="44">
        <f t="shared" si="329"/>
        <v>0</v>
      </c>
      <c r="SYY63" s="44">
        <f t="shared" si="329"/>
        <v>0</v>
      </c>
      <c r="SYZ63" s="44">
        <f t="shared" si="329"/>
        <v>0</v>
      </c>
      <c r="SZA63" s="44">
        <f t="shared" si="329"/>
        <v>0</v>
      </c>
      <c r="SZB63" s="44">
        <f t="shared" si="329"/>
        <v>0</v>
      </c>
      <c r="SZC63" s="44">
        <f t="shared" si="329"/>
        <v>0</v>
      </c>
      <c r="SZD63" s="44">
        <f t="shared" si="329"/>
        <v>0</v>
      </c>
      <c r="SZE63" s="44">
        <f t="shared" si="329"/>
        <v>0</v>
      </c>
      <c r="SZF63" s="44">
        <f t="shared" ref="SZF63:TBQ63" si="330">SUM(SZF56:SZF57)</f>
        <v>0</v>
      </c>
      <c r="SZG63" s="44">
        <f t="shared" si="330"/>
        <v>0</v>
      </c>
      <c r="SZH63" s="44">
        <f t="shared" si="330"/>
        <v>0</v>
      </c>
      <c r="SZI63" s="44">
        <f t="shared" si="330"/>
        <v>0</v>
      </c>
      <c r="SZJ63" s="44">
        <f t="shared" si="330"/>
        <v>0</v>
      </c>
      <c r="SZK63" s="44">
        <f t="shared" si="330"/>
        <v>0</v>
      </c>
      <c r="SZL63" s="44">
        <f t="shared" si="330"/>
        <v>0</v>
      </c>
      <c r="SZM63" s="44">
        <f t="shared" si="330"/>
        <v>0</v>
      </c>
      <c r="SZN63" s="44">
        <f t="shared" si="330"/>
        <v>0</v>
      </c>
      <c r="SZO63" s="44">
        <f t="shared" si="330"/>
        <v>0</v>
      </c>
      <c r="SZP63" s="44">
        <f t="shared" si="330"/>
        <v>0</v>
      </c>
      <c r="SZQ63" s="44">
        <f t="shared" si="330"/>
        <v>0</v>
      </c>
      <c r="SZR63" s="44">
        <f t="shared" si="330"/>
        <v>0</v>
      </c>
      <c r="SZS63" s="44">
        <f t="shared" si="330"/>
        <v>0</v>
      </c>
      <c r="SZT63" s="44">
        <f t="shared" si="330"/>
        <v>0</v>
      </c>
      <c r="SZU63" s="44">
        <f t="shared" si="330"/>
        <v>0</v>
      </c>
      <c r="SZV63" s="44">
        <f t="shared" si="330"/>
        <v>0</v>
      </c>
      <c r="SZW63" s="44">
        <f t="shared" si="330"/>
        <v>0</v>
      </c>
      <c r="SZX63" s="44">
        <f t="shared" si="330"/>
        <v>0</v>
      </c>
      <c r="SZY63" s="44">
        <f t="shared" si="330"/>
        <v>0</v>
      </c>
      <c r="SZZ63" s="44">
        <f t="shared" si="330"/>
        <v>0</v>
      </c>
      <c r="TAA63" s="44">
        <f t="shared" si="330"/>
        <v>0</v>
      </c>
      <c r="TAB63" s="44">
        <f t="shared" si="330"/>
        <v>0</v>
      </c>
      <c r="TAC63" s="44">
        <f t="shared" si="330"/>
        <v>0</v>
      </c>
      <c r="TAD63" s="44">
        <f t="shared" si="330"/>
        <v>0</v>
      </c>
      <c r="TAE63" s="44">
        <f t="shared" si="330"/>
        <v>0</v>
      </c>
      <c r="TAF63" s="44">
        <f t="shared" si="330"/>
        <v>0</v>
      </c>
      <c r="TAG63" s="44">
        <f t="shared" si="330"/>
        <v>0</v>
      </c>
      <c r="TAH63" s="44">
        <f t="shared" si="330"/>
        <v>0</v>
      </c>
      <c r="TAI63" s="44">
        <f t="shared" si="330"/>
        <v>0</v>
      </c>
      <c r="TAJ63" s="44">
        <f t="shared" si="330"/>
        <v>0</v>
      </c>
      <c r="TAK63" s="44">
        <f t="shared" si="330"/>
        <v>0</v>
      </c>
      <c r="TAL63" s="44">
        <f t="shared" si="330"/>
        <v>0</v>
      </c>
      <c r="TAM63" s="44">
        <f t="shared" si="330"/>
        <v>0</v>
      </c>
      <c r="TAN63" s="44">
        <f t="shared" si="330"/>
        <v>0</v>
      </c>
      <c r="TAO63" s="44">
        <f t="shared" si="330"/>
        <v>0</v>
      </c>
      <c r="TAP63" s="44">
        <f t="shared" si="330"/>
        <v>0</v>
      </c>
      <c r="TAQ63" s="44">
        <f t="shared" si="330"/>
        <v>0</v>
      </c>
      <c r="TAR63" s="44">
        <f t="shared" si="330"/>
        <v>0</v>
      </c>
      <c r="TAS63" s="44">
        <f t="shared" si="330"/>
        <v>0</v>
      </c>
      <c r="TAT63" s="44">
        <f t="shared" si="330"/>
        <v>0</v>
      </c>
      <c r="TAU63" s="44">
        <f t="shared" si="330"/>
        <v>0</v>
      </c>
      <c r="TAV63" s="44">
        <f t="shared" si="330"/>
        <v>0</v>
      </c>
      <c r="TAW63" s="44">
        <f t="shared" si="330"/>
        <v>0</v>
      </c>
      <c r="TAX63" s="44">
        <f t="shared" si="330"/>
        <v>0</v>
      </c>
      <c r="TAY63" s="44">
        <f t="shared" si="330"/>
        <v>0</v>
      </c>
      <c r="TAZ63" s="44">
        <f t="shared" si="330"/>
        <v>0</v>
      </c>
      <c r="TBA63" s="44">
        <f t="shared" si="330"/>
        <v>0</v>
      </c>
      <c r="TBB63" s="44">
        <f t="shared" si="330"/>
        <v>0</v>
      </c>
      <c r="TBC63" s="44">
        <f t="shared" si="330"/>
        <v>0</v>
      </c>
      <c r="TBD63" s="44">
        <f t="shared" si="330"/>
        <v>0</v>
      </c>
      <c r="TBE63" s="44">
        <f t="shared" si="330"/>
        <v>0</v>
      </c>
      <c r="TBF63" s="44">
        <f t="shared" si="330"/>
        <v>0</v>
      </c>
      <c r="TBG63" s="44">
        <f t="shared" si="330"/>
        <v>0</v>
      </c>
      <c r="TBH63" s="44">
        <f t="shared" si="330"/>
        <v>0</v>
      </c>
      <c r="TBI63" s="44">
        <f t="shared" si="330"/>
        <v>0</v>
      </c>
      <c r="TBJ63" s="44">
        <f t="shared" si="330"/>
        <v>0</v>
      </c>
      <c r="TBK63" s="44">
        <f t="shared" si="330"/>
        <v>0</v>
      </c>
      <c r="TBL63" s="44">
        <f t="shared" si="330"/>
        <v>0</v>
      </c>
      <c r="TBM63" s="44">
        <f t="shared" si="330"/>
        <v>0</v>
      </c>
      <c r="TBN63" s="44">
        <f t="shared" si="330"/>
        <v>0</v>
      </c>
      <c r="TBO63" s="44">
        <f t="shared" si="330"/>
        <v>0</v>
      </c>
      <c r="TBP63" s="44">
        <f t="shared" si="330"/>
        <v>0</v>
      </c>
      <c r="TBQ63" s="44">
        <f t="shared" si="330"/>
        <v>0</v>
      </c>
      <c r="TBR63" s="44">
        <f t="shared" ref="TBR63:TEC63" si="331">SUM(TBR56:TBR57)</f>
        <v>0</v>
      </c>
      <c r="TBS63" s="44">
        <f t="shared" si="331"/>
        <v>0</v>
      </c>
      <c r="TBT63" s="44">
        <f t="shared" si="331"/>
        <v>0</v>
      </c>
      <c r="TBU63" s="44">
        <f t="shared" si="331"/>
        <v>0</v>
      </c>
      <c r="TBV63" s="44">
        <f t="shared" si="331"/>
        <v>0</v>
      </c>
      <c r="TBW63" s="44">
        <f t="shared" si="331"/>
        <v>0</v>
      </c>
      <c r="TBX63" s="44">
        <f t="shared" si="331"/>
        <v>0</v>
      </c>
      <c r="TBY63" s="44">
        <f t="shared" si="331"/>
        <v>0</v>
      </c>
      <c r="TBZ63" s="44">
        <f t="shared" si="331"/>
        <v>0</v>
      </c>
      <c r="TCA63" s="44">
        <f t="shared" si="331"/>
        <v>0</v>
      </c>
      <c r="TCB63" s="44">
        <f t="shared" si="331"/>
        <v>0</v>
      </c>
      <c r="TCC63" s="44">
        <f t="shared" si="331"/>
        <v>0</v>
      </c>
      <c r="TCD63" s="44">
        <f t="shared" si="331"/>
        <v>0</v>
      </c>
      <c r="TCE63" s="44">
        <f t="shared" si="331"/>
        <v>0</v>
      </c>
      <c r="TCF63" s="44">
        <f t="shared" si="331"/>
        <v>0</v>
      </c>
      <c r="TCG63" s="44">
        <f t="shared" si="331"/>
        <v>0</v>
      </c>
      <c r="TCH63" s="44">
        <f t="shared" si="331"/>
        <v>0</v>
      </c>
      <c r="TCI63" s="44">
        <f t="shared" si="331"/>
        <v>0</v>
      </c>
      <c r="TCJ63" s="44">
        <f t="shared" si="331"/>
        <v>0</v>
      </c>
      <c r="TCK63" s="44">
        <f t="shared" si="331"/>
        <v>0</v>
      </c>
      <c r="TCL63" s="44">
        <f t="shared" si="331"/>
        <v>0</v>
      </c>
      <c r="TCM63" s="44">
        <f t="shared" si="331"/>
        <v>0</v>
      </c>
      <c r="TCN63" s="44">
        <f t="shared" si="331"/>
        <v>0</v>
      </c>
      <c r="TCO63" s="44">
        <f t="shared" si="331"/>
        <v>0</v>
      </c>
      <c r="TCP63" s="44">
        <f t="shared" si="331"/>
        <v>0</v>
      </c>
      <c r="TCQ63" s="44">
        <f t="shared" si="331"/>
        <v>0</v>
      </c>
      <c r="TCR63" s="44">
        <f t="shared" si="331"/>
        <v>0</v>
      </c>
      <c r="TCS63" s="44">
        <f t="shared" si="331"/>
        <v>0</v>
      </c>
      <c r="TCT63" s="44">
        <f t="shared" si="331"/>
        <v>0</v>
      </c>
      <c r="TCU63" s="44">
        <f t="shared" si="331"/>
        <v>0</v>
      </c>
      <c r="TCV63" s="44">
        <f t="shared" si="331"/>
        <v>0</v>
      </c>
      <c r="TCW63" s="44">
        <f t="shared" si="331"/>
        <v>0</v>
      </c>
      <c r="TCX63" s="44">
        <f t="shared" si="331"/>
        <v>0</v>
      </c>
      <c r="TCY63" s="44">
        <f t="shared" si="331"/>
        <v>0</v>
      </c>
      <c r="TCZ63" s="44">
        <f t="shared" si="331"/>
        <v>0</v>
      </c>
      <c r="TDA63" s="44">
        <f t="shared" si="331"/>
        <v>0</v>
      </c>
      <c r="TDB63" s="44">
        <f t="shared" si="331"/>
        <v>0</v>
      </c>
      <c r="TDC63" s="44">
        <f t="shared" si="331"/>
        <v>0</v>
      </c>
      <c r="TDD63" s="44">
        <f t="shared" si="331"/>
        <v>0</v>
      </c>
      <c r="TDE63" s="44">
        <f t="shared" si="331"/>
        <v>0</v>
      </c>
      <c r="TDF63" s="44">
        <f t="shared" si="331"/>
        <v>0</v>
      </c>
      <c r="TDG63" s="44">
        <f t="shared" si="331"/>
        <v>0</v>
      </c>
      <c r="TDH63" s="44">
        <f t="shared" si="331"/>
        <v>0</v>
      </c>
      <c r="TDI63" s="44">
        <f t="shared" si="331"/>
        <v>0</v>
      </c>
      <c r="TDJ63" s="44">
        <f t="shared" si="331"/>
        <v>0</v>
      </c>
      <c r="TDK63" s="44">
        <f t="shared" si="331"/>
        <v>0</v>
      </c>
      <c r="TDL63" s="44">
        <f t="shared" si="331"/>
        <v>0</v>
      </c>
      <c r="TDM63" s="44">
        <f t="shared" si="331"/>
        <v>0</v>
      </c>
      <c r="TDN63" s="44">
        <f t="shared" si="331"/>
        <v>0</v>
      </c>
      <c r="TDO63" s="44">
        <f t="shared" si="331"/>
        <v>0</v>
      </c>
      <c r="TDP63" s="44">
        <f t="shared" si="331"/>
        <v>0</v>
      </c>
      <c r="TDQ63" s="44">
        <f t="shared" si="331"/>
        <v>0</v>
      </c>
      <c r="TDR63" s="44">
        <f t="shared" si="331"/>
        <v>0</v>
      </c>
      <c r="TDS63" s="44">
        <f t="shared" si="331"/>
        <v>0</v>
      </c>
      <c r="TDT63" s="44">
        <f t="shared" si="331"/>
        <v>0</v>
      </c>
      <c r="TDU63" s="44">
        <f t="shared" si="331"/>
        <v>0</v>
      </c>
      <c r="TDV63" s="44">
        <f t="shared" si="331"/>
        <v>0</v>
      </c>
      <c r="TDW63" s="44">
        <f t="shared" si="331"/>
        <v>0</v>
      </c>
      <c r="TDX63" s="44">
        <f t="shared" si="331"/>
        <v>0</v>
      </c>
      <c r="TDY63" s="44">
        <f t="shared" si="331"/>
        <v>0</v>
      </c>
      <c r="TDZ63" s="44">
        <f t="shared" si="331"/>
        <v>0</v>
      </c>
      <c r="TEA63" s="44">
        <f t="shared" si="331"/>
        <v>0</v>
      </c>
      <c r="TEB63" s="44">
        <f t="shared" si="331"/>
        <v>0</v>
      </c>
      <c r="TEC63" s="44">
        <f t="shared" si="331"/>
        <v>0</v>
      </c>
      <c r="TED63" s="44">
        <f t="shared" ref="TED63:TGO63" si="332">SUM(TED56:TED57)</f>
        <v>0</v>
      </c>
      <c r="TEE63" s="44">
        <f t="shared" si="332"/>
        <v>0</v>
      </c>
      <c r="TEF63" s="44">
        <f t="shared" si="332"/>
        <v>0</v>
      </c>
      <c r="TEG63" s="44">
        <f t="shared" si="332"/>
        <v>0</v>
      </c>
      <c r="TEH63" s="44">
        <f t="shared" si="332"/>
        <v>0</v>
      </c>
      <c r="TEI63" s="44">
        <f t="shared" si="332"/>
        <v>0</v>
      </c>
      <c r="TEJ63" s="44">
        <f t="shared" si="332"/>
        <v>0</v>
      </c>
      <c r="TEK63" s="44">
        <f t="shared" si="332"/>
        <v>0</v>
      </c>
      <c r="TEL63" s="44">
        <f t="shared" si="332"/>
        <v>0</v>
      </c>
      <c r="TEM63" s="44">
        <f t="shared" si="332"/>
        <v>0</v>
      </c>
      <c r="TEN63" s="44">
        <f t="shared" si="332"/>
        <v>0</v>
      </c>
      <c r="TEO63" s="44">
        <f t="shared" si="332"/>
        <v>0</v>
      </c>
      <c r="TEP63" s="44">
        <f t="shared" si="332"/>
        <v>0</v>
      </c>
      <c r="TEQ63" s="44">
        <f t="shared" si="332"/>
        <v>0</v>
      </c>
      <c r="TER63" s="44">
        <f t="shared" si="332"/>
        <v>0</v>
      </c>
      <c r="TES63" s="44">
        <f t="shared" si="332"/>
        <v>0</v>
      </c>
      <c r="TET63" s="44">
        <f t="shared" si="332"/>
        <v>0</v>
      </c>
      <c r="TEU63" s="44">
        <f t="shared" si="332"/>
        <v>0</v>
      </c>
      <c r="TEV63" s="44">
        <f t="shared" si="332"/>
        <v>0</v>
      </c>
      <c r="TEW63" s="44">
        <f t="shared" si="332"/>
        <v>0</v>
      </c>
      <c r="TEX63" s="44">
        <f t="shared" si="332"/>
        <v>0</v>
      </c>
      <c r="TEY63" s="44">
        <f t="shared" si="332"/>
        <v>0</v>
      </c>
      <c r="TEZ63" s="44">
        <f t="shared" si="332"/>
        <v>0</v>
      </c>
      <c r="TFA63" s="44">
        <f t="shared" si="332"/>
        <v>0</v>
      </c>
      <c r="TFB63" s="44">
        <f t="shared" si="332"/>
        <v>0</v>
      </c>
      <c r="TFC63" s="44">
        <f t="shared" si="332"/>
        <v>0</v>
      </c>
      <c r="TFD63" s="44">
        <f t="shared" si="332"/>
        <v>0</v>
      </c>
      <c r="TFE63" s="44">
        <f t="shared" si="332"/>
        <v>0</v>
      </c>
      <c r="TFF63" s="44">
        <f t="shared" si="332"/>
        <v>0</v>
      </c>
      <c r="TFG63" s="44">
        <f t="shared" si="332"/>
        <v>0</v>
      </c>
      <c r="TFH63" s="44">
        <f t="shared" si="332"/>
        <v>0</v>
      </c>
      <c r="TFI63" s="44">
        <f t="shared" si="332"/>
        <v>0</v>
      </c>
      <c r="TFJ63" s="44">
        <f t="shared" si="332"/>
        <v>0</v>
      </c>
      <c r="TFK63" s="44">
        <f t="shared" si="332"/>
        <v>0</v>
      </c>
      <c r="TFL63" s="44">
        <f t="shared" si="332"/>
        <v>0</v>
      </c>
      <c r="TFM63" s="44">
        <f t="shared" si="332"/>
        <v>0</v>
      </c>
      <c r="TFN63" s="44">
        <f t="shared" si="332"/>
        <v>0</v>
      </c>
      <c r="TFO63" s="44">
        <f t="shared" si="332"/>
        <v>0</v>
      </c>
      <c r="TFP63" s="44">
        <f t="shared" si="332"/>
        <v>0</v>
      </c>
      <c r="TFQ63" s="44">
        <f t="shared" si="332"/>
        <v>0</v>
      </c>
      <c r="TFR63" s="44">
        <f t="shared" si="332"/>
        <v>0</v>
      </c>
      <c r="TFS63" s="44">
        <f t="shared" si="332"/>
        <v>0</v>
      </c>
      <c r="TFT63" s="44">
        <f t="shared" si="332"/>
        <v>0</v>
      </c>
      <c r="TFU63" s="44">
        <f t="shared" si="332"/>
        <v>0</v>
      </c>
      <c r="TFV63" s="44">
        <f t="shared" si="332"/>
        <v>0</v>
      </c>
      <c r="TFW63" s="44">
        <f t="shared" si="332"/>
        <v>0</v>
      </c>
      <c r="TFX63" s="44">
        <f t="shared" si="332"/>
        <v>0</v>
      </c>
      <c r="TFY63" s="44">
        <f t="shared" si="332"/>
        <v>0</v>
      </c>
      <c r="TFZ63" s="44">
        <f t="shared" si="332"/>
        <v>0</v>
      </c>
      <c r="TGA63" s="44">
        <f t="shared" si="332"/>
        <v>0</v>
      </c>
      <c r="TGB63" s="44">
        <f t="shared" si="332"/>
        <v>0</v>
      </c>
      <c r="TGC63" s="44">
        <f t="shared" si="332"/>
        <v>0</v>
      </c>
      <c r="TGD63" s="44">
        <f t="shared" si="332"/>
        <v>0</v>
      </c>
      <c r="TGE63" s="44">
        <f t="shared" si="332"/>
        <v>0</v>
      </c>
      <c r="TGF63" s="44">
        <f t="shared" si="332"/>
        <v>0</v>
      </c>
      <c r="TGG63" s="44">
        <f t="shared" si="332"/>
        <v>0</v>
      </c>
      <c r="TGH63" s="44">
        <f t="shared" si="332"/>
        <v>0</v>
      </c>
      <c r="TGI63" s="44">
        <f t="shared" si="332"/>
        <v>0</v>
      </c>
      <c r="TGJ63" s="44">
        <f t="shared" si="332"/>
        <v>0</v>
      </c>
      <c r="TGK63" s="44">
        <f t="shared" si="332"/>
        <v>0</v>
      </c>
      <c r="TGL63" s="44">
        <f t="shared" si="332"/>
        <v>0</v>
      </c>
      <c r="TGM63" s="44">
        <f t="shared" si="332"/>
        <v>0</v>
      </c>
      <c r="TGN63" s="44">
        <f t="shared" si="332"/>
        <v>0</v>
      </c>
      <c r="TGO63" s="44">
        <f t="shared" si="332"/>
        <v>0</v>
      </c>
      <c r="TGP63" s="44">
        <f t="shared" ref="TGP63:TJA63" si="333">SUM(TGP56:TGP57)</f>
        <v>0</v>
      </c>
      <c r="TGQ63" s="44">
        <f t="shared" si="333"/>
        <v>0</v>
      </c>
      <c r="TGR63" s="44">
        <f t="shared" si="333"/>
        <v>0</v>
      </c>
      <c r="TGS63" s="44">
        <f t="shared" si="333"/>
        <v>0</v>
      </c>
      <c r="TGT63" s="44">
        <f t="shared" si="333"/>
        <v>0</v>
      </c>
      <c r="TGU63" s="44">
        <f t="shared" si="333"/>
        <v>0</v>
      </c>
      <c r="TGV63" s="44">
        <f t="shared" si="333"/>
        <v>0</v>
      </c>
      <c r="TGW63" s="44">
        <f t="shared" si="333"/>
        <v>0</v>
      </c>
      <c r="TGX63" s="44">
        <f t="shared" si="333"/>
        <v>0</v>
      </c>
      <c r="TGY63" s="44">
        <f t="shared" si="333"/>
        <v>0</v>
      </c>
      <c r="TGZ63" s="44">
        <f t="shared" si="333"/>
        <v>0</v>
      </c>
      <c r="THA63" s="44">
        <f t="shared" si="333"/>
        <v>0</v>
      </c>
      <c r="THB63" s="44">
        <f t="shared" si="333"/>
        <v>0</v>
      </c>
      <c r="THC63" s="44">
        <f t="shared" si="333"/>
        <v>0</v>
      </c>
      <c r="THD63" s="44">
        <f t="shared" si="333"/>
        <v>0</v>
      </c>
      <c r="THE63" s="44">
        <f t="shared" si="333"/>
        <v>0</v>
      </c>
      <c r="THF63" s="44">
        <f t="shared" si="333"/>
        <v>0</v>
      </c>
      <c r="THG63" s="44">
        <f t="shared" si="333"/>
        <v>0</v>
      </c>
      <c r="THH63" s="44">
        <f t="shared" si="333"/>
        <v>0</v>
      </c>
      <c r="THI63" s="44">
        <f t="shared" si="333"/>
        <v>0</v>
      </c>
      <c r="THJ63" s="44">
        <f t="shared" si="333"/>
        <v>0</v>
      </c>
      <c r="THK63" s="44">
        <f t="shared" si="333"/>
        <v>0</v>
      </c>
      <c r="THL63" s="44">
        <f t="shared" si="333"/>
        <v>0</v>
      </c>
      <c r="THM63" s="44">
        <f t="shared" si="333"/>
        <v>0</v>
      </c>
      <c r="THN63" s="44">
        <f t="shared" si="333"/>
        <v>0</v>
      </c>
      <c r="THO63" s="44">
        <f t="shared" si="333"/>
        <v>0</v>
      </c>
      <c r="THP63" s="44">
        <f t="shared" si="333"/>
        <v>0</v>
      </c>
      <c r="THQ63" s="44">
        <f t="shared" si="333"/>
        <v>0</v>
      </c>
      <c r="THR63" s="44">
        <f t="shared" si="333"/>
        <v>0</v>
      </c>
      <c r="THS63" s="44">
        <f t="shared" si="333"/>
        <v>0</v>
      </c>
      <c r="THT63" s="44">
        <f t="shared" si="333"/>
        <v>0</v>
      </c>
      <c r="THU63" s="44">
        <f t="shared" si="333"/>
        <v>0</v>
      </c>
      <c r="THV63" s="44">
        <f t="shared" si="333"/>
        <v>0</v>
      </c>
      <c r="THW63" s="44">
        <f t="shared" si="333"/>
        <v>0</v>
      </c>
      <c r="THX63" s="44">
        <f t="shared" si="333"/>
        <v>0</v>
      </c>
      <c r="THY63" s="44">
        <f t="shared" si="333"/>
        <v>0</v>
      </c>
      <c r="THZ63" s="44">
        <f t="shared" si="333"/>
        <v>0</v>
      </c>
      <c r="TIA63" s="44">
        <f t="shared" si="333"/>
        <v>0</v>
      </c>
      <c r="TIB63" s="44">
        <f t="shared" si="333"/>
        <v>0</v>
      </c>
      <c r="TIC63" s="44">
        <f t="shared" si="333"/>
        <v>0</v>
      </c>
      <c r="TID63" s="44">
        <f t="shared" si="333"/>
        <v>0</v>
      </c>
      <c r="TIE63" s="44">
        <f t="shared" si="333"/>
        <v>0</v>
      </c>
      <c r="TIF63" s="44">
        <f t="shared" si="333"/>
        <v>0</v>
      </c>
      <c r="TIG63" s="44">
        <f t="shared" si="333"/>
        <v>0</v>
      </c>
      <c r="TIH63" s="44">
        <f t="shared" si="333"/>
        <v>0</v>
      </c>
      <c r="TII63" s="44">
        <f t="shared" si="333"/>
        <v>0</v>
      </c>
      <c r="TIJ63" s="44">
        <f t="shared" si="333"/>
        <v>0</v>
      </c>
      <c r="TIK63" s="44">
        <f t="shared" si="333"/>
        <v>0</v>
      </c>
      <c r="TIL63" s="44">
        <f t="shared" si="333"/>
        <v>0</v>
      </c>
      <c r="TIM63" s="44">
        <f t="shared" si="333"/>
        <v>0</v>
      </c>
      <c r="TIN63" s="44">
        <f t="shared" si="333"/>
        <v>0</v>
      </c>
      <c r="TIO63" s="44">
        <f t="shared" si="333"/>
        <v>0</v>
      </c>
      <c r="TIP63" s="44">
        <f t="shared" si="333"/>
        <v>0</v>
      </c>
      <c r="TIQ63" s="44">
        <f t="shared" si="333"/>
        <v>0</v>
      </c>
      <c r="TIR63" s="44">
        <f t="shared" si="333"/>
        <v>0</v>
      </c>
      <c r="TIS63" s="44">
        <f t="shared" si="333"/>
        <v>0</v>
      </c>
      <c r="TIT63" s="44">
        <f t="shared" si="333"/>
        <v>0</v>
      </c>
      <c r="TIU63" s="44">
        <f t="shared" si="333"/>
        <v>0</v>
      </c>
      <c r="TIV63" s="44">
        <f t="shared" si="333"/>
        <v>0</v>
      </c>
      <c r="TIW63" s="44">
        <f t="shared" si="333"/>
        <v>0</v>
      </c>
      <c r="TIX63" s="44">
        <f t="shared" si="333"/>
        <v>0</v>
      </c>
      <c r="TIY63" s="44">
        <f t="shared" si="333"/>
        <v>0</v>
      </c>
      <c r="TIZ63" s="44">
        <f t="shared" si="333"/>
        <v>0</v>
      </c>
      <c r="TJA63" s="44">
        <f t="shared" si="333"/>
        <v>0</v>
      </c>
      <c r="TJB63" s="44">
        <f t="shared" ref="TJB63:TLM63" si="334">SUM(TJB56:TJB57)</f>
        <v>0</v>
      </c>
      <c r="TJC63" s="44">
        <f t="shared" si="334"/>
        <v>0</v>
      </c>
      <c r="TJD63" s="44">
        <f t="shared" si="334"/>
        <v>0</v>
      </c>
      <c r="TJE63" s="44">
        <f t="shared" si="334"/>
        <v>0</v>
      </c>
      <c r="TJF63" s="44">
        <f t="shared" si="334"/>
        <v>0</v>
      </c>
      <c r="TJG63" s="44">
        <f t="shared" si="334"/>
        <v>0</v>
      </c>
      <c r="TJH63" s="44">
        <f t="shared" si="334"/>
        <v>0</v>
      </c>
      <c r="TJI63" s="44">
        <f t="shared" si="334"/>
        <v>0</v>
      </c>
      <c r="TJJ63" s="44">
        <f t="shared" si="334"/>
        <v>0</v>
      </c>
      <c r="TJK63" s="44">
        <f t="shared" si="334"/>
        <v>0</v>
      </c>
      <c r="TJL63" s="44">
        <f t="shared" si="334"/>
        <v>0</v>
      </c>
      <c r="TJM63" s="44">
        <f t="shared" si="334"/>
        <v>0</v>
      </c>
      <c r="TJN63" s="44">
        <f t="shared" si="334"/>
        <v>0</v>
      </c>
      <c r="TJO63" s="44">
        <f t="shared" si="334"/>
        <v>0</v>
      </c>
      <c r="TJP63" s="44">
        <f t="shared" si="334"/>
        <v>0</v>
      </c>
      <c r="TJQ63" s="44">
        <f t="shared" si="334"/>
        <v>0</v>
      </c>
      <c r="TJR63" s="44">
        <f t="shared" si="334"/>
        <v>0</v>
      </c>
      <c r="TJS63" s="44">
        <f t="shared" si="334"/>
        <v>0</v>
      </c>
      <c r="TJT63" s="44">
        <f t="shared" si="334"/>
        <v>0</v>
      </c>
      <c r="TJU63" s="44">
        <f t="shared" si="334"/>
        <v>0</v>
      </c>
      <c r="TJV63" s="44">
        <f t="shared" si="334"/>
        <v>0</v>
      </c>
      <c r="TJW63" s="44">
        <f t="shared" si="334"/>
        <v>0</v>
      </c>
      <c r="TJX63" s="44">
        <f t="shared" si="334"/>
        <v>0</v>
      </c>
      <c r="TJY63" s="44">
        <f t="shared" si="334"/>
        <v>0</v>
      </c>
      <c r="TJZ63" s="44">
        <f t="shared" si="334"/>
        <v>0</v>
      </c>
      <c r="TKA63" s="44">
        <f t="shared" si="334"/>
        <v>0</v>
      </c>
      <c r="TKB63" s="44">
        <f t="shared" si="334"/>
        <v>0</v>
      </c>
      <c r="TKC63" s="44">
        <f t="shared" si="334"/>
        <v>0</v>
      </c>
      <c r="TKD63" s="44">
        <f t="shared" si="334"/>
        <v>0</v>
      </c>
      <c r="TKE63" s="44">
        <f t="shared" si="334"/>
        <v>0</v>
      </c>
      <c r="TKF63" s="44">
        <f t="shared" si="334"/>
        <v>0</v>
      </c>
      <c r="TKG63" s="44">
        <f t="shared" si="334"/>
        <v>0</v>
      </c>
      <c r="TKH63" s="44">
        <f t="shared" si="334"/>
        <v>0</v>
      </c>
      <c r="TKI63" s="44">
        <f t="shared" si="334"/>
        <v>0</v>
      </c>
      <c r="TKJ63" s="44">
        <f t="shared" si="334"/>
        <v>0</v>
      </c>
      <c r="TKK63" s="44">
        <f t="shared" si="334"/>
        <v>0</v>
      </c>
      <c r="TKL63" s="44">
        <f t="shared" si="334"/>
        <v>0</v>
      </c>
      <c r="TKM63" s="44">
        <f t="shared" si="334"/>
        <v>0</v>
      </c>
      <c r="TKN63" s="44">
        <f t="shared" si="334"/>
        <v>0</v>
      </c>
      <c r="TKO63" s="44">
        <f t="shared" si="334"/>
        <v>0</v>
      </c>
      <c r="TKP63" s="44">
        <f t="shared" si="334"/>
        <v>0</v>
      </c>
      <c r="TKQ63" s="44">
        <f t="shared" si="334"/>
        <v>0</v>
      </c>
      <c r="TKR63" s="44">
        <f t="shared" si="334"/>
        <v>0</v>
      </c>
      <c r="TKS63" s="44">
        <f t="shared" si="334"/>
        <v>0</v>
      </c>
      <c r="TKT63" s="44">
        <f t="shared" si="334"/>
        <v>0</v>
      </c>
      <c r="TKU63" s="44">
        <f t="shared" si="334"/>
        <v>0</v>
      </c>
      <c r="TKV63" s="44">
        <f t="shared" si="334"/>
        <v>0</v>
      </c>
      <c r="TKW63" s="44">
        <f t="shared" si="334"/>
        <v>0</v>
      </c>
      <c r="TKX63" s="44">
        <f t="shared" si="334"/>
        <v>0</v>
      </c>
      <c r="TKY63" s="44">
        <f t="shared" si="334"/>
        <v>0</v>
      </c>
      <c r="TKZ63" s="44">
        <f t="shared" si="334"/>
        <v>0</v>
      </c>
      <c r="TLA63" s="44">
        <f t="shared" si="334"/>
        <v>0</v>
      </c>
      <c r="TLB63" s="44">
        <f t="shared" si="334"/>
        <v>0</v>
      </c>
      <c r="TLC63" s="44">
        <f t="shared" si="334"/>
        <v>0</v>
      </c>
      <c r="TLD63" s="44">
        <f t="shared" si="334"/>
        <v>0</v>
      </c>
      <c r="TLE63" s="44">
        <f t="shared" si="334"/>
        <v>0</v>
      </c>
      <c r="TLF63" s="44">
        <f t="shared" si="334"/>
        <v>0</v>
      </c>
      <c r="TLG63" s="44">
        <f t="shared" si="334"/>
        <v>0</v>
      </c>
      <c r="TLH63" s="44">
        <f t="shared" si="334"/>
        <v>0</v>
      </c>
      <c r="TLI63" s="44">
        <f t="shared" si="334"/>
        <v>0</v>
      </c>
      <c r="TLJ63" s="44">
        <f t="shared" si="334"/>
        <v>0</v>
      </c>
      <c r="TLK63" s="44">
        <f t="shared" si="334"/>
        <v>0</v>
      </c>
      <c r="TLL63" s="44">
        <f t="shared" si="334"/>
        <v>0</v>
      </c>
      <c r="TLM63" s="44">
        <f t="shared" si="334"/>
        <v>0</v>
      </c>
      <c r="TLN63" s="44">
        <f t="shared" ref="TLN63:TNY63" si="335">SUM(TLN56:TLN57)</f>
        <v>0</v>
      </c>
      <c r="TLO63" s="44">
        <f t="shared" si="335"/>
        <v>0</v>
      </c>
      <c r="TLP63" s="44">
        <f t="shared" si="335"/>
        <v>0</v>
      </c>
      <c r="TLQ63" s="44">
        <f t="shared" si="335"/>
        <v>0</v>
      </c>
      <c r="TLR63" s="44">
        <f t="shared" si="335"/>
        <v>0</v>
      </c>
      <c r="TLS63" s="44">
        <f t="shared" si="335"/>
        <v>0</v>
      </c>
      <c r="TLT63" s="44">
        <f t="shared" si="335"/>
        <v>0</v>
      </c>
      <c r="TLU63" s="44">
        <f t="shared" si="335"/>
        <v>0</v>
      </c>
      <c r="TLV63" s="44">
        <f t="shared" si="335"/>
        <v>0</v>
      </c>
      <c r="TLW63" s="44">
        <f t="shared" si="335"/>
        <v>0</v>
      </c>
      <c r="TLX63" s="44">
        <f t="shared" si="335"/>
        <v>0</v>
      </c>
      <c r="TLY63" s="44">
        <f t="shared" si="335"/>
        <v>0</v>
      </c>
      <c r="TLZ63" s="44">
        <f t="shared" si="335"/>
        <v>0</v>
      </c>
      <c r="TMA63" s="44">
        <f t="shared" si="335"/>
        <v>0</v>
      </c>
      <c r="TMB63" s="44">
        <f t="shared" si="335"/>
        <v>0</v>
      </c>
      <c r="TMC63" s="44">
        <f t="shared" si="335"/>
        <v>0</v>
      </c>
      <c r="TMD63" s="44">
        <f t="shared" si="335"/>
        <v>0</v>
      </c>
      <c r="TME63" s="44">
        <f t="shared" si="335"/>
        <v>0</v>
      </c>
      <c r="TMF63" s="44">
        <f t="shared" si="335"/>
        <v>0</v>
      </c>
      <c r="TMG63" s="44">
        <f t="shared" si="335"/>
        <v>0</v>
      </c>
      <c r="TMH63" s="44">
        <f t="shared" si="335"/>
        <v>0</v>
      </c>
      <c r="TMI63" s="44">
        <f t="shared" si="335"/>
        <v>0</v>
      </c>
      <c r="TMJ63" s="44">
        <f t="shared" si="335"/>
        <v>0</v>
      </c>
      <c r="TMK63" s="44">
        <f t="shared" si="335"/>
        <v>0</v>
      </c>
      <c r="TML63" s="44">
        <f t="shared" si="335"/>
        <v>0</v>
      </c>
      <c r="TMM63" s="44">
        <f t="shared" si="335"/>
        <v>0</v>
      </c>
      <c r="TMN63" s="44">
        <f t="shared" si="335"/>
        <v>0</v>
      </c>
      <c r="TMO63" s="44">
        <f t="shared" si="335"/>
        <v>0</v>
      </c>
      <c r="TMP63" s="44">
        <f t="shared" si="335"/>
        <v>0</v>
      </c>
      <c r="TMQ63" s="44">
        <f t="shared" si="335"/>
        <v>0</v>
      </c>
      <c r="TMR63" s="44">
        <f t="shared" si="335"/>
        <v>0</v>
      </c>
      <c r="TMS63" s="44">
        <f t="shared" si="335"/>
        <v>0</v>
      </c>
      <c r="TMT63" s="44">
        <f t="shared" si="335"/>
        <v>0</v>
      </c>
      <c r="TMU63" s="44">
        <f t="shared" si="335"/>
        <v>0</v>
      </c>
      <c r="TMV63" s="44">
        <f t="shared" si="335"/>
        <v>0</v>
      </c>
      <c r="TMW63" s="44">
        <f t="shared" si="335"/>
        <v>0</v>
      </c>
      <c r="TMX63" s="44">
        <f t="shared" si="335"/>
        <v>0</v>
      </c>
      <c r="TMY63" s="44">
        <f t="shared" si="335"/>
        <v>0</v>
      </c>
      <c r="TMZ63" s="44">
        <f t="shared" si="335"/>
        <v>0</v>
      </c>
      <c r="TNA63" s="44">
        <f t="shared" si="335"/>
        <v>0</v>
      </c>
      <c r="TNB63" s="44">
        <f t="shared" si="335"/>
        <v>0</v>
      </c>
      <c r="TNC63" s="44">
        <f t="shared" si="335"/>
        <v>0</v>
      </c>
      <c r="TND63" s="44">
        <f t="shared" si="335"/>
        <v>0</v>
      </c>
      <c r="TNE63" s="44">
        <f t="shared" si="335"/>
        <v>0</v>
      </c>
      <c r="TNF63" s="44">
        <f t="shared" si="335"/>
        <v>0</v>
      </c>
      <c r="TNG63" s="44">
        <f t="shared" si="335"/>
        <v>0</v>
      </c>
      <c r="TNH63" s="44">
        <f t="shared" si="335"/>
        <v>0</v>
      </c>
      <c r="TNI63" s="44">
        <f t="shared" si="335"/>
        <v>0</v>
      </c>
      <c r="TNJ63" s="44">
        <f t="shared" si="335"/>
        <v>0</v>
      </c>
      <c r="TNK63" s="44">
        <f t="shared" si="335"/>
        <v>0</v>
      </c>
      <c r="TNL63" s="44">
        <f t="shared" si="335"/>
        <v>0</v>
      </c>
      <c r="TNM63" s="44">
        <f t="shared" si="335"/>
        <v>0</v>
      </c>
      <c r="TNN63" s="44">
        <f t="shared" si="335"/>
        <v>0</v>
      </c>
      <c r="TNO63" s="44">
        <f t="shared" si="335"/>
        <v>0</v>
      </c>
      <c r="TNP63" s="44">
        <f t="shared" si="335"/>
        <v>0</v>
      </c>
      <c r="TNQ63" s="44">
        <f t="shared" si="335"/>
        <v>0</v>
      </c>
      <c r="TNR63" s="44">
        <f t="shared" si="335"/>
        <v>0</v>
      </c>
      <c r="TNS63" s="44">
        <f t="shared" si="335"/>
        <v>0</v>
      </c>
      <c r="TNT63" s="44">
        <f t="shared" si="335"/>
        <v>0</v>
      </c>
      <c r="TNU63" s="44">
        <f t="shared" si="335"/>
        <v>0</v>
      </c>
      <c r="TNV63" s="44">
        <f t="shared" si="335"/>
        <v>0</v>
      </c>
      <c r="TNW63" s="44">
        <f t="shared" si="335"/>
        <v>0</v>
      </c>
      <c r="TNX63" s="44">
        <f t="shared" si="335"/>
        <v>0</v>
      </c>
      <c r="TNY63" s="44">
        <f t="shared" si="335"/>
        <v>0</v>
      </c>
      <c r="TNZ63" s="44">
        <f t="shared" ref="TNZ63:TQK63" si="336">SUM(TNZ56:TNZ57)</f>
        <v>0</v>
      </c>
      <c r="TOA63" s="44">
        <f t="shared" si="336"/>
        <v>0</v>
      </c>
      <c r="TOB63" s="44">
        <f t="shared" si="336"/>
        <v>0</v>
      </c>
      <c r="TOC63" s="44">
        <f t="shared" si="336"/>
        <v>0</v>
      </c>
      <c r="TOD63" s="44">
        <f t="shared" si="336"/>
        <v>0</v>
      </c>
      <c r="TOE63" s="44">
        <f t="shared" si="336"/>
        <v>0</v>
      </c>
      <c r="TOF63" s="44">
        <f t="shared" si="336"/>
        <v>0</v>
      </c>
      <c r="TOG63" s="44">
        <f t="shared" si="336"/>
        <v>0</v>
      </c>
      <c r="TOH63" s="44">
        <f t="shared" si="336"/>
        <v>0</v>
      </c>
      <c r="TOI63" s="44">
        <f t="shared" si="336"/>
        <v>0</v>
      </c>
      <c r="TOJ63" s="44">
        <f t="shared" si="336"/>
        <v>0</v>
      </c>
      <c r="TOK63" s="44">
        <f t="shared" si="336"/>
        <v>0</v>
      </c>
      <c r="TOL63" s="44">
        <f t="shared" si="336"/>
        <v>0</v>
      </c>
      <c r="TOM63" s="44">
        <f t="shared" si="336"/>
        <v>0</v>
      </c>
      <c r="TON63" s="44">
        <f t="shared" si="336"/>
        <v>0</v>
      </c>
      <c r="TOO63" s="44">
        <f t="shared" si="336"/>
        <v>0</v>
      </c>
      <c r="TOP63" s="44">
        <f t="shared" si="336"/>
        <v>0</v>
      </c>
      <c r="TOQ63" s="44">
        <f t="shared" si="336"/>
        <v>0</v>
      </c>
      <c r="TOR63" s="44">
        <f t="shared" si="336"/>
        <v>0</v>
      </c>
      <c r="TOS63" s="44">
        <f t="shared" si="336"/>
        <v>0</v>
      </c>
      <c r="TOT63" s="44">
        <f t="shared" si="336"/>
        <v>0</v>
      </c>
      <c r="TOU63" s="44">
        <f t="shared" si="336"/>
        <v>0</v>
      </c>
      <c r="TOV63" s="44">
        <f t="shared" si="336"/>
        <v>0</v>
      </c>
      <c r="TOW63" s="44">
        <f t="shared" si="336"/>
        <v>0</v>
      </c>
      <c r="TOX63" s="44">
        <f t="shared" si="336"/>
        <v>0</v>
      </c>
      <c r="TOY63" s="44">
        <f t="shared" si="336"/>
        <v>0</v>
      </c>
      <c r="TOZ63" s="44">
        <f t="shared" si="336"/>
        <v>0</v>
      </c>
      <c r="TPA63" s="44">
        <f t="shared" si="336"/>
        <v>0</v>
      </c>
      <c r="TPB63" s="44">
        <f t="shared" si="336"/>
        <v>0</v>
      </c>
      <c r="TPC63" s="44">
        <f t="shared" si="336"/>
        <v>0</v>
      </c>
      <c r="TPD63" s="44">
        <f t="shared" si="336"/>
        <v>0</v>
      </c>
      <c r="TPE63" s="44">
        <f t="shared" si="336"/>
        <v>0</v>
      </c>
      <c r="TPF63" s="44">
        <f t="shared" si="336"/>
        <v>0</v>
      </c>
      <c r="TPG63" s="44">
        <f t="shared" si="336"/>
        <v>0</v>
      </c>
      <c r="TPH63" s="44">
        <f t="shared" si="336"/>
        <v>0</v>
      </c>
      <c r="TPI63" s="44">
        <f t="shared" si="336"/>
        <v>0</v>
      </c>
      <c r="TPJ63" s="44">
        <f t="shared" si="336"/>
        <v>0</v>
      </c>
      <c r="TPK63" s="44">
        <f t="shared" si="336"/>
        <v>0</v>
      </c>
      <c r="TPL63" s="44">
        <f t="shared" si="336"/>
        <v>0</v>
      </c>
      <c r="TPM63" s="44">
        <f t="shared" si="336"/>
        <v>0</v>
      </c>
      <c r="TPN63" s="44">
        <f t="shared" si="336"/>
        <v>0</v>
      </c>
      <c r="TPO63" s="44">
        <f t="shared" si="336"/>
        <v>0</v>
      </c>
      <c r="TPP63" s="44">
        <f t="shared" si="336"/>
        <v>0</v>
      </c>
      <c r="TPQ63" s="44">
        <f t="shared" si="336"/>
        <v>0</v>
      </c>
      <c r="TPR63" s="44">
        <f t="shared" si="336"/>
        <v>0</v>
      </c>
      <c r="TPS63" s="44">
        <f t="shared" si="336"/>
        <v>0</v>
      </c>
      <c r="TPT63" s="44">
        <f t="shared" si="336"/>
        <v>0</v>
      </c>
      <c r="TPU63" s="44">
        <f t="shared" si="336"/>
        <v>0</v>
      </c>
      <c r="TPV63" s="44">
        <f t="shared" si="336"/>
        <v>0</v>
      </c>
      <c r="TPW63" s="44">
        <f t="shared" si="336"/>
        <v>0</v>
      </c>
      <c r="TPX63" s="44">
        <f t="shared" si="336"/>
        <v>0</v>
      </c>
      <c r="TPY63" s="44">
        <f t="shared" si="336"/>
        <v>0</v>
      </c>
      <c r="TPZ63" s="44">
        <f t="shared" si="336"/>
        <v>0</v>
      </c>
      <c r="TQA63" s="44">
        <f t="shared" si="336"/>
        <v>0</v>
      </c>
      <c r="TQB63" s="44">
        <f t="shared" si="336"/>
        <v>0</v>
      </c>
      <c r="TQC63" s="44">
        <f t="shared" si="336"/>
        <v>0</v>
      </c>
      <c r="TQD63" s="44">
        <f t="shared" si="336"/>
        <v>0</v>
      </c>
      <c r="TQE63" s="44">
        <f t="shared" si="336"/>
        <v>0</v>
      </c>
      <c r="TQF63" s="44">
        <f t="shared" si="336"/>
        <v>0</v>
      </c>
      <c r="TQG63" s="44">
        <f t="shared" si="336"/>
        <v>0</v>
      </c>
      <c r="TQH63" s="44">
        <f t="shared" si="336"/>
        <v>0</v>
      </c>
      <c r="TQI63" s="44">
        <f t="shared" si="336"/>
        <v>0</v>
      </c>
      <c r="TQJ63" s="44">
        <f t="shared" si="336"/>
        <v>0</v>
      </c>
      <c r="TQK63" s="44">
        <f t="shared" si="336"/>
        <v>0</v>
      </c>
      <c r="TQL63" s="44">
        <f t="shared" ref="TQL63:TSW63" si="337">SUM(TQL56:TQL57)</f>
        <v>0</v>
      </c>
      <c r="TQM63" s="44">
        <f t="shared" si="337"/>
        <v>0</v>
      </c>
      <c r="TQN63" s="44">
        <f t="shared" si="337"/>
        <v>0</v>
      </c>
      <c r="TQO63" s="44">
        <f t="shared" si="337"/>
        <v>0</v>
      </c>
      <c r="TQP63" s="44">
        <f t="shared" si="337"/>
        <v>0</v>
      </c>
      <c r="TQQ63" s="44">
        <f t="shared" si="337"/>
        <v>0</v>
      </c>
      <c r="TQR63" s="44">
        <f t="shared" si="337"/>
        <v>0</v>
      </c>
      <c r="TQS63" s="44">
        <f t="shared" si="337"/>
        <v>0</v>
      </c>
      <c r="TQT63" s="44">
        <f t="shared" si="337"/>
        <v>0</v>
      </c>
      <c r="TQU63" s="44">
        <f t="shared" si="337"/>
        <v>0</v>
      </c>
      <c r="TQV63" s="44">
        <f t="shared" si="337"/>
        <v>0</v>
      </c>
      <c r="TQW63" s="44">
        <f t="shared" si="337"/>
        <v>0</v>
      </c>
      <c r="TQX63" s="44">
        <f t="shared" si="337"/>
        <v>0</v>
      </c>
      <c r="TQY63" s="44">
        <f t="shared" si="337"/>
        <v>0</v>
      </c>
      <c r="TQZ63" s="44">
        <f t="shared" si="337"/>
        <v>0</v>
      </c>
      <c r="TRA63" s="44">
        <f t="shared" si="337"/>
        <v>0</v>
      </c>
      <c r="TRB63" s="44">
        <f t="shared" si="337"/>
        <v>0</v>
      </c>
      <c r="TRC63" s="44">
        <f t="shared" si="337"/>
        <v>0</v>
      </c>
      <c r="TRD63" s="44">
        <f t="shared" si="337"/>
        <v>0</v>
      </c>
      <c r="TRE63" s="44">
        <f t="shared" si="337"/>
        <v>0</v>
      </c>
      <c r="TRF63" s="44">
        <f t="shared" si="337"/>
        <v>0</v>
      </c>
      <c r="TRG63" s="44">
        <f t="shared" si="337"/>
        <v>0</v>
      </c>
      <c r="TRH63" s="44">
        <f t="shared" si="337"/>
        <v>0</v>
      </c>
      <c r="TRI63" s="44">
        <f t="shared" si="337"/>
        <v>0</v>
      </c>
      <c r="TRJ63" s="44">
        <f t="shared" si="337"/>
        <v>0</v>
      </c>
      <c r="TRK63" s="44">
        <f t="shared" si="337"/>
        <v>0</v>
      </c>
      <c r="TRL63" s="44">
        <f t="shared" si="337"/>
        <v>0</v>
      </c>
      <c r="TRM63" s="44">
        <f t="shared" si="337"/>
        <v>0</v>
      </c>
      <c r="TRN63" s="44">
        <f t="shared" si="337"/>
        <v>0</v>
      </c>
      <c r="TRO63" s="44">
        <f t="shared" si="337"/>
        <v>0</v>
      </c>
      <c r="TRP63" s="44">
        <f t="shared" si="337"/>
        <v>0</v>
      </c>
      <c r="TRQ63" s="44">
        <f t="shared" si="337"/>
        <v>0</v>
      </c>
      <c r="TRR63" s="44">
        <f t="shared" si="337"/>
        <v>0</v>
      </c>
      <c r="TRS63" s="44">
        <f t="shared" si="337"/>
        <v>0</v>
      </c>
      <c r="TRT63" s="44">
        <f t="shared" si="337"/>
        <v>0</v>
      </c>
      <c r="TRU63" s="44">
        <f t="shared" si="337"/>
        <v>0</v>
      </c>
      <c r="TRV63" s="44">
        <f t="shared" si="337"/>
        <v>0</v>
      </c>
      <c r="TRW63" s="44">
        <f t="shared" si="337"/>
        <v>0</v>
      </c>
      <c r="TRX63" s="44">
        <f t="shared" si="337"/>
        <v>0</v>
      </c>
      <c r="TRY63" s="44">
        <f t="shared" si="337"/>
        <v>0</v>
      </c>
      <c r="TRZ63" s="44">
        <f t="shared" si="337"/>
        <v>0</v>
      </c>
      <c r="TSA63" s="44">
        <f t="shared" si="337"/>
        <v>0</v>
      </c>
      <c r="TSB63" s="44">
        <f t="shared" si="337"/>
        <v>0</v>
      </c>
      <c r="TSC63" s="44">
        <f t="shared" si="337"/>
        <v>0</v>
      </c>
      <c r="TSD63" s="44">
        <f t="shared" si="337"/>
        <v>0</v>
      </c>
      <c r="TSE63" s="44">
        <f t="shared" si="337"/>
        <v>0</v>
      </c>
      <c r="TSF63" s="44">
        <f t="shared" si="337"/>
        <v>0</v>
      </c>
      <c r="TSG63" s="44">
        <f t="shared" si="337"/>
        <v>0</v>
      </c>
      <c r="TSH63" s="44">
        <f t="shared" si="337"/>
        <v>0</v>
      </c>
      <c r="TSI63" s="44">
        <f t="shared" si="337"/>
        <v>0</v>
      </c>
      <c r="TSJ63" s="44">
        <f t="shared" si="337"/>
        <v>0</v>
      </c>
      <c r="TSK63" s="44">
        <f t="shared" si="337"/>
        <v>0</v>
      </c>
      <c r="TSL63" s="44">
        <f t="shared" si="337"/>
        <v>0</v>
      </c>
      <c r="TSM63" s="44">
        <f t="shared" si="337"/>
        <v>0</v>
      </c>
      <c r="TSN63" s="44">
        <f t="shared" si="337"/>
        <v>0</v>
      </c>
      <c r="TSO63" s="44">
        <f t="shared" si="337"/>
        <v>0</v>
      </c>
      <c r="TSP63" s="44">
        <f t="shared" si="337"/>
        <v>0</v>
      </c>
      <c r="TSQ63" s="44">
        <f t="shared" si="337"/>
        <v>0</v>
      </c>
      <c r="TSR63" s="44">
        <f t="shared" si="337"/>
        <v>0</v>
      </c>
      <c r="TSS63" s="44">
        <f t="shared" si="337"/>
        <v>0</v>
      </c>
      <c r="TST63" s="44">
        <f t="shared" si="337"/>
        <v>0</v>
      </c>
      <c r="TSU63" s="44">
        <f t="shared" si="337"/>
        <v>0</v>
      </c>
      <c r="TSV63" s="44">
        <f t="shared" si="337"/>
        <v>0</v>
      </c>
      <c r="TSW63" s="44">
        <f t="shared" si="337"/>
        <v>0</v>
      </c>
      <c r="TSX63" s="44">
        <f t="shared" ref="TSX63:TVI63" si="338">SUM(TSX56:TSX57)</f>
        <v>0</v>
      </c>
      <c r="TSY63" s="44">
        <f t="shared" si="338"/>
        <v>0</v>
      </c>
      <c r="TSZ63" s="44">
        <f t="shared" si="338"/>
        <v>0</v>
      </c>
      <c r="TTA63" s="44">
        <f t="shared" si="338"/>
        <v>0</v>
      </c>
      <c r="TTB63" s="44">
        <f t="shared" si="338"/>
        <v>0</v>
      </c>
      <c r="TTC63" s="44">
        <f t="shared" si="338"/>
        <v>0</v>
      </c>
      <c r="TTD63" s="44">
        <f t="shared" si="338"/>
        <v>0</v>
      </c>
      <c r="TTE63" s="44">
        <f t="shared" si="338"/>
        <v>0</v>
      </c>
      <c r="TTF63" s="44">
        <f t="shared" si="338"/>
        <v>0</v>
      </c>
      <c r="TTG63" s="44">
        <f t="shared" si="338"/>
        <v>0</v>
      </c>
      <c r="TTH63" s="44">
        <f t="shared" si="338"/>
        <v>0</v>
      </c>
      <c r="TTI63" s="44">
        <f t="shared" si="338"/>
        <v>0</v>
      </c>
      <c r="TTJ63" s="44">
        <f t="shared" si="338"/>
        <v>0</v>
      </c>
      <c r="TTK63" s="44">
        <f t="shared" si="338"/>
        <v>0</v>
      </c>
      <c r="TTL63" s="44">
        <f t="shared" si="338"/>
        <v>0</v>
      </c>
      <c r="TTM63" s="44">
        <f t="shared" si="338"/>
        <v>0</v>
      </c>
      <c r="TTN63" s="44">
        <f t="shared" si="338"/>
        <v>0</v>
      </c>
      <c r="TTO63" s="44">
        <f t="shared" si="338"/>
        <v>0</v>
      </c>
      <c r="TTP63" s="44">
        <f t="shared" si="338"/>
        <v>0</v>
      </c>
      <c r="TTQ63" s="44">
        <f t="shared" si="338"/>
        <v>0</v>
      </c>
      <c r="TTR63" s="44">
        <f t="shared" si="338"/>
        <v>0</v>
      </c>
      <c r="TTS63" s="44">
        <f t="shared" si="338"/>
        <v>0</v>
      </c>
      <c r="TTT63" s="44">
        <f t="shared" si="338"/>
        <v>0</v>
      </c>
      <c r="TTU63" s="44">
        <f t="shared" si="338"/>
        <v>0</v>
      </c>
      <c r="TTV63" s="44">
        <f t="shared" si="338"/>
        <v>0</v>
      </c>
      <c r="TTW63" s="44">
        <f t="shared" si="338"/>
        <v>0</v>
      </c>
      <c r="TTX63" s="44">
        <f t="shared" si="338"/>
        <v>0</v>
      </c>
      <c r="TTY63" s="44">
        <f t="shared" si="338"/>
        <v>0</v>
      </c>
      <c r="TTZ63" s="44">
        <f t="shared" si="338"/>
        <v>0</v>
      </c>
      <c r="TUA63" s="44">
        <f t="shared" si="338"/>
        <v>0</v>
      </c>
      <c r="TUB63" s="44">
        <f t="shared" si="338"/>
        <v>0</v>
      </c>
      <c r="TUC63" s="44">
        <f t="shared" si="338"/>
        <v>0</v>
      </c>
      <c r="TUD63" s="44">
        <f t="shared" si="338"/>
        <v>0</v>
      </c>
      <c r="TUE63" s="44">
        <f t="shared" si="338"/>
        <v>0</v>
      </c>
      <c r="TUF63" s="44">
        <f t="shared" si="338"/>
        <v>0</v>
      </c>
      <c r="TUG63" s="44">
        <f t="shared" si="338"/>
        <v>0</v>
      </c>
      <c r="TUH63" s="44">
        <f t="shared" si="338"/>
        <v>0</v>
      </c>
      <c r="TUI63" s="44">
        <f t="shared" si="338"/>
        <v>0</v>
      </c>
      <c r="TUJ63" s="44">
        <f t="shared" si="338"/>
        <v>0</v>
      </c>
      <c r="TUK63" s="44">
        <f t="shared" si="338"/>
        <v>0</v>
      </c>
      <c r="TUL63" s="44">
        <f t="shared" si="338"/>
        <v>0</v>
      </c>
      <c r="TUM63" s="44">
        <f t="shared" si="338"/>
        <v>0</v>
      </c>
      <c r="TUN63" s="44">
        <f t="shared" si="338"/>
        <v>0</v>
      </c>
      <c r="TUO63" s="44">
        <f t="shared" si="338"/>
        <v>0</v>
      </c>
      <c r="TUP63" s="44">
        <f t="shared" si="338"/>
        <v>0</v>
      </c>
      <c r="TUQ63" s="44">
        <f t="shared" si="338"/>
        <v>0</v>
      </c>
      <c r="TUR63" s="44">
        <f t="shared" si="338"/>
        <v>0</v>
      </c>
      <c r="TUS63" s="44">
        <f t="shared" si="338"/>
        <v>0</v>
      </c>
      <c r="TUT63" s="44">
        <f t="shared" si="338"/>
        <v>0</v>
      </c>
      <c r="TUU63" s="44">
        <f t="shared" si="338"/>
        <v>0</v>
      </c>
      <c r="TUV63" s="44">
        <f t="shared" si="338"/>
        <v>0</v>
      </c>
      <c r="TUW63" s="44">
        <f t="shared" si="338"/>
        <v>0</v>
      </c>
      <c r="TUX63" s="44">
        <f t="shared" si="338"/>
        <v>0</v>
      </c>
      <c r="TUY63" s="44">
        <f t="shared" si="338"/>
        <v>0</v>
      </c>
      <c r="TUZ63" s="44">
        <f t="shared" si="338"/>
        <v>0</v>
      </c>
      <c r="TVA63" s="44">
        <f t="shared" si="338"/>
        <v>0</v>
      </c>
      <c r="TVB63" s="44">
        <f t="shared" si="338"/>
        <v>0</v>
      </c>
      <c r="TVC63" s="44">
        <f t="shared" si="338"/>
        <v>0</v>
      </c>
      <c r="TVD63" s="44">
        <f t="shared" si="338"/>
        <v>0</v>
      </c>
      <c r="TVE63" s="44">
        <f t="shared" si="338"/>
        <v>0</v>
      </c>
      <c r="TVF63" s="44">
        <f t="shared" si="338"/>
        <v>0</v>
      </c>
      <c r="TVG63" s="44">
        <f t="shared" si="338"/>
        <v>0</v>
      </c>
      <c r="TVH63" s="44">
        <f t="shared" si="338"/>
        <v>0</v>
      </c>
      <c r="TVI63" s="44">
        <f t="shared" si="338"/>
        <v>0</v>
      </c>
      <c r="TVJ63" s="44">
        <f t="shared" ref="TVJ63:TXU63" si="339">SUM(TVJ56:TVJ57)</f>
        <v>0</v>
      </c>
      <c r="TVK63" s="44">
        <f t="shared" si="339"/>
        <v>0</v>
      </c>
      <c r="TVL63" s="44">
        <f t="shared" si="339"/>
        <v>0</v>
      </c>
      <c r="TVM63" s="44">
        <f t="shared" si="339"/>
        <v>0</v>
      </c>
      <c r="TVN63" s="44">
        <f t="shared" si="339"/>
        <v>0</v>
      </c>
      <c r="TVO63" s="44">
        <f t="shared" si="339"/>
        <v>0</v>
      </c>
      <c r="TVP63" s="44">
        <f t="shared" si="339"/>
        <v>0</v>
      </c>
      <c r="TVQ63" s="44">
        <f t="shared" si="339"/>
        <v>0</v>
      </c>
      <c r="TVR63" s="44">
        <f t="shared" si="339"/>
        <v>0</v>
      </c>
      <c r="TVS63" s="44">
        <f t="shared" si="339"/>
        <v>0</v>
      </c>
      <c r="TVT63" s="44">
        <f t="shared" si="339"/>
        <v>0</v>
      </c>
      <c r="TVU63" s="44">
        <f t="shared" si="339"/>
        <v>0</v>
      </c>
      <c r="TVV63" s="44">
        <f t="shared" si="339"/>
        <v>0</v>
      </c>
      <c r="TVW63" s="44">
        <f t="shared" si="339"/>
        <v>0</v>
      </c>
      <c r="TVX63" s="44">
        <f t="shared" si="339"/>
        <v>0</v>
      </c>
      <c r="TVY63" s="44">
        <f t="shared" si="339"/>
        <v>0</v>
      </c>
      <c r="TVZ63" s="44">
        <f t="shared" si="339"/>
        <v>0</v>
      </c>
      <c r="TWA63" s="44">
        <f t="shared" si="339"/>
        <v>0</v>
      </c>
      <c r="TWB63" s="44">
        <f t="shared" si="339"/>
        <v>0</v>
      </c>
      <c r="TWC63" s="44">
        <f t="shared" si="339"/>
        <v>0</v>
      </c>
      <c r="TWD63" s="44">
        <f t="shared" si="339"/>
        <v>0</v>
      </c>
      <c r="TWE63" s="44">
        <f t="shared" si="339"/>
        <v>0</v>
      </c>
      <c r="TWF63" s="44">
        <f t="shared" si="339"/>
        <v>0</v>
      </c>
      <c r="TWG63" s="44">
        <f t="shared" si="339"/>
        <v>0</v>
      </c>
      <c r="TWH63" s="44">
        <f t="shared" si="339"/>
        <v>0</v>
      </c>
      <c r="TWI63" s="44">
        <f t="shared" si="339"/>
        <v>0</v>
      </c>
      <c r="TWJ63" s="44">
        <f t="shared" si="339"/>
        <v>0</v>
      </c>
      <c r="TWK63" s="44">
        <f t="shared" si="339"/>
        <v>0</v>
      </c>
      <c r="TWL63" s="44">
        <f t="shared" si="339"/>
        <v>0</v>
      </c>
      <c r="TWM63" s="44">
        <f t="shared" si="339"/>
        <v>0</v>
      </c>
      <c r="TWN63" s="44">
        <f t="shared" si="339"/>
        <v>0</v>
      </c>
      <c r="TWO63" s="44">
        <f t="shared" si="339"/>
        <v>0</v>
      </c>
      <c r="TWP63" s="44">
        <f t="shared" si="339"/>
        <v>0</v>
      </c>
      <c r="TWQ63" s="44">
        <f t="shared" si="339"/>
        <v>0</v>
      </c>
      <c r="TWR63" s="44">
        <f t="shared" si="339"/>
        <v>0</v>
      </c>
      <c r="TWS63" s="44">
        <f t="shared" si="339"/>
        <v>0</v>
      </c>
      <c r="TWT63" s="44">
        <f t="shared" si="339"/>
        <v>0</v>
      </c>
      <c r="TWU63" s="44">
        <f t="shared" si="339"/>
        <v>0</v>
      </c>
      <c r="TWV63" s="44">
        <f t="shared" si="339"/>
        <v>0</v>
      </c>
      <c r="TWW63" s="44">
        <f t="shared" si="339"/>
        <v>0</v>
      </c>
      <c r="TWX63" s="44">
        <f t="shared" si="339"/>
        <v>0</v>
      </c>
      <c r="TWY63" s="44">
        <f t="shared" si="339"/>
        <v>0</v>
      </c>
      <c r="TWZ63" s="44">
        <f t="shared" si="339"/>
        <v>0</v>
      </c>
      <c r="TXA63" s="44">
        <f t="shared" si="339"/>
        <v>0</v>
      </c>
      <c r="TXB63" s="44">
        <f t="shared" si="339"/>
        <v>0</v>
      </c>
      <c r="TXC63" s="44">
        <f t="shared" si="339"/>
        <v>0</v>
      </c>
      <c r="TXD63" s="44">
        <f t="shared" si="339"/>
        <v>0</v>
      </c>
      <c r="TXE63" s="44">
        <f t="shared" si="339"/>
        <v>0</v>
      </c>
      <c r="TXF63" s="44">
        <f t="shared" si="339"/>
        <v>0</v>
      </c>
      <c r="TXG63" s="44">
        <f t="shared" si="339"/>
        <v>0</v>
      </c>
      <c r="TXH63" s="44">
        <f t="shared" si="339"/>
        <v>0</v>
      </c>
      <c r="TXI63" s="44">
        <f t="shared" si="339"/>
        <v>0</v>
      </c>
      <c r="TXJ63" s="44">
        <f t="shared" si="339"/>
        <v>0</v>
      </c>
      <c r="TXK63" s="44">
        <f t="shared" si="339"/>
        <v>0</v>
      </c>
      <c r="TXL63" s="44">
        <f t="shared" si="339"/>
        <v>0</v>
      </c>
      <c r="TXM63" s="44">
        <f t="shared" si="339"/>
        <v>0</v>
      </c>
      <c r="TXN63" s="44">
        <f t="shared" si="339"/>
        <v>0</v>
      </c>
      <c r="TXO63" s="44">
        <f t="shared" si="339"/>
        <v>0</v>
      </c>
      <c r="TXP63" s="44">
        <f t="shared" si="339"/>
        <v>0</v>
      </c>
      <c r="TXQ63" s="44">
        <f t="shared" si="339"/>
        <v>0</v>
      </c>
      <c r="TXR63" s="44">
        <f t="shared" si="339"/>
        <v>0</v>
      </c>
      <c r="TXS63" s="44">
        <f t="shared" si="339"/>
        <v>0</v>
      </c>
      <c r="TXT63" s="44">
        <f t="shared" si="339"/>
        <v>0</v>
      </c>
      <c r="TXU63" s="44">
        <f t="shared" si="339"/>
        <v>0</v>
      </c>
      <c r="TXV63" s="44">
        <f t="shared" ref="TXV63:UAG63" si="340">SUM(TXV56:TXV57)</f>
        <v>0</v>
      </c>
      <c r="TXW63" s="44">
        <f t="shared" si="340"/>
        <v>0</v>
      </c>
      <c r="TXX63" s="44">
        <f t="shared" si="340"/>
        <v>0</v>
      </c>
      <c r="TXY63" s="44">
        <f t="shared" si="340"/>
        <v>0</v>
      </c>
      <c r="TXZ63" s="44">
        <f t="shared" si="340"/>
        <v>0</v>
      </c>
      <c r="TYA63" s="44">
        <f t="shared" si="340"/>
        <v>0</v>
      </c>
      <c r="TYB63" s="44">
        <f t="shared" si="340"/>
        <v>0</v>
      </c>
      <c r="TYC63" s="44">
        <f t="shared" si="340"/>
        <v>0</v>
      </c>
      <c r="TYD63" s="44">
        <f t="shared" si="340"/>
        <v>0</v>
      </c>
      <c r="TYE63" s="44">
        <f t="shared" si="340"/>
        <v>0</v>
      </c>
      <c r="TYF63" s="44">
        <f t="shared" si="340"/>
        <v>0</v>
      </c>
      <c r="TYG63" s="44">
        <f t="shared" si="340"/>
        <v>0</v>
      </c>
      <c r="TYH63" s="44">
        <f t="shared" si="340"/>
        <v>0</v>
      </c>
      <c r="TYI63" s="44">
        <f t="shared" si="340"/>
        <v>0</v>
      </c>
      <c r="TYJ63" s="44">
        <f t="shared" si="340"/>
        <v>0</v>
      </c>
      <c r="TYK63" s="44">
        <f t="shared" si="340"/>
        <v>0</v>
      </c>
      <c r="TYL63" s="44">
        <f t="shared" si="340"/>
        <v>0</v>
      </c>
      <c r="TYM63" s="44">
        <f t="shared" si="340"/>
        <v>0</v>
      </c>
      <c r="TYN63" s="44">
        <f t="shared" si="340"/>
        <v>0</v>
      </c>
      <c r="TYO63" s="44">
        <f t="shared" si="340"/>
        <v>0</v>
      </c>
      <c r="TYP63" s="44">
        <f t="shared" si="340"/>
        <v>0</v>
      </c>
      <c r="TYQ63" s="44">
        <f t="shared" si="340"/>
        <v>0</v>
      </c>
      <c r="TYR63" s="44">
        <f t="shared" si="340"/>
        <v>0</v>
      </c>
      <c r="TYS63" s="44">
        <f t="shared" si="340"/>
        <v>0</v>
      </c>
      <c r="TYT63" s="44">
        <f t="shared" si="340"/>
        <v>0</v>
      </c>
      <c r="TYU63" s="44">
        <f t="shared" si="340"/>
        <v>0</v>
      </c>
      <c r="TYV63" s="44">
        <f t="shared" si="340"/>
        <v>0</v>
      </c>
      <c r="TYW63" s="44">
        <f t="shared" si="340"/>
        <v>0</v>
      </c>
      <c r="TYX63" s="44">
        <f t="shared" si="340"/>
        <v>0</v>
      </c>
      <c r="TYY63" s="44">
        <f t="shared" si="340"/>
        <v>0</v>
      </c>
      <c r="TYZ63" s="44">
        <f t="shared" si="340"/>
        <v>0</v>
      </c>
      <c r="TZA63" s="44">
        <f t="shared" si="340"/>
        <v>0</v>
      </c>
      <c r="TZB63" s="44">
        <f t="shared" si="340"/>
        <v>0</v>
      </c>
      <c r="TZC63" s="44">
        <f t="shared" si="340"/>
        <v>0</v>
      </c>
      <c r="TZD63" s="44">
        <f t="shared" si="340"/>
        <v>0</v>
      </c>
      <c r="TZE63" s="44">
        <f t="shared" si="340"/>
        <v>0</v>
      </c>
      <c r="TZF63" s="44">
        <f t="shared" si="340"/>
        <v>0</v>
      </c>
      <c r="TZG63" s="44">
        <f t="shared" si="340"/>
        <v>0</v>
      </c>
      <c r="TZH63" s="44">
        <f t="shared" si="340"/>
        <v>0</v>
      </c>
      <c r="TZI63" s="44">
        <f t="shared" si="340"/>
        <v>0</v>
      </c>
      <c r="TZJ63" s="44">
        <f t="shared" si="340"/>
        <v>0</v>
      </c>
      <c r="TZK63" s="44">
        <f t="shared" si="340"/>
        <v>0</v>
      </c>
      <c r="TZL63" s="44">
        <f t="shared" si="340"/>
        <v>0</v>
      </c>
      <c r="TZM63" s="44">
        <f t="shared" si="340"/>
        <v>0</v>
      </c>
      <c r="TZN63" s="44">
        <f t="shared" si="340"/>
        <v>0</v>
      </c>
      <c r="TZO63" s="44">
        <f t="shared" si="340"/>
        <v>0</v>
      </c>
      <c r="TZP63" s="44">
        <f t="shared" si="340"/>
        <v>0</v>
      </c>
      <c r="TZQ63" s="44">
        <f t="shared" si="340"/>
        <v>0</v>
      </c>
      <c r="TZR63" s="44">
        <f t="shared" si="340"/>
        <v>0</v>
      </c>
      <c r="TZS63" s="44">
        <f t="shared" si="340"/>
        <v>0</v>
      </c>
      <c r="TZT63" s="44">
        <f t="shared" si="340"/>
        <v>0</v>
      </c>
      <c r="TZU63" s="44">
        <f t="shared" si="340"/>
        <v>0</v>
      </c>
      <c r="TZV63" s="44">
        <f t="shared" si="340"/>
        <v>0</v>
      </c>
      <c r="TZW63" s="44">
        <f t="shared" si="340"/>
        <v>0</v>
      </c>
      <c r="TZX63" s="44">
        <f t="shared" si="340"/>
        <v>0</v>
      </c>
      <c r="TZY63" s="44">
        <f t="shared" si="340"/>
        <v>0</v>
      </c>
      <c r="TZZ63" s="44">
        <f t="shared" si="340"/>
        <v>0</v>
      </c>
      <c r="UAA63" s="44">
        <f t="shared" si="340"/>
        <v>0</v>
      </c>
      <c r="UAB63" s="44">
        <f t="shared" si="340"/>
        <v>0</v>
      </c>
      <c r="UAC63" s="44">
        <f t="shared" si="340"/>
        <v>0</v>
      </c>
      <c r="UAD63" s="44">
        <f t="shared" si="340"/>
        <v>0</v>
      </c>
      <c r="UAE63" s="44">
        <f t="shared" si="340"/>
        <v>0</v>
      </c>
      <c r="UAF63" s="44">
        <f t="shared" si="340"/>
        <v>0</v>
      </c>
      <c r="UAG63" s="44">
        <f t="shared" si="340"/>
        <v>0</v>
      </c>
      <c r="UAH63" s="44">
        <f t="shared" ref="UAH63:UCS63" si="341">SUM(UAH56:UAH57)</f>
        <v>0</v>
      </c>
      <c r="UAI63" s="44">
        <f t="shared" si="341"/>
        <v>0</v>
      </c>
      <c r="UAJ63" s="44">
        <f t="shared" si="341"/>
        <v>0</v>
      </c>
      <c r="UAK63" s="44">
        <f t="shared" si="341"/>
        <v>0</v>
      </c>
      <c r="UAL63" s="44">
        <f t="shared" si="341"/>
        <v>0</v>
      </c>
      <c r="UAM63" s="44">
        <f t="shared" si="341"/>
        <v>0</v>
      </c>
      <c r="UAN63" s="44">
        <f t="shared" si="341"/>
        <v>0</v>
      </c>
      <c r="UAO63" s="44">
        <f t="shared" si="341"/>
        <v>0</v>
      </c>
      <c r="UAP63" s="44">
        <f t="shared" si="341"/>
        <v>0</v>
      </c>
      <c r="UAQ63" s="44">
        <f t="shared" si="341"/>
        <v>0</v>
      </c>
      <c r="UAR63" s="44">
        <f t="shared" si="341"/>
        <v>0</v>
      </c>
      <c r="UAS63" s="44">
        <f t="shared" si="341"/>
        <v>0</v>
      </c>
      <c r="UAT63" s="44">
        <f t="shared" si="341"/>
        <v>0</v>
      </c>
      <c r="UAU63" s="44">
        <f t="shared" si="341"/>
        <v>0</v>
      </c>
      <c r="UAV63" s="44">
        <f t="shared" si="341"/>
        <v>0</v>
      </c>
      <c r="UAW63" s="44">
        <f t="shared" si="341"/>
        <v>0</v>
      </c>
      <c r="UAX63" s="44">
        <f t="shared" si="341"/>
        <v>0</v>
      </c>
      <c r="UAY63" s="44">
        <f t="shared" si="341"/>
        <v>0</v>
      </c>
      <c r="UAZ63" s="44">
        <f t="shared" si="341"/>
        <v>0</v>
      </c>
      <c r="UBA63" s="44">
        <f t="shared" si="341"/>
        <v>0</v>
      </c>
      <c r="UBB63" s="44">
        <f t="shared" si="341"/>
        <v>0</v>
      </c>
      <c r="UBC63" s="44">
        <f t="shared" si="341"/>
        <v>0</v>
      </c>
      <c r="UBD63" s="44">
        <f t="shared" si="341"/>
        <v>0</v>
      </c>
      <c r="UBE63" s="44">
        <f t="shared" si="341"/>
        <v>0</v>
      </c>
      <c r="UBF63" s="44">
        <f t="shared" si="341"/>
        <v>0</v>
      </c>
      <c r="UBG63" s="44">
        <f t="shared" si="341"/>
        <v>0</v>
      </c>
      <c r="UBH63" s="44">
        <f t="shared" si="341"/>
        <v>0</v>
      </c>
      <c r="UBI63" s="44">
        <f t="shared" si="341"/>
        <v>0</v>
      </c>
      <c r="UBJ63" s="44">
        <f t="shared" si="341"/>
        <v>0</v>
      </c>
      <c r="UBK63" s="44">
        <f t="shared" si="341"/>
        <v>0</v>
      </c>
      <c r="UBL63" s="44">
        <f t="shared" si="341"/>
        <v>0</v>
      </c>
      <c r="UBM63" s="44">
        <f t="shared" si="341"/>
        <v>0</v>
      </c>
      <c r="UBN63" s="44">
        <f t="shared" si="341"/>
        <v>0</v>
      </c>
      <c r="UBO63" s="44">
        <f t="shared" si="341"/>
        <v>0</v>
      </c>
      <c r="UBP63" s="44">
        <f t="shared" si="341"/>
        <v>0</v>
      </c>
      <c r="UBQ63" s="44">
        <f t="shared" si="341"/>
        <v>0</v>
      </c>
      <c r="UBR63" s="44">
        <f t="shared" si="341"/>
        <v>0</v>
      </c>
      <c r="UBS63" s="44">
        <f t="shared" si="341"/>
        <v>0</v>
      </c>
      <c r="UBT63" s="44">
        <f t="shared" si="341"/>
        <v>0</v>
      </c>
      <c r="UBU63" s="44">
        <f t="shared" si="341"/>
        <v>0</v>
      </c>
      <c r="UBV63" s="44">
        <f t="shared" si="341"/>
        <v>0</v>
      </c>
      <c r="UBW63" s="44">
        <f t="shared" si="341"/>
        <v>0</v>
      </c>
      <c r="UBX63" s="44">
        <f t="shared" si="341"/>
        <v>0</v>
      </c>
      <c r="UBY63" s="44">
        <f t="shared" si="341"/>
        <v>0</v>
      </c>
      <c r="UBZ63" s="44">
        <f t="shared" si="341"/>
        <v>0</v>
      </c>
      <c r="UCA63" s="44">
        <f t="shared" si="341"/>
        <v>0</v>
      </c>
      <c r="UCB63" s="44">
        <f t="shared" si="341"/>
        <v>0</v>
      </c>
      <c r="UCC63" s="44">
        <f t="shared" si="341"/>
        <v>0</v>
      </c>
      <c r="UCD63" s="44">
        <f t="shared" si="341"/>
        <v>0</v>
      </c>
      <c r="UCE63" s="44">
        <f t="shared" si="341"/>
        <v>0</v>
      </c>
      <c r="UCF63" s="44">
        <f t="shared" si="341"/>
        <v>0</v>
      </c>
      <c r="UCG63" s="44">
        <f t="shared" si="341"/>
        <v>0</v>
      </c>
      <c r="UCH63" s="44">
        <f t="shared" si="341"/>
        <v>0</v>
      </c>
      <c r="UCI63" s="44">
        <f t="shared" si="341"/>
        <v>0</v>
      </c>
      <c r="UCJ63" s="44">
        <f t="shared" si="341"/>
        <v>0</v>
      </c>
      <c r="UCK63" s="44">
        <f t="shared" si="341"/>
        <v>0</v>
      </c>
      <c r="UCL63" s="44">
        <f t="shared" si="341"/>
        <v>0</v>
      </c>
      <c r="UCM63" s="44">
        <f t="shared" si="341"/>
        <v>0</v>
      </c>
      <c r="UCN63" s="44">
        <f t="shared" si="341"/>
        <v>0</v>
      </c>
      <c r="UCO63" s="44">
        <f t="shared" si="341"/>
        <v>0</v>
      </c>
      <c r="UCP63" s="44">
        <f t="shared" si="341"/>
        <v>0</v>
      </c>
      <c r="UCQ63" s="44">
        <f t="shared" si="341"/>
        <v>0</v>
      </c>
      <c r="UCR63" s="44">
        <f t="shared" si="341"/>
        <v>0</v>
      </c>
      <c r="UCS63" s="44">
        <f t="shared" si="341"/>
        <v>0</v>
      </c>
      <c r="UCT63" s="44">
        <f t="shared" ref="UCT63:UFE63" si="342">SUM(UCT56:UCT57)</f>
        <v>0</v>
      </c>
      <c r="UCU63" s="44">
        <f t="shared" si="342"/>
        <v>0</v>
      </c>
      <c r="UCV63" s="44">
        <f t="shared" si="342"/>
        <v>0</v>
      </c>
      <c r="UCW63" s="44">
        <f t="shared" si="342"/>
        <v>0</v>
      </c>
      <c r="UCX63" s="44">
        <f t="shared" si="342"/>
        <v>0</v>
      </c>
      <c r="UCY63" s="44">
        <f t="shared" si="342"/>
        <v>0</v>
      </c>
      <c r="UCZ63" s="44">
        <f t="shared" si="342"/>
        <v>0</v>
      </c>
      <c r="UDA63" s="44">
        <f t="shared" si="342"/>
        <v>0</v>
      </c>
      <c r="UDB63" s="44">
        <f t="shared" si="342"/>
        <v>0</v>
      </c>
      <c r="UDC63" s="44">
        <f t="shared" si="342"/>
        <v>0</v>
      </c>
      <c r="UDD63" s="44">
        <f t="shared" si="342"/>
        <v>0</v>
      </c>
      <c r="UDE63" s="44">
        <f t="shared" si="342"/>
        <v>0</v>
      </c>
      <c r="UDF63" s="44">
        <f t="shared" si="342"/>
        <v>0</v>
      </c>
      <c r="UDG63" s="44">
        <f t="shared" si="342"/>
        <v>0</v>
      </c>
      <c r="UDH63" s="44">
        <f t="shared" si="342"/>
        <v>0</v>
      </c>
      <c r="UDI63" s="44">
        <f t="shared" si="342"/>
        <v>0</v>
      </c>
      <c r="UDJ63" s="44">
        <f t="shared" si="342"/>
        <v>0</v>
      </c>
      <c r="UDK63" s="44">
        <f t="shared" si="342"/>
        <v>0</v>
      </c>
      <c r="UDL63" s="44">
        <f t="shared" si="342"/>
        <v>0</v>
      </c>
      <c r="UDM63" s="44">
        <f t="shared" si="342"/>
        <v>0</v>
      </c>
      <c r="UDN63" s="44">
        <f t="shared" si="342"/>
        <v>0</v>
      </c>
      <c r="UDO63" s="44">
        <f t="shared" si="342"/>
        <v>0</v>
      </c>
      <c r="UDP63" s="44">
        <f t="shared" si="342"/>
        <v>0</v>
      </c>
      <c r="UDQ63" s="44">
        <f t="shared" si="342"/>
        <v>0</v>
      </c>
      <c r="UDR63" s="44">
        <f t="shared" si="342"/>
        <v>0</v>
      </c>
      <c r="UDS63" s="44">
        <f t="shared" si="342"/>
        <v>0</v>
      </c>
      <c r="UDT63" s="44">
        <f t="shared" si="342"/>
        <v>0</v>
      </c>
      <c r="UDU63" s="44">
        <f t="shared" si="342"/>
        <v>0</v>
      </c>
      <c r="UDV63" s="44">
        <f t="shared" si="342"/>
        <v>0</v>
      </c>
      <c r="UDW63" s="44">
        <f t="shared" si="342"/>
        <v>0</v>
      </c>
      <c r="UDX63" s="44">
        <f t="shared" si="342"/>
        <v>0</v>
      </c>
      <c r="UDY63" s="44">
        <f t="shared" si="342"/>
        <v>0</v>
      </c>
      <c r="UDZ63" s="44">
        <f t="shared" si="342"/>
        <v>0</v>
      </c>
      <c r="UEA63" s="44">
        <f t="shared" si="342"/>
        <v>0</v>
      </c>
      <c r="UEB63" s="44">
        <f t="shared" si="342"/>
        <v>0</v>
      </c>
      <c r="UEC63" s="44">
        <f t="shared" si="342"/>
        <v>0</v>
      </c>
      <c r="UED63" s="44">
        <f t="shared" si="342"/>
        <v>0</v>
      </c>
      <c r="UEE63" s="44">
        <f t="shared" si="342"/>
        <v>0</v>
      </c>
      <c r="UEF63" s="44">
        <f t="shared" si="342"/>
        <v>0</v>
      </c>
      <c r="UEG63" s="44">
        <f t="shared" si="342"/>
        <v>0</v>
      </c>
      <c r="UEH63" s="44">
        <f t="shared" si="342"/>
        <v>0</v>
      </c>
      <c r="UEI63" s="44">
        <f t="shared" si="342"/>
        <v>0</v>
      </c>
      <c r="UEJ63" s="44">
        <f t="shared" si="342"/>
        <v>0</v>
      </c>
      <c r="UEK63" s="44">
        <f t="shared" si="342"/>
        <v>0</v>
      </c>
      <c r="UEL63" s="44">
        <f t="shared" si="342"/>
        <v>0</v>
      </c>
      <c r="UEM63" s="44">
        <f t="shared" si="342"/>
        <v>0</v>
      </c>
      <c r="UEN63" s="44">
        <f t="shared" si="342"/>
        <v>0</v>
      </c>
      <c r="UEO63" s="44">
        <f t="shared" si="342"/>
        <v>0</v>
      </c>
      <c r="UEP63" s="44">
        <f t="shared" si="342"/>
        <v>0</v>
      </c>
      <c r="UEQ63" s="44">
        <f t="shared" si="342"/>
        <v>0</v>
      </c>
      <c r="UER63" s="44">
        <f t="shared" si="342"/>
        <v>0</v>
      </c>
      <c r="UES63" s="44">
        <f t="shared" si="342"/>
        <v>0</v>
      </c>
      <c r="UET63" s="44">
        <f t="shared" si="342"/>
        <v>0</v>
      </c>
      <c r="UEU63" s="44">
        <f t="shared" si="342"/>
        <v>0</v>
      </c>
      <c r="UEV63" s="44">
        <f t="shared" si="342"/>
        <v>0</v>
      </c>
      <c r="UEW63" s="44">
        <f t="shared" si="342"/>
        <v>0</v>
      </c>
      <c r="UEX63" s="44">
        <f t="shared" si="342"/>
        <v>0</v>
      </c>
      <c r="UEY63" s="44">
        <f t="shared" si="342"/>
        <v>0</v>
      </c>
      <c r="UEZ63" s="44">
        <f t="shared" si="342"/>
        <v>0</v>
      </c>
      <c r="UFA63" s="44">
        <f t="shared" si="342"/>
        <v>0</v>
      </c>
      <c r="UFB63" s="44">
        <f t="shared" si="342"/>
        <v>0</v>
      </c>
      <c r="UFC63" s="44">
        <f t="shared" si="342"/>
        <v>0</v>
      </c>
      <c r="UFD63" s="44">
        <f t="shared" si="342"/>
        <v>0</v>
      </c>
      <c r="UFE63" s="44">
        <f t="shared" si="342"/>
        <v>0</v>
      </c>
      <c r="UFF63" s="44">
        <f t="shared" ref="UFF63:UHQ63" si="343">SUM(UFF56:UFF57)</f>
        <v>0</v>
      </c>
      <c r="UFG63" s="44">
        <f t="shared" si="343"/>
        <v>0</v>
      </c>
      <c r="UFH63" s="44">
        <f t="shared" si="343"/>
        <v>0</v>
      </c>
      <c r="UFI63" s="44">
        <f t="shared" si="343"/>
        <v>0</v>
      </c>
      <c r="UFJ63" s="44">
        <f t="shared" si="343"/>
        <v>0</v>
      </c>
      <c r="UFK63" s="44">
        <f t="shared" si="343"/>
        <v>0</v>
      </c>
      <c r="UFL63" s="44">
        <f t="shared" si="343"/>
        <v>0</v>
      </c>
      <c r="UFM63" s="44">
        <f t="shared" si="343"/>
        <v>0</v>
      </c>
      <c r="UFN63" s="44">
        <f t="shared" si="343"/>
        <v>0</v>
      </c>
      <c r="UFO63" s="44">
        <f t="shared" si="343"/>
        <v>0</v>
      </c>
      <c r="UFP63" s="44">
        <f t="shared" si="343"/>
        <v>0</v>
      </c>
      <c r="UFQ63" s="44">
        <f t="shared" si="343"/>
        <v>0</v>
      </c>
      <c r="UFR63" s="44">
        <f t="shared" si="343"/>
        <v>0</v>
      </c>
      <c r="UFS63" s="44">
        <f t="shared" si="343"/>
        <v>0</v>
      </c>
      <c r="UFT63" s="44">
        <f t="shared" si="343"/>
        <v>0</v>
      </c>
      <c r="UFU63" s="44">
        <f t="shared" si="343"/>
        <v>0</v>
      </c>
      <c r="UFV63" s="44">
        <f t="shared" si="343"/>
        <v>0</v>
      </c>
      <c r="UFW63" s="44">
        <f t="shared" si="343"/>
        <v>0</v>
      </c>
      <c r="UFX63" s="44">
        <f t="shared" si="343"/>
        <v>0</v>
      </c>
      <c r="UFY63" s="44">
        <f t="shared" si="343"/>
        <v>0</v>
      </c>
      <c r="UFZ63" s="44">
        <f t="shared" si="343"/>
        <v>0</v>
      </c>
      <c r="UGA63" s="44">
        <f t="shared" si="343"/>
        <v>0</v>
      </c>
      <c r="UGB63" s="44">
        <f t="shared" si="343"/>
        <v>0</v>
      </c>
      <c r="UGC63" s="44">
        <f t="shared" si="343"/>
        <v>0</v>
      </c>
      <c r="UGD63" s="44">
        <f t="shared" si="343"/>
        <v>0</v>
      </c>
      <c r="UGE63" s="44">
        <f t="shared" si="343"/>
        <v>0</v>
      </c>
      <c r="UGF63" s="44">
        <f t="shared" si="343"/>
        <v>0</v>
      </c>
      <c r="UGG63" s="44">
        <f t="shared" si="343"/>
        <v>0</v>
      </c>
      <c r="UGH63" s="44">
        <f t="shared" si="343"/>
        <v>0</v>
      </c>
      <c r="UGI63" s="44">
        <f t="shared" si="343"/>
        <v>0</v>
      </c>
      <c r="UGJ63" s="44">
        <f t="shared" si="343"/>
        <v>0</v>
      </c>
      <c r="UGK63" s="44">
        <f t="shared" si="343"/>
        <v>0</v>
      </c>
      <c r="UGL63" s="44">
        <f t="shared" si="343"/>
        <v>0</v>
      </c>
      <c r="UGM63" s="44">
        <f t="shared" si="343"/>
        <v>0</v>
      </c>
      <c r="UGN63" s="44">
        <f t="shared" si="343"/>
        <v>0</v>
      </c>
      <c r="UGO63" s="44">
        <f t="shared" si="343"/>
        <v>0</v>
      </c>
      <c r="UGP63" s="44">
        <f t="shared" si="343"/>
        <v>0</v>
      </c>
      <c r="UGQ63" s="44">
        <f t="shared" si="343"/>
        <v>0</v>
      </c>
      <c r="UGR63" s="44">
        <f t="shared" si="343"/>
        <v>0</v>
      </c>
      <c r="UGS63" s="44">
        <f t="shared" si="343"/>
        <v>0</v>
      </c>
      <c r="UGT63" s="44">
        <f t="shared" si="343"/>
        <v>0</v>
      </c>
      <c r="UGU63" s="44">
        <f t="shared" si="343"/>
        <v>0</v>
      </c>
      <c r="UGV63" s="44">
        <f t="shared" si="343"/>
        <v>0</v>
      </c>
      <c r="UGW63" s="44">
        <f t="shared" si="343"/>
        <v>0</v>
      </c>
      <c r="UGX63" s="44">
        <f t="shared" si="343"/>
        <v>0</v>
      </c>
      <c r="UGY63" s="44">
        <f t="shared" si="343"/>
        <v>0</v>
      </c>
      <c r="UGZ63" s="44">
        <f t="shared" si="343"/>
        <v>0</v>
      </c>
      <c r="UHA63" s="44">
        <f t="shared" si="343"/>
        <v>0</v>
      </c>
      <c r="UHB63" s="44">
        <f t="shared" si="343"/>
        <v>0</v>
      </c>
      <c r="UHC63" s="44">
        <f t="shared" si="343"/>
        <v>0</v>
      </c>
      <c r="UHD63" s="44">
        <f t="shared" si="343"/>
        <v>0</v>
      </c>
      <c r="UHE63" s="44">
        <f t="shared" si="343"/>
        <v>0</v>
      </c>
      <c r="UHF63" s="44">
        <f t="shared" si="343"/>
        <v>0</v>
      </c>
      <c r="UHG63" s="44">
        <f t="shared" si="343"/>
        <v>0</v>
      </c>
      <c r="UHH63" s="44">
        <f t="shared" si="343"/>
        <v>0</v>
      </c>
      <c r="UHI63" s="44">
        <f t="shared" si="343"/>
        <v>0</v>
      </c>
      <c r="UHJ63" s="44">
        <f t="shared" si="343"/>
        <v>0</v>
      </c>
      <c r="UHK63" s="44">
        <f t="shared" si="343"/>
        <v>0</v>
      </c>
      <c r="UHL63" s="44">
        <f t="shared" si="343"/>
        <v>0</v>
      </c>
      <c r="UHM63" s="44">
        <f t="shared" si="343"/>
        <v>0</v>
      </c>
      <c r="UHN63" s="44">
        <f t="shared" si="343"/>
        <v>0</v>
      </c>
      <c r="UHO63" s="44">
        <f t="shared" si="343"/>
        <v>0</v>
      </c>
      <c r="UHP63" s="44">
        <f t="shared" si="343"/>
        <v>0</v>
      </c>
      <c r="UHQ63" s="44">
        <f t="shared" si="343"/>
        <v>0</v>
      </c>
      <c r="UHR63" s="44">
        <f t="shared" ref="UHR63:UKC63" si="344">SUM(UHR56:UHR57)</f>
        <v>0</v>
      </c>
      <c r="UHS63" s="44">
        <f t="shared" si="344"/>
        <v>0</v>
      </c>
      <c r="UHT63" s="44">
        <f t="shared" si="344"/>
        <v>0</v>
      </c>
      <c r="UHU63" s="44">
        <f t="shared" si="344"/>
        <v>0</v>
      </c>
      <c r="UHV63" s="44">
        <f t="shared" si="344"/>
        <v>0</v>
      </c>
      <c r="UHW63" s="44">
        <f t="shared" si="344"/>
        <v>0</v>
      </c>
      <c r="UHX63" s="44">
        <f t="shared" si="344"/>
        <v>0</v>
      </c>
      <c r="UHY63" s="44">
        <f t="shared" si="344"/>
        <v>0</v>
      </c>
      <c r="UHZ63" s="44">
        <f t="shared" si="344"/>
        <v>0</v>
      </c>
      <c r="UIA63" s="44">
        <f t="shared" si="344"/>
        <v>0</v>
      </c>
      <c r="UIB63" s="44">
        <f t="shared" si="344"/>
        <v>0</v>
      </c>
      <c r="UIC63" s="44">
        <f t="shared" si="344"/>
        <v>0</v>
      </c>
      <c r="UID63" s="44">
        <f t="shared" si="344"/>
        <v>0</v>
      </c>
      <c r="UIE63" s="44">
        <f t="shared" si="344"/>
        <v>0</v>
      </c>
      <c r="UIF63" s="44">
        <f t="shared" si="344"/>
        <v>0</v>
      </c>
      <c r="UIG63" s="44">
        <f t="shared" si="344"/>
        <v>0</v>
      </c>
      <c r="UIH63" s="44">
        <f t="shared" si="344"/>
        <v>0</v>
      </c>
      <c r="UII63" s="44">
        <f t="shared" si="344"/>
        <v>0</v>
      </c>
      <c r="UIJ63" s="44">
        <f t="shared" si="344"/>
        <v>0</v>
      </c>
      <c r="UIK63" s="44">
        <f t="shared" si="344"/>
        <v>0</v>
      </c>
      <c r="UIL63" s="44">
        <f t="shared" si="344"/>
        <v>0</v>
      </c>
      <c r="UIM63" s="44">
        <f t="shared" si="344"/>
        <v>0</v>
      </c>
      <c r="UIN63" s="44">
        <f t="shared" si="344"/>
        <v>0</v>
      </c>
      <c r="UIO63" s="44">
        <f t="shared" si="344"/>
        <v>0</v>
      </c>
      <c r="UIP63" s="44">
        <f t="shared" si="344"/>
        <v>0</v>
      </c>
      <c r="UIQ63" s="44">
        <f t="shared" si="344"/>
        <v>0</v>
      </c>
      <c r="UIR63" s="44">
        <f t="shared" si="344"/>
        <v>0</v>
      </c>
      <c r="UIS63" s="44">
        <f t="shared" si="344"/>
        <v>0</v>
      </c>
      <c r="UIT63" s="44">
        <f t="shared" si="344"/>
        <v>0</v>
      </c>
      <c r="UIU63" s="44">
        <f t="shared" si="344"/>
        <v>0</v>
      </c>
      <c r="UIV63" s="44">
        <f t="shared" si="344"/>
        <v>0</v>
      </c>
      <c r="UIW63" s="44">
        <f t="shared" si="344"/>
        <v>0</v>
      </c>
      <c r="UIX63" s="44">
        <f t="shared" si="344"/>
        <v>0</v>
      </c>
      <c r="UIY63" s="44">
        <f t="shared" si="344"/>
        <v>0</v>
      </c>
      <c r="UIZ63" s="44">
        <f t="shared" si="344"/>
        <v>0</v>
      </c>
      <c r="UJA63" s="44">
        <f t="shared" si="344"/>
        <v>0</v>
      </c>
      <c r="UJB63" s="44">
        <f t="shared" si="344"/>
        <v>0</v>
      </c>
      <c r="UJC63" s="44">
        <f t="shared" si="344"/>
        <v>0</v>
      </c>
      <c r="UJD63" s="44">
        <f t="shared" si="344"/>
        <v>0</v>
      </c>
      <c r="UJE63" s="44">
        <f t="shared" si="344"/>
        <v>0</v>
      </c>
      <c r="UJF63" s="44">
        <f t="shared" si="344"/>
        <v>0</v>
      </c>
      <c r="UJG63" s="44">
        <f t="shared" si="344"/>
        <v>0</v>
      </c>
      <c r="UJH63" s="44">
        <f t="shared" si="344"/>
        <v>0</v>
      </c>
      <c r="UJI63" s="44">
        <f t="shared" si="344"/>
        <v>0</v>
      </c>
      <c r="UJJ63" s="44">
        <f t="shared" si="344"/>
        <v>0</v>
      </c>
      <c r="UJK63" s="44">
        <f t="shared" si="344"/>
        <v>0</v>
      </c>
      <c r="UJL63" s="44">
        <f t="shared" si="344"/>
        <v>0</v>
      </c>
      <c r="UJM63" s="44">
        <f t="shared" si="344"/>
        <v>0</v>
      </c>
      <c r="UJN63" s="44">
        <f t="shared" si="344"/>
        <v>0</v>
      </c>
      <c r="UJO63" s="44">
        <f t="shared" si="344"/>
        <v>0</v>
      </c>
      <c r="UJP63" s="44">
        <f t="shared" si="344"/>
        <v>0</v>
      </c>
      <c r="UJQ63" s="44">
        <f t="shared" si="344"/>
        <v>0</v>
      </c>
      <c r="UJR63" s="44">
        <f t="shared" si="344"/>
        <v>0</v>
      </c>
      <c r="UJS63" s="44">
        <f t="shared" si="344"/>
        <v>0</v>
      </c>
      <c r="UJT63" s="44">
        <f t="shared" si="344"/>
        <v>0</v>
      </c>
      <c r="UJU63" s="44">
        <f t="shared" si="344"/>
        <v>0</v>
      </c>
      <c r="UJV63" s="44">
        <f t="shared" si="344"/>
        <v>0</v>
      </c>
      <c r="UJW63" s="44">
        <f t="shared" si="344"/>
        <v>0</v>
      </c>
      <c r="UJX63" s="44">
        <f t="shared" si="344"/>
        <v>0</v>
      </c>
      <c r="UJY63" s="44">
        <f t="shared" si="344"/>
        <v>0</v>
      </c>
      <c r="UJZ63" s="44">
        <f t="shared" si="344"/>
        <v>0</v>
      </c>
      <c r="UKA63" s="44">
        <f t="shared" si="344"/>
        <v>0</v>
      </c>
      <c r="UKB63" s="44">
        <f t="shared" si="344"/>
        <v>0</v>
      </c>
      <c r="UKC63" s="44">
        <f t="shared" si="344"/>
        <v>0</v>
      </c>
      <c r="UKD63" s="44">
        <f t="shared" ref="UKD63:UMO63" si="345">SUM(UKD56:UKD57)</f>
        <v>0</v>
      </c>
      <c r="UKE63" s="44">
        <f t="shared" si="345"/>
        <v>0</v>
      </c>
      <c r="UKF63" s="44">
        <f t="shared" si="345"/>
        <v>0</v>
      </c>
      <c r="UKG63" s="44">
        <f t="shared" si="345"/>
        <v>0</v>
      </c>
      <c r="UKH63" s="44">
        <f t="shared" si="345"/>
        <v>0</v>
      </c>
      <c r="UKI63" s="44">
        <f t="shared" si="345"/>
        <v>0</v>
      </c>
      <c r="UKJ63" s="44">
        <f t="shared" si="345"/>
        <v>0</v>
      </c>
      <c r="UKK63" s="44">
        <f t="shared" si="345"/>
        <v>0</v>
      </c>
      <c r="UKL63" s="44">
        <f t="shared" si="345"/>
        <v>0</v>
      </c>
      <c r="UKM63" s="44">
        <f t="shared" si="345"/>
        <v>0</v>
      </c>
      <c r="UKN63" s="44">
        <f t="shared" si="345"/>
        <v>0</v>
      </c>
      <c r="UKO63" s="44">
        <f t="shared" si="345"/>
        <v>0</v>
      </c>
      <c r="UKP63" s="44">
        <f t="shared" si="345"/>
        <v>0</v>
      </c>
      <c r="UKQ63" s="44">
        <f t="shared" si="345"/>
        <v>0</v>
      </c>
      <c r="UKR63" s="44">
        <f t="shared" si="345"/>
        <v>0</v>
      </c>
      <c r="UKS63" s="44">
        <f t="shared" si="345"/>
        <v>0</v>
      </c>
      <c r="UKT63" s="44">
        <f t="shared" si="345"/>
        <v>0</v>
      </c>
      <c r="UKU63" s="44">
        <f t="shared" si="345"/>
        <v>0</v>
      </c>
      <c r="UKV63" s="44">
        <f t="shared" si="345"/>
        <v>0</v>
      </c>
      <c r="UKW63" s="44">
        <f t="shared" si="345"/>
        <v>0</v>
      </c>
      <c r="UKX63" s="44">
        <f t="shared" si="345"/>
        <v>0</v>
      </c>
      <c r="UKY63" s="44">
        <f t="shared" si="345"/>
        <v>0</v>
      </c>
      <c r="UKZ63" s="44">
        <f t="shared" si="345"/>
        <v>0</v>
      </c>
      <c r="ULA63" s="44">
        <f t="shared" si="345"/>
        <v>0</v>
      </c>
      <c r="ULB63" s="44">
        <f t="shared" si="345"/>
        <v>0</v>
      </c>
      <c r="ULC63" s="44">
        <f t="shared" si="345"/>
        <v>0</v>
      </c>
      <c r="ULD63" s="44">
        <f t="shared" si="345"/>
        <v>0</v>
      </c>
      <c r="ULE63" s="44">
        <f t="shared" si="345"/>
        <v>0</v>
      </c>
      <c r="ULF63" s="44">
        <f t="shared" si="345"/>
        <v>0</v>
      </c>
      <c r="ULG63" s="44">
        <f t="shared" si="345"/>
        <v>0</v>
      </c>
      <c r="ULH63" s="44">
        <f t="shared" si="345"/>
        <v>0</v>
      </c>
      <c r="ULI63" s="44">
        <f t="shared" si="345"/>
        <v>0</v>
      </c>
      <c r="ULJ63" s="44">
        <f t="shared" si="345"/>
        <v>0</v>
      </c>
      <c r="ULK63" s="44">
        <f t="shared" si="345"/>
        <v>0</v>
      </c>
      <c r="ULL63" s="44">
        <f t="shared" si="345"/>
        <v>0</v>
      </c>
      <c r="ULM63" s="44">
        <f t="shared" si="345"/>
        <v>0</v>
      </c>
      <c r="ULN63" s="44">
        <f t="shared" si="345"/>
        <v>0</v>
      </c>
      <c r="ULO63" s="44">
        <f t="shared" si="345"/>
        <v>0</v>
      </c>
      <c r="ULP63" s="44">
        <f t="shared" si="345"/>
        <v>0</v>
      </c>
      <c r="ULQ63" s="44">
        <f t="shared" si="345"/>
        <v>0</v>
      </c>
      <c r="ULR63" s="44">
        <f t="shared" si="345"/>
        <v>0</v>
      </c>
      <c r="ULS63" s="44">
        <f t="shared" si="345"/>
        <v>0</v>
      </c>
      <c r="ULT63" s="44">
        <f t="shared" si="345"/>
        <v>0</v>
      </c>
      <c r="ULU63" s="44">
        <f t="shared" si="345"/>
        <v>0</v>
      </c>
      <c r="ULV63" s="44">
        <f t="shared" si="345"/>
        <v>0</v>
      </c>
      <c r="ULW63" s="44">
        <f t="shared" si="345"/>
        <v>0</v>
      </c>
      <c r="ULX63" s="44">
        <f t="shared" si="345"/>
        <v>0</v>
      </c>
      <c r="ULY63" s="44">
        <f t="shared" si="345"/>
        <v>0</v>
      </c>
      <c r="ULZ63" s="44">
        <f t="shared" si="345"/>
        <v>0</v>
      </c>
      <c r="UMA63" s="44">
        <f t="shared" si="345"/>
        <v>0</v>
      </c>
      <c r="UMB63" s="44">
        <f t="shared" si="345"/>
        <v>0</v>
      </c>
      <c r="UMC63" s="44">
        <f t="shared" si="345"/>
        <v>0</v>
      </c>
      <c r="UMD63" s="44">
        <f t="shared" si="345"/>
        <v>0</v>
      </c>
      <c r="UME63" s="44">
        <f t="shared" si="345"/>
        <v>0</v>
      </c>
      <c r="UMF63" s="44">
        <f t="shared" si="345"/>
        <v>0</v>
      </c>
      <c r="UMG63" s="44">
        <f t="shared" si="345"/>
        <v>0</v>
      </c>
      <c r="UMH63" s="44">
        <f t="shared" si="345"/>
        <v>0</v>
      </c>
      <c r="UMI63" s="44">
        <f t="shared" si="345"/>
        <v>0</v>
      </c>
      <c r="UMJ63" s="44">
        <f t="shared" si="345"/>
        <v>0</v>
      </c>
      <c r="UMK63" s="44">
        <f t="shared" si="345"/>
        <v>0</v>
      </c>
      <c r="UML63" s="44">
        <f t="shared" si="345"/>
        <v>0</v>
      </c>
      <c r="UMM63" s="44">
        <f t="shared" si="345"/>
        <v>0</v>
      </c>
      <c r="UMN63" s="44">
        <f t="shared" si="345"/>
        <v>0</v>
      </c>
      <c r="UMO63" s="44">
        <f t="shared" si="345"/>
        <v>0</v>
      </c>
      <c r="UMP63" s="44">
        <f t="shared" ref="UMP63:UPA63" si="346">SUM(UMP56:UMP57)</f>
        <v>0</v>
      </c>
      <c r="UMQ63" s="44">
        <f t="shared" si="346"/>
        <v>0</v>
      </c>
      <c r="UMR63" s="44">
        <f t="shared" si="346"/>
        <v>0</v>
      </c>
      <c r="UMS63" s="44">
        <f t="shared" si="346"/>
        <v>0</v>
      </c>
      <c r="UMT63" s="44">
        <f t="shared" si="346"/>
        <v>0</v>
      </c>
      <c r="UMU63" s="44">
        <f t="shared" si="346"/>
        <v>0</v>
      </c>
      <c r="UMV63" s="44">
        <f t="shared" si="346"/>
        <v>0</v>
      </c>
      <c r="UMW63" s="44">
        <f t="shared" si="346"/>
        <v>0</v>
      </c>
      <c r="UMX63" s="44">
        <f t="shared" si="346"/>
        <v>0</v>
      </c>
      <c r="UMY63" s="44">
        <f t="shared" si="346"/>
        <v>0</v>
      </c>
      <c r="UMZ63" s="44">
        <f t="shared" si="346"/>
        <v>0</v>
      </c>
      <c r="UNA63" s="44">
        <f t="shared" si="346"/>
        <v>0</v>
      </c>
      <c r="UNB63" s="44">
        <f t="shared" si="346"/>
        <v>0</v>
      </c>
      <c r="UNC63" s="44">
        <f t="shared" si="346"/>
        <v>0</v>
      </c>
      <c r="UND63" s="44">
        <f t="shared" si="346"/>
        <v>0</v>
      </c>
      <c r="UNE63" s="44">
        <f t="shared" si="346"/>
        <v>0</v>
      </c>
      <c r="UNF63" s="44">
        <f t="shared" si="346"/>
        <v>0</v>
      </c>
      <c r="UNG63" s="44">
        <f t="shared" si="346"/>
        <v>0</v>
      </c>
      <c r="UNH63" s="44">
        <f t="shared" si="346"/>
        <v>0</v>
      </c>
      <c r="UNI63" s="44">
        <f t="shared" si="346"/>
        <v>0</v>
      </c>
      <c r="UNJ63" s="44">
        <f t="shared" si="346"/>
        <v>0</v>
      </c>
      <c r="UNK63" s="44">
        <f t="shared" si="346"/>
        <v>0</v>
      </c>
      <c r="UNL63" s="44">
        <f t="shared" si="346"/>
        <v>0</v>
      </c>
      <c r="UNM63" s="44">
        <f t="shared" si="346"/>
        <v>0</v>
      </c>
      <c r="UNN63" s="44">
        <f t="shared" si="346"/>
        <v>0</v>
      </c>
      <c r="UNO63" s="44">
        <f t="shared" si="346"/>
        <v>0</v>
      </c>
      <c r="UNP63" s="44">
        <f t="shared" si="346"/>
        <v>0</v>
      </c>
      <c r="UNQ63" s="44">
        <f t="shared" si="346"/>
        <v>0</v>
      </c>
      <c r="UNR63" s="44">
        <f t="shared" si="346"/>
        <v>0</v>
      </c>
      <c r="UNS63" s="44">
        <f t="shared" si="346"/>
        <v>0</v>
      </c>
      <c r="UNT63" s="44">
        <f t="shared" si="346"/>
        <v>0</v>
      </c>
      <c r="UNU63" s="44">
        <f t="shared" si="346"/>
        <v>0</v>
      </c>
      <c r="UNV63" s="44">
        <f t="shared" si="346"/>
        <v>0</v>
      </c>
      <c r="UNW63" s="44">
        <f t="shared" si="346"/>
        <v>0</v>
      </c>
      <c r="UNX63" s="44">
        <f t="shared" si="346"/>
        <v>0</v>
      </c>
      <c r="UNY63" s="44">
        <f t="shared" si="346"/>
        <v>0</v>
      </c>
      <c r="UNZ63" s="44">
        <f t="shared" si="346"/>
        <v>0</v>
      </c>
      <c r="UOA63" s="44">
        <f t="shared" si="346"/>
        <v>0</v>
      </c>
      <c r="UOB63" s="44">
        <f t="shared" si="346"/>
        <v>0</v>
      </c>
      <c r="UOC63" s="44">
        <f t="shared" si="346"/>
        <v>0</v>
      </c>
      <c r="UOD63" s="44">
        <f t="shared" si="346"/>
        <v>0</v>
      </c>
      <c r="UOE63" s="44">
        <f t="shared" si="346"/>
        <v>0</v>
      </c>
      <c r="UOF63" s="44">
        <f t="shared" si="346"/>
        <v>0</v>
      </c>
      <c r="UOG63" s="44">
        <f t="shared" si="346"/>
        <v>0</v>
      </c>
      <c r="UOH63" s="44">
        <f t="shared" si="346"/>
        <v>0</v>
      </c>
      <c r="UOI63" s="44">
        <f t="shared" si="346"/>
        <v>0</v>
      </c>
      <c r="UOJ63" s="44">
        <f t="shared" si="346"/>
        <v>0</v>
      </c>
      <c r="UOK63" s="44">
        <f t="shared" si="346"/>
        <v>0</v>
      </c>
      <c r="UOL63" s="44">
        <f t="shared" si="346"/>
        <v>0</v>
      </c>
      <c r="UOM63" s="44">
        <f t="shared" si="346"/>
        <v>0</v>
      </c>
      <c r="UON63" s="44">
        <f t="shared" si="346"/>
        <v>0</v>
      </c>
      <c r="UOO63" s="44">
        <f t="shared" si="346"/>
        <v>0</v>
      </c>
      <c r="UOP63" s="44">
        <f t="shared" si="346"/>
        <v>0</v>
      </c>
      <c r="UOQ63" s="44">
        <f t="shared" si="346"/>
        <v>0</v>
      </c>
      <c r="UOR63" s="44">
        <f t="shared" si="346"/>
        <v>0</v>
      </c>
      <c r="UOS63" s="44">
        <f t="shared" si="346"/>
        <v>0</v>
      </c>
      <c r="UOT63" s="44">
        <f t="shared" si="346"/>
        <v>0</v>
      </c>
      <c r="UOU63" s="44">
        <f t="shared" si="346"/>
        <v>0</v>
      </c>
      <c r="UOV63" s="44">
        <f t="shared" si="346"/>
        <v>0</v>
      </c>
      <c r="UOW63" s="44">
        <f t="shared" si="346"/>
        <v>0</v>
      </c>
      <c r="UOX63" s="44">
        <f t="shared" si="346"/>
        <v>0</v>
      </c>
      <c r="UOY63" s="44">
        <f t="shared" si="346"/>
        <v>0</v>
      </c>
      <c r="UOZ63" s="44">
        <f t="shared" si="346"/>
        <v>0</v>
      </c>
      <c r="UPA63" s="44">
        <f t="shared" si="346"/>
        <v>0</v>
      </c>
      <c r="UPB63" s="44">
        <f t="shared" ref="UPB63:URM63" si="347">SUM(UPB56:UPB57)</f>
        <v>0</v>
      </c>
      <c r="UPC63" s="44">
        <f t="shared" si="347"/>
        <v>0</v>
      </c>
      <c r="UPD63" s="44">
        <f t="shared" si="347"/>
        <v>0</v>
      </c>
      <c r="UPE63" s="44">
        <f t="shared" si="347"/>
        <v>0</v>
      </c>
      <c r="UPF63" s="44">
        <f t="shared" si="347"/>
        <v>0</v>
      </c>
      <c r="UPG63" s="44">
        <f t="shared" si="347"/>
        <v>0</v>
      </c>
      <c r="UPH63" s="44">
        <f t="shared" si="347"/>
        <v>0</v>
      </c>
      <c r="UPI63" s="44">
        <f t="shared" si="347"/>
        <v>0</v>
      </c>
      <c r="UPJ63" s="44">
        <f t="shared" si="347"/>
        <v>0</v>
      </c>
      <c r="UPK63" s="44">
        <f t="shared" si="347"/>
        <v>0</v>
      </c>
      <c r="UPL63" s="44">
        <f t="shared" si="347"/>
        <v>0</v>
      </c>
      <c r="UPM63" s="44">
        <f t="shared" si="347"/>
        <v>0</v>
      </c>
      <c r="UPN63" s="44">
        <f t="shared" si="347"/>
        <v>0</v>
      </c>
      <c r="UPO63" s="44">
        <f t="shared" si="347"/>
        <v>0</v>
      </c>
      <c r="UPP63" s="44">
        <f t="shared" si="347"/>
        <v>0</v>
      </c>
      <c r="UPQ63" s="44">
        <f t="shared" si="347"/>
        <v>0</v>
      </c>
      <c r="UPR63" s="44">
        <f t="shared" si="347"/>
        <v>0</v>
      </c>
      <c r="UPS63" s="44">
        <f t="shared" si="347"/>
        <v>0</v>
      </c>
      <c r="UPT63" s="44">
        <f t="shared" si="347"/>
        <v>0</v>
      </c>
      <c r="UPU63" s="44">
        <f t="shared" si="347"/>
        <v>0</v>
      </c>
      <c r="UPV63" s="44">
        <f t="shared" si="347"/>
        <v>0</v>
      </c>
      <c r="UPW63" s="44">
        <f t="shared" si="347"/>
        <v>0</v>
      </c>
      <c r="UPX63" s="44">
        <f t="shared" si="347"/>
        <v>0</v>
      </c>
      <c r="UPY63" s="44">
        <f t="shared" si="347"/>
        <v>0</v>
      </c>
      <c r="UPZ63" s="44">
        <f t="shared" si="347"/>
        <v>0</v>
      </c>
      <c r="UQA63" s="44">
        <f t="shared" si="347"/>
        <v>0</v>
      </c>
      <c r="UQB63" s="44">
        <f t="shared" si="347"/>
        <v>0</v>
      </c>
      <c r="UQC63" s="44">
        <f t="shared" si="347"/>
        <v>0</v>
      </c>
      <c r="UQD63" s="44">
        <f t="shared" si="347"/>
        <v>0</v>
      </c>
      <c r="UQE63" s="44">
        <f t="shared" si="347"/>
        <v>0</v>
      </c>
      <c r="UQF63" s="44">
        <f t="shared" si="347"/>
        <v>0</v>
      </c>
      <c r="UQG63" s="44">
        <f t="shared" si="347"/>
        <v>0</v>
      </c>
      <c r="UQH63" s="44">
        <f t="shared" si="347"/>
        <v>0</v>
      </c>
      <c r="UQI63" s="44">
        <f t="shared" si="347"/>
        <v>0</v>
      </c>
      <c r="UQJ63" s="44">
        <f t="shared" si="347"/>
        <v>0</v>
      </c>
      <c r="UQK63" s="44">
        <f t="shared" si="347"/>
        <v>0</v>
      </c>
      <c r="UQL63" s="44">
        <f t="shared" si="347"/>
        <v>0</v>
      </c>
      <c r="UQM63" s="44">
        <f t="shared" si="347"/>
        <v>0</v>
      </c>
      <c r="UQN63" s="44">
        <f t="shared" si="347"/>
        <v>0</v>
      </c>
      <c r="UQO63" s="44">
        <f t="shared" si="347"/>
        <v>0</v>
      </c>
      <c r="UQP63" s="44">
        <f t="shared" si="347"/>
        <v>0</v>
      </c>
      <c r="UQQ63" s="44">
        <f t="shared" si="347"/>
        <v>0</v>
      </c>
      <c r="UQR63" s="44">
        <f t="shared" si="347"/>
        <v>0</v>
      </c>
      <c r="UQS63" s="44">
        <f t="shared" si="347"/>
        <v>0</v>
      </c>
      <c r="UQT63" s="44">
        <f t="shared" si="347"/>
        <v>0</v>
      </c>
      <c r="UQU63" s="44">
        <f t="shared" si="347"/>
        <v>0</v>
      </c>
      <c r="UQV63" s="44">
        <f t="shared" si="347"/>
        <v>0</v>
      </c>
      <c r="UQW63" s="44">
        <f t="shared" si="347"/>
        <v>0</v>
      </c>
      <c r="UQX63" s="44">
        <f t="shared" si="347"/>
        <v>0</v>
      </c>
      <c r="UQY63" s="44">
        <f t="shared" si="347"/>
        <v>0</v>
      </c>
      <c r="UQZ63" s="44">
        <f t="shared" si="347"/>
        <v>0</v>
      </c>
      <c r="URA63" s="44">
        <f t="shared" si="347"/>
        <v>0</v>
      </c>
      <c r="URB63" s="44">
        <f t="shared" si="347"/>
        <v>0</v>
      </c>
      <c r="URC63" s="44">
        <f t="shared" si="347"/>
        <v>0</v>
      </c>
      <c r="URD63" s="44">
        <f t="shared" si="347"/>
        <v>0</v>
      </c>
      <c r="URE63" s="44">
        <f t="shared" si="347"/>
        <v>0</v>
      </c>
      <c r="URF63" s="44">
        <f t="shared" si="347"/>
        <v>0</v>
      </c>
      <c r="URG63" s="44">
        <f t="shared" si="347"/>
        <v>0</v>
      </c>
      <c r="URH63" s="44">
        <f t="shared" si="347"/>
        <v>0</v>
      </c>
      <c r="URI63" s="44">
        <f t="shared" si="347"/>
        <v>0</v>
      </c>
      <c r="URJ63" s="44">
        <f t="shared" si="347"/>
        <v>0</v>
      </c>
      <c r="URK63" s="44">
        <f t="shared" si="347"/>
        <v>0</v>
      </c>
      <c r="URL63" s="44">
        <f t="shared" si="347"/>
        <v>0</v>
      </c>
      <c r="URM63" s="44">
        <f t="shared" si="347"/>
        <v>0</v>
      </c>
      <c r="URN63" s="44">
        <f t="shared" ref="URN63:UTY63" si="348">SUM(URN56:URN57)</f>
        <v>0</v>
      </c>
      <c r="URO63" s="44">
        <f t="shared" si="348"/>
        <v>0</v>
      </c>
      <c r="URP63" s="44">
        <f t="shared" si="348"/>
        <v>0</v>
      </c>
      <c r="URQ63" s="44">
        <f t="shared" si="348"/>
        <v>0</v>
      </c>
      <c r="URR63" s="44">
        <f t="shared" si="348"/>
        <v>0</v>
      </c>
      <c r="URS63" s="44">
        <f t="shared" si="348"/>
        <v>0</v>
      </c>
      <c r="URT63" s="44">
        <f t="shared" si="348"/>
        <v>0</v>
      </c>
      <c r="URU63" s="44">
        <f t="shared" si="348"/>
        <v>0</v>
      </c>
      <c r="URV63" s="44">
        <f t="shared" si="348"/>
        <v>0</v>
      </c>
      <c r="URW63" s="44">
        <f t="shared" si="348"/>
        <v>0</v>
      </c>
      <c r="URX63" s="44">
        <f t="shared" si="348"/>
        <v>0</v>
      </c>
      <c r="URY63" s="44">
        <f t="shared" si="348"/>
        <v>0</v>
      </c>
      <c r="URZ63" s="44">
        <f t="shared" si="348"/>
        <v>0</v>
      </c>
      <c r="USA63" s="44">
        <f t="shared" si="348"/>
        <v>0</v>
      </c>
      <c r="USB63" s="44">
        <f t="shared" si="348"/>
        <v>0</v>
      </c>
      <c r="USC63" s="44">
        <f t="shared" si="348"/>
        <v>0</v>
      </c>
      <c r="USD63" s="44">
        <f t="shared" si="348"/>
        <v>0</v>
      </c>
      <c r="USE63" s="44">
        <f t="shared" si="348"/>
        <v>0</v>
      </c>
      <c r="USF63" s="44">
        <f t="shared" si="348"/>
        <v>0</v>
      </c>
      <c r="USG63" s="44">
        <f t="shared" si="348"/>
        <v>0</v>
      </c>
      <c r="USH63" s="44">
        <f t="shared" si="348"/>
        <v>0</v>
      </c>
      <c r="USI63" s="44">
        <f t="shared" si="348"/>
        <v>0</v>
      </c>
      <c r="USJ63" s="44">
        <f t="shared" si="348"/>
        <v>0</v>
      </c>
      <c r="USK63" s="44">
        <f t="shared" si="348"/>
        <v>0</v>
      </c>
      <c r="USL63" s="44">
        <f t="shared" si="348"/>
        <v>0</v>
      </c>
      <c r="USM63" s="44">
        <f t="shared" si="348"/>
        <v>0</v>
      </c>
      <c r="USN63" s="44">
        <f t="shared" si="348"/>
        <v>0</v>
      </c>
      <c r="USO63" s="44">
        <f t="shared" si="348"/>
        <v>0</v>
      </c>
      <c r="USP63" s="44">
        <f t="shared" si="348"/>
        <v>0</v>
      </c>
      <c r="USQ63" s="44">
        <f t="shared" si="348"/>
        <v>0</v>
      </c>
      <c r="USR63" s="44">
        <f t="shared" si="348"/>
        <v>0</v>
      </c>
      <c r="USS63" s="44">
        <f t="shared" si="348"/>
        <v>0</v>
      </c>
      <c r="UST63" s="44">
        <f t="shared" si="348"/>
        <v>0</v>
      </c>
      <c r="USU63" s="44">
        <f t="shared" si="348"/>
        <v>0</v>
      </c>
      <c r="USV63" s="44">
        <f t="shared" si="348"/>
        <v>0</v>
      </c>
      <c r="USW63" s="44">
        <f t="shared" si="348"/>
        <v>0</v>
      </c>
      <c r="USX63" s="44">
        <f t="shared" si="348"/>
        <v>0</v>
      </c>
      <c r="USY63" s="44">
        <f t="shared" si="348"/>
        <v>0</v>
      </c>
      <c r="USZ63" s="44">
        <f t="shared" si="348"/>
        <v>0</v>
      </c>
      <c r="UTA63" s="44">
        <f t="shared" si="348"/>
        <v>0</v>
      </c>
      <c r="UTB63" s="44">
        <f t="shared" si="348"/>
        <v>0</v>
      </c>
      <c r="UTC63" s="44">
        <f t="shared" si="348"/>
        <v>0</v>
      </c>
      <c r="UTD63" s="44">
        <f t="shared" si="348"/>
        <v>0</v>
      </c>
      <c r="UTE63" s="44">
        <f t="shared" si="348"/>
        <v>0</v>
      </c>
      <c r="UTF63" s="44">
        <f t="shared" si="348"/>
        <v>0</v>
      </c>
      <c r="UTG63" s="44">
        <f t="shared" si="348"/>
        <v>0</v>
      </c>
      <c r="UTH63" s="44">
        <f t="shared" si="348"/>
        <v>0</v>
      </c>
      <c r="UTI63" s="44">
        <f t="shared" si="348"/>
        <v>0</v>
      </c>
      <c r="UTJ63" s="44">
        <f t="shared" si="348"/>
        <v>0</v>
      </c>
      <c r="UTK63" s="44">
        <f t="shared" si="348"/>
        <v>0</v>
      </c>
      <c r="UTL63" s="44">
        <f t="shared" si="348"/>
        <v>0</v>
      </c>
      <c r="UTM63" s="44">
        <f t="shared" si="348"/>
        <v>0</v>
      </c>
      <c r="UTN63" s="44">
        <f t="shared" si="348"/>
        <v>0</v>
      </c>
      <c r="UTO63" s="44">
        <f t="shared" si="348"/>
        <v>0</v>
      </c>
      <c r="UTP63" s="44">
        <f t="shared" si="348"/>
        <v>0</v>
      </c>
      <c r="UTQ63" s="44">
        <f t="shared" si="348"/>
        <v>0</v>
      </c>
      <c r="UTR63" s="44">
        <f t="shared" si="348"/>
        <v>0</v>
      </c>
      <c r="UTS63" s="44">
        <f t="shared" si="348"/>
        <v>0</v>
      </c>
      <c r="UTT63" s="44">
        <f t="shared" si="348"/>
        <v>0</v>
      </c>
      <c r="UTU63" s="44">
        <f t="shared" si="348"/>
        <v>0</v>
      </c>
      <c r="UTV63" s="44">
        <f t="shared" si="348"/>
        <v>0</v>
      </c>
      <c r="UTW63" s="44">
        <f t="shared" si="348"/>
        <v>0</v>
      </c>
      <c r="UTX63" s="44">
        <f t="shared" si="348"/>
        <v>0</v>
      </c>
      <c r="UTY63" s="44">
        <f t="shared" si="348"/>
        <v>0</v>
      </c>
      <c r="UTZ63" s="44">
        <f t="shared" ref="UTZ63:UWK63" si="349">SUM(UTZ56:UTZ57)</f>
        <v>0</v>
      </c>
      <c r="UUA63" s="44">
        <f t="shared" si="349"/>
        <v>0</v>
      </c>
      <c r="UUB63" s="44">
        <f t="shared" si="349"/>
        <v>0</v>
      </c>
      <c r="UUC63" s="44">
        <f t="shared" si="349"/>
        <v>0</v>
      </c>
      <c r="UUD63" s="44">
        <f t="shared" si="349"/>
        <v>0</v>
      </c>
      <c r="UUE63" s="44">
        <f t="shared" si="349"/>
        <v>0</v>
      </c>
      <c r="UUF63" s="44">
        <f t="shared" si="349"/>
        <v>0</v>
      </c>
      <c r="UUG63" s="44">
        <f t="shared" si="349"/>
        <v>0</v>
      </c>
      <c r="UUH63" s="44">
        <f t="shared" si="349"/>
        <v>0</v>
      </c>
      <c r="UUI63" s="44">
        <f t="shared" si="349"/>
        <v>0</v>
      </c>
      <c r="UUJ63" s="44">
        <f t="shared" si="349"/>
        <v>0</v>
      </c>
      <c r="UUK63" s="44">
        <f t="shared" si="349"/>
        <v>0</v>
      </c>
      <c r="UUL63" s="44">
        <f t="shared" si="349"/>
        <v>0</v>
      </c>
      <c r="UUM63" s="44">
        <f t="shared" si="349"/>
        <v>0</v>
      </c>
      <c r="UUN63" s="44">
        <f t="shared" si="349"/>
        <v>0</v>
      </c>
      <c r="UUO63" s="44">
        <f t="shared" si="349"/>
        <v>0</v>
      </c>
      <c r="UUP63" s="44">
        <f t="shared" si="349"/>
        <v>0</v>
      </c>
      <c r="UUQ63" s="44">
        <f t="shared" si="349"/>
        <v>0</v>
      </c>
      <c r="UUR63" s="44">
        <f t="shared" si="349"/>
        <v>0</v>
      </c>
      <c r="UUS63" s="44">
        <f t="shared" si="349"/>
        <v>0</v>
      </c>
      <c r="UUT63" s="44">
        <f t="shared" si="349"/>
        <v>0</v>
      </c>
      <c r="UUU63" s="44">
        <f t="shared" si="349"/>
        <v>0</v>
      </c>
      <c r="UUV63" s="44">
        <f t="shared" si="349"/>
        <v>0</v>
      </c>
      <c r="UUW63" s="44">
        <f t="shared" si="349"/>
        <v>0</v>
      </c>
      <c r="UUX63" s="44">
        <f t="shared" si="349"/>
        <v>0</v>
      </c>
      <c r="UUY63" s="44">
        <f t="shared" si="349"/>
        <v>0</v>
      </c>
      <c r="UUZ63" s="44">
        <f t="shared" si="349"/>
        <v>0</v>
      </c>
      <c r="UVA63" s="44">
        <f t="shared" si="349"/>
        <v>0</v>
      </c>
      <c r="UVB63" s="44">
        <f t="shared" si="349"/>
        <v>0</v>
      </c>
      <c r="UVC63" s="44">
        <f t="shared" si="349"/>
        <v>0</v>
      </c>
      <c r="UVD63" s="44">
        <f t="shared" si="349"/>
        <v>0</v>
      </c>
      <c r="UVE63" s="44">
        <f t="shared" si="349"/>
        <v>0</v>
      </c>
      <c r="UVF63" s="44">
        <f t="shared" si="349"/>
        <v>0</v>
      </c>
      <c r="UVG63" s="44">
        <f t="shared" si="349"/>
        <v>0</v>
      </c>
      <c r="UVH63" s="44">
        <f t="shared" si="349"/>
        <v>0</v>
      </c>
      <c r="UVI63" s="44">
        <f t="shared" si="349"/>
        <v>0</v>
      </c>
      <c r="UVJ63" s="44">
        <f t="shared" si="349"/>
        <v>0</v>
      </c>
      <c r="UVK63" s="44">
        <f t="shared" si="349"/>
        <v>0</v>
      </c>
      <c r="UVL63" s="44">
        <f t="shared" si="349"/>
        <v>0</v>
      </c>
      <c r="UVM63" s="44">
        <f t="shared" si="349"/>
        <v>0</v>
      </c>
      <c r="UVN63" s="44">
        <f t="shared" si="349"/>
        <v>0</v>
      </c>
      <c r="UVO63" s="44">
        <f t="shared" si="349"/>
        <v>0</v>
      </c>
      <c r="UVP63" s="44">
        <f t="shared" si="349"/>
        <v>0</v>
      </c>
      <c r="UVQ63" s="44">
        <f t="shared" si="349"/>
        <v>0</v>
      </c>
      <c r="UVR63" s="44">
        <f t="shared" si="349"/>
        <v>0</v>
      </c>
      <c r="UVS63" s="44">
        <f t="shared" si="349"/>
        <v>0</v>
      </c>
      <c r="UVT63" s="44">
        <f t="shared" si="349"/>
        <v>0</v>
      </c>
      <c r="UVU63" s="44">
        <f t="shared" si="349"/>
        <v>0</v>
      </c>
      <c r="UVV63" s="44">
        <f t="shared" si="349"/>
        <v>0</v>
      </c>
      <c r="UVW63" s="44">
        <f t="shared" si="349"/>
        <v>0</v>
      </c>
      <c r="UVX63" s="44">
        <f t="shared" si="349"/>
        <v>0</v>
      </c>
      <c r="UVY63" s="44">
        <f t="shared" si="349"/>
        <v>0</v>
      </c>
      <c r="UVZ63" s="44">
        <f t="shared" si="349"/>
        <v>0</v>
      </c>
      <c r="UWA63" s="44">
        <f t="shared" si="349"/>
        <v>0</v>
      </c>
      <c r="UWB63" s="44">
        <f t="shared" si="349"/>
        <v>0</v>
      </c>
      <c r="UWC63" s="44">
        <f t="shared" si="349"/>
        <v>0</v>
      </c>
      <c r="UWD63" s="44">
        <f t="shared" si="349"/>
        <v>0</v>
      </c>
      <c r="UWE63" s="44">
        <f t="shared" si="349"/>
        <v>0</v>
      </c>
      <c r="UWF63" s="44">
        <f t="shared" si="349"/>
        <v>0</v>
      </c>
      <c r="UWG63" s="44">
        <f t="shared" si="349"/>
        <v>0</v>
      </c>
      <c r="UWH63" s="44">
        <f t="shared" si="349"/>
        <v>0</v>
      </c>
      <c r="UWI63" s="44">
        <f t="shared" si="349"/>
        <v>0</v>
      </c>
      <c r="UWJ63" s="44">
        <f t="shared" si="349"/>
        <v>0</v>
      </c>
      <c r="UWK63" s="44">
        <f t="shared" si="349"/>
        <v>0</v>
      </c>
      <c r="UWL63" s="44">
        <f t="shared" ref="UWL63:UYW63" si="350">SUM(UWL56:UWL57)</f>
        <v>0</v>
      </c>
      <c r="UWM63" s="44">
        <f t="shared" si="350"/>
        <v>0</v>
      </c>
      <c r="UWN63" s="44">
        <f t="shared" si="350"/>
        <v>0</v>
      </c>
      <c r="UWO63" s="44">
        <f t="shared" si="350"/>
        <v>0</v>
      </c>
      <c r="UWP63" s="44">
        <f t="shared" si="350"/>
        <v>0</v>
      </c>
      <c r="UWQ63" s="44">
        <f t="shared" si="350"/>
        <v>0</v>
      </c>
      <c r="UWR63" s="44">
        <f t="shared" si="350"/>
        <v>0</v>
      </c>
      <c r="UWS63" s="44">
        <f t="shared" si="350"/>
        <v>0</v>
      </c>
      <c r="UWT63" s="44">
        <f t="shared" si="350"/>
        <v>0</v>
      </c>
      <c r="UWU63" s="44">
        <f t="shared" si="350"/>
        <v>0</v>
      </c>
      <c r="UWV63" s="44">
        <f t="shared" si="350"/>
        <v>0</v>
      </c>
      <c r="UWW63" s="44">
        <f t="shared" si="350"/>
        <v>0</v>
      </c>
      <c r="UWX63" s="44">
        <f t="shared" si="350"/>
        <v>0</v>
      </c>
      <c r="UWY63" s="44">
        <f t="shared" si="350"/>
        <v>0</v>
      </c>
      <c r="UWZ63" s="44">
        <f t="shared" si="350"/>
        <v>0</v>
      </c>
      <c r="UXA63" s="44">
        <f t="shared" si="350"/>
        <v>0</v>
      </c>
      <c r="UXB63" s="44">
        <f t="shared" si="350"/>
        <v>0</v>
      </c>
      <c r="UXC63" s="44">
        <f t="shared" si="350"/>
        <v>0</v>
      </c>
      <c r="UXD63" s="44">
        <f t="shared" si="350"/>
        <v>0</v>
      </c>
      <c r="UXE63" s="44">
        <f t="shared" si="350"/>
        <v>0</v>
      </c>
      <c r="UXF63" s="44">
        <f t="shared" si="350"/>
        <v>0</v>
      </c>
      <c r="UXG63" s="44">
        <f t="shared" si="350"/>
        <v>0</v>
      </c>
      <c r="UXH63" s="44">
        <f t="shared" si="350"/>
        <v>0</v>
      </c>
      <c r="UXI63" s="44">
        <f t="shared" si="350"/>
        <v>0</v>
      </c>
      <c r="UXJ63" s="44">
        <f t="shared" si="350"/>
        <v>0</v>
      </c>
      <c r="UXK63" s="44">
        <f t="shared" si="350"/>
        <v>0</v>
      </c>
      <c r="UXL63" s="44">
        <f t="shared" si="350"/>
        <v>0</v>
      </c>
      <c r="UXM63" s="44">
        <f t="shared" si="350"/>
        <v>0</v>
      </c>
      <c r="UXN63" s="44">
        <f t="shared" si="350"/>
        <v>0</v>
      </c>
      <c r="UXO63" s="44">
        <f t="shared" si="350"/>
        <v>0</v>
      </c>
      <c r="UXP63" s="44">
        <f t="shared" si="350"/>
        <v>0</v>
      </c>
      <c r="UXQ63" s="44">
        <f t="shared" si="350"/>
        <v>0</v>
      </c>
      <c r="UXR63" s="44">
        <f t="shared" si="350"/>
        <v>0</v>
      </c>
      <c r="UXS63" s="44">
        <f t="shared" si="350"/>
        <v>0</v>
      </c>
      <c r="UXT63" s="44">
        <f t="shared" si="350"/>
        <v>0</v>
      </c>
      <c r="UXU63" s="44">
        <f t="shared" si="350"/>
        <v>0</v>
      </c>
      <c r="UXV63" s="44">
        <f t="shared" si="350"/>
        <v>0</v>
      </c>
      <c r="UXW63" s="44">
        <f t="shared" si="350"/>
        <v>0</v>
      </c>
      <c r="UXX63" s="44">
        <f t="shared" si="350"/>
        <v>0</v>
      </c>
      <c r="UXY63" s="44">
        <f t="shared" si="350"/>
        <v>0</v>
      </c>
      <c r="UXZ63" s="44">
        <f t="shared" si="350"/>
        <v>0</v>
      </c>
      <c r="UYA63" s="44">
        <f t="shared" si="350"/>
        <v>0</v>
      </c>
      <c r="UYB63" s="44">
        <f t="shared" si="350"/>
        <v>0</v>
      </c>
      <c r="UYC63" s="44">
        <f t="shared" si="350"/>
        <v>0</v>
      </c>
      <c r="UYD63" s="44">
        <f t="shared" si="350"/>
        <v>0</v>
      </c>
      <c r="UYE63" s="44">
        <f t="shared" si="350"/>
        <v>0</v>
      </c>
      <c r="UYF63" s="44">
        <f t="shared" si="350"/>
        <v>0</v>
      </c>
      <c r="UYG63" s="44">
        <f t="shared" si="350"/>
        <v>0</v>
      </c>
      <c r="UYH63" s="44">
        <f t="shared" si="350"/>
        <v>0</v>
      </c>
      <c r="UYI63" s="44">
        <f t="shared" si="350"/>
        <v>0</v>
      </c>
      <c r="UYJ63" s="44">
        <f t="shared" si="350"/>
        <v>0</v>
      </c>
      <c r="UYK63" s="44">
        <f t="shared" si="350"/>
        <v>0</v>
      </c>
      <c r="UYL63" s="44">
        <f t="shared" si="350"/>
        <v>0</v>
      </c>
      <c r="UYM63" s="44">
        <f t="shared" si="350"/>
        <v>0</v>
      </c>
      <c r="UYN63" s="44">
        <f t="shared" si="350"/>
        <v>0</v>
      </c>
      <c r="UYO63" s="44">
        <f t="shared" si="350"/>
        <v>0</v>
      </c>
      <c r="UYP63" s="44">
        <f t="shared" si="350"/>
        <v>0</v>
      </c>
      <c r="UYQ63" s="44">
        <f t="shared" si="350"/>
        <v>0</v>
      </c>
      <c r="UYR63" s="44">
        <f t="shared" si="350"/>
        <v>0</v>
      </c>
      <c r="UYS63" s="44">
        <f t="shared" si="350"/>
        <v>0</v>
      </c>
      <c r="UYT63" s="44">
        <f t="shared" si="350"/>
        <v>0</v>
      </c>
      <c r="UYU63" s="44">
        <f t="shared" si="350"/>
        <v>0</v>
      </c>
      <c r="UYV63" s="44">
        <f t="shared" si="350"/>
        <v>0</v>
      </c>
      <c r="UYW63" s="44">
        <f t="shared" si="350"/>
        <v>0</v>
      </c>
      <c r="UYX63" s="44">
        <f t="shared" ref="UYX63:VBI63" si="351">SUM(UYX56:UYX57)</f>
        <v>0</v>
      </c>
      <c r="UYY63" s="44">
        <f t="shared" si="351"/>
        <v>0</v>
      </c>
      <c r="UYZ63" s="44">
        <f t="shared" si="351"/>
        <v>0</v>
      </c>
      <c r="UZA63" s="44">
        <f t="shared" si="351"/>
        <v>0</v>
      </c>
      <c r="UZB63" s="44">
        <f t="shared" si="351"/>
        <v>0</v>
      </c>
      <c r="UZC63" s="44">
        <f t="shared" si="351"/>
        <v>0</v>
      </c>
      <c r="UZD63" s="44">
        <f t="shared" si="351"/>
        <v>0</v>
      </c>
      <c r="UZE63" s="44">
        <f t="shared" si="351"/>
        <v>0</v>
      </c>
      <c r="UZF63" s="44">
        <f t="shared" si="351"/>
        <v>0</v>
      </c>
      <c r="UZG63" s="44">
        <f t="shared" si="351"/>
        <v>0</v>
      </c>
      <c r="UZH63" s="44">
        <f t="shared" si="351"/>
        <v>0</v>
      </c>
      <c r="UZI63" s="44">
        <f t="shared" si="351"/>
        <v>0</v>
      </c>
      <c r="UZJ63" s="44">
        <f t="shared" si="351"/>
        <v>0</v>
      </c>
      <c r="UZK63" s="44">
        <f t="shared" si="351"/>
        <v>0</v>
      </c>
      <c r="UZL63" s="44">
        <f t="shared" si="351"/>
        <v>0</v>
      </c>
      <c r="UZM63" s="44">
        <f t="shared" si="351"/>
        <v>0</v>
      </c>
      <c r="UZN63" s="44">
        <f t="shared" si="351"/>
        <v>0</v>
      </c>
      <c r="UZO63" s="44">
        <f t="shared" si="351"/>
        <v>0</v>
      </c>
      <c r="UZP63" s="44">
        <f t="shared" si="351"/>
        <v>0</v>
      </c>
      <c r="UZQ63" s="44">
        <f t="shared" si="351"/>
        <v>0</v>
      </c>
      <c r="UZR63" s="44">
        <f t="shared" si="351"/>
        <v>0</v>
      </c>
      <c r="UZS63" s="44">
        <f t="shared" si="351"/>
        <v>0</v>
      </c>
      <c r="UZT63" s="44">
        <f t="shared" si="351"/>
        <v>0</v>
      </c>
      <c r="UZU63" s="44">
        <f t="shared" si="351"/>
        <v>0</v>
      </c>
      <c r="UZV63" s="44">
        <f t="shared" si="351"/>
        <v>0</v>
      </c>
      <c r="UZW63" s="44">
        <f t="shared" si="351"/>
        <v>0</v>
      </c>
      <c r="UZX63" s="44">
        <f t="shared" si="351"/>
        <v>0</v>
      </c>
      <c r="UZY63" s="44">
        <f t="shared" si="351"/>
        <v>0</v>
      </c>
      <c r="UZZ63" s="44">
        <f t="shared" si="351"/>
        <v>0</v>
      </c>
      <c r="VAA63" s="44">
        <f t="shared" si="351"/>
        <v>0</v>
      </c>
      <c r="VAB63" s="44">
        <f t="shared" si="351"/>
        <v>0</v>
      </c>
      <c r="VAC63" s="44">
        <f t="shared" si="351"/>
        <v>0</v>
      </c>
      <c r="VAD63" s="44">
        <f t="shared" si="351"/>
        <v>0</v>
      </c>
      <c r="VAE63" s="44">
        <f t="shared" si="351"/>
        <v>0</v>
      </c>
      <c r="VAF63" s="44">
        <f t="shared" si="351"/>
        <v>0</v>
      </c>
      <c r="VAG63" s="44">
        <f t="shared" si="351"/>
        <v>0</v>
      </c>
      <c r="VAH63" s="44">
        <f t="shared" si="351"/>
        <v>0</v>
      </c>
      <c r="VAI63" s="44">
        <f t="shared" si="351"/>
        <v>0</v>
      </c>
      <c r="VAJ63" s="44">
        <f t="shared" si="351"/>
        <v>0</v>
      </c>
      <c r="VAK63" s="44">
        <f t="shared" si="351"/>
        <v>0</v>
      </c>
      <c r="VAL63" s="44">
        <f t="shared" si="351"/>
        <v>0</v>
      </c>
      <c r="VAM63" s="44">
        <f t="shared" si="351"/>
        <v>0</v>
      </c>
      <c r="VAN63" s="44">
        <f t="shared" si="351"/>
        <v>0</v>
      </c>
      <c r="VAO63" s="44">
        <f t="shared" si="351"/>
        <v>0</v>
      </c>
      <c r="VAP63" s="44">
        <f t="shared" si="351"/>
        <v>0</v>
      </c>
      <c r="VAQ63" s="44">
        <f t="shared" si="351"/>
        <v>0</v>
      </c>
      <c r="VAR63" s="44">
        <f t="shared" si="351"/>
        <v>0</v>
      </c>
      <c r="VAS63" s="44">
        <f t="shared" si="351"/>
        <v>0</v>
      </c>
      <c r="VAT63" s="44">
        <f t="shared" si="351"/>
        <v>0</v>
      </c>
      <c r="VAU63" s="44">
        <f t="shared" si="351"/>
        <v>0</v>
      </c>
      <c r="VAV63" s="44">
        <f t="shared" si="351"/>
        <v>0</v>
      </c>
      <c r="VAW63" s="44">
        <f t="shared" si="351"/>
        <v>0</v>
      </c>
      <c r="VAX63" s="44">
        <f t="shared" si="351"/>
        <v>0</v>
      </c>
      <c r="VAY63" s="44">
        <f t="shared" si="351"/>
        <v>0</v>
      </c>
      <c r="VAZ63" s="44">
        <f t="shared" si="351"/>
        <v>0</v>
      </c>
      <c r="VBA63" s="44">
        <f t="shared" si="351"/>
        <v>0</v>
      </c>
      <c r="VBB63" s="44">
        <f t="shared" si="351"/>
        <v>0</v>
      </c>
      <c r="VBC63" s="44">
        <f t="shared" si="351"/>
        <v>0</v>
      </c>
      <c r="VBD63" s="44">
        <f t="shared" si="351"/>
        <v>0</v>
      </c>
      <c r="VBE63" s="44">
        <f t="shared" si="351"/>
        <v>0</v>
      </c>
      <c r="VBF63" s="44">
        <f t="shared" si="351"/>
        <v>0</v>
      </c>
      <c r="VBG63" s="44">
        <f t="shared" si="351"/>
        <v>0</v>
      </c>
      <c r="VBH63" s="44">
        <f t="shared" si="351"/>
        <v>0</v>
      </c>
      <c r="VBI63" s="44">
        <f t="shared" si="351"/>
        <v>0</v>
      </c>
      <c r="VBJ63" s="44">
        <f t="shared" ref="VBJ63:VDU63" si="352">SUM(VBJ56:VBJ57)</f>
        <v>0</v>
      </c>
      <c r="VBK63" s="44">
        <f t="shared" si="352"/>
        <v>0</v>
      </c>
      <c r="VBL63" s="44">
        <f t="shared" si="352"/>
        <v>0</v>
      </c>
      <c r="VBM63" s="44">
        <f t="shared" si="352"/>
        <v>0</v>
      </c>
      <c r="VBN63" s="44">
        <f t="shared" si="352"/>
        <v>0</v>
      </c>
      <c r="VBO63" s="44">
        <f t="shared" si="352"/>
        <v>0</v>
      </c>
      <c r="VBP63" s="44">
        <f t="shared" si="352"/>
        <v>0</v>
      </c>
      <c r="VBQ63" s="44">
        <f t="shared" si="352"/>
        <v>0</v>
      </c>
      <c r="VBR63" s="44">
        <f t="shared" si="352"/>
        <v>0</v>
      </c>
      <c r="VBS63" s="44">
        <f t="shared" si="352"/>
        <v>0</v>
      </c>
      <c r="VBT63" s="44">
        <f t="shared" si="352"/>
        <v>0</v>
      </c>
      <c r="VBU63" s="44">
        <f t="shared" si="352"/>
        <v>0</v>
      </c>
      <c r="VBV63" s="44">
        <f t="shared" si="352"/>
        <v>0</v>
      </c>
      <c r="VBW63" s="44">
        <f t="shared" si="352"/>
        <v>0</v>
      </c>
      <c r="VBX63" s="44">
        <f t="shared" si="352"/>
        <v>0</v>
      </c>
      <c r="VBY63" s="44">
        <f t="shared" si="352"/>
        <v>0</v>
      </c>
      <c r="VBZ63" s="44">
        <f t="shared" si="352"/>
        <v>0</v>
      </c>
      <c r="VCA63" s="44">
        <f t="shared" si="352"/>
        <v>0</v>
      </c>
      <c r="VCB63" s="44">
        <f t="shared" si="352"/>
        <v>0</v>
      </c>
      <c r="VCC63" s="44">
        <f t="shared" si="352"/>
        <v>0</v>
      </c>
      <c r="VCD63" s="44">
        <f t="shared" si="352"/>
        <v>0</v>
      </c>
      <c r="VCE63" s="44">
        <f t="shared" si="352"/>
        <v>0</v>
      </c>
      <c r="VCF63" s="44">
        <f t="shared" si="352"/>
        <v>0</v>
      </c>
      <c r="VCG63" s="44">
        <f t="shared" si="352"/>
        <v>0</v>
      </c>
      <c r="VCH63" s="44">
        <f t="shared" si="352"/>
        <v>0</v>
      </c>
      <c r="VCI63" s="44">
        <f t="shared" si="352"/>
        <v>0</v>
      </c>
      <c r="VCJ63" s="44">
        <f t="shared" si="352"/>
        <v>0</v>
      </c>
      <c r="VCK63" s="44">
        <f t="shared" si="352"/>
        <v>0</v>
      </c>
      <c r="VCL63" s="44">
        <f t="shared" si="352"/>
        <v>0</v>
      </c>
      <c r="VCM63" s="44">
        <f t="shared" si="352"/>
        <v>0</v>
      </c>
      <c r="VCN63" s="44">
        <f t="shared" si="352"/>
        <v>0</v>
      </c>
      <c r="VCO63" s="44">
        <f t="shared" si="352"/>
        <v>0</v>
      </c>
      <c r="VCP63" s="44">
        <f t="shared" si="352"/>
        <v>0</v>
      </c>
      <c r="VCQ63" s="44">
        <f t="shared" si="352"/>
        <v>0</v>
      </c>
      <c r="VCR63" s="44">
        <f t="shared" si="352"/>
        <v>0</v>
      </c>
      <c r="VCS63" s="44">
        <f t="shared" si="352"/>
        <v>0</v>
      </c>
      <c r="VCT63" s="44">
        <f t="shared" si="352"/>
        <v>0</v>
      </c>
      <c r="VCU63" s="44">
        <f t="shared" si="352"/>
        <v>0</v>
      </c>
      <c r="VCV63" s="44">
        <f t="shared" si="352"/>
        <v>0</v>
      </c>
      <c r="VCW63" s="44">
        <f t="shared" si="352"/>
        <v>0</v>
      </c>
      <c r="VCX63" s="44">
        <f t="shared" si="352"/>
        <v>0</v>
      </c>
      <c r="VCY63" s="44">
        <f t="shared" si="352"/>
        <v>0</v>
      </c>
      <c r="VCZ63" s="44">
        <f t="shared" si="352"/>
        <v>0</v>
      </c>
      <c r="VDA63" s="44">
        <f t="shared" si="352"/>
        <v>0</v>
      </c>
      <c r="VDB63" s="44">
        <f t="shared" si="352"/>
        <v>0</v>
      </c>
      <c r="VDC63" s="44">
        <f t="shared" si="352"/>
        <v>0</v>
      </c>
      <c r="VDD63" s="44">
        <f t="shared" si="352"/>
        <v>0</v>
      </c>
      <c r="VDE63" s="44">
        <f t="shared" si="352"/>
        <v>0</v>
      </c>
      <c r="VDF63" s="44">
        <f t="shared" si="352"/>
        <v>0</v>
      </c>
      <c r="VDG63" s="44">
        <f t="shared" si="352"/>
        <v>0</v>
      </c>
      <c r="VDH63" s="44">
        <f t="shared" si="352"/>
        <v>0</v>
      </c>
      <c r="VDI63" s="44">
        <f t="shared" si="352"/>
        <v>0</v>
      </c>
      <c r="VDJ63" s="44">
        <f t="shared" si="352"/>
        <v>0</v>
      </c>
      <c r="VDK63" s="44">
        <f t="shared" si="352"/>
        <v>0</v>
      </c>
      <c r="VDL63" s="44">
        <f t="shared" si="352"/>
        <v>0</v>
      </c>
      <c r="VDM63" s="44">
        <f t="shared" si="352"/>
        <v>0</v>
      </c>
      <c r="VDN63" s="44">
        <f t="shared" si="352"/>
        <v>0</v>
      </c>
      <c r="VDO63" s="44">
        <f t="shared" si="352"/>
        <v>0</v>
      </c>
      <c r="VDP63" s="44">
        <f t="shared" si="352"/>
        <v>0</v>
      </c>
      <c r="VDQ63" s="44">
        <f t="shared" si="352"/>
        <v>0</v>
      </c>
      <c r="VDR63" s="44">
        <f t="shared" si="352"/>
        <v>0</v>
      </c>
      <c r="VDS63" s="44">
        <f t="shared" si="352"/>
        <v>0</v>
      </c>
      <c r="VDT63" s="44">
        <f t="shared" si="352"/>
        <v>0</v>
      </c>
      <c r="VDU63" s="44">
        <f t="shared" si="352"/>
        <v>0</v>
      </c>
      <c r="VDV63" s="44">
        <f t="shared" ref="VDV63:VGG63" si="353">SUM(VDV56:VDV57)</f>
        <v>0</v>
      </c>
      <c r="VDW63" s="44">
        <f t="shared" si="353"/>
        <v>0</v>
      </c>
      <c r="VDX63" s="44">
        <f t="shared" si="353"/>
        <v>0</v>
      </c>
      <c r="VDY63" s="44">
        <f t="shared" si="353"/>
        <v>0</v>
      </c>
      <c r="VDZ63" s="44">
        <f t="shared" si="353"/>
        <v>0</v>
      </c>
      <c r="VEA63" s="44">
        <f t="shared" si="353"/>
        <v>0</v>
      </c>
      <c r="VEB63" s="44">
        <f t="shared" si="353"/>
        <v>0</v>
      </c>
      <c r="VEC63" s="44">
        <f t="shared" si="353"/>
        <v>0</v>
      </c>
      <c r="VED63" s="44">
        <f t="shared" si="353"/>
        <v>0</v>
      </c>
      <c r="VEE63" s="44">
        <f t="shared" si="353"/>
        <v>0</v>
      </c>
      <c r="VEF63" s="44">
        <f t="shared" si="353"/>
        <v>0</v>
      </c>
      <c r="VEG63" s="44">
        <f t="shared" si="353"/>
        <v>0</v>
      </c>
      <c r="VEH63" s="44">
        <f t="shared" si="353"/>
        <v>0</v>
      </c>
      <c r="VEI63" s="44">
        <f t="shared" si="353"/>
        <v>0</v>
      </c>
      <c r="VEJ63" s="44">
        <f t="shared" si="353"/>
        <v>0</v>
      </c>
      <c r="VEK63" s="44">
        <f t="shared" si="353"/>
        <v>0</v>
      </c>
      <c r="VEL63" s="44">
        <f t="shared" si="353"/>
        <v>0</v>
      </c>
      <c r="VEM63" s="44">
        <f t="shared" si="353"/>
        <v>0</v>
      </c>
      <c r="VEN63" s="44">
        <f t="shared" si="353"/>
        <v>0</v>
      </c>
      <c r="VEO63" s="44">
        <f t="shared" si="353"/>
        <v>0</v>
      </c>
      <c r="VEP63" s="44">
        <f t="shared" si="353"/>
        <v>0</v>
      </c>
      <c r="VEQ63" s="44">
        <f t="shared" si="353"/>
        <v>0</v>
      </c>
      <c r="VER63" s="44">
        <f t="shared" si="353"/>
        <v>0</v>
      </c>
      <c r="VES63" s="44">
        <f t="shared" si="353"/>
        <v>0</v>
      </c>
      <c r="VET63" s="44">
        <f t="shared" si="353"/>
        <v>0</v>
      </c>
      <c r="VEU63" s="44">
        <f t="shared" si="353"/>
        <v>0</v>
      </c>
      <c r="VEV63" s="44">
        <f t="shared" si="353"/>
        <v>0</v>
      </c>
      <c r="VEW63" s="44">
        <f t="shared" si="353"/>
        <v>0</v>
      </c>
      <c r="VEX63" s="44">
        <f t="shared" si="353"/>
        <v>0</v>
      </c>
      <c r="VEY63" s="44">
        <f t="shared" si="353"/>
        <v>0</v>
      </c>
      <c r="VEZ63" s="44">
        <f t="shared" si="353"/>
        <v>0</v>
      </c>
      <c r="VFA63" s="44">
        <f t="shared" si="353"/>
        <v>0</v>
      </c>
      <c r="VFB63" s="44">
        <f t="shared" si="353"/>
        <v>0</v>
      </c>
      <c r="VFC63" s="44">
        <f t="shared" si="353"/>
        <v>0</v>
      </c>
      <c r="VFD63" s="44">
        <f t="shared" si="353"/>
        <v>0</v>
      </c>
      <c r="VFE63" s="44">
        <f t="shared" si="353"/>
        <v>0</v>
      </c>
      <c r="VFF63" s="44">
        <f t="shared" si="353"/>
        <v>0</v>
      </c>
      <c r="VFG63" s="44">
        <f t="shared" si="353"/>
        <v>0</v>
      </c>
      <c r="VFH63" s="44">
        <f t="shared" si="353"/>
        <v>0</v>
      </c>
      <c r="VFI63" s="44">
        <f t="shared" si="353"/>
        <v>0</v>
      </c>
      <c r="VFJ63" s="44">
        <f t="shared" si="353"/>
        <v>0</v>
      </c>
      <c r="VFK63" s="44">
        <f t="shared" si="353"/>
        <v>0</v>
      </c>
      <c r="VFL63" s="44">
        <f t="shared" si="353"/>
        <v>0</v>
      </c>
      <c r="VFM63" s="44">
        <f t="shared" si="353"/>
        <v>0</v>
      </c>
      <c r="VFN63" s="44">
        <f t="shared" si="353"/>
        <v>0</v>
      </c>
      <c r="VFO63" s="44">
        <f t="shared" si="353"/>
        <v>0</v>
      </c>
      <c r="VFP63" s="44">
        <f t="shared" si="353"/>
        <v>0</v>
      </c>
      <c r="VFQ63" s="44">
        <f t="shared" si="353"/>
        <v>0</v>
      </c>
      <c r="VFR63" s="44">
        <f t="shared" si="353"/>
        <v>0</v>
      </c>
      <c r="VFS63" s="44">
        <f t="shared" si="353"/>
        <v>0</v>
      </c>
      <c r="VFT63" s="44">
        <f t="shared" si="353"/>
        <v>0</v>
      </c>
      <c r="VFU63" s="44">
        <f t="shared" si="353"/>
        <v>0</v>
      </c>
      <c r="VFV63" s="44">
        <f t="shared" si="353"/>
        <v>0</v>
      </c>
      <c r="VFW63" s="44">
        <f t="shared" si="353"/>
        <v>0</v>
      </c>
      <c r="VFX63" s="44">
        <f t="shared" si="353"/>
        <v>0</v>
      </c>
      <c r="VFY63" s="44">
        <f t="shared" si="353"/>
        <v>0</v>
      </c>
      <c r="VFZ63" s="44">
        <f t="shared" si="353"/>
        <v>0</v>
      </c>
      <c r="VGA63" s="44">
        <f t="shared" si="353"/>
        <v>0</v>
      </c>
      <c r="VGB63" s="44">
        <f t="shared" si="353"/>
        <v>0</v>
      </c>
      <c r="VGC63" s="44">
        <f t="shared" si="353"/>
        <v>0</v>
      </c>
      <c r="VGD63" s="44">
        <f t="shared" si="353"/>
        <v>0</v>
      </c>
      <c r="VGE63" s="44">
        <f t="shared" si="353"/>
        <v>0</v>
      </c>
      <c r="VGF63" s="44">
        <f t="shared" si="353"/>
        <v>0</v>
      </c>
      <c r="VGG63" s="44">
        <f t="shared" si="353"/>
        <v>0</v>
      </c>
      <c r="VGH63" s="44">
        <f t="shared" ref="VGH63:VIS63" si="354">SUM(VGH56:VGH57)</f>
        <v>0</v>
      </c>
      <c r="VGI63" s="44">
        <f t="shared" si="354"/>
        <v>0</v>
      </c>
      <c r="VGJ63" s="44">
        <f t="shared" si="354"/>
        <v>0</v>
      </c>
      <c r="VGK63" s="44">
        <f t="shared" si="354"/>
        <v>0</v>
      </c>
      <c r="VGL63" s="44">
        <f t="shared" si="354"/>
        <v>0</v>
      </c>
      <c r="VGM63" s="44">
        <f t="shared" si="354"/>
        <v>0</v>
      </c>
      <c r="VGN63" s="44">
        <f t="shared" si="354"/>
        <v>0</v>
      </c>
      <c r="VGO63" s="44">
        <f t="shared" si="354"/>
        <v>0</v>
      </c>
      <c r="VGP63" s="44">
        <f t="shared" si="354"/>
        <v>0</v>
      </c>
      <c r="VGQ63" s="44">
        <f t="shared" si="354"/>
        <v>0</v>
      </c>
      <c r="VGR63" s="44">
        <f t="shared" si="354"/>
        <v>0</v>
      </c>
      <c r="VGS63" s="44">
        <f t="shared" si="354"/>
        <v>0</v>
      </c>
      <c r="VGT63" s="44">
        <f t="shared" si="354"/>
        <v>0</v>
      </c>
      <c r="VGU63" s="44">
        <f t="shared" si="354"/>
        <v>0</v>
      </c>
      <c r="VGV63" s="44">
        <f t="shared" si="354"/>
        <v>0</v>
      </c>
      <c r="VGW63" s="44">
        <f t="shared" si="354"/>
        <v>0</v>
      </c>
      <c r="VGX63" s="44">
        <f t="shared" si="354"/>
        <v>0</v>
      </c>
      <c r="VGY63" s="44">
        <f t="shared" si="354"/>
        <v>0</v>
      </c>
      <c r="VGZ63" s="44">
        <f t="shared" si="354"/>
        <v>0</v>
      </c>
      <c r="VHA63" s="44">
        <f t="shared" si="354"/>
        <v>0</v>
      </c>
      <c r="VHB63" s="44">
        <f t="shared" si="354"/>
        <v>0</v>
      </c>
      <c r="VHC63" s="44">
        <f t="shared" si="354"/>
        <v>0</v>
      </c>
      <c r="VHD63" s="44">
        <f t="shared" si="354"/>
        <v>0</v>
      </c>
      <c r="VHE63" s="44">
        <f t="shared" si="354"/>
        <v>0</v>
      </c>
      <c r="VHF63" s="44">
        <f t="shared" si="354"/>
        <v>0</v>
      </c>
      <c r="VHG63" s="44">
        <f t="shared" si="354"/>
        <v>0</v>
      </c>
      <c r="VHH63" s="44">
        <f t="shared" si="354"/>
        <v>0</v>
      </c>
      <c r="VHI63" s="44">
        <f t="shared" si="354"/>
        <v>0</v>
      </c>
      <c r="VHJ63" s="44">
        <f t="shared" si="354"/>
        <v>0</v>
      </c>
      <c r="VHK63" s="44">
        <f t="shared" si="354"/>
        <v>0</v>
      </c>
      <c r="VHL63" s="44">
        <f t="shared" si="354"/>
        <v>0</v>
      </c>
      <c r="VHM63" s="44">
        <f t="shared" si="354"/>
        <v>0</v>
      </c>
      <c r="VHN63" s="44">
        <f t="shared" si="354"/>
        <v>0</v>
      </c>
      <c r="VHO63" s="44">
        <f t="shared" si="354"/>
        <v>0</v>
      </c>
      <c r="VHP63" s="44">
        <f t="shared" si="354"/>
        <v>0</v>
      </c>
      <c r="VHQ63" s="44">
        <f t="shared" si="354"/>
        <v>0</v>
      </c>
      <c r="VHR63" s="44">
        <f t="shared" si="354"/>
        <v>0</v>
      </c>
      <c r="VHS63" s="44">
        <f t="shared" si="354"/>
        <v>0</v>
      </c>
      <c r="VHT63" s="44">
        <f t="shared" si="354"/>
        <v>0</v>
      </c>
      <c r="VHU63" s="44">
        <f t="shared" si="354"/>
        <v>0</v>
      </c>
      <c r="VHV63" s="44">
        <f t="shared" si="354"/>
        <v>0</v>
      </c>
      <c r="VHW63" s="44">
        <f t="shared" si="354"/>
        <v>0</v>
      </c>
      <c r="VHX63" s="44">
        <f t="shared" si="354"/>
        <v>0</v>
      </c>
      <c r="VHY63" s="44">
        <f t="shared" si="354"/>
        <v>0</v>
      </c>
      <c r="VHZ63" s="44">
        <f t="shared" si="354"/>
        <v>0</v>
      </c>
      <c r="VIA63" s="44">
        <f t="shared" si="354"/>
        <v>0</v>
      </c>
      <c r="VIB63" s="44">
        <f t="shared" si="354"/>
        <v>0</v>
      </c>
      <c r="VIC63" s="44">
        <f t="shared" si="354"/>
        <v>0</v>
      </c>
      <c r="VID63" s="44">
        <f t="shared" si="354"/>
        <v>0</v>
      </c>
      <c r="VIE63" s="44">
        <f t="shared" si="354"/>
        <v>0</v>
      </c>
      <c r="VIF63" s="44">
        <f t="shared" si="354"/>
        <v>0</v>
      </c>
      <c r="VIG63" s="44">
        <f t="shared" si="354"/>
        <v>0</v>
      </c>
      <c r="VIH63" s="44">
        <f t="shared" si="354"/>
        <v>0</v>
      </c>
      <c r="VII63" s="44">
        <f t="shared" si="354"/>
        <v>0</v>
      </c>
      <c r="VIJ63" s="44">
        <f t="shared" si="354"/>
        <v>0</v>
      </c>
      <c r="VIK63" s="44">
        <f t="shared" si="354"/>
        <v>0</v>
      </c>
      <c r="VIL63" s="44">
        <f t="shared" si="354"/>
        <v>0</v>
      </c>
      <c r="VIM63" s="44">
        <f t="shared" si="354"/>
        <v>0</v>
      </c>
      <c r="VIN63" s="44">
        <f t="shared" si="354"/>
        <v>0</v>
      </c>
      <c r="VIO63" s="44">
        <f t="shared" si="354"/>
        <v>0</v>
      </c>
      <c r="VIP63" s="44">
        <f t="shared" si="354"/>
        <v>0</v>
      </c>
      <c r="VIQ63" s="44">
        <f t="shared" si="354"/>
        <v>0</v>
      </c>
      <c r="VIR63" s="44">
        <f t="shared" si="354"/>
        <v>0</v>
      </c>
      <c r="VIS63" s="44">
        <f t="shared" si="354"/>
        <v>0</v>
      </c>
      <c r="VIT63" s="44">
        <f t="shared" ref="VIT63:VLE63" si="355">SUM(VIT56:VIT57)</f>
        <v>0</v>
      </c>
      <c r="VIU63" s="44">
        <f t="shared" si="355"/>
        <v>0</v>
      </c>
      <c r="VIV63" s="44">
        <f t="shared" si="355"/>
        <v>0</v>
      </c>
      <c r="VIW63" s="44">
        <f t="shared" si="355"/>
        <v>0</v>
      </c>
      <c r="VIX63" s="44">
        <f t="shared" si="355"/>
        <v>0</v>
      </c>
      <c r="VIY63" s="44">
        <f t="shared" si="355"/>
        <v>0</v>
      </c>
      <c r="VIZ63" s="44">
        <f t="shared" si="355"/>
        <v>0</v>
      </c>
      <c r="VJA63" s="44">
        <f t="shared" si="355"/>
        <v>0</v>
      </c>
      <c r="VJB63" s="44">
        <f t="shared" si="355"/>
        <v>0</v>
      </c>
      <c r="VJC63" s="44">
        <f t="shared" si="355"/>
        <v>0</v>
      </c>
      <c r="VJD63" s="44">
        <f t="shared" si="355"/>
        <v>0</v>
      </c>
      <c r="VJE63" s="44">
        <f t="shared" si="355"/>
        <v>0</v>
      </c>
      <c r="VJF63" s="44">
        <f t="shared" si="355"/>
        <v>0</v>
      </c>
      <c r="VJG63" s="44">
        <f t="shared" si="355"/>
        <v>0</v>
      </c>
      <c r="VJH63" s="44">
        <f t="shared" si="355"/>
        <v>0</v>
      </c>
      <c r="VJI63" s="44">
        <f t="shared" si="355"/>
        <v>0</v>
      </c>
      <c r="VJJ63" s="44">
        <f t="shared" si="355"/>
        <v>0</v>
      </c>
      <c r="VJK63" s="44">
        <f t="shared" si="355"/>
        <v>0</v>
      </c>
      <c r="VJL63" s="44">
        <f t="shared" si="355"/>
        <v>0</v>
      </c>
      <c r="VJM63" s="44">
        <f t="shared" si="355"/>
        <v>0</v>
      </c>
      <c r="VJN63" s="44">
        <f t="shared" si="355"/>
        <v>0</v>
      </c>
      <c r="VJO63" s="44">
        <f t="shared" si="355"/>
        <v>0</v>
      </c>
      <c r="VJP63" s="44">
        <f t="shared" si="355"/>
        <v>0</v>
      </c>
      <c r="VJQ63" s="44">
        <f t="shared" si="355"/>
        <v>0</v>
      </c>
      <c r="VJR63" s="44">
        <f t="shared" si="355"/>
        <v>0</v>
      </c>
      <c r="VJS63" s="44">
        <f t="shared" si="355"/>
        <v>0</v>
      </c>
      <c r="VJT63" s="44">
        <f t="shared" si="355"/>
        <v>0</v>
      </c>
      <c r="VJU63" s="44">
        <f t="shared" si="355"/>
        <v>0</v>
      </c>
      <c r="VJV63" s="44">
        <f t="shared" si="355"/>
        <v>0</v>
      </c>
      <c r="VJW63" s="44">
        <f t="shared" si="355"/>
        <v>0</v>
      </c>
      <c r="VJX63" s="44">
        <f t="shared" si="355"/>
        <v>0</v>
      </c>
      <c r="VJY63" s="44">
        <f t="shared" si="355"/>
        <v>0</v>
      </c>
      <c r="VJZ63" s="44">
        <f t="shared" si="355"/>
        <v>0</v>
      </c>
      <c r="VKA63" s="44">
        <f t="shared" si="355"/>
        <v>0</v>
      </c>
      <c r="VKB63" s="44">
        <f t="shared" si="355"/>
        <v>0</v>
      </c>
      <c r="VKC63" s="44">
        <f t="shared" si="355"/>
        <v>0</v>
      </c>
      <c r="VKD63" s="44">
        <f t="shared" si="355"/>
        <v>0</v>
      </c>
      <c r="VKE63" s="44">
        <f t="shared" si="355"/>
        <v>0</v>
      </c>
      <c r="VKF63" s="44">
        <f t="shared" si="355"/>
        <v>0</v>
      </c>
      <c r="VKG63" s="44">
        <f t="shared" si="355"/>
        <v>0</v>
      </c>
      <c r="VKH63" s="44">
        <f t="shared" si="355"/>
        <v>0</v>
      </c>
      <c r="VKI63" s="44">
        <f t="shared" si="355"/>
        <v>0</v>
      </c>
      <c r="VKJ63" s="44">
        <f t="shared" si="355"/>
        <v>0</v>
      </c>
      <c r="VKK63" s="44">
        <f t="shared" si="355"/>
        <v>0</v>
      </c>
      <c r="VKL63" s="44">
        <f t="shared" si="355"/>
        <v>0</v>
      </c>
      <c r="VKM63" s="44">
        <f t="shared" si="355"/>
        <v>0</v>
      </c>
      <c r="VKN63" s="44">
        <f t="shared" si="355"/>
        <v>0</v>
      </c>
      <c r="VKO63" s="44">
        <f t="shared" si="355"/>
        <v>0</v>
      </c>
      <c r="VKP63" s="44">
        <f t="shared" si="355"/>
        <v>0</v>
      </c>
      <c r="VKQ63" s="44">
        <f t="shared" si="355"/>
        <v>0</v>
      </c>
      <c r="VKR63" s="44">
        <f t="shared" si="355"/>
        <v>0</v>
      </c>
      <c r="VKS63" s="44">
        <f t="shared" si="355"/>
        <v>0</v>
      </c>
      <c r="VKT63" s="44">
        <f t="shared" si="355"/>
        <v>0</v>
      </c>
      <c r="VKU63" s="44">
        <f t="shared" si="355"/>
        <v>0</v>
      </c>
      <c r="VKV63" s="44">
        <f t="shared" si="355"/>
        <v>0</v>
      </c>
      <c r="VKW63" s="44">
        <f t="shared" si="355"/>
        <v>0</v>
      </c>
      <c r="VKX63" s="44">
        <f t="shared" si="355"/>
        <v>0</v>
      </c>
      <c r="VKY63" s="44">
        <f t="shared" si="355"/>
        <v>0</v>
      </c>
      <c r="VKZ63" s="44">
        <f t="shared" si="355"/>
        <v>0</v>
      </c>
      <c r="VLA63" s="44">
        <f t="shared" si="355"/>
        <v>0</v>
      </c>
      <c r="VLB63" s="44">
        <f t="shared" si="355"/>
        <v>0</v>
      </c>
      <c r="VLC63" s="44">
        <f t="shared" si="355"/>
        <v>0</v>
      </c>
      <c r="VLD63" s="44">
        <f t="shared" si="355"/>
        <v>0</v>
      </c>
      <c r="VLE63" s="44">
        <f t="shared" si="355"/>
        <v>0</v>
      </c>
      <c r="VLF63" s="44">
        <f t="shared" ref="VLF63:VNQ63" si="356">SUM(VLF56:VLF57)</f>
        <v>0</v>
      </c>
      <c r="VLG63" s="44">
        <f t="shared" si="356"/>
        <v>0</v>
      </c>
      <c r="VLH63" s="44">
        <f t="shared" si="356"/>
        <v>0</v>
      </c>
      <c r="VLI63" s="44">
        <f t="shared" si="356"/>
        <v>0</v>
      </c>
      <c r="VLJ63" s="44">
        <f t="shared" si="356"/>
        <v>0</v>
      </c>
      <c r="VLK63" s="44">
        <f t="shared" si="356"/>
        <v>0</v>
      </c>
      <c r="VLL63" s="44">
        <f t="shared" si="356"/>
        <v>0</v>
      </c>
      <c r="VLM63" s="44">
        <f t="shared" si="356"/>
        <v>0</v>
      </c>
      <c r="VLN63" s="44">
        <f t="shared" si="356"/>
        <v>0</v>
      </c>
      <c r="VLO63" s="44">
        <f t="shared" si="356"/>
        <v>0</v>
      </c>
      <c r="VLP63" s="44">
        <f t="shared" si="356"/>
        <v>0</v>
      </c>
      <c r="VLQ63" s="44">
        <f t="shared" si="356"/>
        <v>0</v>
      </c>
      <c r="VLR63" s="44">
        <f t="shared" si="356"/>
        <v>0</v>
      </c>
      <c r="VLS63" s="44">
        <f t="shared" si="356"/>
        <v>0</v>
      </c>
      <c r="VLT63" s="44">
        <f t="shared" si="356"/>
        <v>0</v>
      </c>
      <c r="VLU63" s="44">
        <f t="shared" si="356"/>
        <v>0</v>
      </c>
      <c r="VLV63" s="44">
        <f t="shared" si="356"/>
        <v>0</v>
      </c>
      <c r="VLW63" s="44">
        <f t="shared" si="356"/>
        <v>0</v>
      </c>
      <c r="VLX63" s="44">
        <f t="shared" si="356"/>
        <v>0</v>
      </c>
      <c r="VLY63" s="44">
        <f t="shared" si="356"/>
        <v>0</v>
      </c>
      <c r="VLZ63" s="44">
        <f t="shared" si="356"/>
        <v>0</v>
      </c>
      <c r="VMA63" s="44">
        <f t="shared" si="356"/>
        <v>0</v>
      </c>
      <c r="VMB63" s="44">
        <f t="shared" si="356"/>
        <v>0</v>
      </c>
      <c r="VMC63" s="44">
        <f t="shared" si="356"/>
        <v>0</v>
      </c>
      <c r="VMD63" s="44">
        <f t="shared" si="356"/>
        <v>0</v>
      </c>
      <c r="VME63" s="44">
        <f t="shared" si="356"/>
        <v>0</v>
      </c>
      <c r="VMF63" s="44">
        <f t="shared" si="356"/>
        <v>0</v>
      </c>
      <c r="VMG63" s="44">
        <f t="shared" si="356"/>
        <v>0</v>
      </c>
      <c r="VMH63" s="44">
        <f t="shared" si="356"/>
        <v>0</v>
      </c>
      <c r="VMI63" s="44">
        <f t="shared" si="356"/>
        <v>0</v>
      </c>
      <c r="VMJ63" s="44">
        <f t="shared" si="356"/>
        <v>0</v>
      </c>
      <c r="VMK63" s="44">
        <f t="shared" si="356"/>
        <v>0</v>
      </c>
      <c r="VML63" s="44">
        <f t="shared" si="356"/>
        <v>0</v>
      </c>
      <c r="VMM63" s="44">
        <f t="shared" si="356"/>
        <v>0</v>
      </c>
      <c r="VMN63" s="44">
        <f t="shared" si="356"/>
        <v>0</v>
      </c>
      <c r="VMO63" s="44">
        <f t="shared" si="356"/>
        <v>0</v>
      </c>
      <c r="VMP63" s="44">
        <f t="shared" si="356"/>
        <v>0</v>
      </c>
      <c r="VMQ63" s="44">
        <f t="shared" si="356"/>
        <v>0</v>
      </c>
      <c r="VMR63" s="44">
        <f t="shared" si="356"/>
        <v>0</v>
      </c>
      <c r="VMS63" s="44">
        <f t="shared" si="356"/>
        <v>0</v>
      </c>
      <c r="VMT63" s="44">
        <f t="shared" si="356"/>
        <v>0</v>
      </c>
      <c r="VMU63" s="44">
        <f t="shared" si="356"/>
        <v>0</v>
      </c>
      <c r="VMV63" s="44">
        <f t="shared" si="356"/>
        <v>0</v>
      </c>
      <c r="VMW63" s="44">
        <f t="shared" si="356"/>
        <v>0</v>
      </c>
      <c r="VMX63" s="44">
        <f t="shared" si="356"/>
        <v>0</v>
      </c>
      <c r="VMY63" s="44">
        <f t="shared" si="356"/>
        <v>0</v>
      </c>
      <c r="VMZ63" s="44">
        <f t="shared" si="356"/>
        <v>0</v>
      </c>
      <c r="VNA63" s="44">
        <f t="shared" si="356"/>
        <v>0</v>
      </c>
      <c r="VNB63" s="44">
        <f t="shared" si="356"/>
        <v>0</v>
      </c>
      <c r="VNC63" s="44">
        <f t="shared" si="356"/>
        <v>0</v>
      </c>
      <c r="VND63" s="44">
        <f t="shared" si="356"/>
        <v>0</v>
      </c>
      <c r="VNE63" s="44">
        <f t="shared" si="356"/>
        <v>0</v>
      </c>
      <c r="VNF63" s="44">
        <f t="shared" si="356"/>
        <v>0</v>
      </c>
      <c r="VNG63" s="44">
        <f t="shared" si="356"/>
        <v>0</v>
      </c>
      <c r="VNH63" s="44">
        <f t="shared" si="356"/>
        <v>0</v>
      </c>
      <c r="VNI63" s="44">
        <f t="shared" si="356"/>
        <v>0</v>
      </c>
      <c r="VNJ63" s="44">
        <f t="shared" si="356"/>
        <v>0</v>
      </c>
      <c r="VNK63" s="44">
        <f t="shared" si="356"/>
        <v>0</v>
      </c>
      <c r="VNL63" s="44">
        <f t="shared" si="356"/>
        <v>0</v>
      </c>
      <c r="VNM63" s="44">
        <f t="shared" si="356"/>
        <v>0</v>
      </c>
      <c r="VNN63" s="44">
        <f t="shared" si="356"/>
        <v>0</v>
      </c>
      <c r="VNO63" s="44">
        <f t="shared" si="356"/>
        <v>0</v>
      </c>
      <c r="VNP63" s="44">
        <f t="shared" si="356"/>
        <v>0</v>
      </c>
      <c r="VNQ63" s="44">
        <f t="shared" si="356"/>
        <v>0</v>
      </c>
      <c r="VNR63" s="44">
        <f t="shared" ref="VNR63:VQC63" si="357">SUM(VNR56:VNR57)</f>
        <v>0</v>
      </c>
      <c r="VNS63" s="44">
        <f t="shared" si="357"/>
        <v>0</v>
      </c>
      <c r="VNT63" s="44">
        <f t="shared" si="357"/>
        <v>0</v>
      </c>
      <c r="VNU63" s="44">
        <f t="shared" si="357"/>
        <v>0</v>
      </c>
      <c r="VNV63" s="44">
        <f t="shared" si="357"/>
        <v>0</v>
      </c>
      <c r="VNW63" s="44">
        <f t="shared" si="357"/>
        <v>0</v>
      </c>
      <c r="VNX63" s="44">
        <f t="shared" si="357"/>
        <v>0</v>
      </c>
      <c r="VNY63" s="44">
        <f t="shared" si="357"/>
        <v>0</v>
      </c>
      <c r="VNZ63" s="44">
        <f t="shared" si="357"/>
        <v>0</v>
      </c>
      <c r="VOA63" s="44">
        <f t="shared" si="357"/>
        <v>0</v>
      </c>
      <c r="VOB63" s="44">
        <f t="shared" si="357"/>
        <v>0</v>
      </c>
      <c r="VOC63" s="44">
        <f t="shared" si="357"/>
        <v>0</v>
      </c>
      <c r="VOD63" s="44">
        <f t="shared" si="357"/>
        <v>0</v>
      </c>
      <c r="VOE63" s="44">
        <f t="shared" si="357"/>
        <v>0</v>
      </c>
      <c r="VOF63" s="44">
        <f t="shared" si="357"/>
        <v>0</v>
      </c>
      <c r="VOG63" s="44">
        <f t="shared" si="357"/>
        <v>0</v>
      </c>
      <c r="VOH63" s="44">
        <f t="shared" si="357"/>
        <v>0</v>
      </c>
      <c r="VOI63" s="44">
        <f t="shared" si="357"/>
        <v>0</v>
      </c>
      <c r="VOJ63" s="44">
        <f t="shared" si="357"/>
        <v>0</v>
      </c>
      <c r="VOK63" s="44">
        <f t="shared" si="357"/>
        <v>0</v>
      </c>
      <c r="VOL63" s="44">
        <f t="shared" si="357"/>
        <v>0</v>
      </c>
      <c r="VOM63" s="44">
        <f t="shared" si="357"/>
        <v>0</v>
      </c>
      <c r="VON63" s="44">
        <f t="shared" si="357"/>
        <v>0</v>
      </c>
      <c r="VOO63" s="44">
        <f t="shared" si="357"/>
        <v>0</v>
      </c>
      <c r="VOP63" s="44">
        <f t="shared" si="357"/>
        <v>0</v>
      </c>
      <c r="VOQ63" s="44">
        <f t="shared" si="357"/>
        <v>0</v>
      </c>
      <c r="VOR63" s="44">
        <f t="shared" si="357"/>
        <v>0</v>
      </c>
      <c r="VOS63" s="44">
        <f t="shared" si="357"/>
        <v>0</v>
      </c>
      <c r="VOT63" s="44">
        <f t="shared" si="357"/>
        <v>0</v>
      </c>
      <c r="VOU63" s="44">
        <f t="shared" si="357"/>
        <v>0</v>
      </c>
      <c r="VOV63" s="44">
        <f t="shared" si="357"/>
        <v>0</v>
      </c>
      <c r="VOW63" s="44">
        <f t="shared" si="357"/>
        <v>0</v>
      </c>
      <c r="VOX63" s="44">
        <f t="shared" si="357"/>
        <v>0</v>
      </c>
      <c r="VOY63" s="44">
        <f t="shared" si="357"/>
        <v>0</v>
      </c>
      <c r="VOZ63" s="44">
        <f t="shared" si="357"/>
        <v>0</v>
      </c>
      <c r="VPA63" s="44">
        <f t="shared" si="357"/>
        <v>0</v>
      </c>
      <c r="VPB63" s="44">
        <f t="shared" si="357"/>
        <v>0</v>
      </c>
      <c r="VPC63" s="44">
        <f t="shared" si="357"/>
        <v>0</v>
      </c>
      <c r="VPD63" s="44">
        <f t="shared" si="357"/>
        <v>0</v>
      </c>
      <c r="VPE63" s="44">
        <f t="shared" si="357"/>
        <v>0</v>
      </c>
      <c r="VPF63" s="44">
        <f t="shared" si="357"/>
        <v>0</v>
      </c>
      <c r="VPG63" s="44">
        <f t="shared" si="357"/>
        <v>0</v>
      </c>
      <c r="VPH63" s="44">
        <f t="shared" si="357"/>
        <v>0</v>
      </c>
      <c r="VPI63" s="44">
        <f t="shared" si="357"/>
        <v>0</v>
      </c>
      <c r="VPJ63" s="44">
        <f t="shared" si="357"/>
        <v>0</v>
      </c>
      <c r="VPK63" s="44">
        <f t="shared" si="357"/>
        <v>0</v>
      </c>
      <c r="VPL63" s="44">
        <f t="shared" si="357"/>
        <v>0</v>
      </c>
      <c r="VPM63" s="44">
        <f t="shared" si="357"/>
        <v>0</v>
      </c>
      <c r="VPN63" s="44">
        <f t="shared" si="357"/>
        <v>0</v>
      </c>
      <c r="VPO63" s="44">
        <f t="shared" si="357"/>
        <v>0</v>
      </c>
      <c r="VPP63" s="44">
        <f t="shared" si="357"/>
        <v>0</v>
      </c>
      <c r="VPQ63" s="44">
        <f t="shared" si="357"/>
        <v>0</v>
      </c>
      <c r="VPR63" s="44">
        <f t="shared" si="357"/>
        <v>0</v>
      </c>
      <c r="VPS63" s="44">
        <f t="shared" si="357"/>
        <v>0</v>
      </c>
      <c r="VPT63" s="44">
        <f t="shared" si="357"/>
        <v>0</v>
      </c>
      <c r="VPU63" s="44">
        <f t="shared" si="357"/>
        <v>0</v>
      </c>
      <c r="VPV63" s="44">
        <f t="shared" si="357"/>
        <v>0</v>
      </c>
      <c r="VPW63" s="44">
        <f t="shared" si="357"/>
        <v>0</v>
      </c>
      <c r="VPX63" s="44">
        <f t="shared" si="357"/>
        <v>0</v>
      </c>
      <c r="VPY63" s="44">
        <f t="shared" si="357"/>
        <v>0</v>
      </c>
      <c r="VPZ63" s="44">
        <f t="shared" si="357"/>
        <v>0</v>
      </c>
      <c r="VQA63" s="44">
        <f t="shared" si="357"/>
        <v>0</v>
      </c>
      <c r="VQB63" s="44">
        <f t="shared" si="357"/>
        <v>0</v>
      </c>
      <c r="VQC63" s="44">
        <f t="shared" si="357"/>
        <v>0</v>
      </c>
      <c r="VQD63" s="44">
        <f t="shared" ref="VQD63:VSO63" si="358">SUM(VQD56:VQD57)</f>
        <v>0</v>
      </c>
      <c r="VQE63" s="44">
        <f t="shared" si="358"/>
        <v>0</v>
      </c>
      <c r="VQF63" s="44">
        <f t="shared" si="358"/>
        <v>0</v>
      </c>
      <c r="VQG63" s="44">
        <f t="shared" si="358"/>
        <v>0</v>
      </c>
      <c r="VQH63" s="44">
        <f t="shared" si="358"/>
        <v>0</v>
      </c>
      <c r="VQI63" s="44">
        <f t="shared" si="358"/>
        <v>0</v>
      </c>
      <c r="VQJ63" s="44">
        <f t="shared" si="358"/>
        <v>0</v>
      </c>
      <c r="VQK63" s="44">
        <f t="shared" si="358"/>
        <v>0</v>
      </c>
      <c r="VQL63" s="44">
        <f t="shared" si="358"/>
        <v>0</v>
      </c>
      <c r="VQM63" s="44">
        <f t="shared" si="358"/>
        <v>0</v>
      </c>
      <c r="VQN63" s="44">
        <f t="shared" si="358"/>
        <v>0</v>
      </c>
      <c r="VQO63" s="44">
        <f t="shared" si="358"/>
        <v>0</v>
      </c>
      <c r="VQP63" s="44">
        <f t="shared" si="358"/>
        <v>0</v>
      </c>
      <c r="VQQ63" s="44">
        <f t="shared" si="358"/>
        <v>0</v>
      </c>
      <c r="VQR63" s="44">
        <f t="shared" si="358"/>
        <v>0</v>
      </c>
      <c r="VQS63" s="44">
        <f t="shared" si="358"/>
        <v>0</v>
      </c>
      <c r="VQT63" s="44">
        <f t="shared" si="358"/>
        <v>0</v>
      </c>
      <c r="VQU63" s="44">
        <f t="shared" si="358"/>
        <v>0</v>
      </c>
      <c r="VQV63" s="44">
        <f t="shared" si="358"/>
        <v>0</v>
      </c>
      <c r="VQW63" s="44">
        <f t="shared" si="358"/>
        <v>0</v>
      </c>
      <c r="VQX63" s="44">
        <f t="shared" si="358"/>
        <v>0</v>
      </c>
      <c r="VQY63" s="44">
        <f t="shared" si="358"/>
        <v>0</v>
      </c>
      <c r="VQZ63" s="44">
        <f t="shared" si="358"/>
        <v>0</v>
      </c>
      <c r="VRA63" s="44">
        <f t="shared" si="358"/>
        <v>0</v>
      </c>
      <c r="VRB63" s="44">
        <f t="shared" si="358"/>
        <v>0</v>
      </c>
      <c r="VRC63" s="44">
        <f t="shared" si="358"/>
        <v>0</v>
      </c>
      <c r="VRD63" s="44">
        <f t="shared" si="358"/>
        <v>0</v>
      </c>
      <c r="VRE63" s="44">
        <f t="shared" si="358"/>
        <v>0</v>
      </c>
      <c r="VRF63" s="44">
        <f t="shared" si="358"/>
        <v>0</v>
      </c>
      <c r="VRG63" s="44">
        <f t="shared" si="358"/>
        <v>0</v>
      </c>
      <c r="VRH63" s="44">
        <f t="shared" si="358"/>
        <v>0</v>
      </c>
      <c r="VRI63" s="44">
        <f t="shared" si="358"/>
        <v>0</v>
      </c>
      <c r="VRJ63" s="44">
        <f t="shared" si="358"/>
        <v>0</v>
      </c>
      <c r="VRK63" s="44">
        <f t="shared" si="358"/>
        <v>0</v>
      </c>
      <c r="VRL63" s="44">
        <f t="shared" si="358"/>
        <v>0</v>
      </c>
      <c r="VRM63" s="44">
        <f t="shared" si="358"/>
        <v>0</v>
      </c>
      <c r="VRN63" s="44">
        <f t="shared" si="358"/>
        <v>0</v>
      </c>
      <c r="VRO63" s="44">
        <f t="shared" si="358"/>
        <v>0</v>
      </c>
      <c r="VRP63" s="44">
        <f t="shared" si="358"/>
        <v>0</v>
      </c>
      <c r="VRQ63" s="44">
        <f t="shared" si="358"/>
        <v>0</v>
      </c>
      <c r="VRR63" s="44">
        <f t="shared" si="358"/>
        <v>0</v>
      </c>
      <c r="VRS63" s="44">
        <f t="shared" si="358"/>
        <v>0</v>
      </c>
      <c r="VRT63" s="44">
        <f t="shared" si="358"/>
        <v>0</v>
      </c>
      <c r="VRU63" s="44">
        <f t="shared" si="358"/>
        <v>0</v>
      </c>
      <c r="VRV63" s="44">
        <f t="shared" si="358"/>
        <v>0</v>
      </c>
      <c r="VRW63" s="44">
        <f t="shared" si="358"/>
        <v>0</v>
      </c>
      <c r="VRX63" s="44">
        <f t="shared" si="358"/>
        <v>0</v>
      </c>
      <c r="VRY63" s="44">
        <f t="shared" si="358"/>
        <v>0</v>
      </c>
      <c r="VRZ63" s="44">
        <f t="shared" si="358"/>
        <v>0</v>
      </c>
      <c r="VSA63" s="44">
        <f t="shared" si="358"/>
        <v>0</v>
      </c>
      <c r="VSB63" s="44">
        <f t="shared" si="358"/>
        <v>0</v>
      </c>
      <c r="VSC63" s="44">
        <f t="shared" si="358"/>
        <v>0</v>
      </c>
      <c r="VSD63" s="44">
        <f t="shared" si="358"/>
        <v>0</v>
      </c>
      <c r="VSE63" s="44">
        <f t="shared" si="358"/>
        <v>0</v>
      </c>
      <c r="VSF63" s="44">
        <f t="shared" si="358"/>
        <v>0</v>
      </c>
      <c r="VSG63" s="44">
        <f t="shared" si="358"/>
        <v>0</v>
      </c>
      <c r="VSH63" s="44">
        <f t="shared" si="358"/>
        <v>0</v>
      </c>
      <c r="VSI63" s="44">
        <f t="shared" si="358"/>
        <v>0</v>
      </c>
      <c r="VSJ63" s="44">
        <f t="shared" si="358"/>
        <v>0</v>
      </c>
      <c r="VSK63" s="44">
        <f t="shared" si="358"/>
        <v>0</v>
      </c>
      <c r="VSL63" s="44">
        <f t="shared" si="358"/>
        <v>0</v>
      </c>
      <c r="VSM63" s="44">
        <f t="shared" si="358"/>
        <v>0</v>
      </c>
      <c r="VSN63" s="44">
        <f t="shared" si="358"/>
        <v>0</v>
      </c>
      <c r="VSO63" s="44">
        <f t="shared" si="358"/>
        <v>0</v>
      </c>
      <c r="VSP63" s="44">
        <f t="shared" ref="VSP63:VVA63" si="359">SUM(VSP56:VSP57)</f>
        <v>0</v>
      </c>
      <c r="VSQ63" s="44">
        <f t="shared" si="359"/>
        <v>0</v>
      </c>
      <c r="VSR63" s="44">
        <f t="shared" si="359"/>
        <v>0</v>
      </c>
      <c r="VSS63" s="44">
        <f t="shared" si="359"/>
        <v>0</v>
      </c>
      <c r="VST63" s="44">
        <f t="shared" si="359"/>
        <v>0</v>
      </c>
      <c r="VSU63" s="44">
        <f t="shared" si="359"/>
        <v>0</v>
      </c>
      <c r="VSV63" s="44">
        <f t="shared" si="359"/>
        <v>0</v>
      </c>
      <c r="VSW63" s="44">
        <f t="shared" si="359"/>
        <v>0</v>
      </c>
      <c r="VSX63" s="44">
        <f t="shared" si="359"/>
        <v>0</v>
      </c>
      <c r="VSY63" s="44">
        <f t="shared" si="359"/>
        <v>0</v>
      </c>
      <c r="VSZ63" s="44">
        <f t="shared" si="359"/>
        <v>0</v>
      </c>
      <c r="VTA63" s="44">
        <f t="shared" si="359"/>
        <v>0</v>
      </c>
      <c r="VTB63" s="44">
        <f t="shared" si="359"/>
        <v>0</v>
      </c>
      <c r="VTC63" s="44">
        <f t="shared" si="359"/>
        <v>0</v>
      </c>
      <c r="VTD63" s="44">
        <f t="shared" si="359"/>
        <v>0</v>
      </c>
      <c r="VTE63" s="44">
        <f t="shared" si="359"/>
        <v>0</v>
      </c>
      <c r="VTF63" s="44">
        <f t="shared" si="359"/>
        <v>0</v>
      </c>
      <c r="VTG63" s="44">
        <f t="shared" si="359"/>
        <v>0</v>
      </c>
      <c r="VTH63" s="44">
        <f t="shared" si="359"/>
        <v>0</v>
      </c>
      <c r="VTI63" s="44">
        <f t="shared" si="359"/>
        <v>0</v>
      </c>
      <c r="VTJ63" s="44">
        <f t="shared" si="359"/>
        <v>0</v>
      </c>
      <c r="VTK63" s="44">
        <f t="shared" si="359"/>
        <v>0</v>
      </c>
      <c r="VTL63" s="44">
        <f t="shared" si="359"/>
        <v>0</v>
      </c>
      <c r="VTM63" s="44">
        <f t="shared" si="359"/>
        <v>0</v>
      </c>
      <c r="VTN63" s="44">
        <f t="shared" si="359"/>
        <v>0</v>
      </c>
      <c r="VTO63" s="44">
        <f t="shared" si="359"/>
        <v>0</v>
      </c>
      <c r="VTP63" s="44">
        <f t="shared" si="359"/>
        <v>0</v>
      </c>
      <c r="VTQ63" s="44">
        <f t="shared" si="359"/>
        <v>0</v>
      </c>
      <c r="VTR63" s="44">
        <f t="shared" si="359"/>
        <v>0</v>
      </c>
      <c r="VTS63" s="44">
        <f t="shared" si="359"/>
        <v>0</v>
      </c>
      <c r="VTT63" s="44">
        <f t="shared" si="359"/>
        <v>0</v>
      </c>
      <c r="VTU63" s="44">
        <f t="shared" si="359"/>
        <v>0</v>
      </c>
      <c r="VTV63" s="44">
        <f t="shared" si="359"/>
        <v>0</v>
      </c>
      <c r="VTW63" s="44">
        <f t="shared" si="359"/>
        <v>0</v>
      </c>
      <c r="VTX63" s="44">
        <f t="shared" si="359"/>
        <v>0</v>
      </c>
      <c r="VTY63" s="44">
        <f t="shared" si="359"/>
        <v>0</v>
      </c>
      <c r="VTZ63" s="44">
        <f t="shared" si="359"/>
        <v>0</v>
      </c>
      <c r="VUA63" s="44">
        <f t="shared" si="359"/>
        <v>0</v>
      </c>
      <c r="VUB63" s="44">
        <f t="shared" si="359"/>
        <v>0</v>
      </c>
      <c r="VUC63" s="44">
        <f t="shared" si="359"/>
        <v>0</v>
      </c>
      <c r="VUD63" s="44">
        <f t="shared" si="359"/>
        <v>0</v>
      </c>
      <c r="VUE63" s="44">
        <f t="shared" si="359"/>
        <v>0</v>
      </c>
      <c r="VUF63" s="44">
        <f t="shared" si="359"/>
        <v>0</v>
      </c>
      <c r="VUG63" s="44">
        <f t="shared" si="359"/>
        <v>0</v>
      </c>
      <c r="VUH63" s="44">
        <f t="shared" si="359"/>
        <v>0</v>
      </c>
      <c r="VUI63" s="44">
        <f t="shared" si="359"/>
        <v>0</v>
      </c>
      <c r="VUJ63" s="44">
        <f t="shared" si="359"/>
        <v>0</v>
      </c>
      <c r="VUK63" s="44">
        <f t="shared" si="359"/>
        <v>0</v>
      </c>
      <c r="VUL63" s="44">
        <f t="shared" si="359"/>
        <v>0</v>
      </c>
      <c r="VUM63" s="44">
        <f t="shared" si="359"/>
        <v>0</v>
      </c>
      <c r="VUN63" s="44">
        <f t="shared" si="359"/>
        <v>0</v>
      </c>
      <c r="VUO63" s="44">
        <f t="shared" si="359"/>
        <v>0</v>
      </c>
      <c r="VUP63" s="44">
        <f t="shared" si="359"/>
        <v>0</v>
      </c>
      <c r="VUQ63" s="44">
        <f t="shared" si="359"/>
        <v>0</v>
      </c>
      <c r="VUR63" s="44">
        <f t="shared" si="359"/>
        <v>0</v>
      </c>
      <c r="VUS63" s="44">
        <f t="shared" si="359"/>
        <v>0</v>
      </c>
      <c r="VUT63" s="44">
        <f t="shared" si="359"/>
        <v>0</v>
      </c>
      <c r="VUU63" s="44">
        <f t="shared" si="359"/>
        <v>0</v>
      </c>
      <c r="VUV63" s="44">
        <f t="shared" si="359"/>
        <v>0</v>
      </c>
      <c r="VUW63" s="44">
        <f t="shared" si="359"/>
        <v>0</v>
      </c>
      <c r="VUX63" s="44">
        <f t="shared" si="359"/>
        <v>0</v>
      </c>
      <c r="VUY63" s="44">
        <f t="shared" si="359"/>
        <v>0</v>
      </c>
      <c r="VUZ63" s="44">
        <f t="shared" si="359"/>
        <v>0</v>
      </c>
      <c r="VVA63" s="44">
        <f t="shared" si="359"/>
        <v>0</v>
      </c>
      <c r="VVB63" s="44">
        <f t="shared" ref="VVB63:VXM63" si="360">SUM(VVB56:VVB57)</f>
        <v>0</v>
      </c>
      <c r="VVC63" s="44">
        <f t="shared" si="360"/>
        <v>0</v>
      </c>
      <c r="VVD63" s="44">
        <f t="shared" si="360"/>
        <v>0</v>
      </c>
      <c r="VVE63" s="44">
        <f t="shared" si="360"/>
        <v>0</v>
      </c>
      <c r="VVF63" s="44">
        <f t="shared" si="360"/>
        <v>0</v>
      </c>
      <c r="VVG63" s="44">
        <f t="shared" si="360"/>
        <v>0</v>
      </c>
      <c r="VVH63" s="44">
        <f t="shared" si="360"/>
        <v>0</v>
      </c>
      <c r="VVI63" s="44">
        <f t="shared" si="360"/>
        <v>0</v>
      </c>
      <c r="VVJ63" s="44">
        <f t="shared" si="360"/>
        <v>0</v>
      </c>
      <c r="VVK63" s="44">
        <f t="shared" si="360"/>
        <v>0</v>
      </c>
      <c r="VVL63" s="44">
        <f t="shared" si="360"/>
        <v>0</v>
      </c>
      <c r="VVM63" s="44">
        <f t="shared" si="360"/>
        <v>0</v>
      </c>
      <c r="VVN63" s="44">
        <f t="shared" si="360"/>
        <v>0</v>
      </c>
      <c r="VVO63" s="44">
        <f t="shared" si="360"/>
        <v>0</v>
      </c>
      <c r="VVP63" s="44">
        <f t="shared" si="360"/>
        <v>0</v>
      </c>
      <c r="VVQ63" s="44">
        <f t="shared" si="360"/>
        <v>0</v>
      </c>
      <c r="VVR63" s="44">
        <f t="shared" si="360"/>
        <v>0</v>
      </c>
      <c r="VVS63" s="44">
        <f t="shared" si="360"/>
        <v>0</v>
      </c>
      <c r="VVT63" s="44">
        <f t="shared" si="360"/>
        <v>0</v>
      </c>
      <c r="VVU63" s="44">
        <f t="shared" si="360"/>
        <v>0</v>
      </c>
      <c r="VVV63" s="44">
        <f t="shared" si="360"/>
        <v>0</v>
      </c>
      <c r="VVW63" s="44">
        <f t="shared" si="360"/>
        <v>0</v>
      </c>
      <c r="VVX63" s="44">
        <f t="shared" si="360"/>
        <v>0</v>
      </c>
      <c r="VVY63" s="44">
        <f t="shared" si="360"/>
        <v>0</v>
      </c>
      <c r="VVZ63" s="44">
        <f t="shared" si="360"/>
        <v>0</v>
      </c>
      <c r="VWA63" s="44">
        <f t="shared" si="360"/>
        <v>0</v>
      </c>
      <c r="VWB63" s="44">
        <f t="shared" si="360"/>
        <v>0</v>
      </c>
      <c r="VWC63" s="44">
        <f t="shared" si="360"/>
        <v>0</v>
      </c>
      <c r="VWD63" s="44">
        <f t="shared" si="360"/>
        <v>0</v>
      </c>
      <c r="VWE63" s="44">
        <f t="shared" si="360"/>
        <v>0</v>
      </c>
      <c r="VWF63" s="44">
        <f t="shared" si="360"/>
        <v>0</v>
      </c>
      <c r="VWG63" s="44">
        <f t="shared" si="360"/>
        <v>0</v>
      </c>
      <c r="VWH63" s="44">
        <f t="shared" si="360"/>
        <v>0</v>
      </c>
      <c r="VWI63" s="44">
        <f t="shared" si="360"/>
        <v>0</v>
      </c>
      <c r="VWJ63" s="44">
        <f t="shared" si="360"/>
        <v>0</v>
      </c>
      <c r="VWK63" s="44">
        <f t="shared" si="360"/>
        <v>0</v>
      </c>
      <c r="VWL63" s="44">
        <f t="shared" si="360"/>
        <v>0</v>
      </c>
      <c r="VWM63" s="44">
        <f t="shared" si="360"/>
        <v>0</v>
      </c>
      <c r="VWN63" s="44">
        <f t="shared" si="360"/>
        <v>0</v>
      </c>
      <c r="VWO63" s="44">
        <f t="shared" si="360"/>
        <v>0</v>
      </c>
      <c r="VWP63" s="44">
        <f t="shared" si="360"/>
        <v>0</v>
      </c>
      <c r="VWQ63" s="44">
        <f t="shared" si="360"/>
        <v>0</v>
      </c>
      <c r="VWR63" s="44">
        <f t="shared" si="360"/>
        <v>0</v>
      </c>
      <c r="VWS63" s="44">
        <f t="shared" si="360"/>
        <v>0</v>
      </c>
      <c r="VWT63" s="44">
        <f t="shared" si="360"/>
        <v>0</v>
      </c>
      <c r="VWU63" s="44">
        <f t="shared" si="360"/>
        <v>0</v>
      </c>
      <c r="VWV63" s="44">
        <f t="shared" si="360"/>
        <v>0</v>
      </c>
      <c r="VWW63" s="44">
        <f t="shared" si="360"/>
        <v>0</v>
      </c>
      <c r="VWX63" s="44">
        <f t="shared" si="360"/>
        <v>0</v>
      </c>
      <c r="VWY63" s="44">
        <f t="shared" si="360"/>
        <v>0</v>
      </c>
      <c r="VWZ63" s="44">
        <f t="shared" si="360"/>
        <v>0</v>
      </c>
      <c r="VXA63" s="44">
        <f t="shared" si="360"/>
        <v>0</v>
      </c>
      <c r="VXB63" s="44">
        <f t="shared" si="360"/>
        <v>0</v>
      </c>
      <c r="VXC63" s="44">
        <f t="shared" si="360"/>
        <v>0</v>
      </c>
      <c r="VXD63" s="44">
        <f t="shared" si="360"/>
        <v>0</v>
      </c>
      <c r="VXE63" s="44">
        <f t="shared" si="360"/>
        <v>0</v>
      </c>
      <c r="VXF63" s="44">
        <f t="shared" si="360"/>
        <v>0</v>
      </c>
      <c r="VXG63" s="44">
        <f t="shared" si="360"/>
        <v>0</v>
      </c>
      <c r="VXH63" s="44">
        <f t="shared" si="360"/>
        <v>0</v>
      </c>
      <c r="VXI63" s="44">
        <f t="shared" si="360"/>
        <v>0</v>
      </c>
      <c r="VXJ63" s="44">
        <f t="shared" si="360"/>
        <v>0</v>
      </c>
      <c r="VXK63" s="44">
        <f t="shared" si="360"/>
        <v>0</v>
      </c>
      <c r="VXL63" s="44">
        <f t="shared" si="360"/>
        <v>0</v>
      </c>
      <c r="VXM63" s="44">
        <f t="shared" si="360"/>
        <v>0</v>
      </c>
      <c r="VXN63" s="44">
        <f t="shared" ref="VXN63:VZY63" si="361">SUM(VXN56:VXN57)</f>
        <v>0</v>
      </c>
      <c r="VXO63" s="44">
        <f t="shared" si="361"/>
        <v>0</v>
      </c>
      <c r="VXP63" s="44">
        <f t="shared" si="361"/>
        <v>0</v>
      </c>
      <c r="VXQ63" s="44">
        <f t="shared" si="361"/>
        <v>0</v>
      </c>
      <c r="VXR63" s="44">
        <f t="shared" si="361"/>
        <v>0</v>
      </c>
      <c r="VXS63" s="44">
        <f t="shared" si="361"/>
        <v>0</v>
      </c>
      <c r="VXT63" s="44">
        <f t="shared" si="361"/>
        <v>0</v>
      </c>
      <c r="VXU63" s="44">
        <f t="shared" si="361"/>
        <v>0</v>
      </c>
      <c r="VXV63" s="44">
        <f t="shared" si="361"/>
        <v>0</v>
      </c>
      <c r="VXW63" s="44">
        <f t="shared" si="361"/>
        <v>0</v>
      </c>
      <c r="VXX63" s="44">
        <f t="shared" si="361"/>
        <v>0</v>
      </c>
      <c r="VXY63" s="44">
        <f t="shared" si="361"/>
        <v>0</v>
      </c>
      <c r="VXZ63" s="44">
        <f t="shared" si="361"/>
        <v>0</v>
      </c>
      <c r="VYA63" s="44">
        <f t="shared" si="361"/>
        <v>0</v>
      </c>
      <c r="VYB63" s="44">
        <f t="shared" si="361"/>
        <v>0</v>
      </c>
      <c r="VYC63" s="44">
        <f t="shared" si="361"/>
        <v>0</v>
      </c>
      <c r="VYD63" s="44">
        <f t="shared" si="361"/>
        <v>0</v>
      </c>
      <c r="VYE63" s="44">
        <f t="shared" si="361"/>
        <v>0</v>
      </c>
      <c r="VYF63" s="44">
        <f t="shared" si="361"/>
        <v>0</v>
      </c>
      <c r="VYG63" s="44">
        <f t="shared" si="361"/>
        <v>0</v>
      </c>
      <c r="VYH63" s="44">
        <f t="shared" si="361"/>
        <v>0</v>
      </c>
      <c r="VYI63" s="44">
        <f t="shared" si="361"/>
        <v>0</v>
      </c>
      <c r="VYJ63" s="44">
        <f t="shared" si="361"/>
        <v>0</v>
      </c>
      <c r="VYK63" s="44">
        <f t="shared" si="361"/>
        <v>0</v>
      </c>
      <c r="VYL63" s="44">
        <f t="shared" si="361"/>
        <v>0</v>
      </c>
      <c r="VYM63" s="44">
        <f t="shared" si="361"/>
        <v>0</v>
      </c>
      <c r="VYN63" s="44">
        <f t="shared" si="361"/>
        <v>0</v>
      </c>
      <c r="VYO63" s="44">
        <f t="shared" si="361"/>
        <v>0</v>
      </c>
      <c r="VYP63" s="44">
        <f t="shared" si="361"/>
        <v>0</v>
      </c>
      <c r="VYQ63" s="44">
        <f t="shared" si="361"/>
        <v>0</v>
      </c>
      <c r="VYR63" s="44">
        <f t="shared" si="361"/>
        <v>0</v>
      </c>
      <c r="VYS63" s="44">
        <f t="shared" si="361"/>
        <v>0</v>
      </c>
      <c r="VYT63" s="44">
        <f t="shared" si="361"/>
        <v>0</v>
      </c>
      <c r="VYU63" s="44">
        <f t="shared" si="361"/>
        <v>0</v>
      </c>
      <c r="VYV63" s="44">
        <f t="shared" si="361"/>
        <v>0</v>
      </c>
      <c r="VYW63" s="44">
        <f t="shared" si="361"/>
        <v>0</v>
      </c>
      <c r="VYX63" s="44">
        <f t="shared" si="361"/>
        <v>0</v>
      </c>
      <c r="VYY63" s="44">
        <f t="shared" si="361"/>
        <v>0</v>
      </c>
      <c r="VYZ63" s="44">
        <f t="shared" si="361"/>
        <v>0</v>
      </c>
      <c r="VZA63" s="44">
        <f t="shared" si="361"/>
        <v>0</v>
      </c>
      <c r="VZB63" s="44">
        <f t="shared" si="361"/>
        <v>0</v>
      </c>
      <c r="VZC63" s="44">
        <f t="shared" si="361"/>
        <v>0</v>
      </c>
      <c r="VZD63" s="44">
        <f t="shared" si="361"/>
        <v>0</v>
      </c>
      <c r="VZE63" s="44">
        <f t="shared" si="361"/>
        <v>0</v>
      </c>
      <c r="VZF63" s="44">
        <f t="shared" si="361"/>
        <v>0</v>
      </c>
      <c r="VZG63" s="44">
        <f t="shared" si="361"/>
        <v>0</v>
      </c>
      <c r="VZH63" s="44">
        <f t="shared" si="361"/>
        <v>0</v>
      </c>
      <c r="VZI63" s="44">
        <f t="shared" si="361"/>
        <v>0</v>
      </c>
      <c r="VZJ63" s="44">
        <f t="shared" si="361"/>
        <v>0</v>
      </c>
      <c r="VZK63" s="44">
        <f t="shared" si="361"/>
        <v>0</v>
      </c>
      <c r="VZL63" s="44">
        <f t="shared" si="361"/>
        <v>0</v>
      </c>
      <c r="VZM63" s="44">
        <f t="shared" si="361"/>
        <v>0</v>
      </c>
      <c r="VZN63" s="44">
        <f t="shared" si="361"/>
        <v>0</v>
      </c>
      <c r="VZO63" s="44">
        <f t="shared" si="361"/>
        <v>0</v>
      </c>
      <c r="VZP63" s="44">
        <f t="shared" si="361"/>
        <v>0</v>
      </c>
      <c r="VZQ63" s="44">
        <f t="shared" si="361"/>
        <v>0</v>
      </c>
      <c r="VZR63" s="44">
        <f t="shared" si="361"/>
        <v>0</v>
      </c>
      <c r="VZS63" s="44">
        <f t="shared" si="361"/>
        <v>0</v>
      </c>
      <c r="VZT63" s="44">
        <f t="shared" si="361"/>
        <v>0</v>
      </c>
      <c r="VZU63" s="44">
        <f t="shared" si="361"/>
        <v>0</v>
      </c>
      <c r="VZV63" s="44">
        <f t="shared" si="361"/>
        <v>0</v>
      </c>
      <c r="VZW63" s="44">
        <f t="shared" si="361"/>
        <v>0</v>
      </c>
      <c r="VZX63" s="44">
        <f t="shared" si="361"/>
        <v>0</v>
      </c>
      <c r="VZY63" s="44">
        <f t="shared" si="361"/>
        <v>0</v>
      </c>
      <c r="VZZ63" s="44">
        <f t="shared" ref="VZZ63:WCK63" si="362">SUM(VZZ56:VZZ57)</f>
        <v>0</v>
      </c>
      <c r="WAA63" s="44">
        <f t="shared" si="362"/>
        <v>0</v>
      </c>
      <c r="WAB63" s="44">
        <f t="shared" si="362"/>
        <v>0</v>
      </c>
      <c r="WAC63" s="44">
        <f t="shared" si="362"/>
        <v>0</v>
      </c>
      <c r="WAD63" s="44">
        <f t="shared" si="362"/>
        <v>0</v>
      </c>
      <c r="WAE63" s="44">
        <f t="shared" si="362"/>
        <v>0</v>
      </c>
      <c r="WAF63" s="44">
        <f t="shared" si="362"/>
        <v>0</v>
      </c>
      <c r="WAG63" s="44">
        <f t="shared" si="362"/>
        <v>0</v>
      </c>
      <c r="WAH63" s="44">
        <f t="shared" si="362"/>
        <v>0</v>
      </c>
      <c r="WAI63" s="44">
        <f t="shared" si="362"/>
        <v>0</v>
      </c>
      <c r="WAJ63" s="44">
        <f t="shared" si="362"/>
        <v>0</v>
      </c>
      <c r="WAK63" s="44">
        <f t="shared" si="362"/>
        <v>0</v>
      </c>
      <c r="WAL63" s="44">
        <f t="shared" si="362"/>
        <v>0</v>
      </c>
      <c r="WAM63" s="44">
        <f t="shared" si="362"/>
        <v>0</v>
      </c>
      <c r="WAN63" s="44">
        <f t="shared" si="362"/>
        <v>0</v>
      </c>
      <c r="WAO63" s="44">
        <f t="shared" si="362"/>
        <v>0</v>
      </c>
      <c r="WAP63" s="44">
        <f t="shared" si="362"/>
        <v>0</v>
      </c>
      <c r="WAQ63" s="44">
        <f t="shared" si="362"/>
        <v>0</v>
      </c>
      <c r="WAR63" s="44">
        <f t="shared" si="362"/>
        <v>0</v>
      </c>
      <c r="WAS63" s="44">
        <f t="shared" si="362"/>
        <v>0</v>
      </c>
      <c r="WAT63" s="44">
        <f t="shared" si="362"/>
        <v>0</v>
      </c>
      <c r="WAU63" s="44">
        <f t="shared" si="362"/>
        <v>0</v>
      </c>
      <c r="WAV63" s="44">
        <f t="shared" si="362"/>
        <v>0</v>
      </c>
      <c r="WAW63" s="44">
        <f t="shared" si="362"/>
        <v>0</v>
      </c>
      <c r="WAX63" s="44">
        <f t="shared" si="362"/>
        <v>0</v>
      </c>
      <c r="WAY63" s="44">
        <f t="shared" si="362"/>
        <v>0</v>
      </c>
      <c r="WAZ63" s="44">
        <f t="shared" si="362"/>
        <v>0</v>
      </c>
      <c r="WBA63" s="44">
        <f t="shared" si="362"/>
        <v>0</v>
      </c>
      <c r="WBB63" s="44">
        <f t="shared" si="362"/>
        <v>0</v>
      </c>
      <c r="WBC63" s="44">
        <f t="shared" si="362"/>
        <v>0</v>
      </c>
      <c r="WBD63" s="44">
        <f t="shared" si="362"/>
        <v>0</v>
      </c>
      <c r="WBE63" s="44">
        <f t="shared" si="362"/>
        <v>0</v>
      </c>
      <c r="WBF63" s="44">
        <f t="shared" si="362"/>
        <v>0</v>
      </c>
      <c r="WBG63" s="44">
        <f t="shared" si="362"/>
        <v>0</v>
      </c>
      <c r="WBH63" s="44">
        <f t="shared" si="362"/>
        <v>0</v>
      </c>
      <c r="WBI63" s="44">
        <f t="shared" si="362"/>
        <v>0</v>
      </c>
      <c r="WBJ63" s="44">
        <f t="shared" si="362"/>
        <v>0</v>
      </c>
      <c r="WBK63" s="44">
        <f t="shared" si="362"/>
        <v>0</v>
      </c>
      <c r="WBL63" s="44">
        <f t="shared" si="362"/>
        <v>0</v>
      </c>
      <c r="WBM63" s="44">
        <f t="shared" si="362"/>
        <v>0</v>
      </c>
      <c r="WBN63" s="44">
        <f t="shared" si="362"/>
        <v>0</v>
      </c>
      <c r="WBO63" s="44">
        <f t="shared" si="362"/>
        <v>0</v>
      </c>
      <c r="WBP63" s="44">
        <f t="shared" si="362"/>
        <v>0</v>
      </c>
      <c r="WBQ63" s="44">
        <f t="shared" si="362"/>
        <v>0</v>
      </c>
      <c r="WBR63" s="44">
        <f t="shared" si="362"/>
        <v>0</v>
      </c>
      <c r="WBS63" s="44">
        <f t="shared" si="362"/>
        <v>0</v>
      </c>
      <c r="WBT63" s="44">
        <f t="shared" si="362"/>
        <v>0</v>
      </c>
      <c r="WBU63" s="44">
        <f t="shared" si="362"/>
        <v>0</v>
      </c>
      <c r="WBV63" s="44">
        <f t="shared" si="362"/>
        <v>0</v>
      </c>
      <c r="WBW63" s="44">
        <f t="shared" si="362"/>
        <v>0</v>
      </c>
      <c r="WBX63" s="44">
        <f t="shared" si="362"/>
        <v>0</v>
      </c>
      <c r="WBY63" s="44">
        <f t="shared" si="362"/>
        <v>0</v>
      </c>
      <c r="WBZ63" s="44">
        <f t="shared" si="362"/>
        <v>0</v>
      </c>
      <c r="WCA63" s="44">
        <f t="shared" si="362"/>
        <v>0</v>
      </c>
      <c r="WCB63" s="44">
        <f t="shared" si="362"/>
        <v>0</v>
      </c>
      <c r="WCC63" s="44">
        <f t="shared" si="362"/>
        <v>0</v>
      </c>
      <c r="WCD63" s="44">
        <f t="shared" si="362"/>
        <v>0</v>
      </c>
      <c r="WCE63" s="44">
        <f t="shared" si="362"/>
        <v>0</v>
      </c>
      <c r="WCF63" s="44">
        <f t="shared" si="362"/>
        <v>0</v>
      </c>
      <c r="WCG63" s="44">
        <f t="shared" si="362"/>
        <v>0</v>
      </c>
      <c r="WCH63" s="44">
        <f t="shared" si="362"/>
        <v>0</v>
      </c>
      <c r="WCI63" s="44">
        <f t="shared" si="362"/>
        <v>0</v>
      </c>
      <c r="WCJ63" s="44">
        <f t="shared" si="362"/>
        <v>0</v>
      </c>
      <c r="WCK63" s="44">
        <f t="shared" si="362"/>
        <v>0</v>
      </c>
      <c r="WCL63" s="44">
        <f t="shared" ref="WCL63:WEW63" si="363">SUM(WCL56:WCL57)</f>
        <v>0</v>
      </c>
      <c r="WCM63" s="44">
        <f t="shared" si="363"/>
        <v>0</v>
      </c>
      <c r="WCN63" s="44">
        <f t="shared" si="363"/>
        <v>0</v>
      </c>
      <c r="WCO63" s="44">
        <f t="shared" si="363"/>
        <v>0</v>
      </c>
      <c r="WCP63" s="44">
        <f t="shared" si="363"/>
        <v>0</v>
      </c>
      <c r="WCQ63" s="44">
        <f t="shared" si="363"/>
        <v>0</v>
      </c>
      <c r="WCR63" s="44">
        <f t="shared" si="363"/>
        <v>0</v>
      </c>
      <c r="WCS63" s="44">
        <f t="shared" si="363"/>
        <v>0</v>
      </c>
      <c r="WCT63" s="44">
        <f t="shared" si="363"/>
        <v>0</v>
      </c>
      <c r="WCU63" s="44">
        <f t="shared" si="363"/>
        <v>0</v>
      </c>
      <c r="WCV63" s="44">
        <f t="shared" si="363"/>
        <v>0</v>
      </c>
      <c r="WCW63" s="44">
        <f t="shared" si="363"/>
        <v>0</v>
      </c>
      <c r="WCX63" s="44">
        <f t="shared" si="363"/>
        <v>0</v>
      </c>
      <c r="WCY63" s="44">
        <f t="shared" si="363"/>
        <v>0</v>
      </c>
      <c r="WCZ63" s="44">
        <f t="shared" si="363"/>
        <v>0</v>
      </c>
      <c r="WDA63" s="44">
        <f t="shared" si="363"/>
        <v>0</v>
      </c>
      <c r="WDB63" s="44">
        <f t="shared" si="363"/>
        <v>0</v>
      </c>
      <c r="WDC63" s="44">
        <f t="shared" si="363"/>
        <v>0</v>
      </c>
      <c r="WDD63" s="44">
        <f t="shared" si="363"/>
        <v>0</v>
      </c>
      <c r="WDE63" s="44">
        <f t="shared" si="363"/>
        <v>0</v>
      </c>
      <c r="WDF63" s="44">
        <f t="shared" si="363"/>
        <v>0</v>
      </c>
      <c r="WDG63" s="44">
        <f t="shared" si="363"/>
        <v>0</v>
      </c>
      <c r="WDH63" s="44">
        <f t="shared" si="363"/>
        <v>0</v>
      </c>
      <c r="WDI63" s="44">
        <f t="shared" si="363"/>
        <v>0</v>
      </c>
      <c r="WDJ63" s="44">
        <f t="shared" si="363"/>
        <v>0</v>
      </c>
      <c r="WDK63" s="44">
        <f t="shared" si="363"/>
        <v>0</v>
      </c>
      <c r="WDL63" s="44">
        <f t="shared" si="363"/>
        <v>0</v>
      </c>
      <c r="WDM63" s="44">
        <f t="shared" si="363"/>
        <v>0</v>
      </c>
      <c r="WDN63" s="44">
        <f t="shared" si="363"/>
        <v>0</v>
      </c>
      <c r="WDO63" s="44">
        <f t="shared" si="363"/>
        <v>0</v>
      </c>
      <c r="WDP63" s="44">
        <f t="shared" si="363"/>
        <v>0</v>
      </c>
      <c r="WDQ63" s="44">
        <f t="shared" si="363"/>
        <v>0</v>
      </c>
      <c r="WDR63" s="44">
        <f t="shared" si="363"/>
        <v>0</v>
      </c>
      <c r="WDS63" s="44">
        <f t="shared" si="363"/>
        <v>0</v>
      </c>
      <c r="WDT63" s="44">
        <f t="shared" si="363"/>
        <v>0</v>
      </c>
      <c r="WDU63" s="44">
        <f t="shared" si="363"/>
        <v>0</v>
      </c>
      <c r="WDV63" s="44">
        <f t="shared" si="363"/>
        <v>0</v>
      </c>
      <c r="WDW63" s="44">
        <f t="shared" si="363"/>
        <v>0</v>
      </c>
      <c r="WDX63" s="44">
        <f t="shared" si="363"/>
        <v>0</v>
      </c>
      <c r="WDY63" s="44">
        <f t="shared" si="363"/>
        <v>0</v>
      </c>
      <c r="WDZ63" s="44">
        <f t="shared" si="363"/>
        <v>0</v>
      </c>
      <c r="WEA63" s="44">
        <f t="shared" si="363"/>
        <v>0</v>
      </c>
      <c r="WEB63" s="44">
        <f t="shared" si="363"/>
        <v>0</v>
      </c>
      <c r="WEC63" s="44">
        <f t="shared" si="363"/>
        <v>0</v>
      </c>
      <c r="WED63" s="44">
        <f t="shared" si="363"/>
        <v>0</v>
      </c>
      <c r="WEE63" s="44">
        <f t="shared" si="363"/>
        <v>0</v>
      </c>
      <c r="WEF63" s="44">
        <f t="shared" si="363"/>
        <v>0</v>
      </c>
      <c r="WEG63" s="44">
        <f t="shared" si="363"/>
        <v>0</v>
      </c>
      <c r="WEH63" s="44">
        <f t="shared" si="363"/>
        <v>0</v>
      </c>
      <c r="WEI63" s="44">
        <f t="shared" si="363"/>
        <v>0</v>
      </c>
      <c r="WEJ63" s="44">
        <f t="shared" si="363"/>
        <v>0</v>
      </c>
      <c r="WEK63" s="44">
        <f t="shared" si="363"/>
        <v>0</v>
      </c>
      <c r="WEL63" s="44">
        <f t="shared" si="363"/>
        <v>0</v>
      </c>
      <c r="WEM63" s="44">
        <f t="shared" si="363"/>
        <v>0</v>
      </c>
      <c r="WEN63" s="44">
        <f t="shared" si="363"/>
        <v>0</v>
      </c>
      <c r="WEO63" s="44">
        <f t="shared" si="363"/>
        <v>0</v>
      </c>
      <c r="WEP63" s="44">
        <f t="shared" si="363"/>
        <v>0</v>
      </c>
      <c r="WEQ63" s="44">
        <f t="shared" si="363"/>
        <v>0</v>
      </c>
      <c r="WER63" s="44">
        <f t="shared" si="363"/>
        <v>0</v>
      </c>
      <c r="WES63" s="44">
        <f t="shared" si="363"/>
        <v>0</v>
      </c>
      <c r="WET63" s="44">
        <f t="shared" si="363"/>
        <v>0</v>
      </c>
      <c r="WEU63" s="44">
        <f t="shared" si="363"/>
        <v>0</v>
      </c>
      <c r="WEV63" s="44">
        <f t="shared" si="363"/>
        <v>0</v>
      </c>
      <c r="WEW63" s="44">
        <f t="shared" si="363"/>
        <v>0</v>
      </c>
      <c r="WEX63" s="44">
        <f t="shared" ref="WEX63:WHI63" si="364">SUM(WEX56:WEX57)</f>
        <v>0</v>
      </c>
      <c r="WEY63" s="44">
        <f t="shared" si="364"/>
        <v>0</v>
      </c>
      <c r="WEZ63" s="44">
        <f t="shared" si="364"/>
        <v>0</v>
      </c>
      <c r="WFA63" s="44">
        <f t="shared" si="364"/>
        <v>0</v>
      </c>
      <c r="WFB63" s="44">
        <f t="shared" si="364"/>
        <v>0</v>
      </c>
      <c r="WFC63" s="44">
        <f t="shared" si="364"/>
        <v>0</v>
      </c>
      <c r="WFD63" s="44">
        <f t="shared" si="364"/>
        <v>0</v>
      </c>
      <c r="WFE63" s="44">
        <f t="shared" si="364"/>
        <v>0</v>
      </c>
      <c r="WFF63" s="44">
        <f t="shared" si="364"/>
        <v>0</v>
      </c>
      <c r="WFG63" s="44">
        <f t="shared" si="364"/>
        <v>0</v>
      </c>
      <c r="WFH63" s="44">
        <f t="shared" si="364"/>
        <v>0</v>
      </c>
      <c r="WFI63" s="44">
        <f t="shared" si="364"/>
        <v>0</v>
      </c>
      <c r="WFJ63" s="44">
        <f t="shared" si="364"/>
        <v>0</v>
      </c>
      <c r="WFK63" s="44">
        <f t="shared" si="364"/>
        <v>0</v>
      </c>
      <c r="WFL63" s="44">
        <f t="shared" si="364"/>
        <v>0</v>
      </c>
      <c r="WFM63" s="44">
        <f t="shared" si="364"/>
        <v>0</v>
      </c>
      <c r="WFN63" s="44">
        <f t="shared" si="364"/>
        <v>0</v>
      </c>
      <c r="WFO63" s="44">
        <f t="shared" si="364"/>
        <v>0</v>
      </c>
      <c r="WFP63" s="44">
        <f t="shared" si="364"/>
        <v>0</v>
      </c>
      <c r="WFQ63" s="44">
        <f t="shared" si="364"/>
        <v>0</v>
      </c>
      <c r="WFR63" s="44">
        <f t="shared" si="364"/>
        <v>0</v>
      </c>
      <c r="WFS63" s="44">
        <f t="shared" si="364"/>
        <v>0</v>
      </c>
      <c r="WFT63" s="44">
        <f t="shared" si="364"/>
        <v>0</v>
      </c>
      <c r="WFU63" s="44">
        <f t="shared" si="364"/>
        <v>0</v>
      </c>
      <c r="WFV63" s="44">
        <f t="shared" si="364"/>
        <v>0</v>
      </c>
      <c r="WFW63" s="44">
        <f t="shared" si="364"/>
        <v>0</v>
      </c>
      <c r="WFX63" s="44">
        <f t="shared" si="364"/>
        <v>0</v>
      </c>
      <c r="WFY63" s="44">
        <f t="shared" si="364"/>
        <v>0</v>
      </c>
      <c r="WFZ63" s="44">
        <f t="shared" si="364"/>
        <v>0</v>
      </c>
      <c r="WGA63" s="44">
        <f t="shared" si="364"/>
        <v>0</v>
      </c>
      <c r="WGB63" s="44">
        <f t="shared" si="364"/>
        <v>0</v>
      </c>
      <c r="WGC63" s="44">
        <f t="shared" si="364"/>
        <v>0</v>
      </c>
      <c r="WGD63" s="44">
        <f t="shared" si="364"/>
        <v>0</v>
      </c>
      <c r="WGE63" s="44">
        <f t="shared" si="364"/>
        <v>0</v>
      </c>
      <c r="WGF63" s="44">
        <f t="shared" si="364"/>
        <v>0</v>
      </c>
      <c r="WGG63" s="44">
        <f t="shared" si="364"/>
        <v>0</v>
      </c>
      <c r="WGH63" s="44">
        <f t="shared" si="364"/>
        <v>0</v>
      </c>
      <c r="WGI63" s="44">
        <f t="shared" si="364"/>
        <v>0</v>
      </c>
      <c r="WGJ63" s="44">
        <f t="shared" si="364"/>
        <v>0</v>
      </c>
      <c r="WGK63" s="44">
        <f t="shared" si="364"/>
        <v>0</v>
      </c>
      <c r="WGL63" s="44">
        <f t="shared" si="364"/>
        <v>0</v>
      </c>
      <c r="WGM63" s="44">
        <f t="shared" si="364"/>
        <v>0</v>
      </c>
      <c r="WGN63" s="44">
        <f t="shared" si="364"/>
        <v>0</v>
      </c>
      <c r="WGO63" s="44">
        <f t="shared" si="364"/>
        <v>0</v>
      </c>
      <c r="WGP63" s="44">
        <f t="shared" si="364"/>
        <v>0</v>
      </c>
      <c r="WGQ63" s="44">
        <f t="shared" si="364"/>
        <v>0</v>
      </c>
      <c r="WGR63" s="44">
        <f t="shared" si="364"/>
        <v>0</v>
      </c>
      <c r="WGS63" s="44">
        <f t="shared" si="364"/>
        <v>0</v>
      </c>
      <c r="WGT63" s="44">
        <f t="shared" si="364"/>
        <v>0</v>
      </c>
      <c r="WGU63" s="44">
        <f t="shared" si="364"/>
        <v>0</v>
      </c>
      <c r="WGV63" s="44">
        <f t="shared" si="364"/>
        <v>0</v>
      </c>
      <c r="WGW63" s="44">
        <f t="shared" si="364"/>
        <v>0</v>
      </c>
      <c r="WGX63" s="44">
        <f t="shared" si="364"/>
        <v>0</v>
      </c>
      <c r="WGY63" s="44">
        <f t="shared" si="364"/>
        <v>0</v>
      </c>
      <c r="WGZ63" s="44">
        <f t="shared" si="364"/>
        <v>0</v>
      </c>
      <c r="WHA63" s="44">
        <f t="shared" si="364"/>
        <v>0</v>
      </c>
      <c r="WHB63" s="44">
        <f t="shared" si="364"/>
        <v>0</v>
      </c>
      <c r="WHC63" s="44">
        <f t="shared" si="364"/>
        <v>0</v>
      </c>
      <c r="WHD63" s="44">
        <f t="shared" si="364"/>
        <v>0</v>
      </c>
      <c r="WHE63" s="44">
        <f t="shared" si="364"/>
        <v>0</v>
      </c>
      <c r="WHF63" s="44">
        <f t="shared" si="364"/>
        <v>0</v>
      </c>
      <c r="WHG63" s="44">
        <f t="shared" si="364"/>
        <v>0</v>
      </c>
      <c r="WHH63" s="44">
        <f t="shared" si="364"/>
        <v>0</v>
      </c>
      <c r="WHI63" s="44">
        <f t="shared" si="364"/>
        <v>0</v>
      </c>
      <c r="WHJ63" s="44">
        <f t="shared" ref="WHJ63:WJU63" si="365">SUM(WHJ56:WHJ57)</f>
        <v>0</v>
      </c>
      <c r="WHK63" s="44">
        <f t="shared" si="365"/>
        <v>0</v>
      </c>
      <c r="WHL63" s="44">
        <f t="shared" si="365"/>
        <v>0</v>
      </c>
      <c r="WHM63" s="44">
        <f t="shared" si="365"/>
        <v>0</v>
      </c>
      <c r="WHN63" s="44">
        <f t="shared" si="365"/>
        <v>0</v>
      </c>
      <c r="WHO63" s="44">
        <f t="shared" si="365"/>
        <v>0</v>
      </c>
      <c r="WHP63" s="44">
        <f t="shared" si="365"/>
        <v>0</v>
      </c>
      <c r="WHQ63" s="44">
        <f t="shared" si="365"/>
        <v>0</v>
      </c>
      <c r="WHR63" s="44">
        <f t="shared" si="365"/>
        <v>0</v>
      </c>
      <c r="WHS63" s="44">
        <f t="shared" si="365"/>
        <v>0</v>
      </c>
      <c r="WHT63" s="44">
        <f t="shared" si="365"/>
        <v>0</v>
      </c>
      <c r="WHU63" s="44">
        <f t="shared" si="365"/>
        <v>0</v>
      </c>
      <c r="WHV63" s="44">
        <f t="shared" si="365"/>
        <v>0</v>
      </c>
      <c r="WHW63" s="44">
        <f t="shared" si="365"/>
        <v>0</v>
      </c>
      <c r="WHX63" s="44">
        <f t="shared" si="365"/>
        <v>0</v>
      </c>
      <c r="WHY63" s="44">
        <f t="shared" si="365"/>
        <v>0</v>
      </c>
      <c r="WHZ63" s="44">
        <f t="shared" si="365"/>
        <v>0</v>
      </c>
      <c r="WIA63" s="44">
        <f t="shared" si="365"/>
        <v>0</v>
      </c>
      <c r="WIB63" s="44">
        <f t="shared" si="365"/>
        <v>0</v>
      </c>
      <c r="WIC63" s="44">
        <f t="shared" si="365"/>
        <v>0</v>
      </c>
      <c r="WID63" s="44">
        <f t="shared" si="365"/>
        <v>0</v>
      </c>
      <c r="WIE63" s="44">
        <f t="shared" si="365"/>
        <v>0</v>
      </c>
      <c r="WIF63" s="44">
        <f t="shared" si="365"/>
        <v>0</v>
      </c>
      <c r="WIG63" s="44">
        <f t="shared" si="365"/>
        <v>0</v>
      </c>
      <c r="WIH63" s="44">
        <f t="shared" si="365"/>
        <v>0</v>
      </c>
      <c r="WII63" s="44">
        <f t="shared" si="365"/>
        <v>0</v>
      </c>
      <c r="WIJ63" s="44">
        <f t="shared" si="365"/>
        <v>0</v>
      </c>
      <c r="WIK63" s="44">
        <f t="shared" si="365"/>
        <v>0</v>
      </c>
      <c r="WIL63" s="44">
        <f t="shared" si="365"/>
        <v>0</v>
      </c>
      <c r="WIM63" s="44">
        <f t="shared" si="365"/>
        <v>0</v>
      </c>
      <c r="WIN63" s="44">
        <f t="shared" si="365"/>
        <v>0</v>
      </c>
      <c r="WIO63" s="44">
        <f t="shared" si="365"/>
        <v>0</v>
      </c>
      <c r="WIP63" s="44">
        <f t="shared" si="365"/>
        <v>0</v>
      </c>
      <c r="WIQ63" s="44">
        <f t="shared" si="365"/>
        <v>0</v>
      </c>
      <c r="WIR63" s="44">
        <f t="shared" si="365"/>
        <v>0</v>
      </c>
      <c r="WIS63" s="44">
        <f t="shared" si="365"/>
        <v>0</v>
      </c>
      <c r="WIT63" s="44">
        <f t="shared" si="365"/>
        <v>0</v>
      </c>
      <c r="WIU63" s="44">
        <f t="shared" si="365"/>
        <v>0</v>
      </c>
      <c r="WIV63" s="44">
        <f t="shared" si="365"/>
        <v>0</v>
      </c>
      <c r="WIW63" s="44">
        <f t="shared" si="365"/>
        <v>0</v>
      </c>
      <c r="WIX63" s="44">
        <f t="shared" si="365"/>
        <v>0</v>
      </c>
      <c r="WIY63" s="44">
        <f t="shared" si="365"/>
        <v>0</v>
      </c>
      <c r="WIZ63" s="44">
        <f t="shared" si="365"/>
        <v>0</v>
      </c>
      <c r="WJA63" s="44">
        <f t="shared" si="365"/>
        <v>0</v>
      </c>
      <c r="WJB63" s="44">
        <f t="shared" si="365"/>
        <v>0</v>
      </c>
      <c r="WJC63" s="44">
        <f t="shared" si="365"/>
        <v>0</v>
      </c>
      <c r="WJD63" s="44">
        <f t="shared" si="365"/>
        <v>0</v>
      </c>
      <c r="WJE63" s="44">
        <f t="shared" si="365"/>
        <v>0</v>
      </c>
      <c r="WJF63" s="44">
        <f t="shared" si="365"/>
        <v>0</v>
      </c>
      <c r="WJG63" s="44">
        <f t="shared" si="365"/>
        <v>0</v>
      </c>
      <c r="WJH63" s="44">
        <f t="shared" si="365"/>
        <v>0</v>
      </c>
      <c r="WJI63" s="44">
        <f t="shared" si="365"/>
        <v>0</v>
      </c>
      <c r="WJJ63" s="44">
        <f t="shared" si="365"/>
        <v>0</v>
      </c>
      <c r="WJK63" s="44">
        <f t="shared" si="365"/>
        <v>0</v>
      </c>
      <c r="WJL63" s="44">
        <f t="shared" si="365"/>
        <v>0</v>
      </c>
      <c r="WJM63" s="44">
        <f t="shared" si="365"/>
        <v>0</v>
      </c>
      <c r="WJN63" s="44">
        <f t="shared" si="365"/>
        <v>0</v>
      </c>
      <c r="WJO63" s="44">
        <f t="shared" si="365"/>
        <v>0</v>
      </c>
      <c r="WJP63" s="44">
        <f t="shared" si="365"/>
        <v>0</v>
      </c>
      <c r="WJQ63" s="44">
        <f t="shared" si="365"/>
        <v>0</v>
      </c>
      <c r="WJR63" s="44">
        <f t="shared" si="365"/>
        <v>0</v>
      </c>
      <c r="WJS63" s="44">
        <f t="shared" si="365"/>
        <v>0</v>
      </c>
      <c r="WJT63" s="44">
        <f t="shared" si="365"/>
        <v>0</v>
      </c>
      <c r="WJU63" s="44">
        <f t="shared" si="365"/>
        <v>0</v>
      </c>
      <c r="WJV63" s="44">
        <f t="shared" ref="WJV63:WMG63" si="366">SUM(WJV56:WJV57)</f>
        <v>0</v>
      </c>
      <c r="WJW63" s="44">
        <f t="shared" si="366"/>
        <v>0</v>
      </c>
      <c r="WJX63" s="44">
        <f t="shared" si="366"/>
        <v>0</v>
      </c>
      <c r="WJY63" s="44">
        <f t="shared" si="366"/>
        <v>0</v>
      </c>
      <c r="WJZ63" s="44">
        <f t="shared" si="366"/>
        <v>0</v>
      </c>
      <c r="WKA63" s="44">
        <f t="shared" si="366"/>
        <v>0</v>
      </c>
      <c r="WKB63" s="44">
        <f t="shared" si="366"/>
        <v>0</v>
      </c>
      <c r="WKC63" s="44">
        <f t="shared" si="366"/>
        <v>0</v>
      </c>
      <c r="WKD63" s="44">
        <f t="shared" si="366"/>
        <v>0</v>
      </c>
      <c r="WKE63" s="44">
        <f t="shared" si="366"/>
        <v>0</v>
      </c>
      <c r="WKF63" s="44">
        <f t="shared" si="366"/>
        <v>0</v>
      </c>
      <c r="WKG63" s="44">
        <f t="shared" si="366"/>
        <v>0</v>
      </c>
      <c r="WKH63" s="44">
        <f t="shared" si="366"/>
        <v>0</v>
      </c>
      <c r="WKI63" s="44">
        <f t="shared" si="366"/>
        <v>0</v>
      </c>
      <c r="WKJ63" s="44">
        <f t="shared" si="366"/>
        <v>0</v>
      </c>
      <c r="WKK63" s="44">
        <f t="shared" si="366"/>
        <v>0</v>
      </c>
      <c r="WKL63" s="44">
        <f t="shared" si="366"/>
        <v>0</v>
      </c>
      <c r="WKM63" s="44">
        <f t="shared" si="366"/>
        <v>0</v>
      </c>
      <c r="WKN63" s="44">
        <f t="shared" si="366"/>
        <v>0</v>
      </c>
      <c r="WKO63" s="44">
        <f t="shared" si="366"/>
        <v>0</v>
      </c>
      <c r="WKP63" s="44">
        <f t="shared" si="366"/>
        <v>0</v>
      </c>
      <c r="WKQ63" s="44">
        <f t="shared" si="366"/>
        <v>0</v>
      </c>
      <c r="WKR63" s="44">
        <f t="shared" si="366"/>
        <v>0</v>
      </c>
      <c r="WKS63" s="44">
        <f t="shared" si="366"/>
        <v>0</v>
      </c>
      <c r="WKT63" s="44">
        <f t="shared" si="366"/>
        <v>0</v>
      </c>
      <c r="WKU63" s="44">
        <f t="shared" si="366"/>
        <v>0</v>
      </c>
      <c r="WKV63" s="44">
        <f t="shared" si="366"/>
        <v>0</v>
      </c>
      <c r="WKW63" s="44">
        <f t="shared" si="366"/>
        <v>0</v>
      </c>
      <c r="WKX63" s="44">
        <f t="shared" si="366"/>
        <v>0</v>
      </c>
      <c r="WKY63" s="44">
        <f t="shared" si="366"/>
        <v>0</v>
      </c>
      <c r="WKZ63" s="44">
        <f t="shared" si="366"/>
        <v>0</v>
      </c>
      <c r="WLA63" s="44">
        <f t="shared" si="366"/>
        <v>0</v>
      </c>
      <c r="WLB63" s="44">
        <f t="shared" si="366"/>
        <v>0</v>
      </c>
      <c r="WLC63" s="44">
        <f t="shared" si="366"/>
        <v>0</v>
      </c>
      <c r="WLD63" s="44">
        <f t="shared" si="366"/>
        <v>0</v>
      </c>
      <c r="WLE63" s="44">
        <f t="shared" si="366"/>
        <v>0</v>
      </c>
      <c r="WLF63" s="44">
        <f t="shared" si="366"/>
        <v>0</v>
      </c>
      <c r="WLG63" s="44">
        <f t="shared" si="366"/>
        <v>0</v>
      </c>
      <c r="WLH63" s="44">
        <f t="shared" si="366"/>
        <v>0</v>
      </c>
      <c r="WLI63" s="44">
        <f t="shared" si="366"/>
        <v>0</v>
      </c>
      <c r="WLJ63" s="44">
        <f t="shared" si="366"/>
        <v>0</v>
      </c>
      <c r="WLK63" s="44">
        <f t="shared" si="366"/>
        <v>0</v>
      </c>
      <c r="WLL63" s="44">
        <f t="shared" si="366"/>
        <v>0</v>
      </c>
      <c r="WLM63" s="44">
        <f t="shared" si="366"/>
        <v>0</v>
      </c>
      <c r="WLN63" s="44">
        <f t="shared" si="366"/>
        <v>0</v>
      </c>
      <c r="WLO63" s="44">
        <f t="shared" si="366"/>
        <v>0</v>
      </c>
      <c r="WLP63" s="44">
        <f t="shared" si="366"/>
        <v>0</v>
      </c>
      <c r="WLQ63" s="44">
        <f t="shared" si="366"/>
        <v>0</v>
      </c>
      <c r="WLR63" s="44">
        <f t="shared" si="366"/>
        <v>0</v>
      </c>
      <c r="WLS63" s="44">
        <f t="shared" si="366"/>
        <v>0</v>
      </c>
      <c r="WLT63" s="44">
        <f t="shared" si="366"/>
        <v>0</v>
      </c>
      <c r="WLU63" s="44">
        <f t="shared" si="366"/>
        <v>0</v>
      </c>
      <c r="WLV63" s="44">
        <f t="shared" si="366"/>
        <v>0</v>
      </c>
      <c r="WLW63" s="44">
        <f t="shared" si="366"/>
        <v>0</v>
      </c>
      <c r="WLX63" s="44">
        <f t="shared" si="366"/>
        <v>0</v>
      </c>
      <c r="WLY63" s="44">
        <f t="shared" si="366"/>
        <v>0</v>
      </c>
      <c r="WLZ63" s="44">
        <f t="shared" si="366"/>
        <v>0</v>
      </c>
      <c r="WMA63" s="44">
        <f t="shared" si="366"/>
        <v>0</v>
      </c>
      <c r="WMB63" s="44">
        <f t="shared" si="366"/>
        <v>0</v>
      </c>
      <c r="WMC63" s="44">
        <f t="shared" si="366"/>
        <v>0</v>
      </c>
      <c r="WMD63" s="44">
        <f t="shared" si="366"/>
        <v>0</v>
      </c>
      <c r="WME63" s="44">
        <f t="shared" si="366"/>
        <v>0</v>
      </c>
      <c r="WMF63" s="44">
        <f t="shared" si="366"/>
        <v>0</v>
      </c>
      <c r="WMG63" s="44">
        <f t="shared" si="366"/>
        <v>0</v>
      </c>
      <c r="WMH63" s="44">
        <f t="shared" ref="WMH63:WOS63" si="367">SUM(WMH56:WMH57)</f>
        <v>0</v>
      </c>
      <c r="WMI63" s="44">
        <f t="shared" si="367"/>
        <v>0</v>
      </c>
      <c r="WMJ63" s="44">
        <f t="shared" si="367"/>
        <v>0</v>
      </c>
      <c r="WMK63" s="44">
        <f t="shared" si="367"/>
        <v>0</v>
      </c>
      <c r="WML63" s="44">
        <f t="shared" si="367"/>
        <v>0</v>
      </c>
      <c r="WMM63" s="44">
        <f t="shared" si="367"/>
        <v>0</v>
      </c>
      <c r="WMN63" s="44">
        <f t="shared" si="367"/>
        <v>0</v>
      </c>
      <c r="WMO63" s="44">
        <f t="shared" si="367"/>
        <v>0</v>
      </c>
      <c r="WMP63" s="44">
        <f t="shared" si="367"/>
        <v>0</v>
      </c>
      <c r="WMQ63" s="44">
        <f t="shared" si="367"/>
        <v>0</v>
      </c>
      <c r="WMR63" s="44">
        <f t="shared" si="367"/>
        <v>0</v>
      </c>
      <c r="WMS63" s="44">
        <f t="shared" si="367"/>
        <v>0</v>
      </c>
      <c r="WMT63" s="44">
        <f t="shared" si="367"/>
        <v>0</v>
      </c>
      <c r="WMU63" s="44">
        <f t="shared" si="367"/>
        <v>0</v>
      </c>
      <c r="WMV63" s="44">
        <f t="shared" si="367"/>
        <v>0</v>
      </c>
      <c r="WMW63" s="44">
        <f t="shared" si="367"/>
        <v>0</v>
      </c>
      <c r="WMX63" s="44">
        <f t="shared" si="367"/>
        <v>0</v>
      </c>
      <c r="WMY63" s="44">
        <f t="shared" si="367"/>
        <v>0</v>
      </c>
      <c r="WMZ63" s="44">
        <f t="shared" si="367"/>
        <v>0</v>
      </c>
      <c r="WNA63" s="44">
        <f t="shared" si="367"/>
        <v>0</v>
      </c>
      <c r="WNB63" s="44">
        <f t="shared" si="367"/>
        <v>0</v>
      </c>
      <c r="WNC63" s="44">
        <f t="shared" si="367"/>
        <v>0</v>
      </c>
      <c r="WND63" s="44">
        <f t="shared" si="367"/>
        <v>0</v>
      </c>
      <c r="WNE63" s="44">
        <f t="shared" si="367"/>
        <v>0</v>
      </c>
      <c r="WNF63" s="44">
        <f t="shared" si="367"/>
        <v>0</v>
      </c>
      <c r="WNG63" s="44">
        <f t="shared" si="367"/>
        <v>0</v>
      </c>
      <c r="WNH63" s="44">
        <f t="shared" si="367"/>
        <v>0</v>
      </c>
      <c r="WNI63" s="44">
        <f t="shared" si="367"/>
        <v>0</v>
      </c>
      <c r="WNJ63" s="44">
        <f t="shared" si="367"/>
        <v>0</v>
      </c>
      <c r="WNK63" s="44">
        <f t="shared" si="367"/>
        <v>0</v>
      </c>
      <c r="WNL63" s="44">
        <f t="shared" si="367"/>
        <v>0</v>
      </c>
      <c r="WNM63" s="44">
        <f t="shared" si="367"/>
        <v>0</v>
      </c>
      <c r="WNN63" s="44">
        <f t="shared" si="367"/>
        <v>0</v>
      </c>
      <c r="WNO63" s="44">
        <f t="shared" si="367"/>
        <v>0</v>
      </c>
      <c r="WNP63" s="44">
        <f t="shared" si="367"/>
        <v>0</v>
      </c>
      <c r="WNQ63" s="44">
        <f t="shared" si="367"/>
        <v>0</v>
      </c>
      <c r="WNR63" s="44">
        <f t="shared" si="367"/>
        <v>0</v>
      </c>
      <c r="WNS63" s="44">
        <f t="shared" si="367"/>
        <v>0</v>
      </c>
      <c r="WNT63" s="44">
        <f t="shared" si="367"/>
        <v>0</v>
      </c>
      <c r="WNU63" s="44">
        <f t="shared" si="367"/>
        <v>0</v>
      </c>
      <c r="WNV63" s="44">
        <f t="shared" si="367"/>
        <v>0</v>
      </c>
      <c r="WNW63" s="44">
        <f t="shared" si="367"/>
        <v>0</v>
      </c>
      <c r="WNX63" s="44">
        <f t="shared" si="367"/>
        <v>0</v>
      </c>
      <c r="WNY63" s="44">
        <f t="shared" si="367"/>
        <v>0</v>
      </c>
      <c r="WNZ63" s="44">
        <f t="shared" si="367"/>
        <v>0</v>
      </c>
      <c r="WOA63" s="44">
        <f t="shared" si="367"/>
        <v>0</v>
      </c>
      <c r="WOB63" s="44">
        <f t="shared" si="367"/>
        <v>0</v>
      </c>
      <c r="WOC63" s="44">
        <f t="shared" si="367"/>
        <v>0</v>
      </c>
      <c r="WOD63" s="44">
        <f t="shared" si="367"/>
        <v>0</v>
      </c>
      <c r="WOE63" s="44">
        <f t="shared" si="367"/>
        <v>0</v>
      </c>
      <c r="WOF63" s="44">
        <f t="shared" si="367"/>
        <v>0</v>
      </c>
      <c r="WOG63" s="44">
        <f t="shared" si="367"/>
        <v>0</v>
      </c>
      <c r="WOH63" s="44">
        <f t="shared" si="367"/>
        <v>0</v>
      </c>
      <c r="WOI63" s="44">
        <f t="shared" si="367"/>
        <v>0</v>
      </c>
      <c r="WOJ63" s="44">
        <f t="shared" si="367"/>
        <v>0</v>
      </c>
      <c r="WOK63" s="44">
        <f t="shared" si="367"/>
        <v>0</v>
      </c>
      <c r="WOL63" s="44">
        <f t="shared" si="367"/>
        <v>0</v>
      </c>
      <c r="WOM63" s="44">
        <f t="shared" si="367"/>
        <v>0</v>
      </c>
      <c r="WON63" s="44">
        <f t="shared" si="367"/>
        <v>0</v>
      </c>
      <c r="WOO63" s="44">
        <f t="shared" si="367"/>
        <v>0</v>
      </c>
      <c r="WOP63" s="44">
        <f t="shared" si="367"/>
        <v>0</v>
      </c>
      <c r="WOQ63" s="44">
        <f t="shared" si="367"/>
        <v>0</v>
      </c>
      <c r="WOR63" s="44">
        <f t="shared" si="367"/>
        <v>0</v>
      </c>
      <c r="WOS63" s="44">
        <f t="shared" si="367"/>
        <v>0</v>
      </c>
      <c r="WOT63" s="44">
        <f t="shared" ref="WOT63:WRE63" si="368">SUM(WOT56:WOT57)</f>
        <v>0</v>
      </c>
      <c r="WOU63" s="44">
        <f t="shared" si="368"/>
        <v>0</v>
      </c>
      <c r="WOV63" s="44">
        <f t="shared" si="368"/>
        <v>0</v>
      </c>
      <c r="WOW63" s="44">
        <f t="shared" si="368"/>
        <v>0</v>
      </c>
      <c r="WOX63" s="44">
        <f t="shared" si="368"/>
        <v>0</v>
      </c>
      <c r="WOY63" s="44">
        <f t="shared" si="368"/>
        <v>0</v>
      </c>
      <c r="WOZ63" s="44">
        <f t="shared" si="368"/>
        <v>0</v>
      </c>
      <c r="WPA63" s="44">
        <f t="shared" si="368"/>
        <v>0</v>
      </c>
      <c r="WPB63" s="44">
        <f t="shared" si="368"/>
        <v>0</v>
      </c>
      <c r="WPC63" s="44">
        <f t="shared" si="368"/>
        <v>0</v>
      </c>
      <c r="WPD63" s="44">
        <f t="shared" si="368"/>
        <v>0</v>
      </c>
      <c r="WPE63" s="44">
        <f t="shared" si="368"/>
        <v>0</v>
      </c>
      <c r="WPF63" s="44">
        <f t="shared" si="368"/>
        <v>0</v>
      </c>
      <c r="WPG63" s="44">
        <f t="shared" si="368"/>
        <v>0</v>
      </c>
      <c r="WPH63" s="44">
        <f t="shared" si="368"/>
        <v>0</v>
      </c>
      <c r="WPI63" s="44">
        <f t="shared" si="368"/>
        <v>0</v>
      </c>
      <c r="WPJ63" s="44">
        <f t="shared" si="368"/>
        <v>0</v>
      </c>
      <c r="WPK63" s="44">
        <f t="shared" si="368"/>
        <v>0</v>
      </c>
      <c r="WPL63" s="44">
        <f t="shared" si="368"/>
        <v>0</v>
      </c>
      <c r="WPM63" s="44">
        <f t="shared" si="368"/>
        <v>0</v>
      </c>
      <c r="WPN63" s="44">
        <f t="shared" si="368"/>
        <v>0</v>
      </c>
      <c r="WPO63" s="44">
        <f t="shared" si="368"/>
        <v>0</v>
      </c>
      <c r="WPP63" s="44">
        <f t="shared" si="368"/>
        <v>0</v>
      </c>
      <c r="WPQ63" s="44">
        <f t="shared" si="368"/>
        <v>0</v>
      </c>
      <c r="WPR63" s="44">
        <f t="shared" si="368"/>
        <v>0</v>
      </c>
      <c r="WPS63" s="44">
        <f t="shared" si="368"/>
        <v>0</v>
      </c>
      <c r="WPT63" s="44">
        <f t="shared" si="368"/>
        <v>0</v>
      </c>
      <c r="WPU63" s="44">
        <f t="shared" si="368"/>
        <v>0</v>
      </c>
      <c r="WPV63" s="44">
        <f t="shared" si="368"/>
        <v>0</v>
      </c>
      <c r="WPW63" s="44">
        <f t="shared" si="368"/>
        <v>0</v>
      </c>
      <c r="WPX63" s="44">
        <f t="shared" si="368"/>
        <v>0</v>
      </c>
      <c r="WPY63" s="44">
        <f t="shared" si="368"/>
        <v>0</v>
      </c>
      <c r="WPZ63" s="44">
        <f t="shared" si="368"/>
        <v>0</v>
      </c>
      <c r="WQA63" s="44">
        <f t="shared" si="368"/>
        <v>0</v>
      </c>
      <c r="WQB63" s="44">
        <f t="shared" si="368"/>
        <v>0</v>
      </c>
      <c r="WQC63" s="44">
        <f t="shared" si="368"/>
        <v>0</v>
      </c>
      <c r="WQD63" s="44">
        <f t="shared" si="368"/>
        <v>0</v>
      </c>
      <c r="WQE63" s="44">
        <f t="shared" si="368"/>
        <v>0</v>
      </c>
      <c r="WQF63" s="44">
        <f t="shared" si="368"/>
        <v>0</v>
      </c>
      <c r="WQG63" s="44">
        <f t="shared" si="368"/>
        <v>0</v>
      </c>
      <c r="WQH63" s="44">
        <f t="shared" si="368"/>
        <v>0</v>
      </c>
      <c r="WQI63" s="44">
        <f t="shared" si="368"/>
        <v>0</v>
      </c>
      <c r="WQJ63" s="44">
        <f t="shared" si="368"/>
        <v>0</v>
      </c>
      <c r="WQK63" s="44">
        <f t="shared" si="368"/>
        <v>0</v>
      </c>
      <c r="WQL63" s="44">
        <f t="shared" si="368"/>
        <v>0</v>
      </c>
      <c r="WQM63" s="44">
        <f t="shared" si="368"/>
        <v>0</v>
      </c>
      <c r="WQN63" s="44">
        <f t="shared" si="368"/>
        <v>0</v>
      </c>
      <c r="WQO63" s="44">
        <f t="shared" si="368"/>
        <v>0</v>
      </c>
      <c r="WQP63" s="44">
        <f t="shared" si="368"/>
        <v>0</v>
      </c>
      <c r="WQQ63" s="44">
        <f t="shared" si="368"/>
        <v>0</v>
      </c>
      <c r="WQR63" s="44">
        <f t="shared" si="368"/>
        <v>0</v>
      </c>
      <c r="WQS63" s="44">
        <f t="shared" si="368"/>
        <v>0</v>
      </c>
      <c r="WQT63" s="44">
        <f t="shared" si="368"/>
        <v>0</v>
      </c>
      <c r="WQU63" s="44">
        <f t="shared" si="368"/>
        <v>0</v>
      </c>
      <c r="WQV63" s="44">
        <f t="shared" si="368"/>
        <v>0</v>
      </c>
      <c r="WQW63" s="44">
        <f t="shared" si="368"/>
        <v>0</v>
      </c>
      <c r="WQX63" s="44">
        <f t="shared" si="368"/>
        <v>0</v>
      </c>
      <c r="WQY63" s="44">
        <f t="shared" si="368"/>
        <v>0</v>
      </c>
      <c r="WQZ63" s="44">
        <f t="shared" si="368"/>
        <v>0</v>
      </c>
      <c r="WRA63" s="44">
        <f t="shared" si="368"/>
        <v>0</v>
      </c>
      <c r="WRB63" s="44">
        <f t="shared" si="368"/>
        <v>0</v>
      </c>
      <c r="WRC63" s="44">
        <f t="shared" si="368"/>
        <v>0</v>
      </c>
      <c r="WRD63" s="44">
        <f t="shared" si="368"/>
        <v>0</v>
      </c>
      <c r="WRE63" s="44">
        <f t="shared" si="368"/>
        <v>0</v>
      </c>
      <c r="WRF63" s="44">
        <f t="shared" ref="WRF63:WTQ63" si="369">SUM(WRF56:WRF57)</f>
        <v>0</v>
      </c>
      <c r="WRG63" s="44">
        <f t="shared" si="369"/>
        <v>0</v>
      </c>
      <c r="WRH63" s="44">
        <f t="shared" si="369"/>
        <v>0</v>
      </c>
      <c r="WRI63" s="44">
        <f t="shared" si="369"/>
        <v>0</v>
      </c>
      <c r="WRJ63" s="44">
        <f t="shared" si="369"/>
        <v>0</v>
      </c>
      <c r="WRK63" s="44">
        <f t="shared" si="369"/>
        <v>0</v>
      </c>
      <c r="WRL63" s="44">
        <f t="shared" si="369"/>
        <v>0</v>
      </c>
      <c r="WRM63" s="44">
        <f t="shared" si="369"/>
        <v>0</v>
      </c>
      <c r="WRN63" s="44">
        <f t="shared" si="369"/>
        <v>0</v>
      </c>
      <c r="WRO63" s="44">
        <f t="shared" si="369"/>
        <v>0</v>
      </c>
      <c r="WRP63" s="44">
        <f t="shared" si="369"/>
        <v>0</v>
      </c>
      <c r="WRQ63" s="44">
        <f t="shared" si="369"/>
        <v>0</v>
      </c>
      <c r="WRR63" s="44">
        <f t="shared" si="369"/>
        <v>0</v>
      </c>
      <c r="WRS63" s="44">
        <f t="shared" si="369"/>
        <v>0</v>
      </c>
      <c r="WRT63" s="44">
        <f t="shared" si="369"/>
        <v>0</v>
      </c>
      <c r="WRU63" s="44">
        <f t="shared" si="369"/>
        <v>0</v>
      </c>
      <c r="WRV63" s="44">
        <f t="shared" si="369"/>
        <v>0</v>
      </c>
      <c r="WRW63" s="44">
        <f t="shared" si="369"/>
        <v>0</v>
      </c>
      <c r="WRX63" s="44">
        <f t="shared" si="369"/>
        <v>0</v>
      </c>
      <c r="WRY63" s="44">
        <f t="shared" si="369"/>
        <v>0</v>
      </c>
      <c r="WRZ63" s="44">
        <f t="shared" si="369"/>
        <v>0</v>
      </c>
      <c r="WSA63" s="44">
        <f t="shared" si="369"/>
        <v>0</v>
      </c>
      <c r="WSB63" s="44">
        <f t="shared" si="369"/>
        <v>0</v>
      </c>
      <c r="WSC63" s="44">
        <f t="shared" si="369"/>
        <v>0</v>
      </c>
      <c r="WSD63" s="44">
        <f t="shared" si="369"/>
        <v>0</v>
      </c>
      <c r="WSE63" s="44">
        <f t="shared" si="369"/>
        <v>0</v>
      </c>
      <c r="WSF63" s="44">
        <f t="shared" si="369"/>
        <v>0</v>
      </c>
      <c r="WSG63" s="44">
        <f t="shared" si="369"/>
        <v>0</v>
      </c>
      <c r="WSH63" s="44">
        <f t="shared" si="369"/>
        <v>0</v>
      </c>
      <c r="WSI63" s="44">
        <f t="shared" si="369"/>
        <v>0</v>
      </c>
      <c r="WSJ63" s="44">
        <f t="shared" si="369"/>
        <v>0</v>
      </c>
      <c r="WSK63" s="44">
        <f t="shared" si="369"/>
        <v>0</v>
      </c>
      <c r="WSL63" s="44">
        <f t="shared" si="369"/>
        <v>0</v>
      </c>
      <c r="WSM63" s="44">
        <f t="shared" si="369"/>
        <v>0</v>
      </c>
      <c r="WSN63" s="44">
        <f t="shared" si="369"/>
        <v>0</v>
      </c>
      <c r="WSO63" s="44">
        <f t="shared" si="369"/>
        <v>0</v>
      </c>
      <c r="WSP63" s="44">
        <f t="shared" si="369"/>
        <v>0</v>
      </c>
      <c r="WSQ63" s="44">
        <f t="shared" si="369"/>
        <v>0</v>
      </c>
      <c r="WSR63" s="44">
        <f t="shared" si="369"/>
        <v>0</v>
      </c>
      <c r="WSS63" s="44">
        <f t="shared" si="369"/>
        <v>0</v>
      </c>
      <c r="WST63" s="44">
        <f t="shared" si="369"/>
        <v>0</v>
      </c>
      <c r="WSU63" s="44">
        <f t="shared" si="369"/>
        <v>0</v>
      </c>
      <c r="WSV63" s="44">
        <f t="shared" si="369"/>
        <v>0</v>
      </c>
      <c r="WSW63" s="44">
        <f t="shared" si="369"/>
        <v>0</v>
      </c>
      <c r="WSX63" s="44">
        <f t="shared" si="369"/>
        <v>0</v>
      </c>
      <c r="WSY63" s="44">
        <f t="shared" si="369"/>
        <v>0</v>
      </c>
      <c r="WSZ63" s="44">
        <f t="shared" si="369"/>
        <v>0</v>
      </c>
      <c r="WTA63" s="44">
        <f t="shared" si="369"/>
        <v>0</v>
      </c>
      <c r="WTB63" s="44">
        <f t="shared" si="369"/>
        <v>0</v>
      </c>
      <c r="WTC63" s="44">
        <f t="shared" si="369"/>
        <v>0</v>
      </c>
      <c r="WTD63" s="44">
        <f t="shared" si="369"/>
        <v>0</v>
      </c>
      <c r="WTE63" s="44">
        <f t="shared" si="369"/>
        <v>0</v>
      </c>
      <c r="WTF63" s="44">
        <f t="shared" si="369"/>
        <v>0</v>
      </c>
      <c r="WTG63" s="44">
        <f t="shared" si="369"/>
        <v>0</v>
      </c>
      <c r="WTH63" s="44">
        <f t="shared" si="369"/>
        <v>0</v>
      </c>
      <c r="WTI63" s="44">
        <f t="shared" si="369"/>
        <v>0</v>
      </c>
      <c r="WTJ63" s="44">
        <f t="shared" si="369"/>
        <v>0</v>
      </c>
      <c r="WTK63" s="44">
        <f t="shared" si="369"/>
        <v>0</v>
      </c>
      <c r="WTL63" s="44">
        <f t="shared" si="369"/>
        <v>0</v>
      </c>
      <c r="WTM63" s="44">
        <f t="shared" si="369"/>
        <v>0</v>
      </c>
      <c r="WTN63" s="44">
        <f t="shared" si="369"/>
        <v>0</v>
      </c>
      <c r="WTO63" s="44">
        <f t="shared" si="369"/>
        <v>0</v>
      </c>
      <c r="WTP63" s="44">
        <f t="shared" si="369"/>
        <v>0</v>
      </c>
      <c r="WTQ63" s="44">
        <f t="shared" si="369"/>
        <v>0</v>
      </c>
      <c r="WTR63" s="44">
        <f t="shared" ref="WTR63:WWC63" si="370">SUM(WTR56:WTR57)</f>
        <v>0</v>
      </c>
      <c r="WTS63" s="44">
        <f t="shared" si="370"/>
        <v>0</v>
      </c>
      <c r="WTT63" s="44">
        <f t="shared" si="370"/>
        <v>0</v>
      </c>
      <c r="WTU63" s="44">
        <f t="shared" si="370"/>
        <v>0</v>
      </c>
      <c r="WTV63" s="44">
        <f t="shared" si="370"/>
        <v>0</v>
      </c>
      <c r="WTW63" s="44">
        <f t="shared" si="370"/>
        <v>0</v>
      </c>
      <c r="WTX63" s="44">
        <f t="shared" si="370"/>
        <v>0</v>
      </c>
      <c r="WTY63" s="44">
        <f t="shared" si="370"/>
        <v>0</v>
      </c>
      <c r="WTZ63" s="44">
        <f t="shared" si="370"/>
        <v>0</v>
      </c>
      <c r="WUA63" s="44">
        <f t="shared" si="370"/>
        <v>0</v>
      </c>
      <c r="WUB63" s="44">
        <f t="shared" si="370"/>
        <v>0</v>
      </c>
      <c r="WUC63" s="44">
        <f t="shared" si="370"/>
        <v>0</v>
      </c>
      <c r="WUD63" s="44">
        <f t="shared" si="370"/>
        <v>0</v>
      </c>
      <c r="WUE63" s="44">
        <f t="shared" si="370"/>
        <v>0</v>
      </c>
      <c r="WUF63" s="44">
        <f t="shared" si="370"/>
        <v>0</v>
      </c>
      <c r="WUG63" s="44">
        <f t="shared" si="370"/>
        <v>0</v>
      </c>
      <c r="WUH63" s="44">
        <f t="shared" si="370"/>
        <v>0</v>
      </c>
      <c r="WUI63" s="44">
        <f t="shared" si="370"/>
        <v>0</v>
      </c>
      <c r="WUJ63" s="44">
        <f t="shared" si="370"/>
        <v>0</v>
      </c>
      <c r="WUK63" s="44">
        <f t="shared" si="370"/>
        <v>0</v>
      </c>
      <c r="WUL63" s="44">
        <f t="shared" si="370"/>
        <v>0</v>
      </c>
      <c r="WUM63" s="44">
        <f t="shared" si="370"/>
        <v>0</v>
      </c>
      <c r="WUN63" s="44">
        <f t="shared" si="370"/>
        <v>0</v>
      </c>
      <c r="WUO63" s="44">
        <f t="shared" si="370"/>
        <v>0</v>
      </c>
      <c r="WUP63" s="44">
        <f t="shared" si="370"/>
        <v>0</v>
      </c>
      <c r="WUQ63" s="44">
        <f t="shared" si="370"/>
        <v>0</v>
      </c>
      <c r="WUR63" s="44">
        <f t="shared" si="370"/>
        <v>0</v>
      </c>
      <c r="WUS63" s="44">
        <f t="shared" si="370"/>
        <v>0</v>
      </c>
      <c r="WUT63" s="44">
        <f t="shared" si="370"/>
        <v>0</v>
      </c>
      <c r="WUU63" s="44">
        <f t="shared" si="370"/>
        <v>0</v>
      </c>
      <c r="WUV63" s="44">
        <f t="shared" si="370"/>
        <v>0</v>
      </c>
      <c r="WUW63" s="44">
        <f t="shared" si="370"/>
        <v>0</v>
      </c>
      <c r="WUX63" s="44">
        <f t="shared" si="370"/>
        <v>0</v>
      </c>
      <c r="WUY63" s="44">
        <f t="shared" si="370"/>
        <v>0</v>
      </c>
      <c r="WUZ63" s="44">
        <f t="shared" si="370"/>
        <v>0</v>
      </c>
      <c r="WVA63" s="44">
        <f t="shared" si="370"/>
        <v>0</v>
      </c>
      <c r="WVB63" s="44">
        <f t="shared" si="370"/>
        <v>0</v>
      </c>
      <c r="WVC63" s="44">
        <f t="shared" si="370"/>
        <v>0</v>
      </c>
      <c r="WVD63" s="44">
        <f t="shared" si="370"/>
        <v>0</v>
      </c>
      <c r="WVE63" s="44">
        <f t="shared" si="370"/>
        <v>0</v>
      </c>
      <c r="WVF63" s="44">
        <f t="shared" si="370"/>
        <v>0</v>
      </c>
      <c r="WVG63" s="44">
        <f t="shared" si="370"/>
        <v>0</v>
      </c>
      <c r="WVH63" s="44">
        <f t="shared" si="370"/>
        <v>0</v>
      </c>
      <c r="WVI63" s="44">
        <f t="shared" si="370"/>
        <v>0</v>
      </c>
      <c r="WVJ63" s="44">
        <f t="shared" si="370"/>
        <v>0</v>
      </c>
      <c r="WVK63" s="44">
        <f t="shared" si="370"/>
        <v>0</v>
      </c>
      <c r="WVL63" s="44">
        <f t="shared" si="370"/>
        <v>0</v>
      </c>
      <c r="WVM63" s="44">
        <f t="shared" si="370"/>
        <v>0</v>
      </c>
      <c r="WVN63" s="44">
        <f t="shared" si="370"/>
        <v>0</v>
      </c>
      <c r="WVO63" s="44">
        <f t="shared" si="370"/>
        <v>0</v>
      </c>
      <c r="WVP63" s="44">
        <f t="shared" si="370"/>
        <v>0</v>
      </c>
      <c r="WVQ63" s="44">
        <f t="shared" si="370"/>
        <v>0</v>
      </c>
      <c r="WVR63" s="44">
        <f t="shared" si="370"/>
        <v>0</v>
      </c>
      <c r="WVS63" s="44">
        <f t="shared" si="370"/>
        <v>0</v>
      </c>
      <c r="WVT63" s="44">
        <f t="shared" si="370"/>
        <v>0</v>
      </c>
      <c r="WVU63" s="44">
        <f t="shared" si="370"/>
        <v>0</v>
      </c>
      <c r="WVV63" s="44">
        <f t="shared" si="370"/>
        <v>0</v>
      </c>
      <c r="WVW63" s="44">
        <f t="shared" si="370"/>
        <v>0</v>
      </c>
      <c r="WVX63" s="44">
        <f t="shared" si="370"/>
        <v>0</v>
      </c>
      <c r="WVY63" s="44">
        <f t="shared" si="370"/>
        <v>0</v>
      </c>
      <c r="WVZ63" s="44">
        <f t="shared" si="370"/>
        <v>0</v>
      </c>
      <c r="WWA63" s="44">
        <f t="shared" si="370"/>
        <v>0</v>
      </c>
      <c r="WWB63" s="44">
        <f t="shared" si="370"/>
        <v>0</v>
      </c>
      <c r="WWC63" s="44">
        <f t="shared" si="370"/>
        <v>0</v>
      </c>
      <c r="WWD63" s="44">
        <f t="shared" ref="WWD63:WYO63" si="371">SUM(WWD56:WWD57)</f>
        <v>0</v>
      </c>
      <c r="WWE63" s="44">
        <f t="shared" si="371"/>
        <v>0</v>
      </c>
      <c r="WWF63" s="44">
        <f t="shared" si="371"/>
        <v>0</v>
      </c>
      <c r="WWG63" s="44">
        <f t="shared" si="371"/>
        <v>0</v>
      </c>
      <c r="WWH63" s="44">
        <f t="shared" si="371"/>
        <v>0</v>
      </c>
      <c r="WWI63" s="44">
        <f t="shared" si="371"/>
        <v>0</v>
      </c>
      <c r="WWJ63" s="44">
        <f t="shared" si="371"/>
        <v>0</v>
      </c>
      <c r="WWK63" s="44">
        <f t="shared" si="371"/>
        <v>0</v>
      </c>
      <c r="WWL63" s="44">
        <f t="shared" si="371"/>
        <v>0</v>
      </c>
      <c r="WWM63" s="44">
        <f t="shared" si="371"/>
        <v>0</v>
      </c>
      <c r="WWN63" s="44">
        <f t="shared" si="371"/>
        <v>0</v>
      </c>
      <c r="WWO63" s="44">
        <f t="shared" si="371"/>
        <v>0</v>
      </c>
      <c r="WWP63" s="44">
        <f t="shared" si="371"/>
        <v>0</v>
      </c>
      <c r="WWQ63" s="44">
        <f t="shared" si="371"/>
        <v>0</v>
      </c>
      <c r="WWR63" s="44">
        <f t="shared" si="371"/>
        <v>0</v>
      </c>
      <c r="WWS63" s="44">
        <f t="shared" si="371"/>
        <v>0</v>
      </c>
      <c r="WWT63" s="44">
        <f t="shared" si="371"/>
        <v>0</v>
      </c>
      <c r="WWU63" s="44">
        <f t="shared" si="371"/>
        <v>0</v>
      </c>
      <c r="WWV63" s="44">
        <f t="shared" si="371"/>
        <v>0</v>
      </c>
      <c r="WWW63" s="44">
        <f t="shared" si="371"/>
        <v>0</v>
      </c>
      <c r="WWX63" s="44">
        <f t="shared" si="371"/>
        <v>0</v>
      </c>
      <c r="WWY63" s="44">
        <f t="shared" si="371"/>
        <v>0</v>
      </c>
      <c r="WWZ63" s="44">
        <f t="shared" si="371"/>
        <v>0</v>
      </c>
      <c r="WXA63" s="44">
        <f t="shared" si="371"/>
        <v>0</v>
      </c>
      <c r="WXB63" s="44">
        <f t="shared" si="371"/>
        <v>0</v>
      </c>
      <c r="WXC63" s="44">
        <f t="shared" si="371"/>
        <v>0</v>
      </c>
      <c r="WXD63" s="44">
        <f t="shared" si="371"/>
        <v>0</v>
      </c>
      <c r="WXE63" s="44">
        <f t="shared" si="371"/>
        <v>0</v>
      </c>
      <c r="WXF63" s="44">
        <f t="shared" si="371"/>
        <v>0</v>
      </c>
      <c r="WXG63" s="44">
        <f t="shared" si="371"/>
        <v>0</v>
      </c>
      <c r="WXH63" s="44">
        <f t="shared" si="371"/>
        <v>0</v>
      </c>
      <c r="WXI63" s="44">
        <f t="shared" si="371"/>
        <v>0</v>
      </c>
      <c r="WXJ63" s="44">
        <f t="shared" si="371"/>
        <v>0</v>
      </c>
      <c r="WXK63" s="44">
        <f t="shared" si="371"/>
        <v>0</v>
      </c>
      <c r="WXL63" s="44">
        <f t="shared" si="371"/>
        <v>0</v>
      </c>
      <c r="WXM63" s="44">
        <f t="shared" si="371"/>
        <v>0</v>
      </c>
      <c r="WXN63" s="44">
        <f t="shared" si="371"/>
        <v>0</v>
      </c>
      <c r="WXO63" s="44">
        <f t="shared" si="371"/>
        <v>0</v>
      </c>
      <c r="WXP63" s="44">
        <f t="shared" si="371"/>
        <v>0</v>
      </c>
      <c r="WXQ63" s="44">
        <f t="shared" si="371"/>
        <v>0</v>
      </c>
      <c r="WXR63" s="44">
        <f t="shared" si="371"/>
        <v>0</v>
      </c>
      <c r="WXS63" s="44">
        <f t="shared" si="371"/>
        <v>0</v>
      </c>
      <c r="WXT63" s="44">
        <f t="shared" si="371"/>
        <v>0</v>
      </c>
      <c r="WXU63" s="44">
        <f t="shared" si="371"/>
        <v>0</v>
      </c>
      <c r="WXV63" s="44">
        <f t="shared" si="371"/>
        <v>0</v>
      </c>
      <c r="WXW63" s="44">
        <f t="shared" si="371"/>
        <v>0</v>
      </c>
      <c r="WXX63" s="44">
        <f t="shared" si="371"/>
        <v>0</v>
      </c>
      <c r="WXY63" s="44">
        <f t="shared" si="371"/>
        <v>0</v>
      </c>
      <c r="WXZ63" s="44">
        <f t="shared" si="371"/>
        <v>0</v>
      </c>
      <c r="WYA63" s="44">
        <f t="shared" si="371"/>
        <v>0</v>
      </c>
      <c r="WYB63" s="44">
        <f t="shared" si="371"/>
        <v>0</v>
      </c>
      <c r="WYC63" s="44">
        <f t="shared" si="371"/>
        <v>0</v>
      </c>
      <c r="WYD63" s="44">
        <f t="shared" si="371"/>
        <v>0</v>
      </c>
      <c r="WYE63" s="44">
        <f t="shared" si="371"/>
        <v>0</v>
      </c>
      <c r="WYF63" s="44">
        <f t="shared" si="371"/>
        <v>0</v>
      </c>
      <c r="WYG63" s="44">
        <f t="shared" si="371"/>
        <v>0</v>
      </c>
      <c r="WYH63" s="44">
        <f t="shared" si="371"/>
        <v>0</v>
      </c>
      <c r="WYI63" s="44">
        <f t="shared" si="371"/>
        <v>0</v>
      </c>
      <c r="WYJ63" s="44">
        <f t="shared" si="371"/>
        <v>0</v>
      </c>
      <c r="WYK63" s="44">
        <f t="shared" si="371"/>
        <v>0</v>
      </c>
      <c r="WYL63" s="44">
        <f t="shared" si="371"/>
        <v>0</v>
      </c>
      <c r="WYM63" s="44">
        <f t="shared" si="371"/>
        <v>0</v>
      </c>
      <c r="WYN63" s="44">
        <f t="shared" si="371"/>
        <v>0</v>
      </c>
      <c r="WYO63" s="44">
        <f t="shared" si="371"/>
        <v>0</v>
      </c>
      <c r="WYP63" s="44">
        <f t="shared" ref="WYP63:XBA63" si="372">SUM(WYP56:WYP57)</f>
        <v>0</v>
      </c>
      <c r="WYQ63" s="44">
        <f t="shared" si="372"/>
        <v>0</v>
      </c>
      <c r="WYR63" s="44">
        <f t="shared" si="372"/>
        <v>0</v>
      </c>
      <c r="WYS63" s="44">
        <f t="shared" si="372"/>
        <v>0</v>
      </c>
      <c r="WYT63" s="44">
        <f t="shared" si="372"/>
        <v>0</v>
      </c>
      <c r="WYU63" s="44">
        <f t="shared" si="372"/>
        <v>0</v>
      </c>
      <c r="WYV63" s="44">
        <f t="shared" si="372"/>
        <v>0</v>
      </c>
      <c r="WYW63" s="44">
        <f t="shared" si="372"/>
        <v>0</v>
      </c>
      <c r="WYX63" s="44">
        <f t="shared" si="372"/>
        <v>0</v>
      </c>
      <c r="WYY63" s="44">
        <f t="shared" si="372"/>
        <v>0</v>
      </c>
      <c r="WYZ63" s="44">
        <f t="shared" si="372"/>
        <v>0</v>
      </c>
      <c r="WZA63" s="44">
        <f t="shared" si="372"/>
        <v>0</v>
      </c>
      <c r="WZB63" s="44">
        <f t="shared" si="372"/>
        <v>0</v>
      </c>
      <c r="WZC63" s="44">
        <f t="shared" si="372"/>
        <v>0</v>
      </c>
      <c r="WZD63" s="44">
        <f t="shared" si="372"/>
        <v>0</v>
      </c>
      <c r="WZE63" s="44">
        <f t="shared" si="372"/>
        <v>0</v>
      </c>
      <c r="WZF63" s="44">
        <f t="shared" si="372"/>
        <v>0</v>
      </c>
      <c r="WZG63" s="44">
        <f t="shared" si="372"/>
        <v>0</v>
      </c>
      <c r="WZH63" s="44">
        <f t="shared" si="372"/>
        <v>0</v>
      </c>
      <c r="WZI63" s="44">
        <f t="shared" si="372"/>
        <v>0</v>
      </c>
      <c r="WZJ63" s="44">
        <f t="shared" si="372"/>
        <v>0</v>
      </c>
      <c r="WZK63" s="44">
        <f t="shared" si="372"/>
        <v>0</v>
      </c>
      <c r="WZL63" s="44">
        <f t="shared" si="372"/>
        <v>0</v>
      </c>
      <c r="WZM63" s="44">
        <f t="shared" si="372"/>
        <v>0</v>
      </c>
      <c r="WZN63" s="44">
        <f t="shared" si="372"/>
        <v>0</v>
      </c>
      <c r="WZO63" s="44">
        <f t="shared" si="372"/>
        <v>0</v>
      </c>
      <c r="WZP63" s="44">
        <f t="shared" si="372"/>
        <v>0</v>
      </c>
      <c r="WZQ63" s="44">
        <f t="shared" si="372"/>
        <v>0</v>
      </c>
      <c r="WZR63" s="44">
        <f t="shared" si="372"/>
        <v>0</v>
      </c>
      <c r="WZS63" s="44">
        <f t="shared" si="372"/>
        <v>0</v>
      </c>
      <c r="WZT63" s="44">
        <f t="shared" si="372"/>
        <v>0</v>
      </c>
      <c r="WZU63" s="44">
        <f t="shared" si="372"/>
        <v>0</v>
      </c>
      <c r="WZV63" s="44">
        <f t="shared" si="372"/>
        <v>0</v>
      </c>
      <c r="WZW63" s="44">
        <f t="shared" si="372"/>
        <v>0</v>
      </c>
      <c r="WZX63" s="44">
        <f t="shared" si="372"/>
        <v>0</v>
      </c>
      <c r="WZY63" s="44">
        <f t="shared" si="372"/>
        <v>0</v>
      </c>
      <c r="WZZ63" s="44">
        <f t="shared" si="372"/>
        <v>0</v>
      </c>
      <c r="XAA63" s="44">
        <f t="shared" si="372"/>
        <v>0</v>
      </c>
      <c r="XAB63" s="44">
        <f t="shared" si="372"/>
        <v>0</v>
      </c>
      <c r="XAC63" s="44">
        <f t="shared" si="372"/>
        <v>0</v>
      </c>
      <c r="XAD63" s="44">
        <f t="shared" si="372"/>
        <v>0</v>
      </c>
      <c r="XAE63" s="44">
        <f t="shared" si="372"/>
        <v>0</v>
      </c>
      <c r="XAF63" s="44">
        <f t="shared" si="372"/>
        <v>0</v>
      </c>
      <c r="XAG63" s="44">
        <f t="shared" si="372"/>
        <v>0</v>
      </c>
      <c r="XAH63" s="44">
        <f t="shared" si="372"/>
        <v>0</v>
      </c>
      <c r="XAI63" s="44">
        <f t="shared" si="372"/>
        <v>0</v>
      </c>
      <c r="XAJ63" s="44">
        <f t="shared" si="372"/>
        <v>0</v>
      </c>
      <c r="XAK63" s="44">
        <f t="shared" si="372"/>
        <v>0</v>
      </c>
      <c r="XAL63" s="44">
        <f t="shared" si="372"/>
        <v>0</v>
      </c>
      <c r="XAM63" s="44">
        <f t="shared" si="372"/>
        <v>0</v>
      </c>
      <c r="XAN63" s="44">
        <f t="shared" si="372"/>
        <v>0</v>
      </c>
      <c r="XAO63" s="44">
        <f t="shared" si="372"/>
        <v>0</v>
      </c>
      <c r="XAP63" s="44">
        <f t="shared" si="372"/>
        <v>0</v>
      </c>
      <c r="XAQ63" s="44">
        <f t="shared" si="372"/>
        <v>0</v>
      </c>
      <c r="XAR63" s="44">
        <f t="shared" si="372"/>
        <v>0</v>
      </c>
      <c r="XAS63" s="44">
        <f t="shared" si="372"/>
        <v>0</v>
      </c>
      <c r="XAT63" s="44">
        <f t="shared" si="372"/>
        <v>0</v>
      </c>
      <c r="XAU63" s="44">
        <f t="shared" si="372"/>
        <v>0</v>
      </c>
      <c r="XAV63" s="44">
        <f t="shared" si="372"/>
        <v>0</v>
      </c>
      <c r="XAW63" s="44">
        <f t="shared" si="372"/>
        <v>0</v>
      </c>
      <c r="XAX63" s="44">
        <f t="shared" si="372"/>
        <v>0</v>
      </c>
      <c r="XAY63" s="44">
        <f t="shared" si="372"/>
        <v>0</v>
      </c>
      <c r="XAZ63" s="44">
        <f t="shared" si="372"/>
        <v>0</v>
      </c>
      <c r="XBA63" s="44">
        <f t="shared" si="372"/>
        <v>0</v>
      </c>
      <c r="XBB63" s="44">
        <f t="shared" ref="XBB63:XDM63" si="373">SUM(XBB56:XBB57)</f>
        <v>0</v>
      </c>
      <c r="XBC63" s="44">
        <f t="shared" si="373"/>
        <v>0</v>
      </c>
      <c r="XBD63" s="44">
        <f t="shared" si="373"/>
        <v>0</v>
      </c>
      <c r="XBE63" s="44">
        <f t="shared" si="373"/>
        <v>0</v>
      </c>
      <c r="XBF63" s="44">
        <f t="shared" si="373"/>
        <v>0</v>
      </c>
      <c r="XBG63" s="44">
        <f t="shared" si="373"/>
        <v>0</v>
      </c>
      <c r="XBH63" s="44">
        <f t="shared" si="373"/>
        <v>0</v>
      </c>
      <c r="XBI63" s="44">
        <f t="shared" si="373"/>
        <v>0</v>
      </c>
      <c r="XBJ63" s="44">
        <f t="shared" si="373"/>
        <v>0</v>
      </c>
      <c r="XBK63" s="44">
        <f t="shared" si="373"/>
        <v>0</v>
      </c>
      <c r="XBL63" s="44">
        <f t="shared" si="373"/>
        <v>0</v>
      </c>
      <c r="XBM63" s="44">
        <f t="shared" si="373"/>
        <v>0</v>
      </c>
      <c r="XBN63" s="44">
        <f t="shared" si="373"/>
        <v>0</v>
      </c>
      <c r="XBO63" s="44">
        <f t="shared" si="373"/>
        <v>0</v>
      </c>
      <c r="XBP63" s="44">
        <f t="shared" si="373"/>
        <v>0</v>
      </c>
      <c r="XBQ63" s="44">
        <f t="shared" si="373"/>
        <v>0</v>
      </c>
      <c r="XBR63" s="44">
        <f t="shared" si="373"/>
        <v>0</v>
      </c>
      <c r="XBS63" s="44">
        <f t="shared" si="373"/>
        <v>0</v>
      </c>
      <c r="XBT63" s="44">
        <f t="shared" si="373"/>
        <v>0</v>
      </c>
      <c r="XBU63" s="44">
        <f t="shared" si="373"/>
        <v>0</v>
      </c>
      <c r="XBV63" s="44">
        <f t="shared" si="373"/>
        <v>0</v>
      </c>
      <c r="XBW63" s="44">
        <f t="shared" si="373"/>
        <v>0</v>
      </c>
      <c r="XBX63" s="44">
        <f t="shared" si="373"/>
        <v>0</v>
      </c>
      <c r="XBY63" s="44">
        <f t="shared" si="373"/>
        <v>0</v>
      </c>
      <c r="XBZ63" s="44">
        <f t="shared" si="373"/>
        <v>0</v>
      </c>
      <c r="XCA63" s="44">
        <f t="shared" si="373"/>
        <v>0</v>
      </c>
      <c r="XCB63" s="44">
        <f t="shared" si="373"/>
        <v>0</v>
      </c>
      <c r="XCC63" s="44">
        <f t="shared" si="373"/>
        <v>0</v>
      </c>
      <c r="XCD63" s="44">
        <f t="shared" si="373"/>
        <v>0</v>
      </c>
      <c r="XCE63" s="44">
        <f t="shared" si="373"/>
        <v>0</v>
      </c>
      <c r="XCF63" s="44">
        <f t="shared" si="373"/>
        <v>0</v>
      </c>
      <c r="XCG63" s="44">
        <f t="shared" si="373"/>
        <v>0</v>
      </c>
      <c r="XCH63" s="44">
        <f t="shared" si="373"/>
        <v>0</v>
      </c>
      <c r="XCI63" s="44">
        <f t="shared" si="373"/>
        <v>0</v>
      </c>
      <c r="XCJ63" s="44">
        <f t="shared" si="373"/>
        <v>0</v>
      </c>
      <c r="XCK63" s="44">
        <f t="shared" si="373"/>
        <v>0</v>
      </c>
      <c r="XCL63" s="44">
        <f t="shared" si="373"/>
        <v>0</v>
      </c>
      <c r="XCM63" s="44">
        <f t="shared" si="373"/>
        <v>0</v>
      </c>
      <c r="XCN63" s="44">
        <f t="shared" si="373"/>
        <v>0</v>
      </c>
      <c r="XCO63" s="44">
        <f t="shared" si="373"/>
        <v>0</v>
      </c>
      <c r="XCP63" s="44">
        <f t="shared" si="373"/>
        <v>0</v>
      </c>
      <c r="XCQ63" s="44">
        <f t="shared" si="373"/>
        <v>0</v>
      </c>
      <c r="XCR63" s="44">
        <f t="shared" si="373"/>
        <v>0</v>
      </c>
      <c r="XCS63" s="44">
        <f t="shared" si="373"/>
        <v>0</v>
      </c>
      <c r="XCT63" s="44">
        <f t="shared" si="373"/>
        <v>0</v>
      </c>
      <c r="XCU63" s="44">
        <f t="shared" si="373"/>
        <v>0</v>
      </c>
      <c r="XCV63" s="44">
        <f t="shared" si="373"/>
        <v>0</v>
      </c>
      <c r="XCW63" s="44">
        <f t="shared" si="373"/>
        <v>0</v>
      </c>
      <c r="XCX63" s="44">
        <f t="shared" si="373"/>
        <v>0</v>
      </c>
      <c r="XCY63" s="44">
        <f t="shared" si="373"/>
        <v>0</v>
      </c>
      <c r="XCZ63" s="44">
        <f t="shared" si="373"/>
        <v>0</v>
      </c>
      <c r="XDA63" s="44">
        <f t="shared" si="373"/>
        <v>0</v>
      </c>
      <c r="XDB63" s="44">
        <f t="shared" si="373"/>
        <v>0</v>
      </c>
      <c r="XDC63" s="44">
        <f t="shared" si="373"/>
        <v>0</v>
      </c>
      <c r="XDD63" s="44">
        <f t="shared" si="373"/>
        <v>0</v>
      </c>
      <c r="XDE63" s="44">
        <f t="shared" si="373"/>
        <v>0</v>
      </c>
      <c r="XDF63" s="44">
        <f t="shared" si="373"/>
        <v>0</v>
      </c>
      <c r="XDG63" s="44">
        <f t="shared" si="373"/>
        <v>0</v>
      </c>
      <c r="XDH63" s="44">
        <f t="shared" si="373"/>
        <v>0</v>
      </c>
      <c r="XDI63" s="44">
        <f t="shared" si="373"/>
        <v>0</v>
      </c>
      <c r="XDJ63" s="44">
        <f t="shared" si="373"/>
        <v>0</v>
      </c>
      <c r="XDK63" s="44">
        <f t="shared" si="373"/>
        <v>0</v>
      </c>
      <c r="XDL63" s="44">
        <f t="shared" si="373"/>
        <v>0</v>
      </c>
      <c r="XDM63" s="44">
        <f t="shared" si="373"/>
        <v>0</v>
      </c>
      <c r="XDN63" s="44">
        <f t="shared" ref="XDN63:XFD63" si="374">SUM(XDN56:XDN57)</f>
        <v>0</v>
      </c>
      <c r="XDO63" s="44">
        <f t="shared" si="374"/>
        <v>0</v>
      </c>
      <c r="XDP63" s="44">
        <f t="shared" si="374"/>
        <v>0</v>
      </c>
      <c r="XDQ63" s="44">
        <f t="shared" si="374"/>
        <v>0</v>
      </c>
      <c r="XDR63" s="44">
        <f t="shared" si="374"/>
        <v>0</v>
      </c>
      <c r="XDS63" s="44">
        <f t="shared" si="374"/>
        <v>0</v>
      </c>
      <c r="XDT63" s="44">
        <f t="shared" si="374"/>
        <v>0</v>
      </c>
      <c r="XDU63" s="44">
        <f t="shared" si="374"/>
        <v>0</v>
      </c>
      <c r="XDV63" s="44">
        <f t="shared" si="374"/>
        <v>0</v>
      </c>
      <c r="XDW63" s="44">
        <f t="shared" si="374"/>
        <v>0</v>
      </c>
      <c r="XDX63" s="44">
        <f t="shared" si="374"/>
        <v>0</v>
      </c>
      <c r="XDY63" s="44">
        <f t="shared" si="374"/>
        <v>0</v>
      </c>
      <c r="XDZ63" s="44">
        <f t="shared" si="374"/>
        <v>0</v>
      </c>
      <c r="XEA63" s="44">
        <f t="shared" si="374"/>
        <v>0</v>
      </c>
      <c r="XEB63" s="44">
        <f t="shared" si="374"/>
        <v>0</v>
      </c>
      <c r="XEC63" s="44">
        <f t="shared" si="374"/>
        <v>0</v>
      </c>
      <c r="XED63" s="44">
        <f t="shared" si="374"/>
        <v>0</v>
      </c>
      <c r="XEE63" s="44">
        <f t="shared" si="374"/>
        <v>0</v>
      </c>
      <c r="XEF63" s="44">
        <f t="shared" si="374"/>
        <v>0</v>
      </c>
      <c r="XEG63" s="44">
        <f t="shared" si="374"/>
        <v>0</v>
      </c>
      <c r="XEH63" s="44">
        <f t="shared" si="374"/>
        <v>0</v>
      </c>
      <c r="XEI63" s="44">
        <f t="shared" si="374"/>
        <v>0</v>
      </c>
      <c r="XEJ63" s="44">
        <f t="shared" si="374"/>
        <v>0</v>
      </c>
      <c r="XEK63" s="44">
        <f t="shared" si="374"/>
        <v>0</v>
      </c>
      <c r="XEL63" s="44">
        <f t="shared" si="374"/>
        <v>0</v>
      </c>
      <c r="XEM63" s="44">
        <f t="shared" si="374"/>
        <v>0</v>
      </c>
      <c r="XEN63" s="44">
        <f t="shared" si="374"/>
        <v>0</v>
      </c>
      <c r="XEO63" s="44">
        <f t="shared" si="374"/>
        <v>0</v>
      </c>
      <c r="XEP63" s="44">
        <f t="shared" si="374"/>
        <v>0</v>
      </c>
      <c r="XEQ63" s="44">
        <f t="shared" si="374"/>
        <v>0</v>
      </c>
      <c r="XER63" s="44">
        <f t="shared" si="374"/>
        <v>0</v>
      </c>
      <c r="XES63" s="44">
        <f t="shared" si="374"/>
        <v>0</v>
      </c>
      <c r="XET63" s="44">
        <f t="shared" si="374"/>
        <v>0</v>
      </c>
      <c r="XEU63" s="44">
        <f t="shared" si="374"/>
        <v>0</v>
      </c>
      <c r="XEV63" s="44">
        <f t="shared" si="374"/>
        <v>0</v>
      </c>
      <c r="XEW63" s="44">
        <f t="shared" si="374"/>
        <v>0</v>
      </c>
      <c r="XEX63" s="44">
        <f t="shared" si="374"/>
        <v>0</v>
      </c>
      <c r="XEY63" s="44">
        <f t="shared" si="374"/>
        <v>0</v>
      </c>
      <c r="XEZ63" s="44">
        <f t="shared" si="374"/>
        <v>0</v>
      </c>
      <c r="XFA63" s="44">
        <f t="shared" si="374"/>
        <v>0</v>
      </c>
      <c r="XFB63" s="44">
        <f t="shared" si="374"/>
        <v>0</v>
      </c>
      <c r="XFC63" s="44">
        <f t="shared" si="374"/>
        <v>0</v>
      </c>
      <c r="XFD63" s="44">
        <f t="shared" si="374"/>
        <v>0</v>
      </c>
    </row>
    <row r="64" spans="1:16384" x14ac:dyDescent="0.3">
      <c r="H64" s="32" t="str">
        <f t="shared" si="93"/>
        <v>-</v>
      </c>
    </row>
    <row r="65" spans="1:21" s="42" customFormat="1" x14ac:dyDescent="0.3">
      <c r="A65" s="64" t="s">
        <v>118</v>
      </c>
      <c r="B65" s="64"/>
      <c r="C65" s="64"/>
      <c r="D65" s="64"/>
      <c r="E65" s="64"/>
      <c r="F65" s="40">
        <f>SUM(F10,F19,F26,F40,F47,F51,F63)</f>
        <v>199.22499999999997</v>
      </c>
      <c r="G65" s="40">
        <f>SUM(G10,G19,G26,G40,G47,G51,G63)</f>
        <v>122.55004367000001</v>
      </c>
      <c r="H65" s="78">
        <f t="shared" si="93"/>
        <v>0.61513386206550402</v>
      </c>
      <c r="I65" s="40">
        <f t="shared" ref="H65:U65" si="375">SUM(I10,I19,I26,I40,I47,I51,I63)</f>
        <v>330.32499999999999</v>
      </c>
      <c r="J65" s="40">
        <f t="shared" si="375"/>
        <v>60.68063150199999</v>
      </c>
      <c r="K65" s="78">
        <f t="shared" ref="K65" si="376">IFERROR(J65/I65,"-")</f>
        <v>0.18369978506622264</v>
      </c>
      <c r="L65" s="40">
        <f t="shared" si="375"/>
        <v>498</v>
      </c>
      <c r="M65" s="40">
        <f t="shared" si="375"/>
        <v>183.23067517199999</v>
      </c>
      <c r="N65" s="78">
        <f t="shared" ref="N65" si="377">IFERROR(M65/L65,"-")</f>
        <v>0.36793308267469876</v>
      </c>
      <c r="O65" s="40">
        <f t="shared" si="375"/>
        <v>615.5</v>
      </c>
      <c r="P65" s="40">
        <f t="shared" si="375"/>
        <v>0</v>
      </c>
      <c r="Q65" s="40">
        <f t="shared" si="375"/>
        <v>0</v>
      </c>
      <c r="R65" s="40">
        <v>1250</v>
      </c>
      <c r="S65" s="40">
        <f t="shared" si="375"/>
        <v>183.23067517199999</v>
      </c>
      <c r="T65" s="78">
        <f t="shared" ref="T65" si="378">IFERROR(S65/R65,"-")</f>
        <v>0.1465845401376</v>
      </c>
      <c r="U65" s="40">
        <f t="shared" si="375"/>
        <v>472</v>
      </c>
    </row>
    <row r="66" spans="1:21" x14ac:dyDescent="0.3">
      <c r="G66" s="29">
        <f>G65-G63</f>
        <v>97.334076888000013</v>
      </c>
      <c r="J66" s="29">
        <f>J65-J63</f>
        <v>59.874721701999988</v>
      </c>
      <c r="M66" s="29">
        <f>M65-M63</f>
        <v>157.20879858999999</v>
      </c>
      <c r="S66" s="29">
        <f>S65-S63</f>
        <v>157.20879858999999</v>
      </c>
    </row>
  </sheetData>
  <mergeCells count="9">
    <mergeCell ref="A65:E65"/>
    <mergeCell ref="A49:Z49"/>
    <mergeCell ref="A1:Z1"/>
    <mergeCell ref="A3:Z3"/>
    <mergeCell ref="A12:Z12"/>
    <mergeCell ref="A21:Z21"/>
    <mergeCell ref="A28:Z28"/>
    <mergeCell ref="A42:Z42"/>
    <mergeCell ref="A54:Z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23"/>
  <sheetViews>
    <sheetView topLeftCell="A2" zoomScale="85" zoomScaleNormal="85" workbookViewId="0">
      <selection activeCell="U23" sqref="U23"/>
    </sheetView>
  </sheetViews>
  <sheetFormatPr defaultRowHeight="14.4" x14ac:dyDescent="0.3"/>
  <cols>
    <col min="2" max="2" width="19.6640625" bestFit="1" customWidth="1"/>
    <col min="7" max="7" width="11" bestFit="1" customWidth="1"/>
  </cols>
  <sheetData>
    <row r="1" spans="1:21" ht="27.75" customHeight="1" x14ac:dyDescent="0.3">
      <c r="A1" s="59" t="s">
        <v>143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6" customHeight="1" x14ac:dyDescent="0.3">
      <c r="A2" s="54" t="s">
        <v>1</v>
      </c>
      <c r="B2" s="54" t="s">
        <v>2</v>
      </c>
      <c r="C2" s="54" t="s">
        <v>3</v>
      </c>
      <c r="D2" s="54" t="s">
        <v>4</v>
      </c>
      <c r="E2" s="54" t="s">
        <v>5</v>
      </c>
      <c r="F2" s="54" t="s">
        <v>6</v>
      </c>
      <c r="G2" s="54" t="s">
        <v>7</v>
      </c>
      <c r="H2" s="54" t="s">
        <v>8</v>
      </c>
      <c r="I2" s="54" t="s">
        <v>9</v>
      </c>
      <c r="J2" s="54" t="s">
        <v>10</v>
      </c>
      <c r="K2" s="54" t="s">
        <v>11</v>
      </c>
      <c r="L2" s="54" t="s">
        <v>12</v>
      </c>
      <c r="M2" s="54" t="s">
        <v>13</v>
      </c>
      <c r="N2" s="54" t="s">
        <v>14</v>
      </c>
      <c r="O2" s="54" t="s">
        <v>15</v>
      </c>
      <c r="P2" s="54" t="s">
        <v>16</v>
      </c>
      <c r="Q2" s="54" t="s">
        <v>17</v>
      </c>
      <c r="R2" s="54" t="s">
        <v>18</v>
      </c>
      <c r="S2" s="54" t="s">
        <v>19</v>
      </c>
      <c r="T2" s="54" t="s">
        <v>20</v>
      </c>
      <c r="U2" s="54" t="s">
        <v>21</v>
      </c>
    </row>
    <row r="3" spans="1:21" x14ac:dyDescent="0.3">
      <c r="A3" s="53">
        <v>1</v>
      </c>
      <c r="B3" s="53" t="s">
        <v>122</v>
      </c>
      <c r="C3" s="55" t="s">
        <v>131</v>
      </c>
      <c r="D3" s="55" t="s">
        <v>30</v>
      </c>
      <c r="E3" s="55" t="s">
        <v>133</v>
      </c>
      <c r="F3" s="53"/>
      <c r="G3" s="56">
        <f>SUMIF('[1]Opportunity Pipeline'!$F:$F,"Ajay Patodia",'[1]Opportunity Pipeline'!$P:$P)/10^7</f>
        <v>0.301487</v>
      </c>
      <c r="H3" s="53"/>
      <c r="I3" s="53"/>
      <c r="J3" s="56">
        <f>SUMIF('[2]Opportunity Pipeline '!$F:$F,"Ajay Patodia",'[2]Opportunity Pipeline '!$P:$P)/10^7</f>
        <v>9.4E-2</v>
      </c>
      <c r="K3" s="53"/>
      <c r="L3" s="56">
        <f>(SUMIF('[1]Opportunity Pipeline'!$F:$F,"Ajay Patodia",'[1]Opportunity Pipeline'!$P:$P)+SUMIF('[2]Opportunity Pipeline '!$F:$F,"Ajay Patodia",'[2]Opportunity Pipeline '!$P:$P))/10^7</f>
        <v>0.39548699999999998</v>
      </c>
      <c r="M3" s="53"/>
      <c r="N3" s="53"/>
      <c r="O3" s="53"/>
      <c r="P3" s="53"/>
      <c r="Q3" s="53"/>
      <c r="R3" s="53"/>
      <c r="S3" s="56">
        <f>SUM(L3,P3)</f>
        <v>0.39548699999999998</v>
      </c>
      <c r="T3" s="53"/>
      <c r="U3" s="58">
        <f>COUNTIF('[1]Opportunity Pipeline'!$F:$F,"Ajay Patodia")+ COUNTIF('[2]Opportunity Pipeline '!$F:$F,"Ajay Patodia")</f>
        <v>32</v>
      </c>
    </row>
    <row r="4" spans="1:21" x14ac:dyDescent="0.3">
      <c r="A4" s="53">
        <v>2</v>
      </c>
      <c r="B4" s="53" t="s">
        <v>123</v>
      </c>
      <c r="C4" s="55" t="s">
        <v>41</v>
      </c>
      <c r="D4" s="55" t="s">
        <v>30</v>
      </c>
      <c r="E4" s="55" t="s">
        <v>134</v>
      </c>
      <c r="F4" s="53"/>
      <c r="G4" s="56">
        <f>SUMIF('[1]Opportunity Pipeline'!$F:$F,"Dipti  Karpe",'[1]Opportunity Pipeline'!$P:$P)/10^7</f>
        <v>0</v>
      </c>
      <c r="H4" s="53"/>
      <c r="I4" s="53"/>
      <c r="J4" s="56">
        <f>SUMIF('[2]Opportunity Pipeline '!$F:$F,"Dipti Karpe",'[2]Opportunity Pipeline '!$P:$P)/10^7</f>
        <v>0</v>
      </c>
      <c r="K4" s="53"/>
      <c r="L4" s="56">
        <f>(SUMIF('[1]Opportunity Pipeline'!$F:$F,"Dipti Karpe",'[1]Opportunity Pipeline'!$P:$P)+SUMIF('[2]Opportunity Pipeline '!$F:$F,"Dipti Karpe",'[2]Opportunity Pipeline '!$P:$P))/10^7</f>
        <v>0</v>
      </c>
      <c r="M4" s="53"/>
      <c r="N4" s="53"/>
      <c r="O4" s="53"/>
      <c r="P4" s="53"/>
      <c r="Q4" s="53"/>
      <c r="R4" s="53"/>
      <c r="S4" s="56">
        <f t="shared" ref="S4:S10" si="0">SUM(L4,P4)</f>
        <v>0</v>
      </c>
      <c r="T4" s="53"/>
      <c r="U4" s="58">
        <f>COUNTIF('[1]Opportunity Pipeline'!$F:$F,"Dipti Karpe")+ COUNTIF('[2]Opportunity Pipeline '!$F:$F,"Dipti Karpe")</f>
        <v>0</v>
      </c>
    </row>
    <row r="5" spans="1:21" x14ac:dyDescent="0.3">
      <c r="A5" s="53">
        <v>3</v>
      </c>
      <c r="B5" s="53" t="s">
        <v>124</v>
      </c>
      <c r="C5" s="55" t="s">
        <v>29</v>
      </c>
      <c r="D5" s="55" t="s">
        <v>30</v>
      </c>
      <c r="E5" s="55" t="s">
        <v>134</v>
      </c>
      <c r="F5" s="53"/>
      <c r="G5" s="56">
        <f>SUMIF('[1]Opportunity Pipeline'!$F:$F,"Ishwari Kadam",'[1]Opportunity Pipeline'!$P:$P)/10^7</f>
        <v>0.47133999999999998</v>
      </c>
      <c r="H5" s="53"/>
      <c r="I5" s="53"/>
      <c r="J5" s="56">
        <f>SUMIF('[2]Opportunity Pipeline '!$F:$F,"Ishwari Kadam",'[2]Opportunity Pipeline '!$P:$P)/10^7</f>
        <v>0</v>
      </c>
      <c r="K5" s="53"/>
      <c r="L5" s="56">
        <f>(SUMIF('[1]Opportunity Pipeline'!$F:$F,"Ishwari Kadam",'[1]Opportunity Pipeline'!$P:$P)+SUMIF('[2]Opportunity Pipeline '!$F:$F,"Ishwari Kadam",'[2]Opportunity Pipeline '!$P:$P))/10^7</f>
        <v>0.47133999999999998</v>
      </c>
      <c r="M5" s="53"/>
      <c r="N5" s="53"/>
      <c r="O5" s="53"/>
      <c r="P5" s="53"/>
      <c r="Q5" s="53"/>
      <c r="R5" s="53"/>
      <c r="S5" s="56">
        <f t="shared" si="0"/>
        <v>0.47133999999999998</v>
      </c>
      <c r="T5" s="53"/>
      <c r="U5" s="58">
        <f>COUNTIF('[1]Opportunity Pipeline'!$F:$F,"Ishwari Kadam")+ COUNTIF('[2]Opportunity Pipeline '!$F:$F,"Ishwari Kadam")</f>
        <v>4</v>
      </c>
    </row>
    <row r="6" spans="1:21" x14ac:dyDescent="0.3">
      <c r="A6" s="53">
        <v>4</v>
      </c>
      <c r="B6" s="53" t="s">
        <v>125</v>
      </c>
      <c r="C6" s="55" t="s">
        <v>50</v>
      </c>
      <c r="D6" s="55" t="s">
        <v>30</v>
      </c>
      <c r="E6" s="55" t="s">
        <v>133</v>
      </c>
      <c r="F6" s="53"/>
      <c r="G6" s="56">
        <f>SUMIF('[1]Opportunity Pipeline'!$F:$F,"Vineet Gadia",'[1]Opportunity Pipeline'!$P:$P)/10^7</f>
        <v>0</v>
      </c>
      <c r="H6" s="53"/>
      <c r="I6" s="53"/>
      <c r="J6" s="56">
        <f>SUMIF('[2]Opportunity Pipeline '!$F:$F,"Vineet Gadia",'[2]Opportunity Pipeline '!$P:$P)/10^7</f>
        <v>0</v>
      </c>
      <c r="K6" s="53"/>
      <c r="L6" s="56">
        <f>(SUMIF('[1]Opportunity Pipeline'!$F:$F,"Vineet Gadia",'[1]Opportunity Pipeline'!$P:$P)+SUMIF('[2]Opportunity Pipeline '!$F:$F,"Vineet Gadia",'[2]Opportunity Pipeline '!$P:$P))/10^7</f>
        <v>0</v>
      </c>
      <c r="M6" s="53"/>
      <c r="N6" s="53"/>
      <c r="O6" s="53"/>
      <c r="P6" s="53"/>
      <c r="Q6" s="53"/>
      <c r="R6" s="53"/>
      <c r="S6" s="56">
        <f t="shared" si="0"/>
        <v>0</v>
      </c>
      <c r="T6" s="53"/>
      <c r="U6" s="58">
        <f>COUNTIF('[1]Opportunity Pipeline'!$F:$F,"Vineet Gadia")+ COUNTIF('[2]Opportunity Pipeline '!$F:$F,"Vineet Gadia")</f>
        <v>0</v>
      </c>
    </row>
    <row r="7" spans="1:21" x14ac:dyDescent="0.3">
      <c r="A7" s="53">
        <v>5</v>
      </c>
      <c r="B7" s="53" t="s">
        <v>126</v>
      </c>
      <c r="C7" s="55" t="s">
        <v>80</v>
      </c>
      <c r="D7" s="55" t="s">
        <v>30</v>
      </c>
      <c r="E7" s="55" t="s">
        <v>133</v>
      </c>
      <c r="F7" s="53"/>
      <c r="G7" s="56">
        <f>SUMIF('[1]Opportunity Pipeline'!$F:$F,"Sanjeev Kohli",'[1]Opportunity Pipeline'!$P:$P)/10^7</f>
        <v>0.02</v>
      </c>
      <c r="H7" s="53"/>
      <c r="I7" s="53"/>
      <c r="J7" s="56">
        <f>SUMIF('[2]Opportunity Pipeline '!$F:$F,"Sanjeev Kohli",'[2]Opportunity Pipeline '!$P:$P)/10^7</f>
        <v>0</v>
      </c>
      <c r="K7" s="53"/>
      <c r="L7" s="56">
        <f>(SUMIF('[1]Opportunity Pipeline'!$F:$F,"Sanjeev Kohli",'[1]Opportunity Pipeline'!$P:$P)+SUMIF('[2]Opportunity Pipeline '!$F:$F,"Sanjeev Kohli",'[2]Opportunity Pipeline '!$P:$P))/10^7</f>
        <v>0.02</v>
      </c>
      <c r="M7" s="53"/>
      <c r="N7" s="53"/>
      <c r="O7" s="53"/>
      <c r="P7" s="53"/>
      <c r="Q7" s="53"/>
      <c r="R7" s="53"/>
      <c r="S7" s="56">
        <f t="shared" si="0"/>
        <v>0.02</v>
      </c>
      <c r="T7" s="53"/>
      <c r="U7" s="58">
        <f>COUNTIF('[1]Opportunity Pipeline'!$F:$F,"Sanjeev Kohli")+ COUNTIF('[2]Opportunity Pipeline '!$F:$F,"Sanjeev Kohli")</f>
        <v>1</v>
      </c>
    </row>
    <row r="8" spans="1:21" x14ac:dyDescent="0.3">
      <c r="A8" s="53">
        <v>6</v>
      </c>
      <c r="B8" s="53" t="s">
        <v>127</v>
      </c>
      <c r="C8" s="55" t="s">
        <v>58</v>
      </c>
      <c r="D8" s="55" t="s">
        <v>30</v>
      </c>
      <c r="E8" s="55" t="s">
        <v>133</v>
      </c>
      <c r="F8" s="53"/>
      <c r="G8" s="56">
        <f>SUMIF('[1]Opportunity Pipeline'!$F:$F,"Yogesh Bhatia",'[1]Opportunity Pipeline'!$P:$P)/10^7</f>
        <v>0</v>
      </c>
      <c r="H8" s="53"/>
      <c r="I8" s="53"/>
      <c r="J8" s="56">
        <f>SUMIF('[2]Opportunity Pipeline '!$F:$F,"Yogesh Bhatia",'[2]Opportunity Pipeline '!$P:$P)/10^7</f>
        <v>0</v>
      </c>
      <c r="K8" s="53"/>
      <c r="L8" s="56">
        <f>(SUMIF('[1]Opportunity Pipeline'!$F:$F,"Yogesh Bhatia",'[1]Opportunity Pipeline'!$P:$P)+SUMIF('[2]Opportunity Pipeline '!$F:$F,"Yogesh Bhatia",'[2]Opportunity Pipeline '!$P:$P))/10^7</f>
        <v>0</v>
      </c>
      <c r="M8" s="53"/>
      <c r="N8" s="53"/>
      <c r="O8" s="53"/>
      <c r="P8" s="53"/>
      <c r="Q8" s="53"/>
      <c r="R8" s="53"/>
      <c r="S8" s="56">
        <f t="shared" si="0"/>
        <v>0</v>
      </c>
      <c r="T8" s="53"/>
      <c r="U8" s="58">
        <f>COUNTIF('[1]Opportunity Pipeline'!$F:$F,"Yogesh Bhatia")+ COUNTIF('[2]Opportunity Pipeline '!$F:$F,"Yogesh Bhatia")</f>
        <v>0</v>
      </c>
    </row>
    <row r="9" spans="1:21" x14ac:dyDescent="0.3">
      <c r="A9" s="53">
        <v>7</v>
      </c>
      <c r="B9" s="53" t="s">
        <v>128</v>
      </c>
      <c r="C9" s="55" t="s">
        <v>132</v>
      </c>
      <c r="D9" s="55" t="s">
        <v>30</v>
      </c>
      <c r="E9" s="55" t="s">
        <v>133</v>
      </c>
      <c r="F9" s="53"/>
      <c r="G9" s="57">
        <f>SUMIF('[1]Opportunity Pipeline'!$F:$F,"Jitesh Rajput",'[1]Opportunity Pipeline'!$P:$P)/10^7</f>
        <v>1.333E-3</v>
      </c>
      <c r="H9" s="53"/>
      <c r="I9" s="53"/>
      <c r="J9" s="56">
        <f>SUMIF('[2]Opportunity Pipeline '!$F:$F,"Jitesh Rajput",'[2]Opportunity Pipeline '!$P:$P)/10^7</f>
        <v>0</v>
      </c>
      <c r="K9" s="53"/>
      <c r="L9" s="57">
        <f>(SUMIF('[1]Opportunity Pipeline'!$F:$F,"Jitesh Rajput",'[1]Opportunity Pipeline'!$P:$P)+SUMIF('[2]Opportunity Pipeline '!$F:$F,"Jitesh Rajput",'[2]Opportunity Pipeline '!$P:$P))/10^7</f>
        <v>1.333E-3</v>
      </c>
      <c r="M9" s="53"/>
      <c r="N9" s="53"/>
      <c r="O9" s="53"/>
      <c r="P9" s="53"/>
      <c r="Q9" s="53"/>
      <c r="R9" s="53"/>
      <c r="S9" s="56">
        <f t="shared" si="0"/>
        <v>1.333E-3</v>
      </c>
      <c r="T9" s="53"/>
      <c r="U9" s="58">
        <f>COUNTIF('[1]Opportunity Pipeline'!$F:$F,"Jitesh Rajput")+ COUNTIF('[2]Opportunity Pipeline '!$F:$F,"Jitesh Rajput")</f>
        <v>3</v>
      </c>
    </row>
    <row r="10" spans="1:21" x14ac:dyDescent="0.3">
      <c r="A10" s="53">
        <v>8</v>
      </c>
      <c r="B10" s="53" t="s">
        <v>129</v>
      </c>
      <c r="C10" s="55" t="s">
        <v>130</v>
      </c>
      <c r="D10" s="55" t="s">
        <v>30</v>
      </c>
      <c r="E10" s="55" t="s">
        <v>133</v>
      </c>
      <c r="F10" s="53"/>
      <c r="G10" s="56">
        <f>SUMIF('[1]Opportunity Pipeline'!$F:$F,"Rocky Braganza",'[1]Opportunity Pipeline'!$P:$P)/10^7</f>
        <v>0</v>
      </c>
      <c r="H10" s="53"/>
      <c r="I10" s="53"/>
      <c r="J10" s="56">
        <f>SUMIF('[2]Opportunity Pipeline '!$F:$F,"Rocky Braganza",'[2]Opportunity Pipeline '!$P:$P)/10^7</f>
        <v>0</v>
      </c>
      <c r="K10" s="53"/>
      <c r="L10" s="56">
        <f>(SUMIF('[1]Opportunity Pipeline'!$F:$F,"Rocky Braganza",'[1]Opportunity Pipeline'!$P:$P)+SUMIF('[2]Opportunity Pipeline '!$F:$F,"Rocky Braganza",'[2]Opportunity Pipeline '!$P:$P))/10^7</f>
        <v>0</v>
      </c>
      <c r="M10" s="53"/>
      <c r="N10" s="53"/>
      <c r="O10" s="53"/>
      <c r="P10" s="53"/>
      <c r="Q10" s="53"/>
      <c r="R10" s="53"/>
      <c r="S10" s="56">
        <f t="shared" si="0"/>
        <v>0</v>
      </c>
      <c r="T10" s="53"/>
      <c r="U10" s="58">
        <f>COUNTIF('[1]Opportunity Pipeline'!$F:$F,"Rocky Braganza")+ COUNTIF('[2]Opportunity Pipeline '!$F:$F,"Rocky Braganza")</f>
        <v>0</v>
      </c>
    </row>
    <row r="11" spans="1:21" x14ac:dyDescent="0.3">
      <c r="L11" s="25">
        <f>SUM(L3:L10)</f>
        <v>0.88816000000000006</v>
      </c>
      <c r="U11">
        <f>SUM(U3:U10)</f>
        <v>40</v>
      </c>
    </row>
    <row r="13" spans="1:21" ht="27.75" customHeight="1" x14ac:dyDescent="0.3">
      <c r="A13" s="59" t="s">
        <v>144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ht="36" customHeight="1" x14ac:dyDescent="0.3">
      <c r="A14" s="54" t="s">
        <v>1</v>
      </c>
      <c r="B14" s="54" t="s">
        <v>2</v>
      </c>
      <c r="C14" s="54" t="s">
        <v>3</v>
      </c>
      <c r="D14" s="54" t="s">
        <v>4</v>
      </c>
      <c r="E14" s="54" t="s">
        <v>5</v>
      </c>
      <c r="F14" s="54" t="s">
        <v>6</v>
      </c>
      <c r="G14" s="54" t="s">
        <v>7</v>
      </c>
      <c r="H14" s="54" t="s">
        <v>8</v>
      </c>
      <c r="I14" s="54" t="s">
        <v>9</v>
      </c>
      <c r="J14" s="54" t="s">
        <v>10</v>
      </c>
      <c r="K14" s="54" t="s">
        <v>11</v>
      </c>
      <c r="L14" s="54" t="s">
        <v>12</v>
      </c>
      <c r="M14" s="54" t="s">
        <v>13</v>
      </c>
      <c r="N14" s="54" t="s">
        <v>14</v>
      </c>
      <c r="O14" s="54" t="s">
        <v>15</v>
      </c>
      <c r="P14" s="54" t="s">
        <v>16</v>
      </c>
      <c r="Q14" s="54" t="s">
        <v>17</v>
      </c>
      <c r="R14" s="54" t="s">
        <v>18</v>
      </c>
      <c r="S14" s="54" t="s">
        <v>19</v>
      </c>
      <c r="T14" s="54" t="s">
        <v>20</v>
      </c>
      <c r="U14" s="54" t="s">
        <v>21</v>
      </c>
    </row>
    <row r="15" spans="1:21" x14ac:dyDescent="0.3">
      <c r="A15" s="53">
        <v>1</v>
      </c>
      <c r="B15" s="53" t="s">
        <v>122</v>
      </c>
      <c r="C15" s="55" t="s">
        <v>131</v>
      </c>
      <c r="D15" s="55" t="s">
        <v>30</v>
      </c>
      <c r="E15" s="55" t="s">
        <v>133</v>
      </c>
      <c r="F15" s="53"/>
      <c r="G15" s="56">
        <f>SUMIF('[1]Opportunity Pipeline'!$F:$F,"Ajay Patodia",'[1]Opportunity Pipeline'!$O:$O)/10^7</f>
        <v>9.4460405699999974</v>
      </c>
      <c r="H15" s="53"/>
      <c r="I15" s="53"/>
      <c r="J15" s="56">
        <f>SUMIF('[2]Opportunity Pipeline '!$F:$F,"Ajay Patodia",'[2]Opportunity Pipeline '!$O:$O)/10^7</f>
        <v>0.78806980000000004</v>
      </c>
      <c r="K15" s="53"/>
      <c r="L15" s="56">
        <f>(SUMIF('[1]Opportunity Pipeline'!$F:$F,"Ajay Patodia",'[1]Opportunity Pipeline'!$O:$O)+SUMIF('[2]Opportunity Pipeline '!$F:$F,"Ajay Patodia",'[2]Opportunity Pipeline '!$O:$O))/10^7</f>
        <v>10.234110369999998</v>
      </c>
      <c r="M15" s="53"/>
      <c r="N15" s="53"/>
      <c r="O15" s="53"/>
      <c r="P15" s="53"/>
      <c r="Q15" s="53"/>
      <c r="R15" s="53"/>
      <c r="S15" s="56">
        <f>SUM(L15,P15)</f>
        <v>10.234110369999998</v>
      </c>
      <c r="T15" s="53"/>
      <c r="U15" s="58">
        <f>COUNTIF('[1]Opportunity Pipeline'!$F:$F,"Ajay Patodia")+ COUNTIF('[2]Opportunity Pipeline '!$F:$F,"Ajay Patodia")</f>
        <v>32</v>
      </c>
    </row>
    <row r="16" spans="1:21" x14ac:dyDescent="0.3">
      <c r="A16" s="53">
        <v>2</v>
      </c>
      <c r="B16" s="53" t="s">
        <v>123</v>
      </c>
      <c r="C16" s="55" t="s">
        <v>41</v>
      </c>
      <c r="D16" s="55" t="s">
        <v>30</v>
      </c>
      <c r="E16" s="55" t="s">
        <v>134</v>
      </c>
      <c r="F16" s="53"/>
      <c r="G16" s="56">
        <f>SUMIF('[1]Opportunity Pipeline'!$F:$F,"Dipti  Karpe",'[1]Opportunity Pipeline'!$O:$O)/10^7</f>
        <v>0</v>
      </c>
      <c r="H16" s="53"/>
      <c r="I16" s="53"/>
      <c r="J16" s="56">
        <f>SUMIF('[2]Opportunity Pipeline '!$F:$F,"Dipti Karpe",'[2]Opportunity Pipeline '!$O:$O)/10^7</f>
        <v>0</v>
      </c>
      <c r="K16" s="53"/>
      <c r="L16" s="56">
        <f>(SUMIF('[1]Opportunity Pipeline'!$F:$F,"Dipti Karpe",'[1]Opportunity Pipeline'!$O:$O)+SUMIF('[2]Opportunity Pipeline '!$F:$F,"Dipti Karpe",'[2]Opportunity Pipeline '!$O:$O))/10^7</f>
        <v>0</v>
      </c>
      <c r="M16" s="53"/>
      <c r="N16" s="53"/>
      <c r="O16" s="53"/>
      <c r="P16" s="53"/>
      <c r="Q16" s="53"/>
      <c r="R16" s="53"/>
      <c r="S16" s="56">
        <f t="shared" ref="S16:S22" si="1">SUM(L16,P16)</f>
        <v>0</v>
      </c>
      <c r="T16" s="53"/>
      <c r="U16" s="58">
        <f>COUNTIF('[1]Opportunity Pipeline'!$F:$F,"Dipti Karpe")+ COUNTIF('[2]Opportunity Pipeline '!$F:$F,"Dipti Karpe")</f>
        <v>0</v>
      </c>
    </row>
    <row r="17" spans="1:21" x14ac:dyDescent="0.3">
      <c r="A17" s="53">
        <v>3</v>
      </c>
      <c r="B17" s="53" t="s">
        <v>124</v>
      </c>
      <c r="C17" s="55" t="s">
        <v>29</v>
      </c>
      <c r="D17" s="55" t="s">
        <v>30</v>
      </c>
      <c r="E17" s="55" t="s">
        <v>134</v>
      </c>
      <c r="F17" s="53"/>
      <c r="G17" s="56">
        <f>SUMIF('[1]Opportunity Pipeline'!$F:$F,"Ishwari Kadam",'[1]Opportunity Pipeline'!$O:$O)/10^7</f>
        <v>6.26694</v>
      </c>
      <c r="H17" s="53"/>
      <c r="I17" s="53"/>
      <c r="J17" s="56">
        <f>SUMIF('[2]Opportunity Pipeline '!$F:$F,"Ishwari Kadam",'[2]Opportunity Pipeline '!$O:$O)/10^7</f>
        <v>0</v>
      </c>
      <c r="K17" s="53"/>
      <c r="L17" s="56">
        <f>(SUMIF('[1]Opportunity Pipeline'!$F:$F,"Ishwari Kadam",'[1]Opportunity Pipeline'!$O:$O)+SUMIF('[2]Opportunity Pipeline '!$F:$F,"Ishwari Kadam",'[2]Opportunity Pipeline '!$O:$O))/10^7</f>
        <v>6.26694</v>
      </c>
      <c r="M17" s="53"/>
      <c r="N17" s="53"/>
      <c r="O17" s="53"/>
      <c r="P17" s="53"/>
      <c r="Q17" s="53"/>
      <c r="R17" s="53"/>
      <c r="S17" s="56">
        <f t="shared" si="1"/>
        <v>6.26694</v>
      </c>
      <c r="T17" s="53"/>
      <c r="U17" s="58">
        <f>COUNTIF('[1]Opportunity Pipeline'!$F:$F,"Ishwari Kadam")+ COUNTIF('[2]Opportunity Pipeline '!$F:$F,"Ishwari Kadam")</f>
        <v>4</v>
      </c>
    </row>
    <row r="18" spans="1:21" x14ac:dyDescent="0.3">
      <c r="A18" s="53">
        <v>4</v>
      </c>
      <c r="B18" s="53" t="s">
        <v>125</v>
      </c>
      <c r="C18" s="55" t="s">
        <v>50</v>
      </c>
      <c r="D18" s="55" t="s">
        <v>30</v>
      </c>
      <c r="E18" s="55" t="s">
        <v>133</v>
      </c>
      <c r="F18" s="53"/>
      <c r="G18" s="56">
        <f>SUMIF('[1]Opportunity Pipeline'!$F:$F,"Vineet Gadia",'[1]Opportunity Pipeline'!$O:$O)/10^7</f>
        <v>0</v>
      </c>
      <c r="H18" s="53"/>
      <c r="I18" s="53"/>
      <c r="J18" s="56">
        <f>SUMIF('[2]Opportunity Pipeline '!$F:$F,"Vineet Gadia",'[2]Opportunity Pipeline '!$O:$O)/10^7</f>
        <v>0</v>
      </c>
      <c r="K18" s="53"/>
      <c r="L18" s="56">
        <f>(SUMIF('[1]Opportunity Pipeline'!$F:$F,"Vineet Gadia",'[1]Opportunity Pipeline'!$O:$O)+SUMIF('[2]Opportunity Pipeline '!$F:$F,"Vineet Gadia",'[2]Opportunity Pipeline '!$O:$O))/10^7</f>
        <v>0</v>
      </c>
      <c r="M18" s="53"/>
      <c r="N18" s="53"/>
      <c r="O18" s="53"/>
      <c r="P18" s="53"/>
      <c r="Q18" s="53"/>
      <c r="R18" s="53"/>
      <c r="S18" s="56">
        <f t="shared" si="1"/>
        <v>0</v>
      </c>
      <c r="T18" s="53"/>
      <c r="U18" s="58">
        <f>COUNTIF('[1]Opportunity Pipeline'!$F:$F,"Vineet Gadia")+ COUNTIF('[2]Opportunity Pipeline '!$F:$F,"Vineet Gadia")</f>
        <v>0</v>
      </c>
    </row>
    <row r="19" spans="1:21" x14ac:dyDescent="0.3">
      <c r="A19" s="53">
        <v>5</v>
      </c>
      <c r="B19" s="53" t="s">
        <v>126</v>
      </c>
      <c r="C19" s="55" t="s">
        <v>80</v>
      </c>
      <c r="D19" s="55" t="s">
        <v>30</v>
      </c>
      <c r="E19" s="55" t="s">
        <v>133</v>
      </c>
      <c r="F19" s="53"/>
      <c r="G19" s="56">
        <f>SUMIF('[1]Opportunity Pipeline'!$F:$F,"Sanjeev Kohli",'[1]Opportunity Pipeline'!$O:$O)/10^7</f>
        <v>2.19665</v>
      </c>
      <c r="H19" s="53"/>
      <c r="I19" s="53"/>
      <c r="J19" s="56">
        <f>SUMIF('[2]Opportunity Pipeline '!$F:$F,"Sanjeev Kohli",'[2]Opportunity Pipeline '!$O:$O)/10^7</f>
        <v>0</v>
      </c>
      <c r="K19" s="53"/>
      <c r="L19" s="56">
        <f>(SUMIF('[1]Opportunity Pipeline'!$F:$F,"Sanjeev Kohli",'[1]Opportunity Pipeline'!$O:$O)+SUMIF('[2]Opportunity Pipeline '!$F:$F,"Sanjeev Kohli",'[2]Opportunity Pipeline '!$O:$O))/10^7</f>
        <v>2.19665</v>
      </c>
      <c r="M19" s="53"/>
      <c r="N19" s="53"/>
      <c r="O19" s="53"/>
      <c r="P19" s="53"/>
      <c r="Q19" s="53"/>
      <c r="R19" s="53"/>
      <c r="S19" s="56">
        <f t="shared" si="1"/>
        <v>2.19665</v>
      </c>
      <c r="T19" s="53"/>
      <c r="U19" s="58">
        <f>COUNTIF('[1]Opportunity Pipeline'!$F:$F,"Sanjeev Kohli")+ COUNTIF('[2]Opportunity Pipeline '!$F:$F,"Sanjeev Kohli")</f>
        <v>1</v>
      </c>
    </row>
    <row r="20" spans="1:21" x14ac:dyDescent="0.3">
      <c r="A20" s="53">
        <v>6</v>
      </c>
      <c r="B20" s="53" t="s">
        <v>127</v>
      </c>
      <c r="C20" s="55" t="s">
        <v>58</v>
      </c>
      <c r="D20" s="55" t="s">
        <v>30</v>
      </c>
      <c r="E20" s="55" t="s">
        <v>133</v>
      </c>
      <c r="F20" s="53"/>
      <c r="G20" s="56">
        <f>SUMIF('[1]Opportunity Pipeline'!$F:$F,"Yogesh Bhatia",'[1]Opportunity Pipeline'!$O:$O)/10^7</f>
        <v>0</v>
      </c>
      <c r="H20" s="53"/>
      <c r="I20" s="53"/>
      <c r="J20" s="56">
        <f>SUMIF('[2]Opportunity Pipeline '!$F:$F,"Yogesh Bhatia",'[2]Opportunity Pipeline '!$O:$O)/10^7</f>
        <v>0</v>
      </c>
      <c r="K20" s="53"/>
      <c r="L20" s="56">
        <f>(SUMIF('[1]Opportunity Pipeline'!$F:$F,"Yogesh Bhatia",'[1]Opportunity Pipeline'!$O:$O)+SUMIF('[2]Opportunity Pipeline '!$F:$F,"Yogesh Bhatia",'[2]Opportunity Pipeline '!$O:$O))/10^7</f>
        <v>0</v>
      </c>
      <c r="M20" s="53"/>
      <c r="N20" s="53"/>
      <c r="O20" s="53"/>
      <c r="P20" s="53"/>
      <c r="Q20" s="53"/>
      <c r="R20" s="53"/>
      <c r="S20" s="56">
        <f t="shared" si="1"/>
        <v>0</v>
      </c>
      <c r="T20" s="53"/>
      <c r="U20" s="58">
        <f>COUNTIF('[1]Opportunity Pipeline'!$F:$F,"Yogesh Bhatia")+ COUNTIF('[2]Opportunity Pipeline '!$F:$F,"Yogesh Bhatia")</f>
        <v>0</v>
      </c>
    </row>
    <row r="21" spans="1:21" x14ac:dyDescent="0.3">
      <c r="A21" s="53">
        <v>7</v>
      </c>
      <c r="B21" s="53" t="s">
        <v>128</v>
      </c>
      <c r="C21" s="55" t="s">
        <v>132</v>
      </c>
      <c r="D21" s="55" t="s">
        <v>30</v>
      </c>
      <c r="E21" s="55" t="s">
        <v>133</v>
      </c>
      <c r="F21" s="53"/>
      <c r="G21" s="57">
        <f>SUMIF('[1]Opportunity Pipeline'!$F:$F,"Jitesh Rajput",'[1]Opportunity Pipeline'!$O:$O)/10^7</f>
        <v>1.5479999999999999E-3</v>
      </c>
      <c r="H21" s="53"/>
      <c r="I21" s="53"/>
      <c r="J21" s="56">
        <f>SUMIF('[2]Opportunity Pipeline '!$F:$F,"Jitesh Rajput",'[2]Opportunity Pipeline '!$O:$O)/10^7</f>
        <v>0</v>
      </c>
      <c r="K21" s="53"/>
      <c r="L21" s="57">
        <f>(SUMIF('[1]Opportunity Pipeline'!$F:$F,"Jitesh Rajput",'[1]Opportunity Pipeline'!$O:$O)+SUMIF('[2]Opportunity Pipeline '!$F:$F,"Jitesh Rajput",'[2]Opportunity Pipeline '!$O:$O))/10^7</f>
        <v>1.5479999999999999E-3</v>
      </c>
      <c r="M21" s="53"/>
      <c r="N21" s="53"/>
      <c r="O21" s="53"/>
      <c r="P21" s="53"/>
      <c r="Q21" s="53"/>
      <c r="R21" s="53"/>
      <c r="S21" s="56">
        <f t="shared" si="1"/>
        <v>1.5479999999999999E-3</v>
      </c>
      <c r="T21" s="53"/>
      <c r="U21" s="58">
        <f>COUNTIF('[1]Opportunity Pipeline'!$F:$F,"Jitesh Rajput")+ COUNTIF('[2]Opportunity Pipeline '!$F:$F,"Jitesh Rajput")</f>
        <v>3</v>
      </c>
    </row>
    <row r="22" spans="1:21" x14ac:dyDescent="0.3">
      <c r="A22" s="53">
        <v>8</v>
      </c>
      <c r="B22" s="53" t="s">
        <v>129</v>
      </c>
      <c r="C22" s="55" t="s">
        <v>130</v>
      </c>
      <c r="D22" s="55" t="s">
        <v>30</v>
      </c>
      <c r="E22" s="55" t="s">
        <v>133</v>
      </c>
      <c r="F22" s="53"/>
      <c r="G22" s="56">
        <f>SUMIF('[1]Opportunity Pipeline'!$F:$F,"Rocky Braganza",'[1]Opportunity Pipeline'!$O:$O)/10^7</f>
        <v>0</v>
      </c>
      <c r="H22" s="53"/>
      <c r="I22" s="53"/>
      <c r="J22" s="56">
        <f>SUMIF('[2]Opportunity Pipeline '!$F:$F,"Rocky Braganza",'[2]Opportunity Pipeline '!$O:$O)/10^7</f>
        <v>0</v>
      </c>
      <c r="K22" s="53"/>
      <c r="L22" s="56">
        <f>(SUMIF('[1]Opportunity Pipeline'!$F:$F,"Rocky Braganza",'[1]Opportunity Pipeline'!$O:$O)+SUMIF('[2]Opportunity Pipeline '!$F:$F,"Rocky Braganza",'[2]Opportunity Pipeline '!$O:$O))/10^7</f>
        <v>0</v>
      </c>
      <c r="M22" s="53"/>
      <c r="N22" s="53"/>
      <c r="O22" s="53"/>
      <c r="P22" s="53"/>
      <c r="Q22" s="53"/>
      <c r="R22" s="53"/>
      <c r="S22" s="56">
        <f t="shared" si="1"/>
        <v>0</v>
      </c>
      <c r="T22" s="53"/>
      <c r="U22" s="58">
        <f>COUNTIF('[1]Opportunity Pipeline'!$F:$F,"Rocky Braganza")+ COUNTIF('[2]Opportunity Pipeline '!$F:$F,"Rocky Braganza")</f>
        <v>0</v>
      </c>
    </row>
    <row r="23" spans="1:21" x14ac:dyDescent="0.3">
      <c r="U23">
        <f>SUM(U15:U22)</f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K12"/>
  <sheetViews>
    <sheetView workbookViewId="0">
      <selection activeCell="X5" sqref="X5"/>
    </sheetView>
  </sheetViews>
  <sheetFormatPr defaultRowHeight="14.4" x14ac:dyDescent="0.3"/>
  <cols>
    <col min="1" max="1" width="41.6640625" customWidth="1"/>
    <col min="2" max="2" width="8.88671875" customWidth="1"/>
    <col min="6" max="6" width="11.5546875" bestFit="1" customWidth="1"/>
  </cols>
  <sheetData>
    <row r="1" spans="1:37" ht="27.75" customHeight="1" x14ac:dyDescent="0.3">
      <c r="A1" s="9" t="s">
        <v>135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2"/>
      <c r="Y1" s="2"/>
      <c r="Z1" s="2"/>
      <c r="AA1" s="2"/>
      <c r="AB1" s="2"/>
      <c r="AC1" s="2"/>
      <c r="AD1" s="10"/>
      <c r="AE1" s="9"/>
      <c r="AF1" s="9"/>
      <c r="AG1" s="9"/>
      <c r="AH1" s="9"/>
      <c r="AI1" s="9"/>
      <c r="AJ1" s="9"/>
      <c r="AK1" s="9"/>
    </row>
    <row r="2" spans="1:37" ht="19.5" customHeight="1" x14ac:dyDescent="0.3">
      <c r="A2" s="2" t="s">
        <v>83</v>
      </c>
      <c r="B2" s="2" t="s">
        <v>3</v>
      </c>
      <c r="C2" s="73" t="s">
        <v>84</v>
      </c>
      <c r="D2" s="73"/>
      <c r="E2" s="73"/>
      <c r="F2" s="2" t="s">
        <v>146</v>
      </c>
      <c r="G2" s="70" t="s">
        <v>85</v>
      </c>
      <c r="H2" s="71"/>
      <c r="I2" s="72"/>
      <c r="J2" s="73" t="s">
        <v>86</v>
      </c>
      <c r="K2" s="73"/>
      <c r="L2" s="73"/>
      <c r="M2" s="2" t="s">
        <v>145</v>
      </c>
      <c r="N2" s="70" t="s">
        <v>87</v>
      </c>
      <c r="O2" s="71"/>
      <c r="P2" s="72"/>
      <c r="Q2" s="67" t="s">
        <v>88</v>
      </c>
      <c r="R2" s="68"/>
      <c r="S2" s="69"/>
      <c r="T2" s="70" t="s">
        <v>89</v>
      </c>
      <c r="U2" s="71"/>
      <c r="V2" s="72"/>
      <c r="W2" s="2" t="s">
        <v>90</v>
      </c>
      <c r="X2" s="67" t="s">
        <v>91</v>
      </c>
      <c r="Y2" s="68"/>
      <c r="Z2" s="69"/>
      <c r="AA2" s="70" t="s">
        <v>92</v>
      </c>
      <c r="AB2" s="71"/>
      <c r="AC2" s="72"/>
      <c r="AD2" s="2" t="s">
        <v>93</v>
      </c>
      <c r="AE2" s="73" t="s">
        <v>94</v>
      </c>
      <c r="AF2" s="73"/>
      <c r="AG2" s="73"/>
      <c r="AH2" s="74" t="s">
        <v>95</v>
      </c>
      <c r="AI2" s="74"/>
      <c r="AJ2" s="74"/>
      <c r="AK2" s="2" t="s">
        <v>96</v>
      </c>
    </row>
    <row r="3" spans="1:37" ht="19.5" customHeight="1" x14ac:dyDescent="0.3">
      <c r="A3" s="2" t="s">
        <v>97</v>
      </c>
      <c r="B3" s="2" t="s">
        <v>98</v>
      </c>
      <c r="C3" s="11" t="s">
        <v>99</v>
      </c>
      <c r="D3" s="11" t="s">
        <v>100</v>
      </c>
      <c r="E3" s="11" t="s">
        <v>101</v>
      </c>
      <c r="F3" s="2" t="s">
        <v>102</v>
      </c>
      <c r="G3" s="12" t="s">
        <v>99</v>
      </c>
      <c r="H3" s="12" t="s">
        <v>100</v>
      </c>
      <c r="I3" s="12" t="s">
        <v>101</v>
      </c>
      <c r="J3" s="11" t="s">
        <v>99</v>
      </c>
      <c r="K3" s="11" t="s">
        <v>100</v>
      </c>
      <c r="L3" s="11" t="s">
        <v>101</v>
      </c>
      <c r="M3" s="2" t="s">
        <v>102</v>
      </c>
      <c r="N3" s="12" t="s">
        <v>99</v>
      </c>
      <c r="O3" s="12" t="s">
        <v>100</v>
      </c>
      <c r="P3" s="12" t="s">
        <v>101</v>
      </c>
      <c r="Q3" s="11" t="s">
        <v>99</v>
      </c>
      <c r="R3" s="11" t="s">
        <v>100</v>
      </c>
      <c r="S3" s="11" t="s">
        <v>101</v>
      </c>
      <c r="T3" s="12" t="s">
        <v>99</v>
      </c>
      <c r="U3" s="12" t="s">
        <v>100</v>
      </c>
      <c r="V3" s="12" t="s">
        <v>101</v>
      </c>
      <c r="W3" s="2" t="s">
        <v>102</v>
      </c>
      <c r="X3" s="11" t="s">
        <v>99</v>
      </c>
      <c r="Y3" s="11" t="s">
        <v>100</v>
      </c>
      <c r="Z3" s="11" t="s">
        <v>101</v>
      </c>
      <c r="AA3" s="12" t="s">
        <v>99</v>
      </c>
      <c r="AB3" s="12" t="s">
        <v>100</v>
      </c>
      <c r="AC3" s="12" t="s">
        <v>101</v>
      </c>
      <c r="AD3" s="2" t="s">
        <v>102</v>
      </c>
      <c r="AE3" s="11" t="s">
        <v>99</v>
      </c>
      <c r="AF3" s="11" t="s">
        <v>100</v>
      </c>
      <c r="AG3" s="11" t="s">
        <v>101</v>
      </c>
      <c r="AH3" s="12" t="s">
        <v>99</v>
      </c>
      <c r="AI3" s="12" t="s">
        <v>100</v>
      </c>
      <c r="AJ3" s="12" t="s">
        <v>101</v>
      </c>
      <c r="AK3" s="2" t="s">
        <v>102</v>
      </c>
    </row>
    <row r="4" spans="1:37" x14ac:dyDescent="0.3">
      <c r="A4" s="75" t="s">
        <v>119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</row>
    <row r="5" spans="1:37" x14ac:dyDescent="0.3">
      <c r="A5" s="3" t="s">
        <v>103</v>
      </c>
      <c r="B5" s="6" t="s">
        <v>29</v>
      </c>
      <c r="C5" s="29">
        <f>'V1 · Individual'!F10</f>
        <v>108.175</v>
      </c>
      <c r="D5" s="29">
        <f>'V1 · Individual'!G10</f>
        <v>36.917492693</v>
      </c>
      <c r="E5" s="26">
        <f>IFERROR(D5/C5,"-")</f>
        <v>0.34127564310607811</v>
      </c>
      <c r="F5" s="62">
        <f>COUNTIF('[1]Opportunity Pipeline'!$Z:$Z,"S1")</f>
        <v>91</v>
      </c>
      <c r="G5" s="27" t="s">
        <v>117</v>
      </c>
      <c r="H5" s="27" t="s">
        <v>117</v>
      </c>
      <c r="I5" s="27" t="s">
        <v>117</v>
      </c>
      <c r="J5" s="29">
        <f>'V1 · Individual'!I10</f>
        <v>194.17499999999998</v>
      </c>
      <c r="K5" s="29">
        <f>'V1 · Individual'!J10</f>
        <v>17.788656427999999</v>
      </c>
      <c r="L5" s="27" t="s">
        <v>117</v>
      </c>
      <c r="M5" s="27">
        <f>COUNTIF('[2]Opportunity Pipeline '!$Z:$Z,"S1")</f>
        <v>34</v>
      </c>
      <c r="N5" s="27" t="s">
        <v>117</v>
      </c>
      <c r="O5" s="27" t="s">
        <v>117</v>
      </c>
      <c r="P5" s="27" t="s">
        <v>117</v>
      </c>
      <c r="Q5" s="29">
        <f>'V1 · Individual'!L10</f>
        <v>307.35000000000002</v>
      </c>
      <c r="R5" s="29">
        <f>'V1 · Individual'!M10</f>
        <v>54.706149121000003</v>
      </c>
      <c r="S5" s="26">
        <f t="shared" ref="S5:S9" si="0">IFERROR(R5/Q5,"-")</f>
        <v>0.17799300185781683</v>
      </c>
      <c r="T5" s="27" t="s">
        <v>117</v>
      </c>
      <c r="U5" s="27" t="s">
        <v>117</v>
      </c>
      <c r="V5" s="27" t="s">
        <v>117</v>
      </c>
      <c r="W5" s="47">
        <f>'V1 · Individual'!U10</f>
        <v>124</v>
      </c>
      <c r="X5" s="29">
        <f>'V1 · Individual'!O10</f>
        <v>352.65</v>
      </c>
      <c r="Y5" s="27" t="s">
        <v>117</v>
      </c>
      <c r="Z5" s="27" t="s">
        <v>117</v>
      </c>
      <c r="AA5" s="27" t="s">
        <v>117</v>
      </c>
      <c r="AB5" s="27" t="s">
        <v>117</v>
      </c>
      <c r="AC5" s="27" t="s">
        <v>117</v>
      </c>
      <c r="AD5" s="27" t="s">
        <v>117</v>
      </c>
      <c r="AE5" s="29">
        <f>'V1 · Individual'!R10</f>
        <v>660</v>
      </c>
      <c r="AF5" s="29">
        <f>'V1 · Individual'!S10</f>
        <v>54.706149121000003</v>
      </c>
      <c r="AG5" s="26">
        <f>AF5/AE5</f>
        <v>8.2888104728787881E-2</v>
      </c>
      <c r="AH5" s="27" t="s">
        <v>117</v>
      </c>
      <c r="AI5" s="27" t="s">
        <v>117</v>
      </c>
      <c r="AJ5" s="27" t="s">
        <v>117</v>
      </c>
      <c r="AK5" s="47">
        <f>SUM(W5,AD5)</f>
        <v>124</v>
      </c>
    </row>
    <row r="6" spans="1:37" x14ac:dyDescent="0.3">
      <c r="A6" s="3" t="s">
        <v>104</v>
      </c>
      <c r="B6" s="6" t="s">
        <v>41</v>
      </c>
      <c r="C6" s="29">
        <f>'V1 · Individual'!F19</f>
        <v>54.849999999999994</v>
      </c>
      <c r="D6" s="29">
        <f>'V1 · Individual'!G19</f>
        <v>15.396570527999998</v>
      </c>
      <c r="E6" s="26">
        <f t="shared" ref="E6:E10" si="1">IFERROR(D6/C6,"-")</f>
        <v>0.28070320014585232</v>
      </c>
      <c r="F6" s="62">
        <f>COUNTIF('[1]Opportunity Pipeline'!$Z:$Z,"S2")</f>
        <v>25</v>
      </c>
      <c r="G6" s="27" t="s">
        <v>117</v>
      </c>
      <c r="H6" s="27" t="s">
        <v>117</v>
      </c>
      <c r="I6" s="27" t="s">
        <v>117</v>
      </c>
      <c r="J6" s="29">
        <f>'V1 · Individual'!I19</f>
        <v>84.149999999999991</v>
      </c>
      <c r="K6" s="29">
        <f>'V1 · Individual'!J19</f>
        <v>35.823605594</v>
      </c>
      <c r="L6" s="27" t="s">
        <v>117</v>
      </c>
      <c r="M6" s="27">
        <f>COUNTIF('[2]Opportunity Pipeline '!$Z:$Z,"S2")</f>
        <v>16</v>
      </c>
      <c r="N6" s="27" t="s">
        <v>117</v>
      </c>
      <c r="O6" s="27" t="s">
        <v>117</v>
      </c>
      <c r="P6" s="27" t="s">
        <v>117</v>
      </c>
      <c r="Q6" s="29">
        <f>'V1 · Individual'!L19</f>
        <v>107.75</v>
      </c>
      <c r="R6" s="29">
        <f>'V1 · Individual'!M19</f>
        <v>51.220176122000005</v>
      </c>
      <c r="S6" s="26">
        <f t="shared" si="0"/>
        <v>0.47536126331322509</v>
      </c>
      <c r="T6" s="27" t="s">
        <v>117</v>
      </c>
      <c r="U6" s="27" t="s">
        <v>117</v>
      </c>
      <c r="V6" s="27" t="s">
        <v>117</v>
      </c>
      <c r="W6" s="47">
        <f>'V1 · Individual'!U19</f>
        <v>40</v>
      </c>
      <c r="X6" s="29">
        <f>'V1 · Individual'!O19</f>
        <v>138.25</v>
      </c>
      <c r="Y6" s="27" t="s">
        <v>117</v>
      </c>
      <c r="Z6" s="27" t="s">
        <v>117</v>
      </c>
      <c r="AA6" s="27" t="s">
        <v>117</v>
      </c>
      <c r="AB6" s="27" t="s">
        <v>117</v>
      </c>
      <c r="AC6" s="27" t="s">
        <v>117</v>
      </c>
      <c r="AD6" s="27" t="s">
        <v>117</v>
      </c>
      <c r="AE6" s="29">
        <f>'V1 · Individual'!R19</f>
        <v>246</v>
      </c>
      <c r="AF6" s="29">
        <f>'V1 · Individual'!S19</f>
        <v>51.220176122000005</v>
      </c>
      <c r="AG6" s="26">
        <f t="shared" ref="AG6:AG9" si="2">AF6/AE6</f>
        <v>0.2082120980569106</v>
      </c>
      <c r="AH6" s="27" t="s">
        <v>117</v>
      </c>
      <c r="AI6" s="27" t="s">
        <v>117</v>
      </c>
      <c r="AJ6" s="27" t="s">
        <v>117</v>
      </c>
      <c r="AK6" s="47">
        <f t="shared" ref="AK6:AK10" si="3">SUM(W6,AD6)</f>
        <v>40</v>
      </c>
    </row>
    <row r="7" spans="1:37" x14ac:dyDescent="0.3">
      <c r="A7" s="3" t="s">
        <v>105</v>
      </c>
      <c r="B7" s="6" t="s">
        <v>50</v>
      </c>
      <c r="C7" s="29">
        <f>'V1 · Individual'!F26</f>
        <v>18.5</v>
      </c>
      <c r="D7" s="29">
        <f>'V1 · Individual'!G26</f>
        <v>15.803395760000001</v>
      </c>
      <c r="E7" s="26">
        <f t="shared" si="1"/>
        <v>0.85423760864864873</v>
      </c>
      <c r="F7" s="62">
        <f>COUNTIF('[1]Opportunity Pipeline'!$Z:$Z,"CB")</f>
        <v>41</v>
      </c>
      <c r="G7" s="27" t="s">
        <v>117</v>
      </c>
      <c r="H7" s="27" t="s">
        <v>117</v>
      </c>
      <c r="I7" s="27" t="s">
        <v>117</v>
      </c>
      <c r="J7" s="29">
        <f>'V1 · Individual'!I26</f>
        <v>29.5</v>
      </c>
      <c r="K7" s="29">
        <f>'V1 · Individual'!J26</f>
        <v>1.8810210000000001</v>
      </c>
      <c r="L7" s="27" t="s">
        <v>117</v>
      </c>
      <c r="M7" s="27">
        <f>COUNTIF('[2]Opportunity Pipeline '!$Z:$Z,"CB")</f>
        <v>4</v>
      </c>
      <c r="N7" s="27" t="s">
        <v>117</v>
      </c>
      <c r="O7" s="27" t="s">
        <v>117</v>
      </c>
      <c r="P7" s="27" t="s">
        <v>117</v>
      </c>
      <c r="Q7" s="29">
        <f>'V1 · Individual'!L26</f>
        <v>48</v>
      </c>
      <c r="R7" s="29">
        <f>'V1 · Individual'!M26</f>
        <v>17.684416760000001</v>
      </c>
      <c r="S7" s="26">
        <f t="shared" si="0"/>
        <v>0.36842534916666669</v>
      </c>
      <c r="T7" s="27" t="s">
        <v>117</v>
      </c>
      <c r="U7" s="27" t="s">
        <v>117</v>
      </c>
      <c r="V7" s="27" t="s">
        <v>117</v>
      </c>
      <c r="W7" s="47">
        <f>'V1 · Individual'!U26</f>
        <v>45</v>
      </c>
      <c r="X7" s="29">
        <f>'V1 · Individual'!O26</f>
        <v>79.5</v>
      </c>
      <c r="Y7" s="27" t="s">
        <v>117</v>
      </c>
      <c r="Z7" s="27" t="s">
        <v>117</v>
      </c>
      <c r="AA7" s="27" t="s">
        <v>117</v>
      </c>
      <c r="AB7" s="27" t="s">
        <v>117</v>
      </c>
      <c r="AC7" s="27" t="s">
        <v>117</v>
      </c>
      <c r="AD7" s="27" t="s">
        <v>117</v>
      </c>
      <c r="AE7" s="29">
        <f>'V1 · Individual'!R26</f>
        <v>127.5</v>
      </c>
      <c r="AF7" s="29">
        <f>'V1 · Individual'!S26</f>
        <v>17.684416760000001</v>
      </c>
      <c r="AG7" s="26">
        <f t="shared" si="2"/>
        <v>0.13870130792156865</v>
      </c>
      <c r="AH7" s="27" t="s">
        <v>117</v>
      </c>
      <c r="AI7" s="27" t="s">
        <v>117</v>
      </c>
      <c r="AJ7" s="27" t="s">
        <v>117</v>
      </c>
      <c r="AK7" s="47">
        <f t="shared" si="3"/>
        <v>45</v>
      </c>
    </row>
    <row r="8" spans="1:37" x14ac:dyDescent="0.3">
      <c r="A8" s="3" t="s">
        <v>106</v>
      </c>
      <c r="B8" s="6" t="s">
        <v>58</v>
      </c>
      <c r="C8" s="29">
        <f>'V1 · Individual'!F40</f>
        <v>4.6999999999999993</v>
      </c>
      <c r="D8" s="29">
        <f>'V1 · Individual'!G40</f>
        <v>15.114382618</v>
      </c>
      <c r="E8" s="26">
        <f t="shared" si="1"/>
        <v>3.2158260889361707</v>
      </c>
      <c r="F8" s="62">
        <f>COUNTIF('[1]Opportunity Pipeline'!$Z:$Z,"GB")</f>
        <v>50</v>
      </c>
      <c r="G8" s="27" t="s">
        <v>117</v>
      </c>
      <c r="H8" s="27" t="s">
        <v>117</v>
      </c>
      <c r="I8" s="27" t="s">
        <v>117</v>
      </c>
      <c r="J8" s="29">
        <f>'V1 · Individual'!I40</f>
        <v>5</v>
      </c>
      <c r="K8" s="29">
        <f>'V1 · Individual'!J40</f>
        <v>1.2916336000000002</v>
      </c>
      <c r="L8" s="27" t="s">
        <v>117</v>
      </c>
      <c r="M8" s="27">
        <f>COUNTIF('[2]Opportunity Pipeline '!$Z:$Z,"GB")</f>
        <v>12</v>
      </c>
      <c r="N8" s="27" t="s">
        <v>117</v>
      </c>
      <c r="O8" s="27" t="s">
        <v>117</v>
      </c>
      <c r="P8" s="27" t="s">
        <v>117</v>
      </c>
      <c r="Q8" s="29">
        <f>'V1 · Individual'!L40</f>
        <v>12.899999999999999</v>
      </c>
      <c r="R8" s="29">
        <f>'V1 · Individual'!M40</f>
        <v>16.406016218000001</v>
      </c>
      <c r="S8" s="26">
        <f t="shared" si="0"/>
        <v>1.2717842029457367</v>
      </c>
      <c r="T8" s="27" t="s">
        <v>117</v>
      </c>
      <c r="U8" s="27" t="s">
        <v>117</v>
      </c>
      <c r="V8" s="27" t="s">
        <v>117</v>
      </c>
      <c r="W8" s="47">
        <f>'V1 · Individual'!U40</f>
        <v>62</v>
      </c>
      <c r="X8" s="29">
        <f>'V1 · Individual'!O40</f>
        <v>22.099999999999998</v>
      </c>
      <c r="Y8" s="27" t="s">
        <v>117</v>
      </c>
      <c r="Z8" s="27" t="s">
        <v>117</v>
      </c>
      <c r="AA8" s="27" t="s">
        <v>117</v>
      </c>
      <c r="AB8" s="27" t="s">
        <v>117</v>
      </c>
      <c r="AC8" s="27" t="s">
        <v>117</v>
      </c>
      <c r="AD8" s="27" t="s">
        <v>117</v>
      </c>
      <c r="AE8" s="29">
        <f>'V1 · Individual'!R40</f>
        <v>35</v>
      </c>
      <c r="AF8" s="29">
        <f>'V1 · Individual'!S40</f>
        <v>16.406016218000001</v>
      </c>
      <c r="AG8" s="26">
        <f t="shared" si="2"/>
        <v>0.46874332051428574</v>
      </c>
      <c r="AH8" s="27" t="s">
        <v>117</v>
      </c>
      <c r="AI8" s="27" t="s">
        <v>117</v>
      </c>
      <c r="AJ8" s="27" t="s">
        <v>117</v>
      </c>
      <c r="AK8" s="47">
        <f t="shared" si="3"/>
        <v>62</v>
      </c>
    </row>
    <row r="9" spans="1:37" x14ac:dyDescent="0.3">
      <c r="A9" s="3" t="s">
        <v>107</v>
      </c>
      <c r="B9" s="6" t="s">
        <v>73</v>
      </c>
      <c r="C9" s="29">
        <f>'V1 · Individual'!F47</f>
        <v>10.5</v>
      </c>
      <c r="D9" s="29">
        <f>'V1 · Individual'!G47</f>
        <v>10.289626889000001</v>
      </c>
      <c r="E9" s="26">
        <f t="shared" si="1"/>
        <v>0.97996446561904771</v>
      </c>
      <c r="F9" s="62">
        <f>COUNTIF('[1]Opportunity Pipeline'!$Z:$Z,"South")</f>
        <v>54</v>
      </c>
      <c r="G9" s="27" t="s">
        <v>117</v>
      </c>
      <c r="H9" s="27" t="s">
        <v>117</v>
      </c>
      <c r="I9" s="27" t="s">
        <v>117</v>
      </c>
      <c r="J9" s="29">
        <f>'V1 · Individual'!I47</f>
        <v>7.5</v>
      </c>
      <c r="K9" s="29">
        <f>'V1 · Individual'!J47</f>
        <v>3.0347010800000001</v>
      </c>
      <c r="L9" s="27" t="s">
        <v>117</v>
      </c>
      <c r="M9" s="27">
        <f>COUNTIF('[2]Opportunity Pipeline '!$Z:$Z,"South")</f>
        <v>18</v>
      </c>
      <c r="N9" s="27" t="s">
        <v>117</v>
      </c>
      <c r="O9" s="27" t="s">
        <v>117</v>
      </c>
      <c r="P9" s="27" t="s">
        <v>117</v>
      </c>
      <c r="Q9" s="29">
        <f>'V1 · Individual'!L47</f>
        <v>22</v>
      </c>
      <c r="R9" s="29">
        <f>'V1 · Individual'!M47</f>
        <v>13.324327968999999</v>
      </c>
      <c r="S9" s="26">
        <f t="shared" si="0"/>
        <v>0.60565127131818175</v>
      </c>
      <c r="T9" s="27" t="s">
        <v>117</v>
      </c>
      <c r="U9" s="27" t="s">
        <v>117</v>
      </c>
      <c r="V9" s="27" t="s">
        <v>117</v>
      </c>
      <c r="W9" s="47">
        <f>'V1 · Individual'!U47</f>
        <v>72</v>
      </c>
      <c r="X9" s="29">
        <f>'V1 · Individual'!O47</f>
        <v>23</v>
      </c>
      <c r="Y9" s="27" t="s">
        <v>117</v>
      </c>
      <c r="Z9" s="27" t="s">
        <v>117</v>
      </c>
      <c r="AA9" s="27" t="s">
        <v>117</v>
      </c>
      <c r="AB9" s="27" t="s">
        <v>117</v>
      </c>
      <c r="AC9" s="27" t="s">
        <v>117</v>
      </c>
      <c r="AD9" s="27" t="s">
        <v>117</v>
      </c>
      <c r="AE9" s="29">
        <f>'V1 · Individual'!R47</f>
        <v>45</v>
      </c>
      <c r="AF9" s="29">
        <f>'V1 · Individual'!S47</f>
        <v>13.324327968999999</v>
      </c>
      <c r="AG9" s="26">
        <f t="shared" si="2"/>
        <v>0.29609617708888886</v>
      </c>
      <c r="AH9" s="27" t="s">
        <v>117</v>
      </c>
      <c r="AI9" s="27" t="s">
        <v>117</v>
      </c>
      <c r="AJ9" s="27" t="s">
        <v>117</v>
      </c>
      <c r="AK9" s="47">
        <f t="shared" si="3"/>
        <v>72</v>
      </c>
    </row>
    <row r="10" spans="1:37" x14ac:dyDescent="0.3">
      <c r="A10" s="13" t="s">
        <v>108</v>
      </c>
      <c r="B10" s="14" t="s">
        <v>109</v>
      </c>
      <c r="C10" s="29">
        <f>'V1 · Individual'!F52</f>
        <v>2.5</v>
      </c>
      <c r="D10" s="29">
        <f>'V1 · Individual'!G52</f>
        <v>3.8126083999999998</v>
      </c>
      <c r="E10" s="26">
        <f t="shared" si="1"/>
        <v>1.52504336</v>
      </c>
      <c r="F10" s="62">
        <f>COUNTIF('[1]Opportunity Pipeline'!$Z:$Z,"Geo X")</f>
        <v>53</v>
      </c>
      <c r="G10" s="29">
        <f>'V1 · Individual'!F50</f>
        <v>0.4</v>
      </c>
      <c r="I10" s="26">
        <f>IFERROR(D10/G10,"-")</f>
        <v>9.5315209999999997</v>
      </c>
      <c r="J10" s="29">
        <f>'V1 · Individual'!I52</f>
        <v>5</v>
      </c>
      <c r="K10" s="29">
        <f>'V1 · Individual'!J52</f>
        <v>5.5104E-2</v>
      </c>
      <c r="L10" s="27" t="s">
        <v>117</v>
      </c>
      <c r="M10" s="27">
        <f>COUNTIF('[2]Opportunity Pipeline '!$Z:$Z,"GeoX")</f>
        <v>3</v>
      </c>
      <c r="N10" s="29">
        <f>'V1 · Individual'!I52</f>
        <v>5</v>
      </c>
      <c r="O10" s="29">
        <f>'V1 · Individual'!J52</f>
        <v>5.5104E-2</v>
      </c>
      <c r="P10" s="32">
        <f>O10/N10</f>
        <v>1.1020800000000001E-2</v>
      </c>
      <c r="Q10" s="29">
        <f>'V1 · Individual'!L52</f>
        <v>0</v>
      </c>
      <c r="R10" s="29">
        <f>'V1 · Individual'!M52</f>
        <v>3.8677123999999998</v>
      </c>
      <c r="S10" s="26" t="str">
        <f t="shared" ref="S10" si="4">IFERROR(R10/Q10,"-")</f>
        <v>-</v>
      </c>
      <c r="T10" s="29">
        <f>'V1 · Individual'!L52</f>
        <v>0</v>
      </c>
      <c r="U10" s="29">
        <f>'V1 · Individual'!M52</f>
        <v>3.8677123999999998</v>
      </c>
      <c r="V10" s="32" t="e">
        <f>U10/T10</f>
        <v>#DIV/0!</v>
      </c>
      <c r="W10" s="47">
        <f>'V1 · Individual'!U52</f>
        <v>56</v>
      </c>
      <c r="X10" s="27" t="s">
        <v>117</v>
      </c>
      <c r="Y10" s="27" t="s">
        <v>117</v>
      </c>
      <c r="Z10" s="27" t="s">
        <v>117</v>
      </c>
      <c r="AA10" s="29">
        <f>'V1 · Individual'!O52</f>
        <v>1.35</v>
      </c>
      <c r="AB10" s="27" t="s">
        <v>117</v>
      </c>
      <c r="AC10" s="27" t="s">
        <v>117</v>
      </c>
      <c r="AD10" s="27" t="s">
        <v>117</v>
      </c>
      <c r="AE10" s="27" t="s">
        <v>117</v>
      </c>
      <c r="AF10" s="27" t="s">
        <v>117</v>
      </c>
      <c r="AG10" s="32" t="str">
        <f>IFERROR(AF10/AE10,"-")</f>
        <v>-</v>
      </c>
      <c r="AH10" s="29">
        <f>'V1 · Individual'!R52</f>
        <v>2.4000000000000004</v>
      </c>
      <c r="AI10" s="29">
        <f>'V1 · Individual'!S52</f>
        <v>3.8677123999999998</v>
      </c>
      <c r="AJ10" s="26">
        <f>'V1 · Individual'!T52</f>
        <v>1.6115468333333329</v>
      </c>
      <c r="AK10" s="47">
        <f t="shared" si="3"/>
        <v>56</v>
      </c>
    </row>
    <row r="11" spans="1:37" x14ac:dyDescent="0.3">
      <c r="A11" s="13"/>
      <c r="B11" s="60"/>
      <c r="C11" s="27"/>
      <c r="D11" s="27"/>
      <c r="E11" s="27"/>
      <c r="F11" s="27"/>
      <c r="G11" s="29"/>
      <c r="H11" s="29"/>
      <c r="I11" s="26"/>
      <c r="J11" s="27"/>
      <c r="K11" s="27"/>
      <c r="L11" s="27"/>
      <c r="M11" s="27"/>
      <c r="N11" s="29"/>
      <c r="O11" s="29"/>
      <c r="P11" s="32"/>
      <c r="Q11" s="27"/>
      <c r="R11" s="27"/>
      <c r="S11" s="27"/>
      <c r="T11" s="29"/>
      <c r="U11" s="29"/>
      <c r="V11" s="32"/>
      <c r="W11" s="47"/>
      <c r="X11" s="27"/>
      <c r="Y11" s="27"/>
      <c r="Z11" s="27"/>
      <c r="AA11" s="29"/>
      <c r="AB11" s="27"/>
      <c r="AC11" s="27"/>
      <c r="AD11" s="27"/>
      <c r="AE11" s="27"/>
      <c r="AF11" s="27"/>
      <c r="AG11" s="32"/>
      <c r="AH11" s="29"/>
      <c r="AI11" s="29"/>
      <c r="AJ11" s="26"/>
      <c r="AK11" s="47"/>
    </row>
    <row r="12" spans="1:37" s="49" customFormat="1" x14ac:dyDescent="0.3">
      <c r="A12" s="51" t="s">
        <v>110</v>
      </c>
      <c r="C12" s="40">
        <f>SUM(C5:C10)</f>
        <v>199.22499999999997</v>
      </c>
      <c r="D12" s="40">
        <f>SUM(D5:D10)</f>
        <v>97.334076888000013</v>
      </c>
      <c r="E12" s="52">
        <f>D12/C12</f>
        <v>0.4885635682670349</v>
      </c>
      <c r="F12" s="63">
        <f>SUM(F5:F10)</f>
        <v>314</v>
      </c>
      <c r="G12" s="40">
        <f t="shared" ref="G12:AK12" si="5">SUM(G5:G10)</f>
        <v>0.4</v>
      </c>
      <c r="H12" s="40">
        <f t="shared" si="5"/>
        <v>0</v>
      </c>
      <c r="I12" s="52">
        <f>H12/G12</f>
        <v>0</v>
      </c>
      <c r="J12" s="40">
        <f t="shared" si="5"/>
        <v>325.32499999999999</v>
      </c>
      <c r="K12" s="40">
        <f t="shared" si="5"/>
        <v>59.874721701999988</v>
      </c>
      <c r="L12" s="52">
        <f t="shared" si="5"/>
        <v>0</v>
      </c>
      <c r="M12" s="63">
        <f>SUM(M5:M10)</f>
        <v>87</v>
      </c>
      <c r="N12" s="40">
        <f t="shared" si="5"/>
        <v>5</v>
      </c>
      <c r="O12" s="40">
        <f t="shared" si="5"/>
        <v>5.5104E-2</v>
      </c>
      <c r="P12" s="52">
        <f t="shared" si="5"/>
        <v>1.1020800000000001E-2</v>
      </c>
      <c r="Q12" s="40">
        <f t="shared" si="5"/>
        <v>498</v>
      </c>
      <c r="R12" s="40">
        <f>SUM(R5:R10)</f>
        <v>157.20879858999999</v>
      </c>
      <c r="S12" s="52">
        <f>R12/Q12</f>
        <v>0.31568031845381522</v>
      </c>
      <c r="T12" s="40">
        <f t="shared" si="5"/>
        <v>0</v>
      </c>
      <c r="U12" s="40">
        <f t="shared" si="5"/>
        <v>3.8677123999999998</v>
      </c>
      <c r="V12" s="52" t="e">
        <f t="shared" si="5"/>
        <v>#DIV/0!</v>
      </c>
      <c r="W12" s="40">
        <f t="shared" si="5"/>
        <v>399</v>
      </c>
      <c r="X12" s="40">
        <f t="shared" si="5"/>
        <v>615.5</v>
      </c>
      <c r="Y12" s="40">
        <f t="shared" si="5"/>
        <v>0</v>
      </c>
      <c r="Z12" s="52">
        <f t="shared" si="5"/>
        <v>0</v>
      </c>
      <c r="AA12" s="40">
        <f t="shared" si="5"/>
        <v>1.35</v>
      </c>
      <c r="AB12" s="40">
        <f t="shared" si="5"/>
        <v>0</v>
      </c>
      <c r="AC12" s="52">
        <f t="shared" si="5"/>
        <v>0</v>
      </c>
      <c r="AD12" s="40">
        <f t="shared" si="5"/>
        <v>0</v>
      </c>
      <c r="AE12" s="40">
        <f t="shared" si="5"/>
        <v>1113.5</v>
      </c>
      <c r="AF12" s="40">
        <f t="shared" si="5"/>
        <v>153.34108619</v>
      </c>
      <c r="AG12" s="52">
        <f t="shared" si="5"/>
        <v>1.1946410083104417</v>
      </c>
      <c r="AH12" s="40">
        <f t="shared" si="5"/>
        <v>2.4000000000000004</v>
      </c>
      <c r="AI12" s="40">
        <f t="shared" si="5"/>
        <v>3.8677123999999998</v>
      </c>
      <c r="AJ12" s="52">
        <f t="shared" si="5"/>
        <v>1.6115468333333329</v>
      </c>
      <c r="AK12" s="41">
        <f t="shared" si="5"/>
        <v>399</v>
      </c>
    </row>
  </sheetData>
  <mergeCells count="11">
    <mergeCell ref="X2:Z2"/>
    <mergeCell ref="AA2:AC2"/>
    <mergeCell ref="AE2:AG2"/>
    <mergeCell ref="AH2:AJ2"/>
    <mergeCell ref="A4:AK4"/>
    <mergeCell ref="C2:E2"/>
    <mergeCell ref="G2:I2"/>
    <mergeCell ref="J2:L2"/>
    <mergeCell ref="N2:P2"/>
    <mergeCell ref="Q2:S2"/>
    <mergeCell ref="T2:V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S3" sqref="S3:S9"/>
    </sheetView>
  </sheetViews>
  <sheetFormatPr defaultRowHeight="14.4" x14ac:dyDescent="0.3"/>
  <cols>
    <col min="2" max="2" width="18.77734375" bestFit="1" customWidth="1"/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Pipeline'!$K:$K,"Data Centre",'[1]Opportunity Pipeline'!$Z:$Z,"S1")/10^7</f>
        <v>13.039549279000001</v>
      </c>
      <c r="G3" t="str">
        <f>IFERROR(F3/E3,"-")</f>
        <v>-</v>
      </c>
      <c r="H3" t="s">
        <v>117</v>
      </c>
      <c r="I3" s="25">
        <f>SUMIFS('[2]Opportunity Pipeline '!$O:$O,'[2]Opportunity Pipeline '!$K:$K,"Data Centre",'[2]Opportunity Pipeline '!$Z:$Z,"S1")/10^7</f>
        <v>10.328434012999999</v>
      </c>
      <c r="J3" t="str">
        <f>IFERROR(I3/H3,"-")</f>
        <v>-</v>
      </c>
      <c r="K3" t="s">
        <v>117</v>
      </c>
      <c r="L3" s="25">
        <f>SUM(F3,I3)</f>
        <v>23.367983291999998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455</v>
      </c>
      <c r="R3" s="25">
        <f>SUM(L3,O3)</f>
        <v>23.367983291999998</v>
      </c>
      <c r="S3" s="26">
        <f>IFERROR(R3/Q3,"-")</f>
        <v>5.1358205037362631E-2</v>
      </c>
      <c r="T3">
        <f>COUNTIFS('[1]Opportunity Pipeline'!$K:$K,"Data Centre",'[1]Opportunity Pipeline'!$Z:$Z,"S1")+COUNTIFS('[2]Opportunity Pipeline '!$K:$K,"Data Centre",'[2]Opportunity Pipeline '!$Z:$Z,"S1")</f>
        <v>16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Pipeline'!$K:$K,"Data Centre",'[1]Opportunity Pipeline'!$Z:$Z,"S2")/10^7</f>
        <v>6.033635673</v>
      </c>
      <c r="G4" t="str">
        <f t="shared" ref="G4:G9" si="0">IFERROR(F4/E4,"-")</f>
        <v>-</v>
      </c>
      <c r="H4" t="s">
        <v>117</v>
      </c>
      <c r="I4" s="25">
        <f>SUMIFS('[2]Opportunity Pipeline '!$O:$O,'[2]Opportunity Pipeline '!$K:$K,"Data Centre",'[2]Opportunity Pipeline '!$Z:$Z,"S2")/10^7</f>
        <v>33.943728630999999</v>
      </c>
      <c r="J4" t="str">
        <f t="shared" ref="J4:J9" si="1">IFERROR(I4/H4,"-")</f>
        <v>-</v>
      </c>
      <c r="K4" t="s">
        <v>117</v>
      </c>
      <c r="L4" s="25">
        <f t="shared" ref="L4:L8" si="2">SUM(F4,I4)</f>
        <v>39.977364303999998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225</v>
      </c>
      <c r="R4" s="25">
        <f t="shared" ref="R4:R8" si="4">SUM(L4,O4)</f>
        <v>39.977364303999998</v>
      </c>
      <c r="S4" s="26">
        <f>IFERROR(R4/Q4,"-")</f>
        <v>0.17767717468444444</v>
      </c>
      <c r="T4">
        <f>COUNTIFS('[1]Opportunity Pipeline'!$K:$K,"Data Centre",'[1]Opportunity Pipeline'!$Z:$Z,"S2")+COUNTIFS('[2]Opportunity Pipeline '!$K:$K,"Data Centre",'[2]Opportunity Pipeline '!$Z:$Z,"S2")</f>
        <v>9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Pipeline'!$K:$K,"Data Centre",'[1]Opportunity Pipeline'!$Z:$Z,"CB")/10^7</f>
        <v>8.1258047999999992</v>
      </c>
      <c r="G5" t="str">
        <f t="shared" si="0"/>
        <v>-</v>
      </c>
      <c r="H5" t="s">
        <v>117</v>
      </c>
      <c r="I5" s="25">
        <f>SUMIFS('[2]Opportunity Pipeline '!$O:$O,'[2]Opportunity Pipeline '!$K:$K,"Data Centre",'[2]Opportunity Pipeline '!$Z:$Z,"CB")/10^7</f>
        <v>1.7705</v>
      </c>
      <c r="J5" t="str">
        <f t="shared" si="1"/>
        <v>-</v>
      </c>
      <c r="K5" t="s">
        <v>117</v>
      </c>
      <c r="L5" s="25">
        <f t="shared" si="2"/>
        <v>9.8963047999999993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40</v>
      </c>
      <c r="R5" s="25">
        <f t="shared" si="4"/>
        <v>9.8963047999999993</v>
      </c>
      <c r="S5" s="26">
        <f t="shared" ref="S5:S8" si="5">IFERROR(R5/Q5,"-")</f>
        <v>0.24740761999999999</v>
      </c>
      <c r="T5">
        <f>COUNTIFS('[1]Opportunity Pipeline'!$K:$K,"Data Centre",'[1]Opportunity Pipeline'!$Z:$Z,"CB")+COUNTIFS('[2]Opportunity Pipeline '!$K:$K,"Data Centre",'[2]Opportunity Pipeline '!$Z:$Z,"CB")</f>
        <v>6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Pipeline'!$K:$K,"Data Centre",'[1]Opportunity Pipeline'!$Z:$Z,"GB")/10^7</f>
        <v>0.24379999999999999</v>
      </c>
      <c r="G6" t="str">
        <f t="shared" si="0"/>
        <v>-</v>
      </c>
      <c r="H6" t="s">
        <v>117</v>
      </c>
      <c r="I6" s="25">
        <f>SUMIFS('[2]Opportunity Pipeline '!$O:$O,'[2]Opportunity Pipeline '!$K:$K,"Data Centre",'[2]Opportunity Pipeline '!$Z:$Z,"GB")/10^7</f>
        <v>1.6881E-2</v>
      </c>
      <c r="J6" t="str">
        <f t="shared" si="1"/>
        <v>-</v>
      </c>
      <c r="K6" t="s">
        <v>117</v>
      </c>
      <c r="L6" s="25">
        <f t="shared" si="2"/>
        <v>0.260681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11</v>
      </c>
      <c r="R6" s="25">
        <f t="shared" si="4"/>
        <v>0.260681</v>
      </c>
      <c r="S6" s="26">
        <f t="shared" si="5"/>
        <v>2.3698272727272728E-2</v>
      </c>
      <c r="T6">
        <f>COUNTIFS('[1]Opportunity Pipeline'!$K:$K,"Data Centre",'[1]Opportunity Pipeline'!$Z:$Z,"GB")+COUNTIFS('[2]Opportunity Pipeline '!$K:$K,"Data Centre",'[2]Opportunity Pipeline '!$Z:$Z,"GB")</f>
        <v>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Pipeline'!$K:$K,"Data Centre",'[1]Opportunity Pipeline'!$Z:$Z,"South")/10^7</f>
        <v>5.5533859999999997</v>
      </c>
      <c r="G7" t="str">
        <f t="shared" si="0"/>
        <v>-</v>
      </c>
      <c r="H7" t="s">
        <v>117</v>
      </c>
      <c r="I7" s="25">
        <f>SUMIFS('[2]Opportunity Pipeline '!$O:$O,'[2]Opportunity Pipeline '!$K:$K,"Data Centre",'[2]Opportunity Pipeline '!$Z:$Z,"South")/10^7</f>
        <v>2.29943498</v>
      </c>
      <c r="J7" t="str">
        <f t="shared" si="1"/>
        <v>-</v>
      </c>
      <c r="K7" t="s">
        <v>117</v>
      </c>
      <c r="L7" s="25">
        <f t="shared" si="2"/>
        <v>7.8528209799999997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14</v>
      </c>
      <c r="R7" s="25">
        <f t="shared" si="4"/>
        <v>7.8528209799999997</v>
      </c>
      <c r="S7" s="26">
        <f t="shared" si="5"/>
        <v>0.56091578428571431</v>
      </c>
      <c r="T7">
        <f>COUNTIFS('[1]Opportunity Pipeline'!$K:$K,"Data Centre",'[1]Opportunity Pipeline'!$Z:$Z,"South")+COUNTIFS('[2]Opportunity Pipeline '!$K:$K,"Data Centre",'[2]Opportunity Pipeline '!$Z:$Z,"South")</f>
        <v>13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Pipeline'!$K:$K,"Data Centre",'[1]Opportunity Pipeline'!$Z:$Z,"Geo X")/10^7</f>
        <v>0</v>
      </c>
      <c r="G8" t="str">
        <f t="shared" si="0"/>
        <v>-</v>
      </c>
      <c r="H8" t="s">
        <v>117</v>
      </c>
      <c r="I8" s="25">
        <f>SUMIFS('[2]Opportunity Pipeline '!$O:$O,'[2]Opportunity Pipeline '!$K:$K,"Data Centre",'[2]Opportunity Pipeline '!$Z:$Z,"GeoX")/10^7</f>
        <v>1.6375000000000001E-2</v>
      </c>
      <c r="J8" t="str">
        <f t="shared" si="1"/>
        <v>-</v>
      </c>
      <c r="K8" t="s">
        <v>117</v>
      </c>
      <c r="L8" s="25">
        <f t="shared" si="2"/>
        <v>1.6375000000000001E-2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10</v>
      </c>
      <c r="R8" s="25">
        <f t="shared" si="4"/>
        <v>1.6375000000000001E-2</v>
      </c>
      <c r="S8" s="26">
        <f t="shared" si="5"/>
        <v>1.6375000000000001E-3</v>
      </c>
      <c r="T8">
        <f>COUNTIFS('[1]Opportunity Pipeline'!$K:$K,"Data Centre",'[1]Opportunity Pipeline'!$Z:$Z,"Geo X")+COUNTIFS('[2]Opportunity Pipeline '!$K:$K,"Data Centre",'[2]Opportunity Pipeline '!$Z:$Z,"GeoX")</f>
        <v>1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32.996175751999999</v>
      </c>
      <c r="G9" s="49" t="str">
        <f t="shared" si="0"/>
        <v>-</v>
      </c>
      <c r="H9" s="49" t="s">
        <v>117</v>
      </c>
      <c r="I9" s="50">
        <f>SUM(I3:I8)</f>
        <v>48.375353623999992</v>
      </c>
      <c r="J9" s="49" t="str">
        <f t="shared" si="1"/>
        <v>-</v>
      </c>
      <c r="K9" s="49" t="s">
        <v>117</v>
      </c>
      <c r="L9" s="50">
        <f>SUM(L3:L8)</f>
        <v>81.371529375999998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755</v>
      </c>
      <c r="R9" s="50">
        <f>SUM(R3:R8)</f>
        <v>81.371529375999998</v>
      </c>
      <c r="S9" s="52">
        <f>IFERROR(R9/Q9,"-")</f>
        <v>0.10777686010066224</v>
      </c>
      <c r="T9" s="49">
        <f>SUM(T3:T8)</f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S3" sqref="S3:S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Pipeline'!$K:$K,"Cyber Security &amp; Networking",'[1]Opportunity Pipeline'!$Z:$Z,"S1")/10^7</f>
        <v>11.430924178</v>
      </c>
      <c r="G3" t="str">
        <f>IFERROR(F3/E3,"-")</f>
        <v>-</v>
      </c>
      <c r="H3" t="s">
        <v>117</v>
      </c>
      <c r="I3" s="25">
        <f>SUMIFS('[2]Opportunity Pipeline '!$O:$O,'[2]Opportunity Pipeline '!$K:$K,"Cyber Security &amp; Networking",'[2]Opportunity Pipeline '!$Z:$Z,"S1")/10^7</f>
        <v>2.585</v>
      </c>
      <c r="J3" t="str">
        <f>IFERROR(I3/H3,"-")</f>
        <v>-</v>
      </c>
      <c r="K3" t="s">
        <v>117</v>
      </c>
      <c r="L3" s="25">
        <f>SUM(F3,I3)</f>
        <v>14.015924177999999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90</v>
      </c>
      <c r="R3" s="25">
        <f>SUM(L3,O3)</f>
        <v>14.015924177999999</v>
      </c>
      <c r="S3" s="26">
        <f>IFERROR(R3/Q3,"-")</f>
        <v>0.15573249086666666</v>
      </c>
      <c r="T3">
        <f>COUNTIFS('[1]Opportunity Pipeline'!$K:$K,"Cyber Security &amp; Networking",'[1]Opportunity Pipeline'!$Z:$Z,"S1")+COUNTIFS('[2]Opportunity Pipeline '!$K:$K,"Cyber Security &amp; Networking",'[2]Opportunity Pipeline '!$Z:$Z,"S1")</f>
        <v>18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Pipeline'!$K:$K,"Cyber Security &amp; Networking",'[1]Opportunity Pipeline'!$Z:$Z,"S2")/10^7</f>
        <v>1.9310274550000002</v>
      </c>
      <c r="G4" t="str">
        <f t="shared" ref="G4:G9" si="0">IFERROR(F4/E4,"-")</f>
        <v>-</v>
      </c>
      <c r="H4" t="s">
        <v>117</v>
      </c>
      <c r="I4" s="25">
        <f>SUMIFS('[2]Opportunity Pipeline '!$O:$O,'[2]Opportunity Pipeline '!$K:$K,"Cyber Security &amp; Networking",'[2]Opportunity Pipeline '!$Z:$Z,"S2")/10^7</f>
        <v>0.39832526299999998</v>
      </c>
      <c r="J4" t="str">
        <f t="shared" ref="J4:J9" si="1">IFERROR(I4/H4,"-")</f>
        <v>-</v>
      </c>
      <c r="K4" t="s">
        <v>117</v>
      </c>
      <c r="L4" s="25">
        <f t="shared" ref="L4:L8" si="2">SUM(F4,I4)</f>
        <v>2.329352718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30</v>
      </c>
      <c r="R4" s="25">
        <f t="shared" ref="R4:R8" si="4">SUM(L4,O4)</f>
        <v>2.329352718</v>
      </c>
      <c r="S4" s="26">
        <f>IFERROR(R4/Q4,"-")</f>
        <v>7.7645090599999994E-2</v>
      </c>
      <c r="T4">
        <f>COUNTIFS('[1]Opportunity Pipeline'!$K:$K,"Cyber Security &amp; Networking",'[1]Opportunity Pipeline'!$Z:$Z,"S2")+COUNTIFS('[2]Opportunity Pipeline '!$K:$K,"Cyber Security &amp; Networking",'[2]Opportunity Pipeline '!$Z:$Z,"S2")</f>
        <v>18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Pipeline'!$K:$K,"Cyber Security &amp; Networking",'[1]Opportunity Pipeline'!$Z:$Z,"CB")/10^7</f>
        <v>5.8855196000000003</v>
      </c>
      <c r="G5" t="str">
        <f t="shared" si="0"/>
        <v>-</v>
      </c>
      <c r="H5" t="s">
        <v>117</v>
      </c>
      <c r="I5" s="25">
        <f>SUMIFS('[2]Opportunity Pipeline '!$O:$O,'[2]Opportunity Pipeline '!$K:$K,"Cyber Security &amp; Networking",'[2]Opportunity Pipeline '!$Z:$Z,"CB")/10^7</f>
        <v>0</v>
      </c>
      <c r="J5" t="str">
        <f t="shared" si="1"/>
        <v>-</v>
      </c>
      <c r="K5" t="s">
        <v>117</v>
      </c>
      <c r="L5" s="25">
        <f t="shared" si="2"/>
        <v>5.8855196000000003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24</v>
      </c>
      <c r="R5" s="25">
        <f t="shared" si="4"/>
        <v>5.8855196000000003</v>
      </c>
      <c r="S5" s="26">
        <f t="shared" ref="S5:S8" si="5">IFERROR(R5/Q5,"-")</f>
        <v>0.24522998333333335</v>
      </c>
      <c r="T5">
        <f>COUNTIFS('[1]Opportunity Pipeline'!$K:$K,"Cyber Security &amp; Networking",'[1]Opportunity Pipeline'!$Z:$Z,"CB")+COUNTIFS('[2]Opportunity Pipeline '!$K:$K,"Cyber Security &amp; Networking",'[2]Opportunity Pipeline '!$Z:$Z,"CB")</f>
        <v>6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Pipeline'!$K:$K,"Cyber Security &amp; Networking",'[1]Opportunity Pipeline'!$Z:$Z,"GB")/10^7</f>
        <v>5.6325778609999997</v>
      </c>
      <c r="G6" t="str">
        <f t="shared" si="0"/>
        <v>-</v>
      </c>
      <c r="H6" t="s">
        <v>117</v>
      </c>
      <c r="I6" s="25">
        <f>SUMIFS('[2]Opportunity Pipeline '!$O:$O,'[2]Opportunity Pipeline '!$K:$K,"Cyber Security &amp; Networking",'[2]Opportunity Pipeline '!$Z:$Z,"GB")/10^7</f>
        <v>0.91121249999999998</v>
      </c>
      <c r="J6" t="str">
        <f t="shared" si="1"/>
        <v>-</v>
      </c>
      <c r="K6" t="s">
        <v>117</v>
      </c>
      <c r="L6" s="25">
        <f t="shared" si="2"/>
        <v>6.5437903609999992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20</v>
      </c>
      <c r="R6" s="25">
        <f t="shared" si="4"/>
        <v>6.5437903609999992</v>
      </c>
      <c r="S6" s="26">
        <f t="shared" si="5"/>
        <v>0.32718951804999996</v>
      </c>
      <c r="T6">
        <f>COUNTIFS('[1]Opportunity Pipeline'!$K:$K,"Cyber Security &amp; Networking",'[1]Opportunity Pipeline'!$Z:$Z,"GB")+COUNTIFS('[2]Opportunity Pipeline '!$K:$K,"Cyber Security &amp; Networking",'[2]Opportunity Pipeline '!$Z:$Z,"GB")</f>
        <v>23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Pipeline'!$K:$K,"Cyber Security &amp; Networking",'[1]Opportunity Pipeline'!$Z:$Z,"South")/10^7</f>
        <v>0.54564550000000001</v>
      </c>
      <c r="G7" t="str">
        <f t="shared" si="0"/>
        <v>-</v>
      </c>
      <c r="H7" t="s">
        <v>117</v>
      </c>
      <c r="I7" s="25">
        <f>SUMIFS('[2]Opportunity Pipeline '!$O:$O,'[2]Opportunity Pipeline '!$K:$K,"Cyber Security &amp; Networking",'[2]Opportunity Pipeline '!$Z:$Z,"South")/10^7</f>
        <v>0.1512261</v>
      </c>
      <c r="J7" t="str">
        <f t="shared" si="1"/>
        <v>-</v>
      </c>
      <c r="K7" t="s">
        <v>117</v>
      </c>
      <c r="L7" s="25">
        <f t="shared" si="2"/>
        <v>0.69687160000000004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</v>
      </c>
      <c r="R7" s="25">
        <f t="shared" si="4"/>
        <v>0.69687160000000004</v>
      </c>
      <c r="S7" s="26">
        <f t="shared" si="5"/>
        <v>0.69687160000000004</v>
      </c>
      <c r="T7">
        <f>COUNTIFS('[1]Opportunity Pipeline'!$K:$K,"Cyber Security &amp; Networking",'[1]Opportunity Pipeline'!$Z:$Z,"South")+COUNTIFS('[2]Opportunity Pipeline '!$K:$K,"Cyber Security &amp; Networking",'[2]Opportunity Pipeline '!$Z:$Z,"South")</f>
        <v>20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Pipeline'!$K:$K,"Cyber Security &amp; Networking",'[1]Opportunity Pipeline'!$Z:$Z,"Geo X")/10^7</f>
        <v>1.7841852</v>
      </c>
      <c r="G8" t="str">
        <f t="shared" si="0"/>
        <v>-</v>
      </c>
      <c r="H8" t="s">
        <v>117</v>
      </c>
      <c r="I8" s="25">
        <f>SUMIFS('[2]Opportunity Pipeline '!$O:$O,'[2]Opportunity Pipeline '!$K:$K,"Cyber Security &amp; Networking",'[2]Opportunity Pipeline '!$Z:$Z,"GeoX")/10^7</f>
        <v>0</v>
      </c>
      <c r="J8" t="str">
        <f t="shared" si="1"/>
        <v>-</v>
      </c>
      <c r="K8" t="s">
        <v>117</v>
      </c>
      <c r="L8" s="25">
        <f t="shared" si="2"/>
        <v>1.7841852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20</v>
      </c>
      <c r="R8" s="25">
        <f t="shared" si="4"/>
        <v>1.7841852</v>
      </c>
      <c r="S8" s="26">
        <f t="shared" si="5"/>
        <v>8.9209259999999999E-2</v>
      </c>
      <c r="T8">
        <f>COUNTIFS('[1]Opportunity Pipeline'!$K:$K,"Cyber Security &amp; Networking",'[1]Opportunity Pipeline'!$Z:$Z,"Geo X")+COUNTIFS('[2]Opportunity Pipeline '!$K:$K,"Cyber Security &amp; Networking",'[2]Opportunity Pipeline '!$Z:$Z,"Geox")</f>
        <v>7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27.209879793999999</v>
      </c>
      <c r="G9" s="49" t="str">
        <f t="shared" si="0"/>
        <v>-</v>
      </c>
      <c r="H9" s="49" t="s">
        <v>117</v>
      </c>
      <c r="I9" s="50">
        <f>SUM(I3:I8)</f>
        <v>4.0457638629999995</v>
      </c>
      <c r="J9" s="49" t="str">
        <f t="shared" si="1"/>
        <v>-</v>
      </c>
      <c r="K9" s="49" t="s">
        <v>117</v>
      </c>
      <c r="L9" s="50">
        <f>SUM(L3:L8)</f>
        <v>31.255643656999997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185</v>
      </c>
      <c r="R9" s="50">
        <f>SUM(R3:R8)</f>
        <v>31.255643656999997</v>
      </c>
      <c r="S9" s="52">
        <f>IFERROR(R9/Q9,"-")</f>
        <v>0.16894942517297296</v>
      </c>
      <c r="T9" s="49">
        <f>SUM(T3:T8)</f>
        <v>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workbookViewId="0">
      <selection activeCell="S3" sqref="S3:S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Pipeline'!$K:$K,"Professional Services",'[1]Opportunity Pipeline'!$Z:$Z,"S1")/10^7</f>
        <v>1.5529837</v>
      </c>
      <c r="G3" t="s">
        <v>117</v>
      </c>
      <c r="H3" t="s">
        <v>117</v>
      </c>
      <c r="I3" s="25">
        <f>SUMIFS('[2]Opportunity Pipeline '!$O:$O,'[2]Opportunity Pipeline '!$K:$K,"Professional Services",'[2]Opportunity Pipeline '!$Z:$Z,"S1")/10^7</f>
        <v>0.104</v>
      </c>
      <c r="J3" t="s">
        <v>117</v>
      </c>
      <c r="K3" t="s">
        <v>117</v>
      </c>
      <c r="L3" s="25">
        <f>SUM(F3,I3)</f>
        <v>1.6569837000000001</v>
      </c>
      <c r="M3" t="s">
        <v>117</v>
      </c>
      <c r="N3" t="s">
        <v>117</v>
      </c>
      <c r="O3" t="s">
        <v>117</v>
      </c>
      <c r="P3" t="s">
        <v>117</v>
      </c>
      <c r="Q3">
        <v>2</v>
      </c>
      <c r="R3" s="25">
        <f>SUM(L3,O3)</f>
        <v>1.6569837000000001</v>
      </c>
      <c r="S3" s="26">
        <f>IFERROR(R3/Q3,"-")</f>
        <v>0.82849185000000003</v>
      </c>
      <c r="T3">
        <f>COUNTIFS('[1]Opportunity Pipeline'!$K:$K,"Professional Services",'[1]Opportunity Pipeline'!$Z:$Z,"S1")+COUNTIFS('[2]Opportunity Pipeline '!$K:$K,"Professional Services",'[2]Opportunity Pipeline '!$Z:$Z,"S1")</f>
        <v>7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Pipeline'!$K:$K,"Professional Services",'[1]Opportunity Pipeline'!$Z:$Z,"S2")/10^7</f>
        <v>7.1341840000000003</v>
      </c>
      <c r="G4" t="s">
        <v>117</v>
      </c>
      <c r="H4" t="s">
        <v>117</v>
      </c>
      <c r="I4" s="25">
        <f>SUMIFS('[2]Opportunity Pipeline '!$O:$O,'[2]Opportunity Pipeline '!$K:$K,"Professional Services",'[2]Opportunity Pipeline '!$Z:$Z,"S2")/10^7</f>
        <v>0.49</v>
      </c>
      <c r="J4" t="s">
        <v>117</v>
      </c>
      <c r="K4" t="s">
        <v>117</v>
      </c>
      <c r="L4" s="25">
        <f t="shared" ref="L4:L8" si="0">SUM(F4,I4)</f>
        <v>7.6241840000000005</v>
      </c>
      <c r="M4" t="s">
        <v>117</v>
      </c>
      <c r="N4" t="s">
        <v>117</v>
      </c>
      <c r="O4" t="s">
        <v>117</v>
      </c>
      <c r="P4" t="s">
        <v>117</v>
      </c>
      <c r="Q4">
        <v>3</v>
      </c>
      <c r="R4" s="25">
        <f t="shared" ref="R4:R8" si="1">SUM(L4,O4)</f>
        <v>7.6241840000000005</v>
      </c>
      <c r="S4" s="26">
        <f>IFERROR(R4/Q4,"-")</f>
        <v>2.5413946666666667</v>
      </c>
      <c r="T4">
        <f>COUNTIFS('[1]Opportunity Pipeline'!$K:$K,"Professional Services",'[1]Opportunity Pipeline'!$Z:$Z,"S2")+COUNTIFS('[2]Opportunity Pipeline '!$K:$K,"Professional Services",'[2]Opportunity Pipeline '!$Z:$Z,"S2")</f>
        <v>4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Pipeline'!$K:$K,"Professional Services",'[1]Opportunity Pipeline'!$Z:$Z,"CB")/10^7</f>
        <v>0</v>
      </c>
      <c r="G5" t="s">
        <v>117</v>
      </c>
      <c r="H5" t="s">
        <v>117</v>
      </c>
      <c r="I5" s="25">
        <f>SUMIFS('[2]Opportunity Pipeline '!$O:$O,'[2]Opportunity Pipeline '!$K:$K,"Professional Services",'[2]Opportunity Pipeline '!$Z:$Z,"CB")/10^7</f>
        <v>0</v>
      </c>
      <c r="J5" t="s">
        <v>117</v>
      </c>
      <c r="K5" t="s">
        <v>117</v>
      </c>
      <c r="L5" s="25">
        <f t="shared" si="0"/>
        <v>0</v>
      </c>
      <c r="M5" t="s">
        <v>117</v>
      </c>
      <c r="N5" t="s">
        <v>117</v>
      </c>
      <c r="O5" t="s">
        <v>117</v>
      </c>
      <c r="P5" t="s">
        <v>117</v>
      </c>
      <c r="Q5">
        <v>10</v>
      </c>
      <c r="R5" s="25">
        <f t="shared" si="1"/>
        <v>0</v>
      </c>
      <c r="S5" s="26">
        <f t="shared" ref="S5:S8" si="2">IFERROR(R5/Q5,"-")</f>
        <v>0</v>
      </c>
      <c r="T5">
        <f>COUNTIFS('[1]Opportunity Pipeline'!$K:$K,"Professional Services",'[1]Opportunity Pipeline'!$Z:$Z,"CB")+COUNTIFS('[2]Opportunity Pipeline '!$K:$K,"Professional Services",'[2]Opportunity Pipeline '!$Z:$Z,"CB")</f>
        <v>0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Pipeline'!$K:$K,"Professional Services",'[1]Opportunity Pipeline'!$Z:$Z,"GB")/10^7</f>
        <v>0.28294595699999997</v>
      </c>
      <c r="G6" t="s">
        <v>117</v>
      </c>
      <c r="H6" t="s">
        <v>117</v>
      </c>
      <c r="I6" s="25">
        <f>SUMIFS('[2]Opportunity Pipeline '!$O:$O,'[2]Opportunity Pipeline '!$K:$K,"Professional Services",'[2]Opportunity Pipeline '!$Z:$Z,"GB")/10^7</f>
        <v>6.9636500000000004E-2</v>
      </c>
      <c r="J6" t="s">
        <v>117</v>
      </c>
      <c r="K6" t="s">
        <v>117</v>
      </c>
      <c r="L6" s="25">
        <f t="shared" si="0"/>
        <v>0.35258245699999996</v>
      </c>
      <c r="M6" t="s">
        <v>117</v>
      </c>
      <c r="N6" t="s">
        <v>117</v>
      </c>
      <c r="O6" t="s">
        <v>117</v>
      </c>
      <c r="P6" t="s">
        <v>117</v>
      </c>
      <c r="Q6">
        <v>5</v>
      </c>
      <c r="R6" s="25">
        <f t="shared" si="1"/>
        <v>0.35258245699999996</v>
      </c>
      <c r="S6" s="26">
        <f t="shared" si="2"/>
        <v>7.0516491399999992E-2</v>
      </c>
      <c r="T6">
        <f>COUNTIFS('[1]Opportunity Pipeline'!$K:$K,"Professional Services",'[1]Opportunity Pipeline'!$Z:$Z,"GB")+COUNTIFS('[2]Opportunity Pipeline '!$K:$K,"Professional Services",'[2]Opportunity Pipeline '!$Z:$Z,"GB")</f>
        <v>11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Pipeline'!$K:$K,"Professional Services",'[1]Opportunity Pipeline'!$Z:$Z,"South")/10^7</f>
        <v>0</v>
      </c>
      <c r="G7" t="s">
        <v>117</v>
      </c>
      <c r="H7" t="s">
        <v>117</v>
      </c>
      <c r="I7" s="25">
        <f>SUMIFS('[2]Opportunity Pipeline '!$O:$O,'[2]Opportunity Pipeline '!$K:$K,"Professional Services",'[2]Opportunity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</v>
      </c>
      <c r="R7" s="25">
        <f t="shared" si="1"/>
        <v>0</v>
      </c>
      <c r="S7" s="26">
        <f t="shared" si="2"/>
        <v>0</v>
      </c>
      <c r="T7">
        <f>COUNTIFS('[1]Opportunity Pipeline'!$K:$K,"Professional Services",'[1]Opportunity Pipeline'!$Z:$Z,"South")+COUNTIFS('[2]Opportunity Pipeline '!$K:$K,"Professional Services",'[2]Opportunity Pipeline '!$Z:$Z,"South")</f>
        <v>0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Pipeline'!$K:$K,"Professional Services",'[1]Opportunity Pipeline'!$Z:$Z,"Geo X")/10^7</f>
        <v>0.50791580000000003</v>
      </c>
      <c r="G8" t="s">
        <v>117</v>
      </c>
      <c r="H8" t="s">
        <v>117</v>
      </c>
      <c r="I8" s="25">
        <f>SUMIFS('[2]Opportunity Pipeline '!$O:$O,'[2]Opportunity Pipeline '!$K:$K,"Professional Services",'[2]Opportunity Pipeline '!$Z:$Z,"GeoX")/10^7</f>
        <v>3.8729E-2</v>
      </c>
      <c r="J8" t="s">
        <v>117</v>
      </c>
      <c r="K8" t="s">
        <v>117</v>
      </c>
      <c r="L8" s="25">
        <f t="shared" si="0"/>
        <v>0.54664480000000004</v>
      </c>
      <c r="M8" t="s">
        <v>117</v>
      </c>
      <c r="N8" t="s">
        <v>117</v>
      </c>
      <c r="O8" t="s">
        <v>117</v>
      </c>
      <c r="P8" t="s">
        <v>117</v>
      </c>
      <c r="Q8">
        <v>5</v>
      </c>
      <c r="R8" s="25">
        <f t="shared" si="1"/>
        <v>0.54664480000000004</v>
      </c>
      <c r="S8" s="26">
        <f t="shared" si="2"/>
        <v>0.10932896</v>
      </c>
      <c r="T8">
        <f>COUNTIFS('[1]Opportunity Pipeline'!$K:$K,"Professional Services",'[1]Opportunity Pipeline'!$Z:$Z,"Geo X")+COUNTIFS('[2]Opportunity Pipeline '!$K:$K,"Professional Services",'[2]Opportunity Pipeline '!$Z:$Z,"Geox")</f>
        <v>6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9.4780294569999999</v>
      </c>
      <c r="G9" s="49" t="s">
        <v>117</v>
      </c>
      <c r="H9" s="49" t="s">
        <v>117</v>
      </c>
      <c r="I9" s="50">
        <f>SUM(I3:I8)</f>
        <v>0.70236549999999998</v>
      </c>
      <c r="J9" s="49" t="s">
        <v>117</v>
      </c>
      <c r="K9" s="49" t="s">
        <v>117</v>
      </c>
      <c r="L9" s="50">
        <f>SUM(L3:L8)</f>
        <v>10.180394957000001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26</v>
      </c>
      <c r="R9" s="50">
        <f>SUM(R3:R8)</f>
        <v>10.180394957000001</v>
      </c>
      <c r="S9" s="52">
        <f>IFERROR(R9/Q9,"-")</f>
        <v>0.3915536521923077</v>
      </c>
      <c r="T9" s="49">
        <f>SUM(T3:T8)</f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S3" sqref="S3:S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Pipeline'!$K:$K,"CSG (EndPoint)",'[1]Opportunity Pipeline'!$Z:$Z,"S1")/10^7</f>
        <v>10.894035536000001</v>
      </c>
      <c r="G3" t="s">
        <v>117</v>
      </c>
      <c r="H3" t="s">
        <v>117</v>
      </c>
      <c r="I3" s="25">
        <f>SUMIFS('[2]Opportunity Pipeline '!$O:$O,'[2]Opportunity Pipeline '!$K:$K,"CSG (EndPoint)",'[2]Opportunity Pipeline '!$Z:$Z,"S1")/10^7</f>
        <v>5.0905024149999996</v>
      </c>
      <c r="J3" t="s">
        <v>117</v>
      </c>
      <c r="K3" t="s">
        <v>117</v>
      </c>
      <c r="L3" s="25">
        <f>SUM(F3,I3)</f>
        <v>15.984537951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15.984537951</v>
      </c>
      <c r="S3" s="26">
        <f>IFERROR(R3/Q3,"-")</f>
        <v>0.43201453921621624</v>
      </c>
      <c r="T3">
        <f>COUNTIFS('[1]Opportunity Pipeline'!$K:$K,"CSG (Endpoint)",'[1]Opportunity Pipeline'!$Z:$Z,"S1")+COUNTIFS('[2]Opportunity Pipeline '!$K:$K,"CSG (Endpoint)",'[2]Opportunity Pipeline '!$Z:$Z,"S1")</f>
        <v>84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Pipeline'!$K:$K,"CSG (EndPoint)",'[1]Opportunity Pipeline'!$Z:$Z,"S2")/10^7</f>
        <v>0.29772340000000003</v>
      </c>
      <c r="G4" t="s">
        <v>117</v>
      </c>
      <c r="H4" t="s">
        <v>117</v>
      </c>
      <c r="I4" s="25">
        <f>SUMIFS('[2]Opportunity Pipeline '!$O:$O,'[2]Opportunity Pipeline '!$K:$K,"CSG (EndPoint)",'[2]Opportunity Pipeline '!$Z:$Z,"S2")/10^7</f>
        <v>1.0007516999999999</v>
      </c>
      <c r="J4" t="s">
        <v>117</v>
      </c>
      <c r="K4" t="s">
        <v>117</v>
      </c>
      <c r="L4" s="25">
        <f t="shared" ref="L4:L8" si="0">SUM(F4,I4)</f>
        <v>1.2984750999999999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1.2984750999999999</v>
      </c>
      <c r="S4" s="26">
        <f>IFERROR(R4/Q4,"-")</f>
        <v>3.0916073809523808E-2</v>
      </c>
      <c r="T4">
        <f>COUNTIFS('[1]Opportunity Pipeline'!$K:$K,"CSG (Endpoint)",'[1]Opportunity Pipeline'!$Z:$Z,"S2")+COUNTIFS('[2]Opportunity Pipeline '!$K:$K,"CSG (Endpoint)",'[2]Opportunity Pipeline '!$Z:$Z,"S2")</f>
        <v>10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Pipeline'!$K:$K,"CSG (EndPoint)",'[1]Opportunity Pipeline'!$Z:$Z,"CB")/10^7</f>
        <v>0.24002599999999999</v>
      </c>
      <c r="G5" t="s">
        <v>117</v>
      </c>
      <c r="H5" t="s">
        <v>117</v>
      </c>
      <c r="I5" s="25">
        <f>SUMIFS('[2]Opportunity Pipeline '!$O:$O,'[2]Opportunity Pipeline '!$K:$K,"CSG (EndPoint)",'[2]Opportunity Pipeline '!$Z:$Z,"CB")/10^7</f>
        <v>0</v>
      </c>
      <c r="J5" t="s">
        <v>117</v>
      </c>
      <c r="K5" t="s">
        <v>117</v>
      </c>
      <c r="L5" s="25">
        <f t="shared" si="0"/>
        <v>0.24002599999999999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0.24002599999999999</v>
      </c>
      <c r="S5" s="26">
        <f t="shared" ref="S5:S8" si="2">IFERROR(R5/Q5,"-")</f>
        <v>8.0008666666666669E-3</v>
      </c>
      <c r="T5">
        <f>COUNTIFS('[1]Opportunity Pipeline'!$K:$K,"CSG (Endpoint)",'[1]Opportunity Pipeline'!$Z:$Z,"CB")+COUNTIFS('[2]Opportunity Pipeline '!$K:$K,"CSG (Endpoint)",'[2]Opportunity Pipeline '!$Z:$Z,"CB")</f>
        <v>12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Pipeline'!$K:$K,"CSG (EndPoint)",'[1]Opportunity Pipeline'!$Z:$Z,"GB")/10^7</f>
        <v>7.8676617000000002</v>
      </c>
      <c r="G6" t="s">
        <v>117</v>
      </c>
      <c r="H6" t="s">
        <v>117</v>
      </c>
      <c r="I6" s="25">
        <f>SUMIFS('[2]Opportunity Pipeline '!$O:$O,'[2]Opportunity Pipeline '!$K:$K,"CSG (EndPoint)",'[2]Opportunity Pipeline '!$Z:$Z,"GB")/10^7</f>
        <v>0.29390359999999999</v>
      </c>
      <c r="J6" t="s">
        <v>117</v>
      </c>
      <c r="K6" t="s">
        <v>117</v>
      </c>
      <c r="L6" s="25">
        <f t="shared" si="0"/>
        <v>8.1615652999999995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8.1615652999999995</v>
      </c>
      <c r="S6" s="26" t="str">
        <f t="shared" si="2"/>
        <v>-</v>
      </c>
      <c r="T6">
        <f>COUNTIFS('[1]Opportunity Pipeline'!$K:$K,"CSG (Endpoint)",'[1]Opportunity Pipeline'!$Z:$Z,"GB")+COUNTIFS('[2]Opportunity Pipeline '!$K:$K,"CSG (Endpoint)",'[2]Opportunity Pipeline '!$Z:$Z,"GB")</f>
        <v>23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Pipeline'!$K:$K,"CSG (EndPoint)",'[1]Opportunity Pipeline'!$Z:$Z,"South")/10^7</f>
        <v>4.1905953890000003</v>
      </c>
      <c r="G7" t="s">
        <v>117</v>
      </c>
      <c r="H7" t="s">
        <v>117</v>
      </c>
      <c r="I7" s="25">
        <f>SUMIFS('[2]Opportunity Pipeline '!$O:$O,'[2]Opportunity Pipeline '!$K:$K,"CSG (EndPoint)",'[2]Opportunity Pipeline '!$Z:$Z,"South")/10^7</f>
        <v>0.58404</v>
      </c>
      <c r="J7" t="s">
        <v>117</v>
      </c>
      <c r="K7" t="s">
        <v>117</v>
      </c>
      <c r="L7" s="25">
        <f t="shared" si="0"/>
        <v>4.7746353890000002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4.7746353890000002</v>
      </c>
      <c r="S7" s="26">
        <f t="shared" si="2"/>
        <v>0.2652575216111111</v>
      </c>
      <c r="T7">
        <f>COUNTIFS('[1]Opportunity Pipeline'!$K:$K,"CSG (Endpoint)",'[1]Opportunity Pipeline'!$Z:$Z,"South")+COUNTIFS('[2]Opportunity Pipeline '!$K:$K,"CSG (Endpoint)",'[2]Opportunity Pipeline '!$Z:$Z,"South")</f>
        <v>39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Pipeline'!$K:$K,"CSG (EndPoint)",'[1]Opportunity Pipeline'!$Z:$Z,"Geo X")/10^7</f>
        <v>1.4018849</v>
      </c>
      <c r="G8" t="s">
        <v>117</v>
      </c>
      <c r="H8" t="s">
        <v>117</v>
      </c>
      <c r="I8" s="25">
        <f>SUMIFS('[2]Opportunity Pipeline '!$O:$O,'[2]Opportunity Pipeline '!$K:$K,"CSG (EndPoint)",'[2]Opportunity Pipeline '!$Z:$Z,"GeoX")/10^7</f>
        <v>0</v>
      </c>
      <c r="J8" t="s">
        <v>117</v>
      </c>
      <c r="K8" t="s">
        <v>117</v>
      </c>
      <c r="L8" s="25">
        <f t="shared" si="0"/>
        <v>1.4018849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1.4018849</v>
      </c>
      <c r="S8" s="26">
        <f t="shared" si="2"/>
        <v>0.1752356125</v>
      </c>
      <c r="T8">
        <f>COUNTIFS('[1]Opportunity Pipeline'!$K:$K,"CSG (Endpoint)",'[1]Opportunity Pipeline'!$Z:$Z,"Geo X")+COUNTIFS('[2]Opportunity Pipeline '!$K:$K,"CSG (Endpoint)",'[2]Opportunity Pipeline '!$Z:$Z,"Geox")</f>
        <v>41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24.891926925</v>
      </c>
      <c r="G9" s="49" t="s">
        <v>117</v>
      </c>
      <c r="H9" s="49" t="s">
        <v>117</v>
      </c>
      <c r="I9" s="49" t="s">
        <v>117</v>
      </c>
      <c r="J9" s="49" t="s">
        <v>117</v>
      </c>
      <c r="K9" s="49" t="s">
        <v>117</v>
      </c>
      <c r="L9" s="50">
        <f>SUM(L3:L8)</f>
        <v>31.86112464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31.86112464</v>
      </c>
      <c r="S9" s="52">
        <f>IFERROR(R9/Q9,"-")</f>
        <v>0.23600833066666665</v>
      </c>
      <c r="T9" s="49">
        <f>SUM(T3:T8)</f>
        <v>209</v>
      </c>
    </row>
    <row r="10" spans="1:25" x14ac:dyDescent="0.3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tabSelected="1" zoomScale="115" zoomScaleNormal="115" workbookViewId="0">
      <selection activeCell="O2" sqref="O2"/>
    </sheetView>
  </sheetViews>
  <sheetFormatPr defaultRowHeight="14.4" x14ac:dyDescent="0.3"/>
  <sheetData>
    <row r="1" spans="1:20" ht="27.75" customHeight="1" x14ac:dyDescent="0.3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SUMIFS('[1]Opportunity Pipeline'!$O:$O,'[1]Opportunity Pipeline'!$K:$K,"Cloud",'[1]Opportunity Pipeline'!$Z:$Z,"S1")/10^7</f>
        <v>0</v>
      </c>
      <c r="G3" t="s">
        <v>117</v>
      </c>
      <c r="H3" t="s">
        <v>117</v>
      </c>
      <c r="I3" s="25">
        <f>SUMIFS('[2]Opportunity Pipeline '!$O:$O,'[2]Opportunity Pipeline '!$K:$K,"Cloud",'[2]Opportunity Pipeline '!$Z:$Z,"S1")/10^7</f>
        <v>0</v>
      </c>
      <c r="J3" t="s">
        <v>117</v>
      </c>
      <c r="K3" t="s">
        <v>117</v>
      </c>
      <c r="L3" s="25">
        <f>SUM(F3,I3)</f>
        <v>0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0</v>
      </c>
      <c r="S3" s="26">
        <f>IFERROR(R3/Q3,"-")</f>
        <v>0</v>
      </c>
      <c r="T3">
        <f>COUNTIFS('[1]Opportunity Pipeline'!$K:$K,"Cloud",'[1]Opportunity Pipeline'!$Z:$Z,"S1")+COUNTIFS('[2]Opportunity Pipeline '!$K:$K,"Cloud",'[2]Opportunity Pipeline '!$Z:$Z,"S1")</f>
        <v>0</v>
      </c>
    </row>
    <row r="4" spans="1:20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SUMIFS('[1]Opportunity Pipeline'!$O:$O,'[1]Opportunity Pipeline'!$K:$K,"Cloud",'[1]Opportunity Pipeline'!$Z:$Z,"S2")/10^7</f>
        <v>0</v>
      </c>
      <c r="G4" t="s">
        <v>117</v>
      </c>
      <c r="H4" t="s">
        <v>117</v>
      </c>
      <c r="I4" s="25">
        <f>SUMIFS('[2]Opportunity Pipeline '!$O:$O,'[2]Opportunity Pipeline '!$K:$K,"Cloud",'[2]Opportunity Pipeline '!$Z:$Z,"S2")/10^7</f>
        <v>0</v>
      </c>
      <c r="J4" t="s">
        <v>117</v>
      </c>
      <c r="K4" t="s">
        <v>117</v>
      </c>
      <c r="L4" s="25">
        <f t="shared" ref="L4:L8" si="0">SUM(F4,I4)</f>
        <v>0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0</v>
      </c>
      <c r="S4" s="26">
        <f>IFERROR(R4/Q4,"-")</f>
        <v>0</v>
      </c>
      <c r="T4">
        <f>COUNTIFS('[1]Opportunity Pipeline'!$K:$K,"Cloud",'[1]Opportunity Pipeline'!$Z:$Z,"S2")+COUNTIFS('[2]Opportunity Pipeline '!$K:$K,"Cloud",'[2]Opportunity Pipeline '!$Z:$Z,"S2")</f>
        <v>0</v>
      </c>
    </row>
    <row r="5" spans="1:20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SUMIFS('[1]Opportunity Pipeline'!$O:$O,'[1]Opportunity Pipeline'!$K:$K,"Cloud",'[1]Opportunity Pipeline'!$Z:$Z,"CB")/10^7</f>
        <v>1.5520453599999999</v>
      </c>
      <c r="G5" t="s">
        <v>117</v>
      </c>
      <c r="H5" t="s">
        <v>117</v>
      </c>
      <c r="I5" s="25">
        <f>SUMIFS('[2]Opportunity Pipeline '!$O:$O,'[2]Opportunity Pipeline '!$K:$K,"Cloud",'[2]Opportunity Pipeline '!$Z:$Z,"CB")/10^7</f>
        <v>0.11052099999999999</v>
      </c>
      <c r="J5" t="s">
        <v>117</v>
      </c>
      <c r="K5" t="s">
        <v>117</v>
      </c>
      <c r="L5" s="25">
        <f t="shared" si="0"/>
        <v>1.66256636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1.66256636</v>
      </c>
      <c r="S5" s="26">
        <f t="shared" ref="S5:S8" si="2">IFERROR(R5/Q5,"-")</f>
        <v>5.5418878666666664E-2</v>
      </c>
      <c r="T5">
        <f>COUNTIFS('[1]Opportunity Pipeline'!$K:$K,"Cloud",'[1]Opportunity Pipeline'!$Z:$Z,"CB")+COUNTIFS('[2]Opportunity Pipeline '!$K:$K,"Cloud",'[2]Opportunity Pipeline '!$Z:$Z,"CB")</f>
        <v>21</v>
      </c>
    </row>
    <row r="6" spans="1:20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SUMIFS('[1]Opportunity Pipeline'!$O:$O,'[1]Opportunity Pipeline'!$K:$K,"Cloud",'[1]Opportunity Pipeline'!$Z:$Z,"GB")/10^7</f>
        <v>1.0873971</v>
      </c>
      <c r="G6" t="s">
        <v>117</v>
      </c>
      <c r="H6" t="s">
        <v>117</v>
      </c>
      <c r="I6" s="25">
        <f>SUMIFS('[2]Opportunity Pipeline '!$O:$O,'[2]Opportunity Pipeline '!$K:$K,"Cloud",'[2]Opportunity Pipeline '!$Z:$Z,"GB")/10^7</f>
        <v>0</v>
      </c>
      <c r="J6" t="s">
        <v>117</v>
      </c>
      <c r="K6" t="s">
        <v>117</v>
      </c>
      <c r="L6" s="25">
        <f t="shared" si="0"/>
        <v>1.0873971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1.0873971</v>
      </c>
      <c r="S6" s="26" t="str">
        <f t="shared" si="2"/>
        <v>-</v>
      </c>
      <c r="T6">
        <f>COUNTIFS('[1]Opportunity Pipeline'!$K:$K,"Cloud",'[1]Opportunity Pipeline'!$Z:$Z,"GB")+COUNTIFS('[2]Opportunity Pipeline '!$K:$K,"Cloud",'[2]Opportunity Pipeline '!$Z:$Z,"GB")</f>
        <v>2</v>
      </c>
    </row>
    <row r="7" spans="1:20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SUMIFS('[1]Opportunity Pipeline'!$O:$O,'[1]Opportunity Pipeline'!$K:$K,"Cloud",'[1]Opportunity Pipeline'!$Z:$Z,"South")/10^7</f>
        <v>0</v>
      </c>
      <c r="G7" t="s">
        <v>117</v>
      </c>
      <c r="H7" t="s">
        <v>117</v>
      </c>
      <c r="I7" s="25">
        <f>SUMIFS('[2]Opportunity Pipeline '!$O:$O,'[2]Opportunity Pipeline '!$K:$K,"Cloud",'[2]Opportunity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0</v>
      </c>
      <c r="S7" s="26">
        <f t="shared" si="2"/>
        <v>0</v>
      </c>
      <c r="T7">
        <f>COUNTIFS('[1]Opportunity Pipeline'!$K:$K,"Cloud",'[1]Opportunity Pipeline'!$Z:$Z,"South")+COUNTIFS('[2]Opportunity Pipeline '!$K:$K,"Cloud",'[2]Opportunity Pipeline '!$Z:$Z,"South")</f>
        <v>0</v>
      </c>
    </row>
    <row r="8" spans="1:20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SUMIFS('[1]Opportunity Pipeline'!$O:$O,'[1]Opportunity Pipeline'!$K:$K,"Cloud",'[1]Opportunity Pipeline'!$Z:$Z,"GeoX")/10^7</f>
        <v>0</v>
      </c>
      <c r="G8" t="s">
        <v>117</v>
      </c>
      <c r="H8" t="s">
        <v>117</v>
      </c>
      <c r="I8" s="25">
        <f>SUMIFS('[2]Opportunity Pipeline '!$O:$O,'[2]Opportunity Pipeline '!$K:$K,"Cloud",'[2]Opportunity Pipeline '!$Z:$Z,"GeoX")/10^7</f>
        <v>0</v>
      </c>
      <c r="J8" t="s">
        <v>117</v>
      </c>
      <c r="K8" t="s">
        <v>117</v>
      </c>
      <c r="L8" s="25">
        <f t="shared" si="0"/>
        <v>0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0</v>
      </c>
      <c r="S8" s="26">
        <f t="shared" si="2"/>
        <v>0</v>
      </c>
      <c r="T8">
        <f>COUNTIFS('[1]Opportunity Pipeline'!$K:$K,"Cloud",'[1]Opportunity Pipeline'!$Z:$Z,"Geo X")+COUNTIFS('[2]Opportunity Pipeline '!$K:$K,"Cloud",'[2]Opportunity Pipeline '!$Z:$Z,"Geox")</f>
        <v>1</v>
      </c>
    </row>
    <row r="9" spans="1:20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2.6394424599999997</v>
      </c>
      <c r="G9" s="49" t="s">
        <v>117</v>
      </c>
      <c r="H9" s="49" t="s">
        <v>117</v>
      </c>
      <c r="I9" s="49" t="s">
        <v>117</v>
      </c>
      <c r="J9" s="49" t="s">
        <v>117</v>
      </c>
      <c r="K9" s="49" t="s">
        <v>117</v>
      </c>
      <c r="L9" s="50">
        <f>SUM(L3:L8)</f>
        <v>2.74996346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2.74996346</v>
      </c>
      <c r="S9" s="52">
        <f>IFERROR(R9/Q9,"-")</f>
        <v>2.0370099703703706E-2</v>
      </c>
      <c r="T9" s="49">
        <f>SUM(T3:T8)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V1 · Individual</vt:lpstr>
      <vt:lpstr>V2 · Leadership</vt:lpstr>
      <vt:lpstr>V3 · RTM Division level</vt:lpstr>
      <vt:lpstr>V5 · DCG</vt:lpstr>
      <vt:lpstr>V6 · CSN</vt:lpstr>
      <vt:lpstr>V7 · PS</vt:lpstr>
      <vt:lpstr>V8 · CSG</vt:lpstr>
      <vt:lpstr>V9 · Cloud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>Dharshini Balasankar</cp:lastModifiedBy>
  <cp:revision/>
  <dcterms:created xsi:type="dcterms:W3CDTF">2026-07-08T10:45:51Z</dcterms:created>
  <dcterms:modified xsi:type="dcterms:W3CDTF">2026-07-27T10:30:16Z</dcterms:modified>
  <cp:category/>
  <cp:contentStatus/>
</cp:coreProperties>
</file>