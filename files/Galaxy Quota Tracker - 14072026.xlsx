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payai-my.sharepoint.com/personal/shiv_kumar_techpay_ai/Documents/Documents/Office Related/Galaxy Target Letter/"/>
    </mc:Choice>
  </mc:AlternateContent>
  <xr:revisionPtr revIDLastSave="1442" documentId="8_{124E6DA4-E83A-4E31-8CD3-97FA1DC77213}" xr6:coauthVersionLast="47" xr6:coauthVersionMax="47" xr10:uidLastSave="{20EA5B14-DCEF-4846-B59B-212FC6176BE0}"/>
  <bookViews>
    <workbookView xWindow="-108" yWindow="-108" windowWidth="23256" windowHeight="12576" firstSheet="1" activeTab="7" xr2:uid="{140E8931-5A85-4BAF-81DF-D10C51DDC455}"/>
  </bookViews>
  <sheets>
    <sheet name="V1 · Individual" sheetId="1" r:id="rId1"/>
    <sheet name="V2 · Leadership" sheetId="9" r:id="rId2"/>
    <sheet name="V3 · RTM Division level" sheetId="2" r:id="rId3"/>
    <sheet name="V5 · DCG" sheetId="4" r:id="rId4"/>
    <sheet name="V6 · CSN" sheetId="5" r:id="rId5"/>
    <sheet name="V7 · PS" sheetId="6" r:id="rId6"/>
    <sheet name="V8 · CSG" sheetId="7" r:id="rId7"/>
    <sheet name="V9 · Cloud" sheetId="8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62" i="1" l="1"/>
  <c r="J62" i="1"/>
  <c r="K62" i="1" s="1"/>
  <c r="G62" i="1"/>
  <c r="H62" i="1" s="1"/>
  <c r="R62" i="1"/>
  <c r="U10" i="1"/>
  <c r="J10" i="1"/>
  <c r="I10" i="1"/>
  <c r="G10" i="1"/>
  <c r="F10" i="1"/>
  <c r="Q10" i="1"/>
  <c r="R10" i="1"/>
  <c r="M62" i="1" l="1"/>
  <c r="M10" i="1"/>
  <c r="S10" i="1" s="1"/>
  <c r="T10" i="1" s="1"/>
  <c r="K10" i="1"/>
  <c r="H10" i="1"/>
  <c r="N10" i="1" l="1"/>
  <c r="N62" i="1"/>
  <c r="S62" i="1"/>
  <c r="T62" i="1" s="1"/>
  <c r="J55" i="1"/>
  <c r="F8" i="8"/>
  <c r="M10" i="2" l="1"/>
  <c r="M9" i="2"/>
  <c r="M8" i="2"/>
  <c r="M7" i="2"/>
  <c r="M6" i="2"/>
  <c r="M5" i="2"/>
  <c r="F10" i="2"/>
  <c r="F9" i="2"/>
  <c r="F8" i="2"/>
  <c r="F7" i="2"/>
  <c r="F6" i="2"/>
  <c r="F5" i="2"/>
  <c r="F12" i="2" l="1"/>
  <c r="M12" i="2"/>
  <c r="T8" i="8"/>
  <c r="T8" i="7"/>
  <c r="T8" i="6"/>
  <c r="T8" i="5"/>
  <c r="T8" i="4"/>
  <c r="L10" i="9"/>
  <c r="J10" i="9"/>
  <c r="G10" i="9"/>
  <c r="L9" i="9"/>
  <c r="J9" i="9"/>
  <c r="G9" i="9"/>
  <c r="L8" i="9"/>
  <c r="J8" i="9"/>
  <c r="G8" i="9"/>
  <c r="L7" i="9"/>
  <c r="J7" i="9"/>
  <c r="G7" i="9"/>
  <c r="L6" i="9"/>
  <c r="J6" i="9"/>
  <c r="G6" i="9"/>
  <c r="L5" i="9"/>
  <c r="J5" i="9"/>
  <c r="G5" i="9"/>
  <c r="L4" i="9"/>
  <c r="J4" i="9"/>
  <c r="G4" i="9"/>
  <c r="L3" i="9"/>
  <c r="J3" i="9"/>
  <c r="G3" i="9"/>
  <c r="L22" i="9"/>
  <c r="S22" i="9" s="1"/>
  <c r="J22" i="9"/>
  <c r="G22" i="9"/>
  <c r="L21" i="9"/>
  <c r="S21" i="9" s="1"/>
  <c r="J21" i="9"/>
  <c r="G21" i="9"/>
  <c r="L20" i="9"/>
  <c r="S20" i="9" s="1"/>
  <c r="J20" i="9"/>
  <c r="G20" i="9"/>
  <c r="L19" i="9"/>
  <c r="J19" i="9"/>
  <c r="G19" i="9"/>
  <c r="L18" i="9"/>
  <c r="S18" i="9" s="1"/>
  <c r="J18" i="9"/>
  <c r="G18" i="9"/>
  <c r="L17" i="9"/>
  <c r="S17" i="9" s="1"/>
  <c r="J17" i="9"/>
  <c r="G17" i="9"/>
  <c r="L16" i="9"/>
  <c r="S16" i="9" s="1"/>
  <c r="J16" i="9"/>
  <c r="G16" i="9"/>
  <c r="L15" i="9"/>
  <c r="S15" i="9" s="1"/>
  <c r="J15" i="9"/>
  <c r="G15" i="9"/>
  <c r="U3" i="9"/>
  <c r="U22" i="9"/>
  <c r="U21" i="9"/>
  <c r="U20" i="9"/>
  <c r="U19" i="9"/>
  <c r="S19" i="9"/>
  <c r="U18" i="9"/>
  <c r="U17" i="9"/>
  <c r="U16" i="9"/>
  <c r="U15" i="9"/>
  <c r="F8" i="5"/>
  <c r="F8" i="4"/>
  <c r="F8" i="7"/>
  <c r="F8" i="6"/>
  <c r="L53" i="1"/>
  <c r="Q10" i="2" s="1"/>
  <c r="L64" i="1"/>
  <c r="O64" i="1"/>
  <c r="P64" i="1"/>
  <c r="Q64" i="1"/>
  <c r="G4" i="1"/>
  <c r="U63" i="1"/>
  <c r="J63" i="1"/>
  <c r="K63" i="1" s="1"/>
  <c r="G63" i="1"/>
  <c r="H63" i="1" s="1"/>
  <c r="R63" i="1"/>
  <c r="F60" i="1"/>
  <c r="U60" i="1"/>
  <c r="J60" i="1"/>
  <c r="I60" i="1"/>
  <c r="G60" i="1"/>
  <c r="R60" i="1"/>
  <c r="U61" i="1"/>
  <c r="J61" i="1"/>
  <c r="K61" i="1" s="1"/>
  <c r="G61" i="1"/>
  <c r="H61" i="1" s="1"/>
  <c r="R61" i="1"/>
  <c r="F59" i="1"/>
  <c r="U59" i="1"/>
  <c r="J59" i="1"/>
  <c r="I59" i="1"/>
  <c r="G59" i="1"/>
  <c r="R59" i="1"/>
  <c r="U58" i="1"/>
  <c r="J58" i="1"/>
  <c r="I58" i="1"/>
  <c r="G58" i="1"/>
  <c r="H58" i="1" s="1"/>
  <c r="R58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CW64" i="1"/>
  <c r="CX64" i="1"/>
  <c r="CY64" i="1"/>
  <c r="CZ64" i="1"/>
  <c r="DA64" i="1"/>
  <c r="DB64" i="1"/>
  <c r="DC64" i="1"/>
  <c r="DD64" i="1"/>
  <c r="DE64" i="1"/>
  <c r="DF64" i="1"/>
  <c r="DG64" i="1"/>
  <c r="DH64" i="1"/>
  <c r="DI64" i="1"/>
  <c r="DJ64" i="1"/>
  <c r="DK64" i="1"/>
  <c r="DL64" i="1"/>
  <c r="DM64" i="1"/>
  <c r="DN64" i="1"/>
  <c r="DO64" i="1"/>
  <c r="DP64" i="1"/>
  <c r="DQ64" i="1"/>
  <c r="DR64" i="1"/>
  <c r="DS64" i="1"/>
  <c r="DT64" i="1"/>
  <c r="DU64" i="1"/>
  <c r="DV64" i="1"/>
  <c r="DW64" i="1"/>
  <c r="DX64" i="1"/>
  <c r="DY64" i="1"/>
  <c r="DZ64" i="1"/>
  <c r="EA64" i="1"/>
  <c r="EB64" i="1"/>
  <c r="EC64" i="1"/>
  <c r="ED64" i="1"/>
  <c r="EE64" i="1"/>
  <c r="EF64" i="1"/>
  <c r="EG64" i="1"/>
  <c r="EH64" i="1"/>
  <c r="EI64" i="1"/>
  <c r="EJ64" i="1"/>
  <c r="EK64" i="1"/>
  <c r="EL64" i="1"/>
  <c r="EM64" i="1"/>
  <c r="EN64" i="1"/>
  <c r="EO64" i="1"/>
  <c r="EP64" i="1"/>
  <c r="EQ64" i="1"/>
  <c r="ER64" i="1"/>
  <c r="ES64" i="1"/>
  <c r="ET64" i="1"/>
  <c r="EU64" i="1"/>
  <c r="EV64" i="1"/>
  <c r="EW64" i="1"/>
  <c r="EX64" i="1"/>
  <c r="EY64" i="1"/>
  <c r="EZ64" i="1"/>
  <c r="FA64" i="1"/>
  <c r="FB64" i="1"/>
  <c r="FC64" i="1"/>
  <c r="FD64" i="1"/>
  <c r="FE64" i="1"/>
  <c r="FF64" i="1"/>
  <c r="FG64" i="1"/>
  <c r="FH64" i="1"/>
  <c r="FI64" i="1"/>
  <c r="FJ64" i="1"/>
  <c r="FK64" i="1"/>
  <c r="FL64" i="1"/>
  <c r="FM64" i="1"/>
  <c r="FN64" i="1"/>
  <c r="FO64" i="1"/>
  <c r="FP64" i="1"/>
  <c r="FQ64" i="1"/>
  <c r="FR64" i="1"/>
  <c r="FS64" i="1"/>
  <c r="FT64" i="1"/>
  <c r="FU64" i="1"/>
  <c r="FV64" i="1"/>
  <c r="FW64" i="1"/>
  <c r="FX64" i="1"/>
  <c r="FY64" i="1"/>
  <c r="FZ64" i="1"/>
  <c r="GA64" i="1"/>
  <c r="GB64" i="1"/>
  <c r="GC64" i="1"/>
  <c r="GD64" i="1"/>
  <c r="GE64" i="1"/>
  <c r="GF64" i="1"/>
  <c r="GG64" i="1"/>
  <c r="GH64" i="1"/>
  <c r="GI64" i="1"/>
  <c r="GJ64" i="1"/>
  <c r="GK64" i="1"/>
  <c r="GL64" i="1"/>
  <c r="GM64" i="1"/>
  <c r="GN64" i="1"/>
  <c r="GO64" i="1"/>
  <c r="GP64" i="1"/>
  <c r="GQ64" i="1"/>
  <c r="GR64" i="1"/>
  <c r="GS64" i="1"/>
  <c r="GT64" i="1"/>
  <c r="GU64" i="1"/>
  <c r="GV64" i="1"/>
  <c r="GW64" i="1"/>
  <c r="GX64" i="1"/>
  <c r="GY64" i="1"/>
  <c r="GZ64" i="1"/>
  <c r="HA64" i="1"/>
  <c r="HB64" i="1"/>
  <c r="HC64" i="1"/>
  <c r="HD64" i="1"/>
  <c r="HE64" i="1"/>
  <c r="HF64" i="1"/>
  <c r="HG64" i="1"/>
  <c r="HH64" i="1"/>
  <c r="HI64" i="1"/>
  <c r="HJ64" i="1"/>
  <c r="HK64" i="1"/>
  <c r="HL64" i="1"/>
  <c r="HM64" i="1"/>
  <c r="HN64" i="1"/>
  <c r="HO64" i="1"/>
  <c r="HP64" i="1"/>
  <c r="HQ64" i="1"/>
  <c r="HR64" i="1"/>
  <c r="HS64" i="1"/>
  <c r="HT64" i="1"/>
  <c r="HU64" i="1"/>
  <c r="HV64" i="1"/>
  <c r="HW64" i="1"/>
  <c r="HX64" i="1"/>
  <c r="HY64" i="1"/>
  <c r="HZ64" i="1"/>
  <c r="IA64" i="1"/>
  <c r="IB64" i="1"/>
  <c r="IC64" i="1"/>
  <c r="ID64" i="1"/>
  <c r="IE64" i="1"/>
  <c r="IF64" i="1"/>
  <c r="IG64" i="1"/>
  <c r="IH64" i="1"/>
  <c r="II64" i="1"/>
  <c r="IJ64" i="1"/>
  <c r="IK64" i="1"/>
  <c r="IL64" i="1"/>
  <c r="IM64" i="1"/>
  <c r="IN64" i="1"/>
  <c r="IO64" i="1"/>
  <c r="IP64" i="1"/>
  <c r="IQ64" i="1"/>
  <c r="IR64" i="1"/>
  <c r="IS64" i="1"/>
  <c r="IT64" i="1"/>
  <c r="IU64" i="1"/>
  <c r="IV64" i="1"/>
  <c r="IW64" i="1"/>
  <c r="IX64" i="1"/>
  <c r="IY64" i="1"/>
  <c r="IZ64" i="1"/>
  <c r="JA64" i="1"/>
  <c r="JB64" i="1"/>
  <c r="JC64" i="1"/>
  <c r="JD64" i="1"/>
  <c r="JE64" i="1"/>
  <c r="JF64" i="1"/>
  <c r="JG64" i="1"/>
  <c r="JH64" i="1"/>
  <c r="JI64" i="1"/>
  <c r="JJ64" i="1"/>
  <c r="JK64" i="1"/>
  <c r="JL64" i="1"/>
  <c r="JM64" i="1"/>
  <c r="JN64" i="1"/>
  <c r="JO64" i="1"/>
  <c r="JP64" i="1"/>
  <c r="JQ64" i="1"/>
  <c r="JR64" i="1"/>
  <c r="JS64" i="1"/>
  <c r="JT64" i="1"/>
  <c r="JU64" i="1"/>
  <c r="JV64" i="1"/>
  <c r="JW64" i="1"/>
  <c r="JX64" i="1"/>
  <c r="JY64" i="1"/>
  <c r="JZ64" i="1"/>
  <c r="KA64" i="1"/>
  <c r="KB64" i="1"/>
  <c r="KC64" i="1"/>
  <c r="KD64" i="1"/>
  <c r="KE64" i="1"/>
  <c r="KF64" i="1"/>
  <c r="KG64" i="1"/>
  <c r="KH64" i="1"/>
  <c r="KI64" i="1"/>
  <c r="KJ64" i="1"/>
  <c r="KK64" i="1"/>
  <c r="KL64" i="1"/>
  <c r="KM64" i="1"/>
  <c r="KN64" i="1"/>
  <c r="KO64" i="1"/>
  <c r="KP64" i="1"/>
  <c r="KQ64" i="1"/>
  <c r="KR64" i="1"/>
  <c r="KS64" i="1"/>
  <c r="KT64" i="1"/>
  <c r="KU64" i="1"/>
  <c r="KV64" i="1"/>
  <c r="KW64" i="1"/>
  <c r="KX64" i="1"/>
  <c r="KY64" i="1"/>
  <c r="KZ64" i="1"/>
  <c r="LA64" i="1"/>
  <c r="LB64" i="1"/>
  <c r="LC64" i="1"/>
  <c r="LD64" i="1"/>
  <c r="LE64" i="1"/>
  <c r="LF64" i="1"/>
  <c r="LG64" i="1"/>
  <c r="LH64" i="1"/>
  <c r="LI64" i="1"/>
  <c r="LJ64" i="1"/>
  <c r="LK64" i="1"/>
  <c r="LL64" i="1"/>
  <c r="LM64" i="1"/>
  <c r="LN64" i="1"/>
  <c r="LO64" i="1"/>
  <c r="LP64" i="1"/>
  <c r="LQ64" i="1"/>
  <c r="LR64" i="1"/>
  <c r="LS64" i="1"/>
  <c r="LT64" i="1"/>
  <c r="LU64" i="1"/>
  <c r="LV64" i="1"/>
  <c r="LW64" i="1"/>
  <c r="LX64" i="1"/>
  <c r="LY64" i="1"/>
  <c r="LZ64" i="1"/>
  <c r="MA64" i="1"/>
  <c r="MB64" i="1"/>
  <c r="MC64" i="1"/>
  <c r="MD64" i="1"/>
  <c r="ME64" i="1"/>
  <c r="MF64" i="1"/>
  <c r="MG64" i="1"/>
  <c r="MH64" i="1"/>
  <c r="MI64" i="1"/>
  <c r="MJ64" i="1"/>
  <c r="MK64" i="1"/>
  <c r="ML64" i="1"/>
  <c r="MM64" i="1"/>
  <c r="MN64" i="1"/>
  <c r="MO64" i="1"/>
  <c r="MP64" i="1"/>
  <c r="MQ64" i="1"/>
  <c r="MR64" i="1"/>
  <c r="MS64" i="1"/>
  <c r="MT64" i="1"/>
  <c r="MU64" i="1"/>
  <c r="MV64" i="1"/>
  <c r="MW64" i="1"/>
  <c r="MX64" i="1"/>
  <c r="MY64" i="1"/>
  <c r="MZ64" i="1"/>
  <c r="NA64" i="1"/>
  <c r="NB64" i="1"/>
  <c r="NC64" i="1"/>
  <c r="ND64" i="1"/>
  <c r="NE64" i="1"/>
  <c r="NF64" i="1"/>
  <c r="NG64" i="1"/>
  <c r="NH64" i="1"/>
  <c r="NI64" i="1"/>
  <c r="NJ64" i="1"/>
  <c r="NK64" i="1"/>
  <c r="NL64" i="1"/>
  <c r="NM64" i="1"/>
  <c r="NN64" i="1"/>
  <c r="NO64" i="1"/>
  <c r="NP64" i="1"/>
  <c r="NQ64" i="1"/>
  <c r="NR64" i="1"/>
  <c r="NS64" i="1"/>
  <c r="NT64" i="1"/>
  <c r="NU64" i="1"/>
  <c r="NV64" i="1"/>
  <c r="NW64" i="1"/>
  <c r="NX64" i="1"/>
  <c r="NY64" i="1"/>
  <c r="NZ64" i="1"/>
  <c r="OA64" i="1"/>
  <c r="OB64" i="1"/>
  <c r="OC64" i="1"/>
  <c r="OD64" i="1"/>
  <c r="OE64" i="1"/>
  <c r="OF64" i="1"/>
  <c r="OG64" i="1"/>
  <c r="OH64" i="1"/>
  <c r="OI64" i="1"/>
  <c r="OJ64" i="1"/>
  <c r="OK64" i="1"/>
  <c r="OL64" i="1"/>
  <c r="OM64" i="1"/>
  <c r="ON64" i="1"/>
  <c r="OO64" i="1"/>
  <c r="OP64" i="1"/>
  <c r="OQ64" i="1"/>
  <c r="OR64" i="1"/>
  <c r="OS64" i="1"/>
  <c r="OT64" i="1"/>
  <c r="OU64" i="1"/>
  <c r="OV64" i="1"/>
  <c r="OW64" i="1"/>
  <c r="OX64" i="1"/>
  <c r="OY64" i="1"/>
  <c r="OZ64" i="1"/>
  <c r="PA64" i="1"/>
  <c r="PB64" i="1"/>
  <c r="PC64" i="1"/>
  <c r="PD64" i="1"/>
  <c r="PE64" i="1"/>
  <c r="PF64" i="1"/>
  <c r="PG64" i="1"/>
  <c r="PH64" i="1"/>
  <c r="PI64" i="1"/>
  <c r="PJ64" i="1"/>
  <c r="PK64" i="1"/>
  <c r="PL64" i="1"/>
  <c r="PM64" i="1"/>
  <c r="PN64" i="1"/>
  <c r="PO64" i="1"/>
  <c r="PP64" i="1"/>
  <c r="PQ64" i="1"/>
  <c r="PR64" i="1"/>
  <c r="PS64" i="1"/>
  <c r="PT64" i="1"/>
  <c r="PU64" i="1"/>
  <c r="PV64" i="1"/>
  <c r="PW64" i="1"/>
  <c r="PX64" i="1"/>
  <c r="PY64" i="1"/>
  <c r="PZ64" i="1"/>
  <c r="QA64" i="1"/>
  <c r="QB64" i="1"/>
  <c r="QC64" i="1"/>
  <c r="QD64" i="1"/>
  <c r="QE64" i="1"/>
  <c r="QF64" i="1"/>
  <c r="QG64" i="1"/>
  <c r="QH64" i="1"/>
  <c r="QI64" i="1"/>
  <c r="QJ64" i="1"/>
  <c r="QK64" i="1"/>
  <c r="QL64" i="1"/>
  <c r="QM64" i="1"/>
  <c r="QN64" i="1"/>
  <c r="QO64" i="1"/>
  <c r="QP64" i="1"/>
  <c r="QQ64" i="1"/>
  <c r="QR64" i="1"/>
  <c r="QS64" i="1"/>
  <c r="QT64" i="1"/>
  <c r="QU64" i="1"/>
  <c r="QV64" i="1"/>
  <c r="QW64" i="1"/>
  <c r="QX64" i="1"/>
  <c r="QY64" i="1"/>
  <c r="QZ64" i="1"/>
  <c r="RA64" i="1"/>
  <c r="RB64" i="1"/>
  <c r="RC64" i="1"/>
  <c r="RD64" i="1"/>
  <c r="RE64" i="1"/>
  <c r="RF64" i="1"/>
  <c r="RG64" i="1"/>
  <c r="RH64" i="1"/>
  <c r="RI64" i="1"/>
  <c r="RJ64" i="1"/>
  <c r="RK64" i="1"/>
  <c r="RL64" i="1"/>
  <c r="RM64" i="1"/>
  <c r="RN64" i="1"/>
  <c r="RO64" i="1"/>
  <c r="RP64" i="1"/>
  <c r="RQ64" i="1"/>
  <c r="RR64" i="1"/>
  <c r="RS64" i="1"/>
  <c r="RT64" i="1"/>
  <c r="RU64" i="1"/>
  <c r="RV64" i="1"/>
  <c r="RW64" i="1"/>
  <c r="RX64" i="1"/>
  <c r="RY64" i="1"/>
  <c r="RZ64" i="1"/>
  <c r="SA64" i="1"/>
  <c r="SB64" i="1"/>
  <c r="SC64" i="1"/>
  <c r="SD64" i="1"/>
  <c r="SE64" i="1"/>
  <c r="SF64" i="1"/>
  <c r="SG64" i="1"/>
  <c r="SH64" i="1"/>
  <c r="SI64" i="1"/>
  <c r="SJ64" i="1"/>
  <c r="SK64" i="1"/>
  <c r="SL64" i="1"/>
  <c r="SM64" i="1"/>
  <c r="SN64" i="1"/>
  <c r="SO64" i="1"/>
  <c r="SP64" i="1"/>
  <c r="SQ64" i="1"/>
  <c r="SR64" i="1"/>
  <c r="SS64" i="1"/>
  <c r="ST64" i="1"/>
  <c r="SU64" i="1"/>
  <c r="SV64" i="1"/>
  <c r="SW64" i="1"/>
  <c r="SX64" i="1"/>
  <c r="SY64" i="1"/>
  <c r="SZ64" i="1"/>
  <c r="TA64" i="1"/>
  <c r="TB64" i="1"/>
  <c r="TC64" i="1"/>
  <c r="TD64" i="1"/>
  <c r="TE64" i="1"/>
  <c r="TF64" i="1"/>
  <c r="TG64" i="1"/>
  <c r="TH64" i="1"/>
  <c r="TI64" i="1"/>
  <c r="TJ64" i="1"/>
  <c r="TK64" i="1"/>
  <c r="TL64" i="1"/>
  <c r="TM64" i="1"/>
  <c r="TN64" i="1"/>
  <c r="TO64" i="1"/>
  <c r="TP64" i="1"/>
  <c r="TQ64" i="1"/>
  <c r="TR64" i="1"/>
  <c r="TS64" i="1"/>
  <c r="TT64" i="1"/>
  <c r="TU64" i="1"/>
  <c r="TV64" i="1"/>
  <c r="TW64" i="1"/>
  <c r="TX64" i="1"/>
  <c r="TY64" i="1"/>
  <c r="TZ64" i="1"/>
  <c r="UA64" i="1"/>
  <c r="UB64" i="1"/>
  <c r="UC64" i="1"/>
  <c r="UD64" i="1"/>
  <c r="UE64" i="1"/>
  <c r="UF64" i="1"/>
  <c r="UG64" i="1"/>
  <c r="UH64" i="1"/>
  <c r="UI64" i="1"/>
  <c r="UJ64" i="1"/>
  <c r="UK64" i="1"/>
  <c r="UL64" i="1"/>
  <c r="UM64" i="1"/>
  <c r="UN64" i="1"/>
  <c r="UO64" i="1"/>
  <c r="UP64" i="1"/>
  <c r="UQ64" i="1"/>
  <c r="UR64" i="1"/>
  <c r="US64" i="1"/>
  <c r="UT64" i="1"/>
  <c r="UU64" i="1"/>
  <c r="UV64" i="1"/>
  <c r="UW64" i="1"/>
  <c r="UX64" i="1"/>
  <c r="UY64" i="1"/>
  <c r="UZ64" i="1"/>
  <c r="VA64" i="1"/>
  <c r="VB64" i="1"/>
  <c r="VC64" i="1"/>
  <c r="VD64" i="1"/>
  <c r="VE64" i="1"/>
  <c r="VF64" i="1"/>
  <c r="VG64" i="1"/>
  <c r="VH64" i="1"/>
  <c r="VI64" i="1"/>
  <c r="VJ64" i="1"/>
  <c r="VK64" i="1"/>
  <c r="VL64" i="1"/>
  <c r="VM64" i="1"/>
  <c r="VN64" i="1"/>
  <c r="VO64" i="1"/>
  <c r="VP64" i="1"/>
  <c r="VQ64" i="1"/>
  <c r="VR64" i="1"/>
  <c r="VS64" i="1"/>
  <c r="VT64" i="1"/>
  <c r="VU64" i="1"/>
  <c r="VV64" i="1"/>
  <c r="VW64" i="1"/>
  <c r="VX64" i="1"/>
  <c r="VY64" i="1"/>
  <c r="VZ64" i="1"/>
  <c r="WA64" i="1"/>
  <c r="WB64" i="1"/>
  <c r="WC64" i="1"/>
  <c r="WD64" i="1"/>
  <c r="WE64" i="1"/>
  <c r="WF64" i="1"/>
  <c r="WG64" i="1"/>
  <c r="WH64" i="1"/>
  <c r="WI64" i="1"/>
  <c r="WJ64" i="1"/>
  <c r="WK64" i="1"/>
  <c r="WL64" i="1"/>
  <c r="WM64" i="1"/>
  <c r="WN64" i="1"/>
  <c r="WO64" i="1"/>
  <c r="WP64" i="1"/>
  <c r="WQ64" i="1"/>
  <c r="WR64" i="1"/>
  <c r="WS64" i="1"/>
  <c r="WT64" i="1"/>
  <c r="WU64" i="1"/>
  <c r="WV64" i="1"/>
  <c r="WW64" i="1"/>
  <c r="WX64" i="1"/>
  <c r="WY64" i="1"/>
  <c r="WZ64" i="1"/>
  <c r="XA64" i="1"/>
  <c r="XB64" i="1"/>
  <c r="XC64" i="1"/>
  <c r="XD64" i="1"/>
  <c r="XE64" i="1"/>
  <c r="XF64" i="1"/>
  <c r="XG64" i="1"/>
  <c r="XH64" i="1"/>
  <c r="XI64" i="1"/>
  <c r="XJ64" i="1"/>
  <c r="XK64" i="1"/>
  <c r="XL64" i="1"/>
  <c r="XM64" i="1"/>
  <c r="XN64" i="1"/>
  <c r="XO64" i="1"/>
  <c r="XP64" i="1"/>
  <c r="XQ64" i="1"/>
  <c r="XR64" i="1"/>
  <c r="XS64" i="1"/>
  <c r="XT64" i="1"/>
  <c r="XU64" i="1"/>
  <c r="XV64" i="1"/>
  <c r="XW64" i="1"/>
  <c r="XX64" i="1"/>
  <c r="XY64" i="1"/>
  <c r="XZ64" i="1"/>
  <c r="YA64" i="1"/>
  <c r="YB64" i="1"/>
  <c r="YC64" i="1"/>
  <c r="YD64" i="1"/>
  <c r="YE64" i="1"/>
  <c r="YF64" i="1"/>
  <c r="YG64" i="1"/>
  <c r="YH64" i="1"/>
  <c r="YI64" i="1"/>
  <c r="YJ64" i="1"/>
  <c r="YK64" i="1"/>
  <c r="YL64" i="1"/>
  <c r="YM64" i="1"/>
  <c r="YN64" i="1"/>
  <c r="YO64" i="1"/>
  <c r="YP64" i="1"/>
  <c r="YQ64" i="1"/>
  <c r="YR64" i="1"/>
  <c r="YS64" i="1"/>
  <c r="YT64" i="1"/>
  <c r="YU64" i="1"/>
  <c r="YV64" i="1"/>
  <c r="YW64" i="1"/>
  <c r="YX64" i="1"/>
  <c r="YY64" i="1"/>
  <c r="YZ64" i="1"/>
  <c r="ZA64" i="1"/>
  <c r="ZB64" i="1"/>
  <c r="ZC64" i="1"/>
  <c r="ZD64" i="1"/>
  <c r="ZE64" i="1"/>
  <c r="ZF64" i="1"/>
  <c r="ZG64" i="1"/>
  <c r="ZH64" i="1"/>
  <c r="ZI64" i="1"/>
  <c r="ZJ64" i="1"/>
  <c r="ZK64" i="1"/>
  <c r="ZL64" i="1"/>
  <c r="ZM64" i="1"/>
  <c r="ZN64" i="1"/>
  <c r="ZO64" i="1"/>
  <c r="ZP64" i="1"/>
  <c r="ZQ64" i="1"/>
  <c r="ZR64" i="1"/>
  <c r="ZS64" i="1"/>
  <c r="ZT64" i="1"/>
  <c r="ZU64" i="1"/>
  <c r="ZV64" i="1"/>
  <c r="ZW64" i="1"/>
  <c r="ZX64" i="1"/>
  <c r="ZY64" i="1"/>
  <c r="ZZ64" i="1"/>
  <c r="AAA64" i="1"/>
  <c r="AAB64" i="1"/>
  <c r="AAC64" i="1"/>
  <c r="AAD64" i="1"/>
  <c r="AAE64" i="1"/>
  <c r="AAF64" i="1"/>
  <c r="AAG64" i="1"/>
  <c r="AAH64" i="1"/>
  <c r="AAI64" i="1"/>
  <c r="AAJ64" i="1"/>
  <c r="AAK64" i="1"/>
  <c r="AAL64" i="1"/>
  <c r="AAM64" i="1"/>
  <c r="AAN64" i="1"/>
  <c r="AAO64" i="1"/>
  <c r="AAP64" i="1"/>
  <c r="AAQ64" i="1"/>
  <c r="AAR64" i="1"/>
  <c r="AAS64" i="1"/>
  <c r="AAT64" i="1"/>
  <c r="AAU64" i="1"/>
  <c r="AAV64" i="1"/>
  <c r="AAW64" i="1"/>
  <c r="AAX64" i="1"/>
  <c r="AAY64" i="1"/>
  <c r="AAZ64" i="1"/>
  <c r="ABA64" i="1"/>
  <c r="ABB64" i="1"/>
  <c r="ABC64" i="1"/>
  <c r="ABD64" i="1"/>
  <c r="ABE64" i="1"/>
  <c r="ABF64" i="1"/>
  <c r="ABG64" i="1"/>
  <c r="ABH64" i="1"/>
  <c r="ABI64" i="1"/>
  <c r="ABJ64" i="1"/>
  <c r="ABK64" i="1"/>
  <c r="ABL64" i="1"/>
  <c r="ABM64" i="1"/>
  <c r="ABN64" i="1"/>
  <c r="ABO64" i="1"/>
  <c r="ABP64" i="1"/>
  <c r="ABQ64" i="1"/>
  <c r="ABR64" i="1"/>
  <c r="ABS64" i="1"/>
  <c r="ABT64" i="1"/>
  <c r="ABU64" i="1"/>
  <c r="ABV64" i="1"/>
  <c r="ABW64" i="1"/>
  <c r="ABX64" i="1"/>
  <c r="ABY64" i="1"/>
  <c r="ABZ64" i="1"/>
  <c r="ACA64" i="1"/>
  <c r="ACB64" i="1"/>
  <c r="ACC64" i="1"/>
  <c r="ACD64" i="1"/>
  <c r="ACE64" i="1"/>
  <c r="ACF64" i="1"/>
  <c r="ACG64" i="1"/>
  <c r="ACH64" i="1"/>
  <c r="ACI64" i="1"/>
  <c r="ACJ64" i="1"/>
  <c r="ACK64" i="1"/>
  <c r="ACL64" i="1"/>
  <c r="ACM64" i="1"/>
  <c r="ACN64" i="1"/>
  <c r="ACO64" i="1"/>
  <c r="ACP64" i="1"/>
  <c r="ACQ64" i="1"/>
  <c r="ACR64" i="1"/>
  <c r="ACS64" i="1"/>
  <c r="ACT64" i="1"/>
  <c r="ACU64" i="1"/>
  <c r="ACV64" i="1"/>
  <c r="ACW64" i="1"/>
  <c r="ACX64" i="1"/>
  <c r="ACY64" i="1"/>
  <c r="ACZ64" i="1"/>
  <c r="ADA64" i="1"/>
  <c r="ADB64" i="1"/>
  <c r="ADC64" i="1"/>
  <c r="ADD64" i="1"/>
  <c r="ADE64" i="1"/>
  <c r="ADF64" i="1"/>
  <c r="ADG64" i="1"/>
  <c r="ADH64" i="1"/>
  <c r="ADI64" i="1"/>
  <c r="ADJ64" i="1"/>
  <c r="ADK64" i="1"/>
  <c r="ADL64" i="1"/>
  <c r="ADM64" i="1"/>
  <c r="ADN64" i="1"/>
  <c r="ADO64" i="1"/>
  <c r="ADP64" i="1"/>
  <c r="ADQ64" i="1"/>
  <c r="ADR64" i="1"/>
  <c r="ADS64" i="1"/>
  <c r="ADT64" i="1"/>
  <c r="ADU64" i="1"/>
  <c r="ADV64" i="1"/>
  <c r="ADW64" i="1"/>
  <c r="ADX64" i="1"/>
  <c r="ADY64" i="1"/>
  <c r="ADZ64" i="1"/>
  <c r="AEA64" i="1"/>
  <c r="AEB64" i="1"/>
  <c r="AEC64" i="1"/>
  <c r="AED64" i="1"/>
  <c r="AEE64" i="1"/>
  <c r="AEF64" i="1"/>
  <c r="AEG64" i="1"/>
  <c r="AEH64" i="1"/>
  <c r="AEI64" i="1"/>
  <c r="AEJ64" i="1"/>
  <c r="AEK64" i="1"/>
  <c r="AEL64" i="1"/>
  <c r="AEM64" i="1"/>
  <c r="AEN64" i="1"/>
  <c r="AEO64" i="1"/>
  <c r="AEP64" i="1"/>
  <c r="AEQ64" i="1"/>
  <c r="AER64" i="1"/>
  <c r="AES64" i="1"/>
  <c r="AET64" i="1"/>
  <c r="AEU64" i="1"/>
  <c r="AEV64" i="1"/>
  <c r="AEW64" i="1"/>
  <c r="AEX64" i="1"/>
  <c r="AEY64" i="1"/>
  <c r="AEZ64" i="1"/>
  <c r="AFA64" i="1"/>
  <c r="AFB64" i="1"/>
  <c r="AFC64" i="1"/>
  <c r="AFD64" i="1"/>
  <c r="AFE64" i="1"/>
  <c r="AFF64" i="1"/>
  <c r="AFG64" i="1"/>
  <c r="AFH64" i="1"/>
  <c r="AFI64" i="1"/>
  <c r="AFJ64" i="1"/>
  <c r="AFK64" i="1"/>
  <c r="AFL64" i="1"/>
  <c r="AFM64" i="1"/>
  <c r="AFN64" i="1"/>
  <c r="AFO64" i="1"/>
  <c r="AFP64" i="1"/>
  <c r="AFQ64" i="1"/>
  <c r="AFR64" i="1"/>
  <c r="AFS64" i="1"/>
  <c r="AFT64" i="1"/>
  <c r="AFU64" i="1"/>
  <c r="AFV64" i="1"/>
  <c r="AFW64" i="1"/>
  <c r="AFX64" i="1"/>
  <c r="AFY64" i="1"/>
  <c r="AFZ64" i="1"/>
  <c r="AGA64" i="1"/>
  <c r="AGB64" i="1"/>
  <c r="AGC64" i="1"/>
  <c r="AGD64" i="1"/>
  <c r="AGE64" i="1"/>
  <c r="AGF64" i="1"/>
  <c r="AGG64" i="1"/>
  <c r="AGH64" i="1"/>
  <c r="AGI64" i="1"/>
  <c r="AGJ64" i="1"/>
  <c r="AGK64" i="1"/>
  <c r="AGL64" i="1"/>
  <c r="AGM64" i="1"/>
  <c r="AGN64" i="1"/>
  <c r="AGO64" i="1"/>
  <c r="AGP64" i="1"/>
  <c r="AGQ64" i="1"/>
  <c r="AGR64" i="1"/>
  <c r="AGS64" i="1"/>
  <c r="AGT64" i="1"/>
  <c r="AGU64" i="1"/>
  <c r="AGV64" i="1"/>
  <c r="AGW64" i="1"/>
  <c r="AGX64" i="1"/>
  <c r="AGY64" i="1"/>
  <c r="AGZ64" i="1"/>
  <c r="AHA64" i="1"/>
  <c r="AHB64" i="1"/>
  <c r="AHC64" i="1"/>
  <c r="AHD64" i="1"/>
  <c r="AHE64" i="1"/>
  <c r="AHF64" i="1"/>
  <c r="AHG64" i="1"/>
  <c r="AHH64" i="1"/>
  <c r="AHI64" i="1"/>
  <c r="AHJ64" i="1"/>
  <c r="AHK64" i="1"/>
  <c r="AHL64" i="1"/>
  <c r="AHM64" i="1"/>
  <c r="AHN64" i="1"/>
  <c r="AHO64" i="1"/>
  <c r="AHP64" i="1"/>
  <c r="AHQ64" i="1"/>
  <c r="AHR64" i="1"/>
  <c r="AHS64" i="1"/>
  <c r="AHT64" i="1"/>
  <c r="AHU64" i="1"/>
  <c r="AHV64" i="1"/>
  <c r="AHW64" i="1"/>
  <c r="AHX64" i="1"/>
  <c r="AHY64" i="1"/>
  <c r="AHZ64" i="1"/>
  <c r="AIA64" i="1"/>
  <c r="AIB64" i="1"/>
  <c r="AIC64" i="1"/>
  <c r="AID64" i="1"/>
  <c r="AIE64" i="1"/>
  <c r="AIF64" i="1"/>
  <c r="AIG64" i="1"/>
  <c r="AIH64" i="1"/>
  <c r="AII64" i="1"/>
  <c r="AIJ64" i="1"/>
  <c r="AIK64" i="1"/>
  <c r="AIL64" i="1"/>
  <c r="AIM64" i="1"/>
  <c r="AIN64" i="1"/>
  <c r="AIO64" i="1"/>
  <c r="AIP64" i="1"/>
  <c r="AIQ64" i="1"/>
  <c r="AIR64" i="1"/>
  <c r="AIS64" i="1"/>
  <c r="AIT64" i="1"/>
  <c r="AIU64" i="1"/>
  <c r="AIV64" i="1"/>
  <c r="AIW64" i="1"/>
  <c r="AIX64" i="1"/>
  <c r="AIY64" i="1"/>
  <c r="AIZ64" i="1"/>
  <c r="AJA64" i="1"/>
  <c r="AJB64" i="1"/>
  <c r="AJC64" i="1"/>
  <c r="AJD64" i="1"/>
  <c r="AJE64" i="1"/>
  <c r="AJF64" i="1"/>
  <c r="AJG64" i="1"/>
  <c r="AJH64" i="1"/>
  <c r="AJI64" i="1"/>
  <c r="AJJ64" i="1"/>
  <c r="AJK64" i="1"/>
  <c r="AJL64" i="1"/>
  <c r="AJM64" i="1"/>
  <c r="AJN64" i="1"/>
  <c r="AJO64" i="1"/>
  <c r="AJP64" i="1"/>
  <c r="AJQ64" i="1"/>
  <c r="AJR64" i="1"/>
  <c r="AJS64" i="1"/>
  <c r="AJT64" i="1"/>
  <c r="AJU64" i="1"/>
  <c r="AJV64" i="1"/>
  <c r="AJW64" i="1"/>
  <c r="AJX64" i="1"/>
  <c r="AJY64" i="1"/>
  <c r="AJZ64" i="1"/>
  <c r="AKA64" i="1"/>
  <c r="AKB64" i="1"/>
  <c r="AKC64" i="1"/>
  <c r="AKD64" i="1"/>
  <c r="AKE64" i="1"/>
  <c r="AKF64" i="1"/>
  <c r="AKG64" i="1"/>
  <c r="AKH64" i="1"/>
  <c r="AKI64" i="1"/>
  <c r="AKJ64" i="1"/>
  <c r="AKK64" i="1"/>
  <c r="AKL64" i="1"/>
  <c r="AKM64" i="1"/>
  <c r="AKN64" i="1"/>
  <c r="AKO64" i="1"/>
  <c r="AKP64" i="1"/>
  <c r="AKQ64" i="1"/>
  <c r="AKR64" i="1"/>
  <c r="AKS64" i="1"/>
  <c r="AKT64" i="1"/>
  <c r="AKU64" i="1"/>
  <c r="AKV64" i="1"/>
  <c r="AKW64" i="1"/>
  <c r="AKX64" i="1"/>
  <c r="AKY64" i="1"/>
  <c r="AKZ64" i="1"/>
  <c r="ALA64" i="1"/>
  <c r="ALB64" i="1"/>
  <c r="ALC64" i="1"/>
  <c r="ALD64" i="1"/>
  <c r="ALE64" i="1"/>
  <c r="ALF64" i="1"/>
  <c r="ALG64" i="1"/>
  <c r="ALH64" i="1"/>
  <c r="ALI64" i="1"/>
  <c r="ALJ64" i="1"/>
  <c r="ALK64" i="1"/>
  <c r="ALL64" i="1"/>
  <c r="ALM64" i="1"/>
  <c r="ALN64" i="1"/>
  <c r="ALO64" i="1"/>
  <c r="ALP64" i="1"/>
  <c r="ALQ64" i="1"/>
  <c r="ALR64" i="1"/>
  <c r="ALS64" i="1"/>
  <c r="ALT64" i="1"/>
  <c r="ALU64" i="1"/>
  <c r="ALV64" i="1"/>
  <c r="ALW64" i="1"/>
  <c r="ALX64" i="1"/>
  <c r="ALY64" i="1"/>
  <c r="ALZ64" i="1"/>
  <c r="AMA64" i="1"/>
  <c r="AMB64" i="1"/>
  <c r="AMC64" i="1"/>
  <c r="AMD64" i="1"/>
  <c r="AME64" i="1"/>
  <c r="AMF64" i="1"/>
  <c r="AMG64" i="1"/>
  <c r="AMH64" i="1"/>
  <c r="AMI64" i="1"/>
  <c r="AMJ64" i="1"/>
  <c r="AMK64" i="1"/>
  <c r="AML64" i="1"/>
  <c r="AMM64" i="1"/>
  <c r="AMN64" i="1"/>
  <c r="AMO64" i="1"/>
  <c r="AMP64" i="1"/>
  <c r="AMQ64" i="1"/>
  <c r="AMR64" i="1"/>
  <c r="AMS64" i="1"/>
  <c r="AMT64" i="1"/>
  <c r="AMU64" i="1"/>
  <c r="AMV64" i="1"/>
  <c r="AMW64" i="1"/>
  <c r="AMX64" i="1"/>
  <c r="AMY64" i="1"/>
  <c r="AMZ64" i="1"/>
  <c r="ANA64" i="1"/>
  <c r="ANB64" i="1"/>
  <c r="ANC64" i="1"/>
  <c r="AND64" i="1"/>
  <c r="ANE64" i="1"/>
  <c r="ANF64" i="1"/>
  <c r="ANG64" i="1"/>
  <c r="ANH64" i="1"/>
  <c r="ANI64" i="1"/>
  <c r="ANJ64" i="1"/>
  <c r="ANK64" i="1"/>
  <c r="ANL64" i="1"/>
  <c r="ANM64" i="1"/>
  <c r="ANN64" i="1"/>
  <c r="ANO64" i="1"/>
  <c r="ANP64" i="1"/>
  <c r="ANQ64" i="1"/>
  <c r="ANR64" i="1"/>
  <c r="ANS64" i="1"/>
  <c r="ANT64" i="1"/>
  <c r="ANU64" i="1"/>
  <c r="ANV64" i="1"/>
  <c r="ANW64" i="1"/>
  <c r="ANX64" i="1"/>
  <c r="ANY64" i="1"/>
  <c r="ANZ64" i="1"/>
  <c r="AOA64" i="1"/>
  <c r="AOB64" i="1"/>
  <c r="AOC64" i="1"/>
  <c r="AOD64" i="1"/>
  <c r="AOE64" i="1"/>
  <c r="AOF64" i="1"/>
  <c r="AOG64" i="1"/>
  <c r="AOH64" i="1"/>
  <c r="AOI64" i="1"/>
  <c r="AOJ64" i="1"/>
  <c r="AOK64" i="1"/>
  <c r="AOL64" i="1"/>
  <c r="AOM64" i="1"/>
  <c r="AON64" i="1"/>
  <c r="AOO64" i="1"/>
  <c r="AOP64" i="1"/>
  <c r="AOQ64" i="1"/>
  <c r="AOR64" i="1"/>
  <c r="AOS64" i="1"/>
  <c r="AOT64" i="1"/>
  <c r="AOU64" i="1"/>
  <c r="AOV64" i="1"/>
  <c r="AOW64" i="1"/>
  <c r="AOX64" i="1"/>
  <c r="AOY64" i="1"/>
  <c r="AOZ64" i="1"/>
  <c r="APA64" i="1"/>
  <c r="APB64" i="1"/>
  <c r="APC64" i="1"/>
  <c r="APD64" i="1"/>
  <c r="APE64" i="1"/>
  <c r="APF64" i="1"/>
  <c r="APG64" i="1"/>
  <c r="APH64" i="1"/>
  <c r="API64" i="1"/>
  <c r="APJ64" i="1"/>
  <c r="APK64" i="1"/>
  <c r="APL64" i="1"/>
  <c r="APM64" i="1"/>
  <c r="APN64" i="1"/>
  <c r="APO64" i="1"/>
  <c r="APP64" i="1"/>
  <c r="APQ64" i="1"/>
  <c r="APR64" i="1"/>
  <c r="APS64" i="1"/>
  <c r="APT64" i="1"/>
  <c r="APU64" i="1"/>
  <c r="APV64" i="1"/>
  <c r="APW64" i="1"/>
  <c r="APX64" i="1"/>
  <c r="APY64" i="1"/>
  <c r="APZ64" i="1"/>
  <c r="AQA64" i="1"/>
  <c r="AQB64" i="1"/>
  <c r="AQC64" i="1"/>
  <c r="AQD64" i="1"/>
  <c r="AQE64" i="1"/>
  <c r="AQF64" i="1"/>
  <c r="AQG64" i="1"/>
  <c r="AQH64" i="1"/>
  <c r="AQI64" i="1"/>
  <c r="AQJ64" i="1"/>
  <c r="AQK64" i="1"/>
  <c r="AQL64" i="1"/>
  <c r="AQM64" i="1"/>
  <c r="AQN64" i="1"/>
  <c r="AQO64" i="1"/>
  <c r="AQP64" i="1"/>
  <c r="AQQ64" i="1"/>
  <c r="AQR64" i="1"/>
  <c r="AQS64" i="1"/>
  <c r="AQT64" i="1"/>
  <c r="AQU64" i="1"/>
  <c r="AQV64" i="1"/>
  <c r="AQW64" i="1"/>
  <c r="AQX64" i="1"/>
  <c r="AQY64" i="1"/>
  <c r="AQZ64" i="1"/>
  <c r="ARA64" i="1"/>
  <c r="ARB64" i="1"/>
  <c r="ARC64" i="1"/>
  <c r="ARD64" i="1"/>
  <c r="ARE64" i="1"/>
  <c r="ARF64" i="1"/>
  <c r="ARG64" i="1"/>
  <c r="ARH64" i="1"/>
  <c r="ARI64" i="1"/>
  <c r="ARJ64" i="1"/>
  <c r="ARK64" i="1"/>
  <c r="ARL64" i="1"/>
  <c r="ARM64" i="1"/>
  <c r="ARN64" i="1"/>
  <c r="ARO64" i="1"/>
  <c r="ARP64" i="1"/>
  <c r="ARQ64" i="1"/>
  <c r="ARR64" i="1"/>
  <c r="ARS64" i="1"/>
  <c r="ART64" i="1"/>
  <c r="ARU64" i="1"/>
  <c r="ARV64" i="1"/>
  <c r="ARW64" i="1"/>
  <c r="ARX64" i="1"/>
  <c r="ARY64" i="1"/>
  <c r="ARZ64" i="1"/>
  <c r="ASA64" i="1"/>
  <c r="ASB64" i="1"/>
  <c r="ASC64" i="1"/>
  <c r="ASD64" i="1"/>
  <c r="ASE64" i="1"/>
  <c r="ASF64" i="1"/>
  <c r="ASG64" i="1"/>
  <c r="ASH64" i="1"/>
  <c r="ASI64" i="1"/>
  <c r="ASJ64" i="1"/>
  <c r="ASK64" i="1"/>
  <c r="ASL64" i="1"/>
  <c r="ASM64" i="1"/>
  <c r="ASN64" i="1"/>
  <c r="ASO64" i="1"/>
  <c r="ASP64" i="1"/>
  <c r="ASQ64" i="1"/>
  <c r="ASR64" i="1"/>
  <c r="ASS64" i="1"/>
  <c r="AST64" i="1"/>
  <c r="ASU64" i="1"/>
  <c r="ASV64" i="1"/>
  <c r="ASW64" i="1"/>
  <c r="ASX64" i="1"/>
  <c r="ASY64" i="1"/>
  <c r="ASZ64" i="1"/>
  <c r="ATA64" i="1"/>
  <c r="ATB64" i="1"/>
  <c r="ATC64" i="1"/>
  <c r="ATD64" i="1"/>
  <c r="ATE64" i="1"/>
  <c r="ATF64" i="1"/>
  <c r="ATG64" i="1"/>
  <c r="ATH64" i="1"/>
  <c r="ATI64" i="1"/>
  <c r="ATJ64" i="1"/>
  <c r="ATK64" i="1"/>
  <c r="ATL64" i="1"/>
  <c r="ATM64" i="1"/>
  <c r="ATN64" i="1"/>
  <c r="ATO64" i="1"/>
  <c r="ATP64" i="1"/>
  <c r="ATQ64" i="1"/>
  <c r="ATR64" i="1"/>
  <c r="ATS64" i="1"/>
  <c r="ATT64" i="1"/>
  <c r="ATU64" i="1"/>
  <c r="ATV64" i="1"/>
  <c r="ATW64" i="1"/>
  <c r="ATX64" i="1"/>
  <c r="ATY64" i="1"/>
  <c r="ATZ64" i="1"/>
  <c r="AUA64" i="1"/>
  <c r="AUB64" i="1"/>
  <c r="AUC64" i="1"/>
  <c r="AUD64" i="1"/>
  <c r="AUE64" i="1"/>
  <c r="AUF64" i="1"/>
  <c r="AUG64" i="1"/>
  <c r="AUH64" i="1"/>
  <c r="AUI64" i="1"/>
  <c r="AUJ64" i="1"/>
  <c r="AUK64" i="1"/>
  <c r="AUL64" i="1"/>
  <c r="AUM64" i="1"/>
  <c r="AUN64" i="1"/>
  <c r="AUO64" i="1"/>
  <c r="AUP64" i="1"/>
  <c r="AUQ64" i="1"/>
  <c r="AUR64" i="1"/>
  <c r="AUS64" i="1"/>
  <c r="AUT64" i="1"/>
  <c r="AUU64" i="1"/>
  <c r="AUV64" i="1"/>
  <c r="AUW64" i="1"/>
  <c r="AUX64" i="1"/>
  <c r="AUY64" i="1"/>
  <c r="AUZ64" i="1"/>
  <c r="AVA64" i="1"/>
  <c r="AVB64" i="1"/>
  <c r="AVC64" i="1"/>
  <c r="AVD64" i="1"/>
  <c r="AVE64" i="1"/>
  <c r="AVF64" i="1"/>
  <c r="AVG64" i="1"/>
  <c r="AVH64" i="1"/>
  <c r="AVI64" i="1"/>
  <c r="AVJ64" i="1"/>
  <c r="AVK64" i="1"/>
  <c r="AVL64" i="1"/>
  <c r="AVM64" i="1"/>
  <c r="AVN64" i="1"/>
  <c r="AVO64" i="1"/>
  <c r="AVP64" i="1"/>
  <c r="AVQ64" i="1"/>
  <c r="AVR64" i="1"/>
  <c r="AVS64" i="1"/>
  <c r="AVT64" i="1"/>
  <c r="AVU64" i="1"/>
  <c r="AVV64" i="1"/>
  <c r="AVW64" i="1"/>
  <c r="AVX64" i="1"/>
  <c r="AVY64" i="1"/>
  <c r="AVZ64" i="1"/>
  <c r="AWA64" i="1"/>
  <c r="AWB64" i="1"/>
  <c r="AWC64" i="1"/>
  <c r="AWD64" i="1"/>
  <c r="AWE64" i="1"/>
  <c r="AWF64" i="1"/>
  <c r="AWG64" i="1"/>
  <c r="AWH64" i="1"/>
  <c r="AWI64" i="1"/>
  <c r="AWJ64" i="1"/>
  <c r="AWK64" i="1"/>
  <c r="AWL64" i="1"/>
  <c r="AWM64" i="1"/>
  <c r="AWN64" i="1"/>
  <c r="AWO64" i="1"/>
  <c r="AWP64" i="1"/>
  <c r="AWQ64" i="1"/>
  <c r="AWR64" i="1"/>
  <c r="AWS64" i="1"/>
  <c r="AWT64" i="1"/>
  <c r="AWU64" i="1"/>
  <c r="AWV64" i="1"/>
  <c r="AWW64" i="1"/>
  <c r="AWX64" i="1"/>
  <c r="AWY64" i="1"/>
  <c r="AWZ64" i="1"/>
  <c r="AXA64" i="1"/>
  <c r="AXB64" i="1"/>
  <c r="AXC64" i="1"/>
  <c r="AXD64" i="1"/>
  <c r="AXE64" i="1"/>
  <c r="AXF64" i="1"/>
  <c r="AXG64" i="1"/>
  <c r="AXH64" i="1"/>
  <c r="AXI64" i="1"/>
  <c r="AXJ64" i="1"/>
  <c r="AXK64" i="1"/>
  <c r="AXL64" i="1"/>
  <c r="AXM64" i="1"/>
  <c r="AXN64" i="1"/>
  <c r="AXO64" i="1"/>
  <c r="AXP64" i="1"/>
  <c r="AXQ64" i="1"/>
  <c r="AXR64" i="1"/>
  <c r="AXS64" i="1"/>
  <c r="AXT64" i="1"/>
  <c r="AXU64" i="1"/>
  <c r="AXV64" i="1"/>
  <c r="AXW64" i="1"/>
  <c r="AXX64" i="1"/>
  <c r="AXY64" i="1"/>
  <c r="AXZ64" i="1"/>
  <c r="AYA64" i="1"/>
  <c r="AYB64" i="1"/>
  <c r="AYC64" i="1"/>
  <c r="AYD64" i="1"/>
  <c r="AYE64" i="1"/>
  <c r="AYF64" i="1"/>
  <c r="AYG64" i="1"/>
  <c r="AYH64" i="1"/>
  <c r="AYI64" i="1"/>
  <c r="AYJ64" i="1"/>
  <c r="AYK64" i="1"/>
  <c r="AYL64" i="1"/>
  <c r="AYM64" i="1"/>
  <c r="AYN64" i="1"/>
  <c r="AYO64" i="1"/>
  <c r="AYP64" i="1"/>
  <c r="AYQ64" i="1"/>
  <c r="AYR64" i="1"/>
  <c r="AYS64" i="1"/>
  <c r="AYT64" i="1"/>
  <c r="AYU64" i="1"/>
  <c r="AYV64" i="1"/>
  <c r="AYW64" i="1"/>
  <c r="AYX64" i="1"/>
  <c r="AYY64" i="1"/>
  <c r="AYZ64" i="1"/>
  <c r="AZA64" i="1"/>
  <c r="AZB64" i="1"/>
  <c r="AZC64" i="1"/>
  <c r="AZD64" i="1"/>
  <c r="AZE64" i="1"/>
  <c r="AZF64" i="1"/>
  <c r="AZG64" i="1"/>
  <c r="AZH64" i="1"/>
  <c r="AZI64" i="1"/>
  <c r="AZJ64" i="1"/>
  <c r="AZK64" i="1"/>
  <c r="AZL64" i="1"/>
  <c r="AZM64" i="1"/>
  <c r="AZN64" i="1"/>
  <c r="AZO64" i="1"/>
  <c r="AZP64" i="1"/>
  <c r="AZQ64" i="1"/>
  <c r="AZR64" i="1"/>
  <c r="AZS64" i="1"/>
  <c r="AZT64" i="1"/>
  <c r="AZU64" i="1"/>
  <c r="AZV64" i="1"/>
  <c r="AZW64" i="1"/>
  <c r="AZX64" i="1"/>
  <c r="AZY64" i="1"/>
  <c r="AZZ64" i="1"/>
  <c r="BAA64" i="1"/>
  <c r="BAB64" i="1"/>
  <c r="BAC64" i="1"/>
  <c r="BAD64" i="1"/>
  <c r="BAE64" i="1"/>
  <c r="BAF64" i="1"/>
  <c r="BAG64" i="1"/>
  <c r="BAH64" i="1"/>
  <c r="BAI64" i="1"/>
  <c r="BAJ64" i="1"/>
  <c r="BAK64" i="1"/>
  <c r="BAL64" i="1"/>
  <c r="BAM64" i="1"/>
  <c r="BAN64" i="1"/>
  <c r="BAO64" i="1"/>
  <c r="BAP64" i="1"/>
  <c r="BAQ64" i="1"/>
  <c r="BAR64" i="1"/>
  <c r="BAS64" i="1"/>
  <c r="BAT64" i="1"/>
  <c r="BAU64" i="1"/>
  <c r="BAV64" i="1"/>
  <c r="BAW64" i="1"/>
  <c r="BAX64" i="1"/>
  <c r="BAY64" i="1"/>
  <c r="BAZ64" i="1"/>
  <c r="BBA64" i="1"/>
  <c r="BBB64" i="1"/>
  <c r="BBC64" i="1"/>
  <c r="BBD64" i="1"/>
  <c r="BBE64" i="1"/>
  <c r="BBF64" i="1"/>
  <c r="BBG64" i="1"/>
  <c r="BBH64" i="1"/>
  <c r="BBI64" i="1"/>
  <c r="BBJ64" i="1"/>
  <c r="BBK64" i="1"/>
  <c r="BBL64" i="1"/>
  <c r="BBM64" i="1"/>
  <c r="BBN64" i="1"/>
  <c r="BBO64" i="1"/>
  <c r="BBP64" i="1"/>
  <c r="BBQ64" i="1"/>
  <c r="BBR64" i="1"/>
  <c r="BBS64" i="1"/>
  <c r="BBT64" i="1"/>
  <c r="BBU64" i="1"/>
  <c r="BBV64" i="1"/>
  <c r="BBW64" i="1"/>
  <c r="BBX64" i="1"/>
  <c r="BBY64" i="1"/>
  <c r="BBZ64" i="1"/>
  <c r="BCA64" i="1"/>
  <c r="BCB64" i="1"/>
  <c r="BCC64" i="1"/>
  <c r="BCD64" i="1"/>
  <c r="BCE64" i="1"/>
  <c r="BCF64" i="1"/>
  <c r="BCG64" i="1"/>
  <c r="BCH64" i="1"/>
  <c r="BCI64" i="1"/>
  <c r="BCJ64" i="1"/>
  <c r="BCK64" i="1"/>
  <c r="BCL64" i="1"/>
  <c r="BCM64" i="1"/>
  <c r="BCN64" i="1"/>
  <c r="BCO64" i="1"/>
  <c r="BCP64" i="1"/>
  <c r="BCQ64" i="1"/>
  <c r="BCR64" i="1"/>
  <c r="BCS64" i="1"/>
  <c r="BCT64" i="1"/>
  <c r="BCU64" i="1"/>
  <c r="BCV64" i="1"/>
  <c r="BCW64" i="1"/>
  <c r="BCX64" i="1"/>
  <c r="BCY64" i="1"/>
  <c r="BCZ64" i="1"/>
  <c r="BDA64" i="1"/>
  <c r="BDB64" i="1"/>
  <c r="BDC64" i="1"/>
  <c r="BDD64" i="1"/>
  <c r="BDE64" i="1"/>
  <c r="BDF64" i="1"/>
  <c r="BDG64" i="1"/>
  <c r="BDH64" i="1"/>
  <c r="BDI64" i="1"/>
  <c r="BDJ64" i="1"/>
  <c r="BDK64" i="1"/>
  <c r="BDL64" i="1"/>
  <c r="BDM64" i="1"/>
  <c r="BDN64" i="1"/>
  <c r="BDO64" i="1"/>
  <c r="BDP64" i="1"/>
  <c r="BDQ64" i="1"/>
  <c r="BDR64" i="1"/>
  <c r="BDS64" i="1"/>
  <c r="BDT64" i="1"/>
  <c r="BDU64" i="1"/>
  <c r="BDV64" i="1"/>
  <c r="BDW64" i="1"/>
  <c r="BDX64" i="1"/>
  <c r="BDY64" i="1"/>
  <c r="BDZ64" i="1"/>
  <c r="BEA64" i="1"/>
  <c r="BEB64" i="1"/>
  <c r="BEC64" i="1"/>
  <c r="BED64" i="1"/>
  <c r="BEE64" i="1"/>
  <c r="BEF64" i="1"/>
  <c r="BEG64" i="1"/>
  <c r="BEH64" i="1"/>
  <c r="BEI64" i="1"/>
  <c r="BEJ64" i="1"/>
  <c r="BEK64" i="1"/>
  <c r="BEL64" i="1"/>
  <c r="BEM64" i="1"/>
  <c r="BEN64" i="1"/>
  <c r="BEO64" i="1"/>
  <c r="BEP64" i="1"/>
  <c r="BEQ64" i="1"/>
  <c r="BER64" i="1"/>
  <c r="BES64" i="1"/>
  <c r="BET64" i="1"/>
  <c r="BEU64" i="1"/>
  <c r="BEV64" i="1"/>
  <c r="BEW64" i="1"/>
  <c r="BEX64" i="1"/>
  <c r="BEY64" i="1"/>
  <c r="BEZ64" i="1"/>
  <c r="BFA64" i="1"/>
  <c r="BFB64" i="1"/>
  <c r="BFC64" i="1"/>
  <c r="BFD64" i="1"/>
  <c r="BFE64" i="1"/>
  <c r="BFF64" i="1"/>
  <c r="BFG64" i="1"/>
  <c r="BFH64" i="1"/>
  <c r="BFI64" i="1"/>
  <c r="BFJ64" i="1"/>
  <c r="BFK64" i="1"/>
  <c r="BFL64" i="1"/>
  <c r="BFM64" i="1"/>
  <c r="BFN64" i="1"/>
  <c r="BFO64" i="1"/>
  <c r="BFP64" i="1"/>
  <c r="BFQ64" i="1"/>
  <c r="BFR64" i="1"/>
  <c r="BFS64" i="1"/>
  <c r="BFT64" i="1"/>
  <c r="BFU64" i="1"/>
  <c r="BFV64" i="1"/>
  <c r="BFW64" i="1"/>
  <c r="BFX64" i="1"/>
  <c r="BFY64" i="1"/>
  <c r="BFZ64" i="1"/>
  <c r="BGA64" i="1"/>
  <c r="BGB64" i="1"/>
  <c r="BGC64" i="1"/>
  <c r="BGD64" i="1"/>
  <c r="BGE64" i="1"/>
  <c r="BGF64" i="1"/>
  <c r="BGG64" i="1"/>
  <c r="BGH64" i="1"/>
  <c r="BGI64" i="1"/>
  <c r="BGJ64" i="1"/>
  <c r="BGK64" i="1"/>
  <c r="BGL64" i="1"/>
  <c r="BGM64" i="1"/>
  <c r="BGN64" i="1"/>
  <c r="BGO64" i="1"/>
  <c r="BGP64" i="1"/>
  <c r="BGQ64" i="1"/>
  <c r="BGR64" i="1"/>
  <c r="BGS64" i="1"/>
  <c r="BGT64" i="1"/>
  <c r="BGU64" i="1"/>
  <c r="BGV64" i="1"/>
  <c r="BGW64" i="1"/>
  <c r="BGX64" i="1"/>
  <c r="BGY64" i="1"/>
  <c r="BGZ64" i="1"/>
  <c r="BHA64" i="1"/>
  <c r="BHB64" i="1"/>
  <c r="BHC64" i="1"/>
  <c r="BHD64" i="1"/>
  <c r="BHE64" i="1"/>
  <c r="BHF64" i="1"/>
  <c r="BHG64" i="1"/>
  <c r="BHH64" i="1"/>
  <c r="BHI64" i="1"/>
  <c r="BHJ64" i="1"/>
  <c r="BHK64" i="1"/>
  <c r="BHL64" i="1"/>
  <c r="BHM64" i="1"/>
  <c r="BHN64" i="1"/>
  <c r="BHO64" i="1"/>
  <c r="BHP64" i="1"/>
  <c r="BHQ64" i="1"/>
  <c r="BHR64" i="1"/>
  <c r="BHS64" i="1"/>
  <c r="BHT64" i="1"/>
  <c r="BHU64" i="1"/>
  <c r="BHV64" i="1"/>
  <c r="BHW64" i="1"/>
  <c r="BHX64" i="1"/>
  <c r="BHY64" i="1"/>
  <c r="BHZ64" i="1"/>
  <c r="BIA64" i="1"/>
  <c r="BIB64" i="1"/>
  <c r="BIC64" i="1"/>
  <c r="BID64" i="1"/>
  <c r="BIE64" i="1"/>
  <c r="BIF64" i="1"/>
  <c r="BIG64" i="1"/>
  <c r="BIH64" i="1"/>
  <c r="BII64" i="1"/>
  <c r="BIJ64" i="1"/>
  <c r="BIK64" i="1"/>
  <c r="BIL64" i="1"/>
  <c r="BIM64" i="1"/>
  <c r="BIN64" i="1"/>
  <c r="BIO64" i="1"/>
  <c r="BIP64" i="1"/>
  <c r="BIQ64" i="1"/>
  <c r="BIR64" i="1"/>
  <c r="BIS64" i="1"/>
  <c r="BIT64" i="1"/>
  <c r="BIU64" i="1"/>
  <c r="BIV64" i="1"/>
  <c r="BIW64" i="1"/>
  <c r="BIX64" i="1"/>
  <c r="BIY64" i="1"/>
  <c r="BIZ64" i="1"/>
  <c r="BJA64" i="1"/>
  <c r="BJB64" i="1"/>
  <c r="BJC64" i="1"/>
  <c r="BJD64" i="1"/>
  <c r="BJE64" i="1"/>
  <c r="BJF64" i="1"/>
  <c r="BJG64" i="1"/>
  <c r="BJH64" i="1"/>
  <c r="BJI64" i="1"/>
  <c r="BJJ64" i="1"/>
  <c r="BJK64" i="1"/>
  <c r="BJL64" i="1"/>
  <c r="BJM64" i="1"/>
  <c r="BJN64" i="1"/>
  <c r="BJO64" i="1"/>
  <c r="BJP64" i="1"/>
  <c r="BJQ64" i="1"/>
  <c r="BJR64" i="1"/>
  <c r="BJS64" i="1"/>
  <c r="BJT64" i="1"/>
  <c r="BJU64" i="1"/>
  <c r="BJV64" i="1"/>
  <c r="BJW64" i="1"/>
  <c r="BJX64" i="1"/>
  <c r="BJY64" i="1"/>
  <c r="BJZ64" i="1"/>
  <c r="BKA64" i="1"/>
  <c r="BKB64" i="1"/>
  <c r="BKC64" i="1"/>
  <c r="BKD64" i="1"/>
  <c r="BKE64" i="1"/>
  <c r="BKF64" i="1"/>
  <c r="BKG64" i="1"/>
  <c r="BKH64" i="1"/>
  <c r="BKI64" i="1"/>
  <c r="BKJ64" i="1"/>
  <c r="BKK64" i="1"/>
  <c r="BKL64" i="1"/>
  <c r="BKM64" i="1"/>
  <c r="BKN64" i="1"/>
  <c r="BKO64" i="1"/>
  <c r="BKP64" i="1"/>
  <c r="BKQ64" i="1"/>
  <c r="BKR64" i="1"/>
  <c r="BKS64" i="1"/>
  <c r="BKT64" i="1"/>
  <c r="BKU64" i="1"/>
  <c r="BKV64" i="1"/>
  <c r="BKW64" i="1"/>
  <c r="BKX64" i="1"/>
  <c r="BKY64" i="1"/>
  <c r="BKZ64" i="1"/>
  <c r="BLA64" i="1"/>
  <c r="BLB64" i="1"/>
  <c r="BLC64" i="1"/>
  <c r="BLD64" i="1"/>
  <c r="BLE64" i="1"/>
  <c r="BLF64" i="1"/>
  <c r="BLG64" i="1"/>
  <c r="BLH64" i="1"/>
  <c r="BLI64" i="1"/>
  <c r="BLJ64" i="1"/>
  <c r="BLK64" i="1"/>
  <c r="BLL64" i="1"/>
  <c r="BLM64" i="1"/>
  <c r="BLN64" i="1"/>
  <c r="BLO64" i="1"/>
  <c r="BLP64" i="1"/>
  <c r="BLQ64" i="1"/>
  <c r="BLR64" i="1"/>
  <c r="BLS64" i="1"/>
  <c r="BLT64" i="1"/>
  <c r="BLU64" i="1"/>
  <c r="BLV64" i="1"/>
  <c r="BLW64" i="1"/>
  <c r="BLX64" i="1"/>
  <c r="BLY64" i="1"/>
  <c r="BLZ64" i="1"/>
  <c r="BMA64" i="1"/>
  <c r="BMB64" i="1"/>
  <c r="BMC64" i="1"/>
  <c r="BMD64" i="1"/>
  <c r="BME64" i="1"/>
  <c r="BMF64" i="1"/>
  <c r="BMG64" i="1"/>
  <c r="BMH64" i="1"/>
  <c r="BMI64" i="1"/>
  <c r="BMJ64" i="1"/>
  <c r="BMK64" i="1"/>
  <c r="BML64" i="1"/>
  <c r="BMM64" i="1"/>
  <c r="BMN64" i="1"/>
  <c r="BMO64" i="1"/>
  <c r="BMP64" i="1"/>
  <c r="BMQ64" i="1"/>
  <c r="BMR64" i="1"/>
  <c r="BMS64" i="1"/>
  <c r="BMT64" i="1"/>
  <c r="BMU64" i="1"/>
  <c r="BMV64" i="1"/>
  <c r="BMW64" i="1"/>
  <c r="BMX64" i="1"/>
  <c r="BMY64" i="1"/>
  <c r="BMZ64" i="1"/>
  <c r="BNA64" i="1"/>
  <c r="BNB64" i="1"/>
  <c r="BNC64" i="1"/>
  <c r="BND64" i="1"/>
  <c r="BNE64" i="1"/>
  <c r="BNF64" i="1"/>
  <c r="BNG64" i="1"/>
  <c r="BNH64" i="1"/>
  <c r="BNI64" i="1"/>
  <c r="BNJ64" i="1"/>
  <c r="BNK64" i="1"/>
  <c r="BNL64" i="1"/>
  <c r="BNM64" i="1"/>
  <c r="BNN64" i="1"/>
  <c r="BNO64" i="1"/>
  <c r="BNP64" i="1"/>
  <c r="BNQ64" i="1"/>
  <c r="BNR64" i="1"/>
  <c r="BNS64" i="1"/>
  <c r="BNT64" i="1"/>
  <c r="BNU64" i="1"/>
  <c r="BNV64" i="1"/>
  <c r="BNW64" i="1"/>
  <c r="BNX64" i="1"/>
  <c r="BNY64" i="1"/>
  <c r="BNZ64" i="1"/>
  <c r="BOA64" i="1"/>
  <c r="BOB64" i="1"/>
  <c r="BOC64" i="1"/>
  <c r="BOD64" i="1"/>
  <c r="BOE64" i="1"/>
  <c r="BOF64" i="1"/>
  <c r="BOG64" i="1"/>
  <c r="BOH64" i="1"/>
  <c r="BOI64" i="1"/>
  <c r="BOJ64" i="1"/>
  <c r="BOK64" i="1"/>
  <c r="BOL64" i="1"/>
  <c r="BOM64" i="1"/>
  <c r="BON64" i="1"/>
  <c r="BOO64" i="1"/>
  <c r="BOP64" i="1"/>
  <c r="BOQ64" i="1"/>
  <c r="BOR64" i="1"/>
  <c r="BOS64" i="1"/>
  <c r="BOT64" i="1"/>
  <c r="BOU64" i="1"/>
  <c r="BOV64" i="1"/>
  <c r="BOW64" i="1"/>
  <c r="BOX64" i="1"/>
  <c r="BOY64" i="1"/>
  <c r="BOZ64" i="1"/>
  <c r="BPA64" i="1"/>
  <c r="BPB64" i="1"/>
  <c r="BPC64" i="1"/>
  <c r="BPD64" i="1"/>
  <c r="BPE64" i="1"/>
  <c r="BPF64" i="1"/>
  <c r="BPG64" i="1"/>
  <c r="BPH64" i="1"/>
  <c r="BPI64" i="1"/>
  <c r="BPJ64" i="1"/>
  <c r="BPK64" i="1"/>
  <c r="BPL64" i="1"/>
  <c r="BPM64" i="1"/>
  <c r="BPN64" i="1"/>
  <c r="BPO64" i="1"/>
  <c r="BPP64" i="1"/>
  <c r="BPQ64" i="1"/>
  <c r="BPR64" i="1"/>
  <c r="BPS64" i="1"/>
  <c r="BPT64" i="1"/>
  <c r="BPU64" i="1"/>
  <c r="BPV64" i="1"/>
  <c r="BPW64" i="1"/>
  <c r="BPX64" i="1"/>
  <c r="BPY64" i="1"/>
  <c r="BPZ64" i="1"/>
  <c r="BQA64" i="1"/>
  <c r="BQB64" i="1"/>
  <c r="BQC64" i="1"/>
  <c r="BQD64" i="1"/>
  <c r="BQE64" i="1"/>
  <c r="BQF64" i="1"/>
  <c r="BQG64" i="1"/>
  <c r="BQH64" i="1"/>
  <c r="BQI64" i="1"/>
  <c r="BQJ64" i="1"/>
  <c r="BQK64" i="1"/>
  <c r="BQL64" i="1"/>
  <c r="BQM64" i="1"/>
  <c r="BQN64" i="1"/>
  <c r="BQO64" i="1"/>
  <c r="BQP64" i="1"/>
  <c r="BQQ64" i="1"/>
  <c r="BQR64" i="1"/>
  <c r="BQS64" i="1"/>
  <c r="BQT64" i="1"/>
  <c r="BQU64" i="1"/>
  <c r="BQV64" i="1"/>
  <c r="BQW64" i="1"/>
  <c r="BQX64" i="1"/>
  <c r="BQY64" i="1"/>
  <c r="BQZ64" i="1"/>
  <c r="BRA64" i="1"/>
  <c r="BRB64" i="1"/>
  <c r="BRC64" i="1"/>
  <c r="BRD64" i="1"/>
  <c r="BRE64" i="1"/>
  <c r="BRF64" i="1"/>
  <c r="BRG64" i="1"/>
  <c r="BRH64" i="1"/>
  <c r="BRI64" i="1"/>
  <c r="BRJ64" i="1"/>
  <c r="BRK64" i="1"/>
  <c r="BRL64" i="1"/>
  <c r="BRM64" i="1"/>
  <c r="BRN64" i="1"/>
  <c r="BRO64" i="1"/>
  <c r="BRP64" i="1"/>
  <c r="BRQ64" i="1"/>
  <c r="BRR64" i="1"/>
  <c r="BRS64" i="1"/>
  <c r="BRT64" i="1"/>
  <c r="BRU64" i="1"/>
  <c r="BRV64" i="1"/>
  <c r="BRW64" i="1"/>
  <c r="BRX64" i="1"/>
  <c r="BRY64" i="1"/>
  <c r="BRZ64" i="1"/>
  <c r="BSA64" i="1"/>
  <c r="BSB64" i="1"/>
  <c r="BSC64" i="1"/>
  <c r="BSD64" i="1"/>
  <c r="BSE64" i="1"/>
  <c r="BSF64" i="1"/>
  <c r="BSG64" i="1"/>
  <c r="BSH64" i="1"/>
  <c r="BSI64" i="1"/>
  <c r="BSJ64" i="1"/>
  <c r="BSK64" i="1"/>
  <c r="BSL64" i="1"/>
  <c r="BSM64" i="1"/>
  <c r="BSN64" i="1"/>
  <c r="BSO64" i="1"/>
  <c r="BSP64" i="1"/>
  <c r="BSQ64" i="1"/>
  <c r="BSR64" i="1"/>
  <c r="BSS64" i="1"/>
  <c r="BST64" i="1"/>
  <c r="BSU64" i="1"/>
  <c r="BSV64" i="1"/>
  <c r="BSW64" i="1"/>
  <c r="BSX64" i="1"/>
  <c r="BSY64" i="1"/>
  <c r="BSZ64" i="1"/>
  <c r="BTA64" i="1"/>
  <c r="BTB64" i="1"/>
  <c r="BTC64" i="1"/>
  <c r="BTD64" i="1"/>
  <c r="BTE64" i="1"/>
  <c r="BTF64" i="1"/>
  <c r="BTG64" i="1"/>
  <c r="BTH64" i="1"/>
  <c r="BTI64" i="1"/>
  <c r="BTJ64" i="1"/>
  <c r="BTK64" i="1"/>
  <c r="BTL64" i="1"/>
  <c r="BTM64" i="1"/>
  <c r="BTN64" i="1"/>
  <c r="BTO64" i="1"/>
  <c r="BTP64" i="1"/>
  <c r="BTQ64" i="1"/>
  <c r="BTR64" i="1"/>
  <c r="BTS64" i="1"/>
  <c r="BTT64" i="1"/>
  <c r="BTU64" i="1"/>
  <c r="BTV64" i="1"/>
  <c r="BTW64" i="1"/>
  <c r="BTX64" i="1"/>
  <c r="BTY64" i="1"/>
  <c r="BTZ64" i="1"/>
  <c r="BUA64" i="1"/>
  <c r="BUB64" i="1"/>
  <c r="BUC64" i="1"/>
  <c r="BUD64" i="1"/>
  <c r="BUE64" i="1"/>
  <c r="BUF64" i="1"/>
  <c r="BUG64" i="1"/>
  <c r="BUH64" i="1"/>
  <c r="BUI64" i="1"/>
  <c r="BUJ64" i="1"/>
  <c r="BUK64" i="1"/>
  <c r="BUL64" i="1"/>
  <c r="BUM64" i="1"/>
  <c r="BUN64" i="1"/>
  <c r="BUO64" i="1"/>
  <c r="BUP64" i="1"/>
  <c r="BUQ64" i="1"/>
  <c r="BUR64" i="1"/>
  <c r="BUS64" i="1"/>
  <c r="BUT64" i="1"/>
  <c r="BUU64" i="1"/>
  <c r="BUV64" i="1"/>
  <c r="BUW64" i="1"/>
  <c r="BUX64" i="1"/>
  <c r="BUY64" i="1"/>
  <c r="BUZ64" i="1"/>
  <c r="BVA64" i="1"/>
  <c r="BVB64" i="1"/>
  <c r="BVC64" i="1"/>
  <c r="BVD64" i="1"/>
  <c r="BVE64" i="1"/>
  <c r="BVF64" i="1"/>
  <c r="BVG64" i="1"/>
  <c r="BVH64" i="1"/>
  <c r="BVI64" i="1"/>
  <c r="BVJ64" i="1"/>
  <c r="BVK64" i="1"/>
  <c r="BVL64" i="1"/>
  <c r="BVM64" i="1"/>
  <c r="BVN64" i="1"/>
  <c r="BVO64" i="1"/>
  <c r="BVP64" i="1"/>
  <c r="BVQ64" i="1"/>
  <c r="BVR64" i="1"/>
  <c r="BVS64" i="1"/>
  <c r="BVT64" i="1"/>
  <c r="BVU64" i="1"/>
  <c r="BVV64" i="1"/>
  <c r="BVW64" i="1"/>
  <c r="BVX64" i="1"/>
  <c r="BVY64" i="1"/>
  <c r="BVZ64" i="1"/>
  <c r="BWA64" i="1"/>
  <c r="BWB64" i="1"/>
  <c r="BWC64" i="1"/>
  <c r="BWD64" i="1"/>
  <c r="BWE64" i="1"/>
  <c r="BWF64" i="1"/>
  <c r="BWG64" i="1"/>
  <c r="BWH64" i="1"/>
  <c r="BWI64" i="1"/>
  <c r="BWJ64" i="1"/>
  <c r="BWK64" i="1"/>
  <c r="BWL64" i="1"/>
  <c r="BWM64" i="1"/>
  <c r="BWN64" i="1"/>
  <c r="BWO64" i="1"/>
  <c r="BWP64" i="1"/>
  <c r="BWQ64" i="1"/>
  <c r="BWR64" i="1"/>
  <c r="BWS64" i="1"/>
  <c r="BWT64" i="1"/>
  <c r="BWU64" i="1"/>
  <c r="BWV64" i="1"/>
  <c r="BWW64" i="1"/>
  <c r="BWX64" i="1"/>
  <c r="BWY64" i="1"/>
  <c r="BWZ64" i="1"/>
  <c r="BXA64" i="1"/>
  <c r="BXB64" i="1"/>
  <c r="BXC64" i="1"/>
  <c r="BXD64" i="1"/>
  <c r="BXE64" i="1"/>
  <c r="BXF64" i="1"/>
  <c r="BXG64" i="1"/>
  <c r="BXH64" i="1"/>
  <c r="BXI64" i="1"/>
  <c r="BXJ64" i="1"/>
  <c r="BXK64" i="1"/>
  <c r="BXL64" i="1"/>
  <c r="BXM64" i="1"/>
  <c r="BXN64" i="1"/>
  <c r="BXO64" i="1"/>
  <c r="BXP64" i="1"/>
  <c r="BXQ64" i="1"/>
  <c r="BXR64" i="1"/>
  <c r="BXS64" i="1"/>
  <c r="BXT64" i="1"/>
  <c r="BXU64" i="1"/>
  <c r="BXV64" i="1"/>
  <c r="BXW64" i="1"/>
  <c r="BXX64" i="1"/>
  <c r="BXY64" i="1"/>
  <c r="BXZ64" i="1"/>
  <c r="BYA64" i="1"/>
  <c r="BYB64" i="1"/>
  <c r="BYC64" i="1"/>
  <c r="BYD64" i="1"/>
  <c r="BYE64" i="1"/>
  <c r="BYF64" i="1"/>
  <c r="BYG64" i="1"/>
  <c r="BYH64" i="1"/>
  <c r="BYI64" i="1"/>
  <c r="BYJ64" i="1"/>
  <c r="BYK64" i="1"/>
  <c r="BYL64" i="1"/>
  <c r="BYM64" i="1"/>
  <c r="BYN64" i="1"/>
  <c r="BYO64" i="1"/>
  <c r="BYP64" i="1"/>
  <c r="BYQ64" i="1"/>
  <c r="BYR64" i="1"/>
  <c r="BYS64" i="1"/>
  <c r="BYT64" i="1"/>
  <c r="BYU64" i="1"/>
  <c r="BYV64" i="1"/>
  <c r="BYW64" i="1"/>
  <c r="BYX64" i="1"/>
  <c r="BYY64" i="1"/>
  <c r="BYZ64" i="1"/>
  <c r="BZA64" i="1"/>
  <c r="BZB64" i="1"/>
  <c r="BZC64" i="1"/>
  <c r="BZD64" i="1"/>
  <c r="BZE64" i="1"/>
  <c r="BZF64" i="1"/>
  <c r="BZG64" i="1"/>
  <c r="BZH64" i="1"/>
  <c r="BZI64" i="1"/>
  <c r="BZJ64" i="1"/>
  <c r="BZK64" i="1"/>
  <c r="BZL64" i="1"/>
  <c r="BZM64" i="1"/>
  <c r="BZN64" i="1"/>
  <c r="BZO64" i="1"/>
  <c r="BZP64" i="1"/>
  <c r="BZQ64" i="1"/>
  <c r="BZR64" i="1"/>
  <c r="BZS64" i="1"/>
  <c r="BZT64" i="1"/>
  <c r="BZU64" i="1"/>
  <c r="BZV64" i="1"/>
  <c r="BZW64" i="1"/>
  <c r="BZX64" i="1"/>
  <c r="BZY64" i="1"/>
  <c r="BZZ64" i="1"/>
  <c r="CAA64" i="1"/>
  <c r="CAB64" i="1"/>
  <c r="CAC64" i="1"/>
  <c r="CAD64" i="1"/>
  <c r="CAE64" i="1"/>
  <c r="CAF64" i="1"/>
  <c r="CAG64" i="1"/>
  <c r="CAH64" i="1"/>
  <c r="CAI64" i="1"/>
  <c r="CAJ64" i="1"/>
  <c r="CAK64" i="1"/>
  <c r="CAL64" i="1"/>
  <c r="CAM64" i="1"/>
  <c r="CAN64" i="1"/>
  <c r="CAO64" i="1"/>
  <c r="CAP64" i="1"/>
  <c r="CAQ64" i="1"/>
  <c r="CAR64" i="1"/>
  <c r="CAS64" i="1"/>
  <c r="CAT64" i="1"/>
  <c r="CAU64" i="1"/>
  <c r="CAV64" i="1"/>
  <c r="CAW64" i="1"/>
  <c r="CAX64" i="1"/>
  <c r="CAY64" i="1"/>
  <c r="CAZ64" i="1"/>
  <c r="CBA64" i="1"/>
  <c r="CBB64" i="1"/>
  <c r="CBC64" i="1"/>
  <c r="CBD64" i="1"/>
  <c r="CBE64" i="1"/>
  <c r="CBF64" i="1"/>
  <c r="CBG64" i="1"/>
  <c r="CBH64" i="1"/>
  <c r="CBI64" i="1"/>
  <c r="CBJ64" i="1"/>
  <c r="CBK64" i="1"/>
  <c r="CBL64" i="1"/>
  <c r="CBM64" i="1"/>
  <c r="CBN64" i="1"/>
  <c r="CBO64" i="1"/>
  <c r="CBP64" i="1"/>
  <c r="CBQ64" i="1"/>
  <c r="CBR64" i="1"/>
  <c r="CBS64" i="1"/>
  <c r="CBT64" i="1"/>
  <c r="CBU64" i="1"/>
  <c r="CBV64" i="1"/>
  <c r="CBW64" i="1"/>
  <c r="CBX64" i="1"/>
  <c r="CBY64" i="1"/>
  <c r="CBZ64" i="1"/>
  <c r="CCA64" i="1"/>
  <c r="CCB64" i="1"/>
  <c r="CCC64" i="1"/>
  <c r="CCD64" i="1"/>
  <c r="CCE64" i="1"/>
  <c r="CCF64" i="1"/>
  <c r="CCG64" i="1"/>
  <c r="CCH64" i="1"/>
  <c r="CCI64" i="1"/>
  <c r="CCJ64" i="1"/>
  <c r="CCK64" i="1"/>
  <c r="CCL64" i="1"/>
  <c r="CCM64" i="1"/>
  <c r="CCN64" i="1"/>
  <c r="CCO64" i="1"/>
  <c r="CCP64" i="1"/>
  <c r="CCQ64" i="1"/>
  <c r="CCR64" i="1"/>
  <c r="CCS64" i="1"/>
  <c r="CCT64" i="1"/>
  <c r="CCU64" i="1"/>
  <c r="CCV64" i="1"/>
  <c r="CCW64" i="1"/>
  <c r="CCX64" i="1"/>
  <c r="CCY64" i="1"/>
  <c r="CCZ64" i="1"/>
  <c r="CDA64" i="1"/>
  <c r="CDB64" i="1"/>
  <c r="CDC64" i="1"/>
  <c r="CDD64" i="1"/>
  <c r="CDE64" i="1"/>
  <c r="CDF64" i="1"/>
  <c r="CDG64" i="1"/>
  <c r="CDH64" i="1"/>
  <c r="CDI64" i="1"/>
  <c r="CDJ64" i="1"/>
  <c r="CDK64" i="1"/>
  <c r="CDL64" i="1"/>
  <c r="CDM64" i="1"/>
  <c r="CDN64" i="1"/>
  <c r="CDO64" i="1"/>
  <c r="CDP64" i="1"/>
  <c r="CDQ64" i="1"/>
  <c r="CDR64" i="1"/>
  <c r="CDS64" i="1"/>
  <c r="CDT64" i="1"/>
  <c r="CDU64" i="1"/>
  <c r="CDV64" i="1"/>
  <c r="CDW64" i="1"/>
  <c r="CDX64" i="1"/>
  <c r="CDY64" i="1"/>
  <c r="CDZ64" i="1"/>
  <c r="CEA64" i="1"/>
  <c r="CEB64" i="1"/>
  <c r="CEC64" i="1"/>
  <c r="CED64" i="1"/>
  <c r="CEE64" i="1"/>
  <c r="CEF64" i="1"/>
  <c r="CEG64" i="1"/>
  <c r="CEH64" i="1"/>
  <c r="CEI64" i="1"/>
  <c r="CEJ64" i="1"/>
  <c r="CEK64" i="1"/>
  <c r="CEL64" i="1"/>
  <c r="CEM64" i="1"/>
  <c r="CEN64" i="1"/>
  <c r="CEO64" i="1"/>
  <c r="CEP64" i="1"/>
  <c r="CEQ64" i="1"/>
  <c r="CER64" i="1"/>
  <c r="CES64" i="1"/>
  <c r="CET64" i="1"/>
  <c r="CEU64" i="1"/>
  <c r="CEV64" i="1"/>
  <c r="CEW64" i="1"/>
  <c r="CEX64" i="1"/>
  <c r="CEY64" i="1"/>
  <c r="CEZ64" i="1"/>
  <c r="CFA64" i="1"/>
  <c r="CFB64" i="1"/>
  <c r="CFC64" i="1"/>
  <c r="CFD64" i="1"/>
  <c r="CFE64" i="1"/>
  <c r="CFF64" i="1"/>
  <c r="CFG64" i="1"/>
  <c r="CFH64" i="1"/>
  <c r="CFI64" i="1"/>
  <c r="CFJ64" i="1"/>
  <c r="CFK64" i="1"/>
  <c r="CFL64" i="1"/>
  <c r="CFM64" i="1"/>
  <c r="CFN64" i="1"/>
  <c r="CFO64" i="1"/>
  <c r="CFP64" i="1"/>
  <c r="CFQ64" i="1"/>
  <c r="CFR64" i="1"/>
  <c r="CFS64" i="1"/>
  <c r="CFT64" i="1"/>
  <c r="CFU64" i="1"/>
  <c r="CFV64" i="1"/>
  <c r="CFW64" i="1"/>
  <c r="CFX64" i="1"/>
  <c r="CFY64" i="1"/>
  <c r="CFZ64" i="1"/>
  <c r="CGA64" i="1"/>
  <c r="CGB64" i="1"/>
  <c r="CGC64" i="1"/>
  <c r="CGD64" i="1"/>
  <c r="CGE64" i="1"/>
  <c r="CGF64" i="1"/>
  <c r="CGG64" i="1"/>
  <c r="CGH64" i="1"/>
  <c r="CGI64" i="1"/>
  <c r="CGJ64" i="1"/>
  <c r="CGK64" i="1"/>
  <c r="CGL64" i="1"/>
  <c r="CGM64" i="1"/>
  <c r="CGN64" i="1"/>
  <c r="CGO64" i="1"/>
  <c r="CGP64" i="1"/>
  <c r="CGQ64" i="1"/>
  <c r="CGR64" i="1"/>
  <c r="CGS64" i="1"/>
  <c r="CGT64" i="1"/>
  <c r="CGU64" i="1"/>
  <c r="CGV64" i="1"/>
  <c r="CGW64" i="1"/>
  <c r="CGX64" i="1"/>
  <c r="CGY64" i="1"/>
  <c r="CGZ64" i="1"/>
  <c r="CHA64" i="1"/>
  <c r="CHB64" i="1"/>
  <c r="CHC64" i="1"/>
  <c r="CHD64" i="1"/>
  <c r="CHE64" i="1"/>
  <c r="CHF64" i="1"/>
  <c r="CHG64" i="1"/>
  <c r="CHH64" i="1"/>
  <c r="CHI64" i="1"/>
  <c r="CHJ64" i="1"/>
  <c r="CHK64" i="1"/>
  <c r="CHL64" i="1"/>
  <c r="CHM64" i="1"/>
  <c r="CHN64" i="1"/>
  <c r="CHO64" i="1"/>
  <c r="CHP64" i="1"/>
  <c r="CHQ64" i="1"/>
  <c r="CHR64" i="1"/>
  <c r="CHS64" i="1"/>
  <c r="CHT64" i="1"/>
  <c r="CHU64" i="1"/>
  <c r="CHV64" i="1"/>
  <c r="CHW64" i="1"/>
  <c r="CHX64" i="1"/>
  <c r="CHY64" i="1"/>
  <c r="CHZ64" i="1"/>
  <c r="CIA64" i="1"/>
  <c r="CIB64" i="1"/>
  <c r="CIC64" i="1"/>
  <c r="CID64" i="1"/>
  <c r="CIE64" i="1"/>
  <c r="CIF64" i="1"/>
  <c r="CIG64" i="1"/>
  <c r="CIH64" i="1"/>
  <c r="CII64" i="1"/>
  <c r="CIJ64" i="1"/>
  <c r="CIK64" i="1"/>
  <c r="CIL64" i="1"/>
  <c r="CIM64" i="1"/>
  <c r="CIN64" i="1"/>
  <c r="CIO64" i="1"/>
  <c r="CIP64" i="1"/>
  <c r="CIQ64" i="1"/>
  <c r="CIR64" i="1"/>
  <c r="CIS64" i="1"/>
  <c r="CIT64" i="1"/>
  <c r="CIU64" i="1"/>
  <c r="CIV64" i="1"/>
  <c r="CIW64" i="1"/>
  <c r="CIX64" i="1"/>
  <c r="CIY64" i="1"/>
  <c r="CIZ64" i="1"/>
  <c r="CJA64" i="1"/>
  <c r="CJB64" i="1"/>
  <c r="CJC64" i="1"/>
  <c r="CJD64" i="1"/>
  <c r="CJE64" i="1"/>
  <c r="CJF64" i="1"/>
  <c r="CJG64" i="1"/>
  <c r="CJH64" i="1"/>
  <c r="CJI64" i="1"/>
  <c r="CJJ64" i="1"/>
  <c r="CJK64" i="1"/>
  <c r="CJL64" i="1"/>
  <c r="CJM64" i="1"/>
  <c r="CJN64" i="1"/>
  <c r="CJO64" i="1"/>
  <c r="CJP64" i="1"/>
  <c r="CJQ64" i="1"/>
  <c r="CJR64" i="1"/>
  <c r="CJS64" i="1"/>
  <c r="CJT64" i="1"/>
  <c r="CJU64" i="1"/>
  <c r="CJV64" i="1"/>
  <c r="CJW64" i="1"/>
  <c r="CJX64" i="1"/>
  <c r="CJY64" i="1"/>
  <c r="CJZ64" i="1"/>
  <c r="CKA64" i="1"/>
  <c r="CKB64" i="1"/>
  <c r="CKC64" i="1"/>
  <c r="CKD64" i="1"/>
  <c r="CKE64" i="1"/>
  <c r="CKF64" i="1"/>
  <c r="CKG64" i="1"/>
  <c r="CKH64" i="1"/>
  <c r="CKI64" i="1"/>
  <c r="CKJ64" i="1"/>
  <c r="CKK64" i="1"/>
  <c r="CKL64" i="1"/>
  <c r="CKM64" i="1"/>
  <c r="CKN64" i="1"/>
  <c r="CKO64" i="1"/>
  <c r="CKP64" i="1"/>
  <c r="CKQ64" i="1"/>
  <c r="CKR64" i="1"/>
  <c r="CKS64" i="1"/>
  <c r="CKT64" i="1"/>
  <c r="CKU64" i="1"/>
  <c r="CKV64" i="1"/>
  <c r="CKW64" i="1"/>
  <c r="CKX64" i="1"/>
  <c r="CKY64" i="1"/>
  <c r="CKZ64" i="1"/>
  <c r="CLA64" i="1"/>
  <c r="CLB64" i="1"/>
  <c r="CLC64" i="1"/>
  <c r="CLD64" i="1"/>
  <c r="CLE64" i="1"/>
  <c r="CLF64" i="1"/>
  <c r="CLG64" i="1"/>
  <c r="CLH64" i="1"/>
  <c r="CLI64" i="1"/>
  <c r="CLJ64" i="1"/>
  <c r="CLK64" i="1"/>
  <c r="CLL64" i="1"/>
  <c r="CLM64" i="1"/>
  <c r="CLN64" i="1"/>
  <c r="CLO64" i="1"/>
  <c r="CLP64" i="1"/>
  <c r="CLQ64" i="1"/>
  <c r="CLR64" i="1"/>
  <c r="CLS64" i="1"/>
  <c r="CLT64" i="1"/>
  <c r="CLU64" i="1"/>
  <c r="CLV64" i="1"/>
  <c r="CLW64" i="1"/>
  <c r="CLX64" i="1"/>
  <c r="CLY64" i="1"/>
  <c r="CLZ64" i="1"/>
  <c r="CMA64" i="1"/>
  <c r="CMB64" i="1"/>
  <c r="CMC64" i="1"/>
  <c r="CMD64" i="1"/>
  <c r="CME64" i="1"/>
  <c r="CMF64" i="1"/>
  <c r="CMG64" i="1"/>
  <c r="CMH64" i="1"/>
  <c r="CMI64" i="1"/>
  <c r="CMJ64" i="1"/>
  <c r="CMK64" i="1"/>
  <c r="CML64" i="1"/>
  <c r="CMM64" i="1"/>
  <c r="CMN64" i="1"/>
  <c r="CMO64" i="1"/>
  <c r="CMP64" i="1"/>
  <c r="CMQ64" i="1"/>
  <c r="CMR64" i="1"/>
  <c r="CMS64" i="1"/>
  <c r="CMT64" i="1"/>
  <c r="CMU64" i="1"/>
  <c r="CMV64" i="1"/>
  <c r="CMW64" i="1"/>
  <c r="CMX64" i="1"/>
  <c r="CMY64" i="1"/>
  <c r="CMZ64" i="1"/>
  <c r="CNA64" i="1"/>
  <c r="CNB64" i="1"/>
  <c r="CNC64" i="1"/>
  <c r="CND64" i="1"/>
  <c r="CNE64" i="1"/>
  <c r="CNF64" i="1"/>
  <c r="CNG64" i="1"/>
  <c r="CNH64" i="1"/>
  <c r="CNI64" i="1"/>
  <c r="CNJ64" i="1"/>
  <c r="CNK64" i="1"/>
  <c r="CNL64" i="1"/>
  <c r="CNM64" i="1"/>
  <c r="CNN64" i="1"/>
  <c r="CNO64" i="1"/>
  <c r="CNP64" i="1"/>
  <c r="CNQ64" i="1"/>
  <c r="CNR64" i="1"/>
  <c r="CNS64" i="1"/>
  <c r="CNT64" i="1"/>
  <c r="CNU64" i="1"/>
  <c r="CNV64" i="1"/>
  <c r="CNW64" i="1"/>
  <c r="CNX64" i="1"/>
  <c r="CNY64" i="1"/>
  <c r="CNZ64" i="1"/>
  <c r="COA64" i="1"/>
  <c r="COB64" i="1"/>
  <c r="COC64" i="1"/>
  <c r="COD64" i="1"/>
  <c r="COE64" i="1"/>
  <c r="COF64" i="1"/>
  <c r="COG64" i="1"/>
  <c r="COH64" i="1"/>
  <c r="COI64" i="1"/>
  <c r="COJ64" i="1"/>
  <c r="COK64" i="1"/>
  <c r="COL64" i="1"/>
  <c r="COM64" i="1"/>
  <c r="CON64" i="1"/>
  <c r="COO64" i="1"/>
  <c r="COP64" i="1"/>
  <c r="COQ64" i="1"/>
  <c r="COR64" i="1"/>
  <c r="COS64" i="1"/>
  <c r="COT64" i="1"/>
  <c r="COU64" i="1"/>
  <c r="COV64" i="1"/>
  <c r="COW64" i="1"/>
  <c r="COX64" i="1"/>
  <c r="COY64" i="1"/>
  <c r="COZ64" i="1"/>
  <c r="CPA64" i="1"/>
  <c r="CPB64" i="1"/>
  <c r="CPC64" i="1"/>
  <c r="CPD64" i="1"/>
  <c r="CPE64" i="1"/>
  <c r="CPF64" i="1"/>
  <c r="CPG64" i="1"/>
  <c r="CPH64" i="1"/>
  <c r="CPI64" i="1"/>
  <c r="CPJ64" i="1"/>
  <c r="CPK64" i="1"/>
  <c r="CPL64" i="1"/>
  <c r="CPM64" i="1"/>
  <c r="CPN64" i="1"/>
  <c r="CPO64" i="1"/>
  <c r="CPP64" i="1"/>
  <c r="CPQ64" i="1"/>
  <c r="CPR64" i="1"/>
  <c r="CPS64" i="1"/>
  <c r="CPT64" i="1"/>
  <c r="CPU64" i="1"/>
  <c r="CPV64" i="1"/>
  <c r="CPW64" i="1"/>
  <c r="CPX64" i="1"/>
  <c r="CPY64" i="1"/>
  <c r="CPZ64" i="1"/>
  <c r="CQA64" i="1"/>
  <c r="CQB64" i="1"/>
  <c r="CQC64" i="1"/>
  <c r="CQD64" i="1"/>
  <c r="CQE64" i="1"/>
  <c r="CQF64" i="1"/>
  <c r="CQG64" i="1"/>
  <c r="CQH64" i="1"/>
  <c r="CQI64" i="1"/>
  <c r="CQJ64" i="1"/>
  <c r="CQK64" i="1"/>
  <c r="CQL64" i="1"/>
  <c r="CQM64" i="1"/>
  <c r="CQN64" i="1"/>
  <c r="CQO64" i="1"/>
  <c r="CQP64" i="1"/>
  <c r="CQQ64" i="1"/>
  <c r="CQR64" i="1"/>
  <c r="CQS64" i="1"/>
  <c r="CQT64" i="1"/>
  <c r="CQU64" i="1"/>
  <c r="CQV64" i="1"/>
  <c r="CQW64" i="1"/>
  <c r="CQX64" i="1"/>
  <c r="CQY64" i="1"/>
  <c r="CQZ64" i="1"/>
  <c r="CRA64" i="1"/>
  <c r="CRB64" i="1"/>
  <c r="CRC64" i="1"/>
  <c r="CRD64" i="1"/>
  <c r="CRE64" i="1"/>
  <c r="CRF64" i="1"/>
  <c r="CRG64" i="1"/>
  <c r="CRH64" i="1"/>
  <c r="CRI64" i="1"/>
  <c r="CRJ64" i="1"/>
  <c r="CRK64" i="1"/>
  <c r="CRL64" i="1"/>
  <c r="CRM64" i="1"/>
  <c r="CRN64" i="1"/>
  <c r="CRO64" i="1"/>
  <c r="CRP64" i="1"/>
  <c r="CRQ64" i="1"/>
  <c r="CRR64" i="1"/>
  <c r="CRS64" i="1"/>
  <c r="CRT64" i="1"/>
  <c r="CRU64" i="1"/>
  <c r="CRV64" i="1"/>
  <c r="CRW64" i="1"/>
  <c r="CRX64" i="1"/>
  <c r="CRY64" i="1"/>
  <c r="CRZ64" i="1"/>
  <c r="CSA64" i="1"/>
  <c r="CSB64" i="1"/>
  <c r="CSC64" i="1"/>
  <c r="CSD64" i="1"/>
  <c r="CSE64" i="1"/>
  <c r="CSF64" i="1"/>
  <c r="CSG64" i="1"/>
  <c r="CSH64" i="1"/>
  <c r="CSI64" i="1"/>
  <c r="CSJ64" i="1"/>
  <c r="CSK64" i="1"/>
  <c r="CSL64" i="1"/>
  <c r="CSM64" i="1"/>
  <c r="CSN64" i="1"/>
  <c r="CSO64" i="1"/>
  <c r="CSP64" i="1"/>
  <c r="CSQ64" i="1"/>
  <c r="CSR64" i="1"/>
  <c r="CSS64" i="1"/>
  <c r="CST64" i="1"/>
  <c r="CSU64" i="1"/>
  <c r="CSV64" i="1"/>
  <c r="CSW64" i="1"/>
  <c r="CSX64" i="1"/>
  <c r="CSY64" i="1"/>
  <c r="CSZ64" i="1"/>
  <c r="CTA64" i="1"/>
  <c r="CTB64" i="1"/>
  <c r="CTC64" i="1"/>
  <c r="CTD64" i="1"/>
  <c r="CTE64" i="1"/>
  <c r="CTF64" i="1"/>
  <c r="CTG64" i="1"/>
  <c r="CTH64" i="1"/>
  <c r="CTI64" i="1"/>
  <c r="CTJ64" i="1"/>
  <c r="CTK64" i="1"/>
  <c r="CTL64" i="1"/>
  <c r="CTM64" i="1"/>
  <c r="CTN64" i="1"/>
  <c r="CTO64" i="1"/>
  <c r="CTP64" i="1"/>
  <c r="CTQ64" i="1"/>
  <c r="CTR64" i="1"/>
  <c r="CTS64" i="1"/>
  <c r="CTT64" i="1"/>
  <c r="CTU64" i="1"/>
  <c r="CTV64" i="1"/>
  <c r="CTW64" i="1"/>
  <c r="CTX64" i="1"/>
  <c r="CTY64" i="1"/>
  <c r="CTZ64" i="1"/>
  <c r="CUA64" i="1"/>
  <c r="CUB64" i="1"/>
  <c r="CUC64" i="1"/>
  <c r="CUD64" i="1"/>
  <c r="CUE64" i="1"/>
  <c r="CUF64" i="1"/>
  <c r="CUG64" i="1"/>
  <c r="CUH64" i="1"/>
  <c r="CUI64" i="1"/>
  <c r="CUJ64" i="1"/>
  <c r="CUK64" i="1"/>
  <c r="CUL64" i="1"/>
  <c r="CUM64" i="1"/>
  <c r="CUN64" i="1"/>
  <c r="CUO64" i="1"/>
  <c r="CUP64" i="1"/>
  <c r="CUQ64" i="1"/>
  <c r="CUR64" i="1"/>
  <c r="CUS64" i="1"/>
  <c r="CUT64" i="1"/>
  <c r="CUU64" i="1"/>
  <c r="CUV64" i="1"/>
  <c r="CUW64" i="1"/>
  <c r="CUX64" i="1"/>
  <c r="CUY64" i="1"/>
  <c r="CUZ64" i="1"/>
  <c r="CVA64" i="1"/>
  <c r="CVB64" i="1"/>
  <c r="CVC64" i="1"/>
  <c r="CVD64" i="1"/>
  <c r="CVE64" i="1"/>
  <c r="CVF64" i="1"/>
  <c r="CVG64" i="1"/>
  <c r="CVH64" i="1"/>
  <c r="CVI64" i="1"/>
  <c r="CVJ64" i="1"/>
  <c r="CVK64" i="1"/>
  <c r="CVL64" i="1"/>
  <c r="CVM64" i="1"/>
  <c r="CVN64" i="1"/>
  <c r="CVO64" i="1"/>
  <c r="CVP64" i="1"/>
  <c r="CVQ64" i="1"/>
  <c r="CVR64" i="1"/>
  <c r="CVS64" i="1"/>
  <c r="CVT64" i="1"/>
  <c r="CVU64" i="1"/>
  <c r="CVV64" i="1"/>
  <c r="CVW64" i="1"/>
  <c r="CVX64" i="1"/>
  <c r="CVY64" i="1"/>
  <c r="CVZ64" i="1"/>
  <c r="CWA64" i="1"/>
  <c r="CWB64" i="1"/>
  <c r="CWC64" i="1"/>
  <c r="CWD64" i="1"/>
  <c r="CWE64" i="1"/>
  <c r="CWF64" i="1"/>
  <c r="CWG64" i="1"/>
  <c r="CWH64" i="1"/>
  <c r="CWI64" i="1"/>
  <c r="CWJ64" i="1"/>
  <c r="CWK64" i="1"/>
  <c r="CWL64" i="1"/>
  <c r="CWM64" i="1"/>
  <c r="CWN64" i="1"/>
  <c r="CWO64" i="1"/>
  <c r="CWP64" i="1"/>
  <c r="CWQ64" i="1"/>
  <c r="CWR64" i="1"/>
  <c r="CWS64" i="1"/>
  <c r="CWT64" i="1"/>
  <c r="CWU64" i="1"/>
  <c r="CWV64" i="1"/>
  <c r="CWW64" i="1"/>
  <c r="CWX64" i="1"/>
  <c r="CWY64" i="1"/>
  <c r="CWZ64" i="1"/>
  <c r="CXA64" i="1"/>
  <c r="CXB64" i="1"/>
  <c r="CXC64" i="1"/>
  <c r="CXD64" i="1"/>
  <c r="CXE64" i="1"/>
  <c r="CXF64" i="1"/>
  <c r="CXG64" i="1"/>
  <c r="CXH64" i="1"/>
  <c r="CXI64" i="1"/>
  <c r="CXJ64" i="1"/>
  <c r="CXK64" i="1"/>
  <c r="CXL64" i="1"/>
  <c r="CXM64" i="1"/>
  <c r="CXN64" i="1"/>
  <c r="CXO64" i="1"/>
  <c r="CXP64" i="1"/>
  <c r="CXQ64" i="1"/>
  <c r="CXR64" i="1"/>
  <c r="CXS64" i="1"/>
  <c r="CXT64" i="1"/>
  <c r="CXU64" i="1"/>
  <c r="CXV64" i="1"/>
  <c r="CXW64" i="1"/>
  <c r="CXX64" i="1"/>
  <c r="CXY64" i="1"/>
  <c r="CXZ64" i="1"/>
  <c r="CYA64" i="1"/>
  <c r="CYB64" i="1"/>
  <c r="CYC64" i="1"/>
  <c r="CYD64" i="1"/>
  <c r="CYE64" i="1"/>
  <c r="CYF64" i="1"/>
  <c r="CYG64" i="1"/>
  <c r="CYH64" i="1"/>
  <c r="CYI64" i="1"/>
  <c r="CYJ64" i="1"/>
  <c r="CYK64" i="1"/>
  <c r="CYL64" i="1"/>
  <c r="CYM64" i="1"/>
  <c r="CYN64" i="1"/>
  <c r="CYO64" i="1"/>
  <c r="CYP64" i="1"/>
  <c r="CYQ64" i="1"/>
  <c r="CYR64" i="1"/>
  <c r="CYS64" i="1"/>
  <c r="CYT64" i="1"/>
  <c r="CYU64" i="1"/>
  <c r="CYV64" i="1"/>
  <c r="CYW64" i="1"/>
  <c r="CYX64" i="1"/>
  <c r="CYY64" i="1"/>
  <c r="CYZ64" i="1"/>
  <c r="CZA64" i="1"/>
  <c r="CZB64" i="1"/>
  <c r="CZC64" i="1"/>
  <c r="CZD64" i="1"/>
  <c r="CZE64" i="1"/>
  <c r="CZF64" i="1"/>
  <c r="CZG64" i="1"/>
  <c r="CZH64" i="1"/>
  <c r="CZI64" i="1"/>
  <c r="CZJ64" i="1"/>
  <c r="CZK64" i="1"/>
  <c r="CZL64" i="1"/>
  <c r="CZM64" i="1"/>
  <c r="CZN64" i="1"/>
  <c r="CZO64" i="1"/>
  <c r="CZP64" i="1"/>
  <c r="CZQ64" i="1"/>
  <c r="CZR64" i="1"/>
  <c r="CZS64" i="1"/>
  <c r="CZT64" i="1"/>
  <c r="CZU64" i="1"/>
  <c r="CZV64" i="1"/>
  <c r="CZW64" i="1"/>
  <c r="CZX64" i="1"/>
  <c r="CZY64" i="1"/>
  <c r="CZZ64" i="1"/>
  <c r="DAA64" i="1"/>
  <c r="DAB64" i="1"/>
  <c r="DAC64" i="1"/>
  <c r="DAD64" i="1"/>
  <c r="DAE64" i="1"/>
  <c r="DAF64" i="1"/>
  <c r="DAG64" i="1"/>
  <c r="DAH64" i="1"/>
  <c r="DAI64" i="1"/>
  <c r="DAJ64" i="1"/>
  <c r="DAK64" i="1"/>
  <c r="DAL64" i="1"/>
  <c r="DAM64" i="1"/>
  <c r="DAN64" i="1"/>
  <c r="DAO64" i="1"/>
  <c r="DAP64" i="1"/>
  <c r="DAQ64" i="1"/>
  <c r="DAR64" i="1"/>
  <c r="DAS64" i="1"/>
  <c r="DAT64" i="1"/>
  <c r="DAU64" i="1"/>
  <c r="DAV64" i="1"/>
  <c r="DAW64" i="1"/>
  <c r="DAX64" i="1"/>
  <c r="DAY64" i="1"/>
  <c r="DAZ64" i="1"/>
  <c r="DBA64" i="1"/>
  <c r="DBB64" i="1"/>
  <c r="DBC64" i="1"/>
  <c r="DBD64" i="1"/>
  <c r="DBE64" i="1"/>
  <c r="DBF64" i="1"/>
  <c r="DBG64" i="1"/>
  <c r="DBH64" i="1"/>
  <c r="DBI64" i="1"/>
  <c r="DBJ64" i="1"/>
  <c r="DBK64" i="1"/>
  <c r="DBL64" i="1"/>
  <c r="DBM64" i="1"/>
  <c r="DBN64" i="1"/>
  <c r="DBO64" i="1"/>
  <c r="DBP64" i="1"/>
  <c r="DBQ64" i="1"/>
  <c r="DBR64" i="1"/>
  <c r="DBS64" i="1"/>
  <c r="DBT64" i="1"/>
  <c r="DBU64" i="1"/>
  <c r="DBV64" i="1"/>
  <c r="DBW64" i="1"/>
  <c r="DBX64" i="1"/>
  <c r="DBY64" i="1"/>
  <c r="DBZ64" i="1"/>
  <c r="DCA64" i="1"/>
  <c r="DCB64" i="1"/>
  <c r="DCC64" i="1"/>
  <c r="DCD64" i="1"/>
  <c r="DCE64" i="1"/>
  <c r="DCF64" i="1"/>
  <c r="DCG64" i="1"/>
  <c r="DCH64" i="1"/>
  <c r="DCI64" i="1"/>
  <c r="DCJ64" i="1"/>
  <c r="DCK64" i="1"/>
  <c r="DCL64" i="1"/>
  <c r="DCM64" i="1"/>
  <c r="DCN64" i="1"/>
  <c r="DCO64" i="1"/>
  <c r="DCP64" i="1"/>
  <c r="DCQ64" i="1"/>
  <c r="DCR64" i="1"/>
  <c r="DCS64" i="1"/>
  <c r="DCT64" i="1"/>
  <c r="DCU64" i="1"/>
  <c r="DCV64" i="1"/>
  <c r="DCW64" i="1"/>
  <c r="DCX64" i="1"/>
  <c r="DCY64" i="1"/>
  <c r="DCZ64" i="1"/>
  <c r="DDA64" i="1"/>
  <c r="DDB64" i="1"/>
  <c r="DDC64" i="1"/>
  <c r="DDD64" i="1"/>
  <c r="DDE64" i="1"/>
  <c r="DDF64" i="1"/>
  <c r="DDG64" i="1"/>
  <c r="DDH64" i="1"/>
  <c r="DDI64" i="1"/>
  <c r="DDJ64" i="1"/>
  <c r="DDK64" i="1"/>
  <c r="DDL64" i="1"/>
  <c r="DDM64" i="1"/>
  <c r="DDN64" i="1"/>
  <c r="DDO64" i="1"/>
  <c r="DDP64" i="1"/>
  <c r="DDQ64" i="1"/>
  <c r="DDR64" i="1"/>
  <c r="DDS64" i="1"/>
  <c r="DDT64" i="1"/>
  <c r="DDU64" i="1"/>
  <c r="DDV64" i="1"/>
  <c r="DDW64" i="1"/>
  <c r="DDX64" i="1"/>
  <c r="DDY64" i="1"/>
  <c r="DDZ64" i="1"/>
  <c r="DEA64" i="1"/>
  <c r="DEB64" i="1"/>
  <c r="DEC64" i="1"/>
  <c r="DED64" i="1"/>
  <c r="DEE64" i="1"/>
  <c r="DEF64" i="1"/>
  <c r="DEG64" i="1"/>
  <c r="DEH64" i="1"/>
  <c r="DEI64" i="1"/>
  <c r="DEJ64" i="1"/>
  <c r="DEK64" i="1"/>
  <c r="DEL64" i="1"/>
  <c r="DEM64" i="1"/>
  <c r="DEN64" i="1"/>
  <c r="DEO64" i="1"/>
  <c r="DEP64" i="1"/>
  <c r="DEQ64" i="1"/>
  <c r="DER64" i="1"/>
  <c r="DES64" i="1"/>
  <c r="DET64" i="1"/>
  <c r="DEU64" i="1"/>
  <c r="DEV64" i="1"/>
  <c r="DEW64" i="1"/>
  <c r="DEX64" i="1"/>
  <c r="DEY64" i="1"/>
  <c r="DEZ64" i="1"/>
  <c r="DFA64" i="1"/>
  <c r="DFB64" i="1"/>
  <c r="DFC64" i="1"/>
  <c r="DFD64" i="1"/>
  <c r="DFE64" i="1"/>
  <c r="DFF64" i="1"/>
  <c r="DFG64" i="1"/>
  <c r="DFH64" i="1"/>
  <c r="DFI64" i="1"/>
  <c r="DFJ64" i="1"/>
  <c r="DFK64" i="1"/>
  <c r="DFL64" i="1"/>
  <c r="DFM64" i="1"/>
  <c r="DFN64" i="1"/>
  <c r="DFO64" i="1"/>
  <c r="DFP64" i="1"/>
  <c r="DFQ64" i="1"/>
  <c r="DFR64" i="1"/>
  <c r="DFS64" i="1"/>
  <c r="DFT64" i="1"/>
  <c r="DFU64" i="1"/>
  <c r="DFV64" i="1"/>
  <c r="DFW64" i="1"/>
  <c r="DFX64" i="1"/>
  <c r="DFY64" i="1"/>
  <c r="DFZ64" i="1"/>
  <c r="DGA64" i="1"/>
  <c r="DGB64" i="1"/>
  <c r="DGC64" i="1"/>
  <c r="DGD64" i="1"/>
  <c r="DGE64" i="1"/>
  <c r="DGF64" i="1"/>
  <c r="DGG64" i="1"/>
  <c r="DGH64" i="1"/>
  <c r="DGI64" i="1"/>
  <c r="DGJ64" i="1"/>
  <c r="DGK64" i="1"/>
  <c r="DGL64" i="1"/>
  <c r="DGM64" i="1"/>
  <c r="DGN64" i="1"/>
  <c r="DGO64" i="1"/>
  <c r="DGP64" i="1"/>
  <c r="DGQ64" i="1"/>
  <c r="DGR64" i="1"/>
  <c r="DGS64" i="1"/>
  <c r="DGT64" i="1"/>
  <c r="DGU64" i="1"/>
  <c r="DGV64" i="1"/>
  <c r="DGW64" i="1"/>
  <c r="DGX64" i="1"/>
  <c r="DGY64" i="1"/>
  <c r="DGZ64" i="1"/>
  <c r="DHA64" i="1"/>
  <c r="DHB64" i="1"/>
  <c r="DHC64" i="1"/>
  <c r="DHD64" i="1"/>
  <c r="DHE64" i="1"/>
  <c r="DHF64" i="1"/>
  <c r="DHG64" i="1"/>
  <c r="DHH64" i="1"/>
  <c r="DHI64" i="1"/>
  <c r="DHJ64" i="1"/>
  <c r="DHK64" i="1"/>
  <c r="DHL64" i="1"/>
  <c r="DHM64" i="1"/>
  <c r="DHN64" i="1"/>
  <c r="DHO64" i="1"/>
  <c r="DHP64" i="1"/>
  <c r="DHQ64" i="1"/>
  <c r="DHR64" i="1"/>
  <c r="DHS64" i="1"/>
  <c r="DHT64" i="1"/>
  <c r="DHU64" i="1"/>
  <c r="DHV64" i="1"/>
  <c r="DHW64" i="1"/>
  <c r="DHX64" i="1"/>
  <c r="DHY64" i="1"/>
  <c r="DHZ64" i="1"/>
  <c r="DIA64" i="1"/>
  <c r="DIB64" i="1"/>
  <c r="DIC64" i="1"/>
  <c r="DID64" i="1"/>
  <c r="DIE64" i="1"/>
  <c r="DIF64" i="1"/>
  <c r="DIG64" i="1"/>
  <c r="DIH64" i="1"/>
  <c r="DII64" i="1"/>
  <c r="DIJ64" i="1"/>
  <c r="DIK64" i="1"/>
  <c r="DIL64" i="1"/>
  <c r="DIM64" i="1"/>
  <c r="DIN64" i="1"/>
  <c r="DIO64" i="1"/>
  <c r="DIP64" i="1"/>
  <c r="DIQ64" i="1"/>
  <c r="DIR64" i="1"/>
  <c r="DIS64" i="1"/>
  <c r="DIT64" i="1"/>
  <c r="DIU64" i="1"/>
  <c r="DIV64" i="1"/>
  <c r="DIW64" i="1"/>
  <c r="DIX64" i="1"/>
  <c r="DIY64" i="1"/>
  <c r="DIZ64" i="1"/>
  <c r="DJA64" i="1"/>
  <c r="DJB64" i="1"/>
  <c r="DJC64" i="1"/>
  <c r="DJD64" i="1"/>
  <c r="DJE64" i="1"/>
  <c r="DJF64" i="1"/>
  <c r="DJG64" i="1"/>
  <c r="DJH64" i="1"/>
  <c r="DJI64" i="1"/>
  <c r="DJJ64" i="1"/>
  <c r="DJK64" i="1"/>
  <c r="DJL64" i="1"/>
  <c r="DJM64" i="1"/>
  <c r="DJN64" i="1"/>
  <c r="DJO64" i="1"/>
  <c r="DJP64" i="1"/>
  <c r="DJQ64" i="1"/>
  <c r="DJR64" i="1"/>
  <c r="DJS64" i="1"/>
  <c r="DJT64" i="1"/>
  <c r="DJU64" i="1"/>
  <c r="DJV64" i="1"/>
  <c r="DJW64" i="1"/>
  <c r="DJX64" i="1"/>
  <c r="DJY64" i="1"/>
  <c r="DJZ64" i="1"/>
  <c r="DKA64" i="1"/>
  <c r="DKB64" i="1"/>
  <c r="DKC64" i="1"/>
  <c r="DKD64" i="1"/>
  <c r="DKE64" i="1"/>
  <c r="DKF64" i="1"/>
  <c r="DKG64" i="1"/>
  <c r="DKH64" i="1"/>
  <c r="DKI64" i="1"/>
  <c r="DKJ64" i="1"/>
  <c r="DKK64" i="1"/>
  <c r="DKL64" i="1"/>
  <c r="DKM64" i="1"/>
  <c r="DKN64" i="1"/>
  <c r="DKO64" i="1"/>
  <c r="DKP64" i="1"/>
  <c r="DKQ64" i="1"/>
  <c r="DKR64" i="1"/>
  <c r="DKS64" i="1"/>
  <c r="DKT64" i="1"/>
  <c r="DKU64" i="1"/>
  <c r="DKV64" i="1"/>
  <c r="DKW64" i="1"/>
  <c r="DKX64" i="1"/>
  <c r="DKY64" i="1"/>
  <c r="DKZ64" i="1"/>
  <c r="DLA64" i="1"/>
  <c r="DLB64" i="1"/>
  <c r="DLC64" i="1"/>
  <c r="DLD64" i="1"/>
  <c r="DLE64" i="1"/>
  <c r="DLF64" i="1"/>
  <c r="DLG64" i="1"/>
  <c r="DLH64" i="1"/>
  <c r="DLI64" i="1"/>
  <c r="DLJ64" i="1"/>
  <c r="DLK64" i="1"/>
  <c r="DLL64" i="1"/>
  <c r="DLM64" i="1"/>
  <c r="DLN64" i="1"/>
  <c r="DLO64" i="1"/>
  <c r="DLP64" i="1"/>
  <c r="DLQ64" i="1"/>
  <c r="DLR64" i="1"/>
  <c r="DLS64" i="1"/>
  <c r="DLT64" i="1"/>
  <c r="DLU64" i="1"/>
  <c r="DLV64" i="1"/>
  <c r="DLW64" i="1"/>
  <c r="DLX64" i="1"/>
  <c r="DLY64" i="1"/>
  <c r="DLZ64" i="1"/>
  <c r="DMA64" i="1"/>
  <c r="DMB64" i="1"/>
  <c r="DMC64" i="1"/>
  <c r="DMD64" i="1"/>
  <c r="DME64" i="1"/>
  <c r="DMF64" i="1"/>
  <c r="DMG64" i="1"/>
  <c r="DMH64" i="1"/>
  <c r="DMI64" i="1"/>
  <c r="DMJ64" i="1"/>
  <c r="DMK64" i="1"/>
  <c r="DML64" i="1"/>
  <c r="DMM64" i="1"/>
  <c r="DMN64" i="1"/>
  <c r="DMO64" i="1"/>
  <c r="DMP64" i="1"/>
  <c r="DMQ64" i="1"/>
  <c r="DMR64" i="1"/>
  <c r="DMS64" i="1"/>
  <c r="DMT64" i="1"/>
  <c r="DMU64" i="1"/>
  <c r="DMV64" i="1"/>
  <c r="DMW64" i="1"/>
  <c r="DMX64" i="1"/>
  <c r="DMY64" i="1"/>
  <c r="DMZ64" i="1"/>
  <c r="DNA64" i="1"/>
  <c r="DNB64" i="1"/>
  <c r="DNC64" i="1"/>
  <c r="DND64" i="1"/>
  <c r="DNE64" i="1"/>
  <c r="DNF64" i="1"/>
  <c r="DNG64" i="1"/>
  <c r="DNH64" i="1"/>
  <c r="DNI64" i="1"/>
  <c r="DNJ64" i="1"/>
  <c r="DNK64" i="1"/>
  <c r="DNL64" i="1"/>
  <c r="DNM64" i="1"/>
  <c r="DNN64" i="1"/>
  <c r="DNO64" i="1"/>
  <c r="DNP64" i="1"/>
  <c r="DNQ64" i="1"/>
  <c r="DNR64" i="1"/>
  <c r="DNS64" i="1"/>
  <c r="DNT64" i="1"/>
  <c r="DNU64" i="1"/>
  <c r="DNV64" i="1"/>
  <c r="DNW64" i="1"/>
  <c r="DNX64" i="1"/>
  <c r="DNY64" i="1"/>
  <c r="DNZ64" i="1"/>
  <c r="DOA64" i="1"/>
  <c r="DOB64" i="1"/>
  <c r="DOC64" i="1"/>
  <c r="DOD64" i="1"/>
  <c r="DOE64" i="1"/>
  <c r="DOF64" i="1"/>
  <c r="DOG64" i="1"/>
  <c r="DOH64" i="1"/>
  <c r="DOI64" i="1"/>
  <c r="DOJ64" i="1"/>
  <c r="DOK64" i="1"/>
  <c r="DOL64" i="1"/>
  <c r="DOM64" i="1"/>
  <c r="DON64" i="1"/>
  <c r="DOO64" i="1"/>
  <c r="DOP64" i="1"/>
  <c r="DOQ64" i="1"/>
  <c r="DOR64" i="1"/>
  <c r="DOS64" i="1"/>
  <c r="DOT64" i="1"/>
  <c r="DOU64" i="1"/>
  <c r="DOV64" i="1"/>
  <c r="DOW64" i="1"/>
  <c r="DOX64" i="1"/>
  <c r="DOY64" i="1"/>
  <c r="DOZ64" i="1"/>
  <c r="DPA64" i="1"/>
  <c r="DPB64" i="1"/>
  <c r="DPC64" i="1"/>
  <c r="DPD64" i="1"/>
  <c r="DPE64" i="1"/>
  <c r="DPF64" i="1"/>
  <c r="DPG64" i="1"/>
  <c r="DPH64" i="1"/>
  <c r="DPI64" i="1"/>
  <c r="DPJ64" i="1"/>
  <c r="DPK64" i="1"/>
  <c r="DPL64" i="1"/>
  <c r="DPM64" i="1"/>
  <c r="DPN64" i="1"/>
  <c r="DPO64" i="1"/>
  <c r="DPP64" i="1"/>
  <c r="DPQ64" i="1"/>
  <c r="DPR64" i="1"/>
  <c r="DPS64" i="1"/>
  <c r="DPT64" i="1"/>
  <c r="DPU64" i="1"/>
  <c r="DPV64" i="1"/>
  <c r="DPW64" i="1"/>
  <c r="DPX64" i="1"/>
  <c r="DPY64" i="1"/>
  <c r="DPZ64" i="1"/>
  <c r="DQA64" i="1"/>
  <c r="DQB64" i="1"/>
  <c r="DQC64" i="1"/>
  <c r="DQD64" i="1"/>
  <c r="DQE64" i="1"/>
  <c r="DQF64" i="1"/>
  <c r="DQG64" i="1"/>
  <c r="DQH64" i="1"/>
  <c r="DQI64" i="1"/>
  <c r="DQJ64" i="1"/>
  <c r="DQK64" i="1"/>
  <c r="DQL64" i="1"/>
  <c r="DQM64" i="1"/>
  <c r="DQN64" i="1"/>
  <c r="DQO64" i="1"/>
  <c r="DQP64" i="1"/>
  <c r="DQQ64" i="1"/>
  <c r="DQR64" i="1"/>
  <c r="DQS64" i="1"/>
  <c r="DQT64" i="1"/>
  <c r="DQU64" i="1"/>
  <c r="DQV64" i="1"/>
  <c r="DQW64" i="1"/>
  <c r="DQX64" i="1"/>
  <c r="DQY64" i="1"/>
  <c r="DQZ64" i="1"/>
  <c r="DRA64" i="1"/>
  <c r="DRB64" i="1"/>
  <c r="DRC64" i="1"/>
  <c r="DRD64" i="1"/>
  <c r="DRE64" i="1"/>
  <c r="DRF64" i="1"/>
  <c r="DRG64" i="1"/>
  <c r="DRH64" i="1"/>
  <c r="DRI64" i="1"/>
  <c r="DRJ64" i="1"/>
  <c r="DRK64" i="1"/>
  <c r="DRL64" i="1"/>
  <c r="DRM64" i="1"/>
  <c r="DRN64" i="1"/>
  <c r="DRO64" i="1"/>
  <c r="DRP64" i="1"/>
  <c r="DRQ64" i="1"/>
  <c r="DRR64" i="1"/>
  <c r="DRS64" i="1"/>
  <c r="DRT64" i="1"/>
  <c r="DRU64" i="1"/>
  <c r="DRV64" i="1"/>
  <c r="DRW64" i="1"/>
  <c r="DRX64" i="1"/>
  <c r="DRY64" i="1"/>
  <c r="DRZ64" i="1"/>
  <c r="DSA64" i="1"/>
  <c r="DSB64" i="1"/>
  <c r="DSC64" i="1"/>
  <c r="DSD64" i="1"/>
  <c r="DSE64" i="1"/>
  <c r="DSF64" i="1"/>
  <c r="DSG64" i="1"/>
  <c r="DSH64" i="1"/>
  <c r="DSI64" i="1"/>
  <c r="DSJ64" i="1"/>
  <c r="DSK64" i="1"/>
  <c r="DSL64" i="1"/>
  <c r="DSM64" i="1"/>
  <c r="DSN64" i="1"/>
  <c r="DSO64" i="1"/>
  <c r="DSP64" i="1"/>
  <c r="DSQ64" i="1"/>
  <c r="DSR64" i="1"/>
  <c r="DSS64" i="1"/>
  <c r="DST64" i="1"/>
  <c r="DSU64" i="1"/>
  <c r="DSV64" i="1"/>
  <c r="DSW64" i="1"/>
  <c r="DSX64" i="1"/>
  <c r="DSY64" i="1"/>
  <c r="DSZ64" i="1"/>
  <c r="DTA64" i="1"/>
  <c r="DTB64" i="1"/>
  <c r="DTC64" i="1"/>
  <c r="DTD64" i="1"/>
  <c r="DTE64" i="1"/>
  <c r="DTF64" i="1"/>
  <c r="DTG64" i="1"/>
  <c r="DTH64" i="1"/>
  <c r="DTI64" i="1"/>
  <c r="DTJ64" i="1"/>
  <c r="DTK64" i="1"/>
  <c r="DTL64" i="1"/>
  <c r="DTM64" i="1"/>
  <c r="DTN64" i="1"/>
  <c r="DTO64" i="1"/>
  <c r="DTP64" i="1"/>
  <c r="DTQ64" i="1"/>
  <c r="DTR64" i="1"/>
  <c r="DTS64" i="1"/>
  <c r="DTT64" i="1"/>
  <c r="DTU64" i="1"/>
  <c r="DTV64" i="1"/>
  <c r="DTW64" i="1"/>
  <c r="DTX64" i="1"/>
  <c r="DTY64" i="1"/>
  <c r="DTZ64" i="1"/>
  <c r="DUA64" i="1"/>
  <c r="DUB64" i="1"/>
  <c r="DUC64" i="1"/>
  <c r="DUD64" i="1"/>
  <c r="DUE64" i="1"/>
  <c r="DUF64" i="1"/>
  <c r="DUG64" i="1"/>
  <c r="DUH64" i="1"/>
  <c r="DUI64" i="1"/>
  <c r="DUJ64" i="1"/>
  <c r="DUK64" i="1"/>
  <c r="DUL64" i="1"/>
  <c r="DUM64" i="1"/>
  <c r="DUN64" i="1"/>
  <c r="DUO64" i="1"/>
  <c r="DUP64" i="1"/>
  <c r="DUQ64" i="1"/>
  <c r="DUR64" i="1"/>
  <c r="DUS64" i="1"/>
  <c r="DUT64" i="1"/>
  <c r="DUU64" i="1"/>
  <c r="DUV64" i="1"/>
  <c r="DUW64" i="1"/>
  <c r="DUX64" i="1"/>
  <c r="DUY64" i="1"/>
  <c r="DUZ64" i="1"/>
  <c r="DVA64" i="1"/>
  <c r="DVB64" i="1"/>
  <c r="DVC64" i="1"/>
  <c r="DVD64" i="1"/>
  <c r="DVE64" i="1"/>
  <c r="DVF64" i="1"/>
  <c r="DVG64" i="1"/>
  <c r="DVH64" i="1"/>
  <c r="DVI64" i="1"/>
  <c r="DVJ64" i="1"/>
  <c r="DVK64" i="1"/>
  <c r="DVL64" i="1"/>
  <c r="DVM64" i="1"/>
  <c r="DVN64" i="1"/>
  <c r="DVO64" i="1"/>
  <c r="DVP64" i="1"/>
  <c r="DVQ64" i="1"/>
  <c r="DVR64" i="1"/>
  <c r="DVS64" i="1"/>
  <c r="DVT64" i="1"/>
  <c r="DVU64" i="1"/>
  <c r="DVV64" i="1"/>
  <c r="DVW64" i="1"/>
  <c r="DVX64" i="1"/>
  <c r="DVY64" i="1"/>
  <c r="DVZ64" i="1"/>
  <c r="DWA64" i="1"/>
  <c r="DWB64" i="1"/>
  <c r="DWC64" i="1"/>
  <c r="DWD64" i="1"/>
  <c r="DWE64" i="1"/>
  <c r="DWF64" i="1"/>
  <c r="DWG64" i="1"/>
  <c r="DWH64" i="1"/>
  <c r="DWI64" i="1"/>
  <c r="DWJ64" i="1"/>
  <c r="DWK64" i="1"/>
  <c r="DWL64" i="1"/>
  <c r="DWM64" i="1"/>
  <c r="DWN64" i="1"/>
  <c r="DWO64" i="1"/>
  <c r="DWP64" i="1"/>
  <c r="DWQ64" i="1"/>
  <c r="DWR64" i="1"/>
  <c r="DWS64" i="1"/>
  <c r="DWT64" i="1"/>
  <c r="DWU64" i="1"/>
  <c r="DWV64" i="1"/>
  <c r="DWW64" i="1"/>
  <c r="DWX64" i="1"/>
  <c r="DWY64" i="1"/>
  <c r="DWZ64" i="1"/>
  <c r="DXA64" i="1"/>
  <c r="DXB64" i="1"/>
  <c r="DXC64" i="1"/>
  <c r="DXD64" i="1"/>
  <c r="DXE64" i="1"/>
  <c r="DXF64" i="1"/>
  <c r="DXG64" i="1"/>
  <c r="DXH64" i="1"/>
  <c r="DXI64" i="1"/>
  <c r="DXJ64" i="1"/>
  <c r="DXK64" i="1"/>
  <c r="DXL64" i="1"/>
  <c r="DXM64" i="1"/>
  <c r="DXN64" i="1"/>
  <c r="DXO64" i="1"/>
  <c r="DXP64" i="1"/>
  <c r="DXQ64" i="1"/>
  <c r="DXR64" i="1"/>
  <c r="DXS64" i="1"/>
  <c r="DXT64" i="1"/>
  <c r="DXU64" i="1"/>
  <c r="DXV64" i="1"/>
  <c r="DXW64" i="1"/>
  <c r="DXX64" i="1"/>
  <c r="DXY64" i="1"/>
  <c r="DXZ64" i="1"/>
  <c r="DYA64" i="1"/>
  <c r="DYB64" i="1"/>
  <c r="DYC64" i="1"/>
  <c r="DYD64" i="1"/>
  <c r="DYE64" i="1"/>
  <c r="DYF64" i="1"/>
  <c r="DYG64" i="1"/>
  <c r="DYH64" i="1"/>
  <c r="DYI64" i="1"/>
  <c r="DYJ64" i="1"/>
  <c r="DYK64" i="1"/>
  <c r="DYL64" i="1"/>
  <c r="DYM64" i="1"/>
  <c r="DYN64" i="1"/>
  <c r="DYO64" i="1"/>
  <c r="DYP64" i="1"/>
  <c r="DYQ64" i="1"/>
  <c r="DYR64" i="1"/>
  <c r="DYS64" i="1"/>
  <c r="DYT64" i="1"/>
  <c r="DYU64" i="1"/>
  <c r="DYV64" i="1"/>
  <c r="DYW64" i="1"/>
  <c r="DYX64" i="1"/>
  <c r="DYY64" i="1"/>
  <c r="DYZ64" i="1"/>
  <c r="DZA64" i="1"/>
  <c r="DZB64" i="1"/>
  <c r="DZC64" i="1"/>
  <c r="DZD64" i="1"/>
  <c r="DZE64" i="1"/>
  <c r="DZF64" i="1"/>
  <c r="DZG64" i="1"/>
  <c r="DZH64" i="1"/>
  <c r="DZI64" i="1"/>
  <c r="DZJ64" i="1"/>
  <c r="DZK64" i="1"/>
  <c r="DZL64" i="1"/>
  <c r="DZM64" i="1"/>
  <c r="DZN64" i="1"/>
  <c r="DZO64" i="1"/>
  <c r="DZP64" i="1"/>
  <c r="DZQ64" i="1"/>
  <c r="DZR64" i="1"/>
  <c r="DZS64" i="1"/>
  <c r="DZT64" i="1"/>
  <c r="DZU64" i="1"/>
  <c r="DZV64" i="1"/>
  <c r="DZW64" i="1"/>
  <c r="DZX64" i="1"/>
  <c r="DZY64" i="1"/>
  <c r="DZZ64" i="1"/>
  <c r="EAA64" i="1"/>
  <c r="EAB64" i="1"/>
  <c r="EAC64" i="1"/>
  <c r="EAD64" i="1"/>
  <c r="EAE64" i="1"/>
  <c r="EAF64" i="1"/>
  <c r="EAG64" i="1"/>
  <c r="EAH64" i="1"/>
  <c r="EAI64" i="1"/>
  <c r="EAJ64" i="1"/>
  <c r="EAK64" i="1"/>
  <c r="EAL64" i="1"/>
  <c r="EAM64" i="1"/>
  <c r="EAN64" i="1"/>
  <c r="EAO64" i="1"/>
  <c r="EAP64" i="1"/>
  <c r="EAQ64" i="1"/>
  <c r="EAR64" i="1"/>
  <c r="EAS64" i="1"/>
  <c r="EAT64" i="1"/>
  <c r="EAU64" i="1"/>
  <c r="EAV64" i="1"/>
  <c r="EAW64" i="1"/>
  <c r="EAX64" i="1"/>
  <c r="EAY64" i="1"/>
  <c r="EAZ64" i="1"/>
  <c r="EBA64" i="1"/>
  <c r="EBB64" i="1"/>
  <c r="EBC64" i="1"/>
  <c r="EBD64" i="1"/>
  <c r="EBE64" i="1"/>
  <c r="EBF64" i="1"/>
  <c r="EBG64" i="1"/>
  <c r="EBH64" i="1"/>
  <c r="EBI64" i="1"/>
  <c r="EBJ64" i="1"/>
  <c r="EBK64" i="1"/>
  <c r="EBL64" i="1"/>
  <c r="EBM64" i="1"/>
  <c r="EBN64" i="1"/>
  <c r="EBO64" i="1"/>
  <c r="EBP64" i="1"/>
  <c r="EBQ64" i="1"/>
  <c r="EBR64" i="1"/>
  <c r="EBS64" i="1"/>
  <c r="EBT64" i="1"/>
  <c r="EBU64" i="1"/>
  <c r="EBV64" i="1"/>
  <c r="EBW64" i="1"/>
  <c r="EBX64" i="1"/>
  <c r="EBY64" i="1"/>
  <c r="EBZ64" i="1"/>
  <c r="ECA64" i="1"/>
  <c r="ECB64" i="1"/>
  <c r="ECC64" i="1"/>
  <c r="ECD64" i="1"/>
  <c r="ECE64" i="1"/>
  <c r="ECF64" i="1"/>
  <c r="ECG64" i="1"/>
  <c r="ECH64" i="1"/>
  <c r="ECI64" i="1"/>
  <c r="ECJ64" i="1"/>
  <c r="ECK64" i="1"/>
  <c r="ECL64" i="1"/>
  <c r="ECM64" i="1"/>
  <c r="ECN64" i="1"/>
  <c r="ECO64" i="1"/>
  <c r="ECP64" i="1"/>
  <c r="ECQ64" i="1"/>
  <c r="ECR64" i="1"/>
  <c r="ECS64" i="1"/>
  <c r="ECT64" i="1"/>
  <c r="ECU64" i="1"/>
  <c r="ECV64" i="1"/>
  <c r="ECW64" i="1"/>
  <c r="ECX64" i="1"/>
  <c r="ECY64" i="1"/>
  <c r="ECZ64" i="1"/>
  <c r="EDA64" i="1"/>
  <c r="EDB64" i="1"/>
  <c r="EDC64" i="1"/>
  <c r="EDD64" i="1"/>
  <c r="EDE64" i="1"/>
  <c r="EDF64" i="1"/>
  <c r="EDG64" i="1"/>
  <c r="EDH64" i="1"/>
  <c r="EDI64" i="1"/>
  <c r="EDJ64" i="1"/>
  <c r="EDK64" i="1"/>
  <c r="EDL64" i="1"/>
  <c r="EDM64" i="1"/>
  <c r="EDN64" i="1"/>
  <c r="EDO64" i="1"/>
  <c r="EDP64" i="1"/>
  <c r="EDQ64" i="1"/>
  <c r="EDR64" i="1"/>
  <c r="EDS64" i="1"/>
  <c r="EDT64" i="1"/>
  <c r="EDU64" i="1"/>
  <c r="EDV64" i="1"/>
  <c r="EDW64" i="1"/>
  <c r="EDX64" i="1"/>
  <c r="EDY64" i="1"/>
  <c r="EDZ64" i="1"/>
  <c r="EEA64" i="1"/>
  <c r="EEB64" i="1"/>
  <c r="EEC64" i="1"/>
  <c r="EED64" i="1"/>
  <c r="EEE64" i="1"/>
  <c r="EEF64" i="1"/>
  <c r="EEG64" i="1"/>
  <c r="EEH64" i="1"/>
  <c r="EEI64" i="1"/>
  <c r="EEJ64" i="1"/>
  <c r="EEK64" i="1"/>
  <c r="EEL64" i="1"/>
  <c r="EEM64" i="1"/>
  <c r="EEN64" i="1"/>
  <c r="EEO64" i="1"/>
  <c r="EEP64" i="1"/>
  <c r="EEQ64" i="1"/>
  <c r="EER64" i="1"/>
  <c r="EES64" i="1"/>
  <c r="EET64" i="1"/>
  <c r="EEU64" i="1"/>
  <c r="EEV64" i="1"/>
  <c r="EEW64" i="1"/>
  <c r="EEX64" i="1"/>
  <c r="EEY64" i="1"/>
  <c r="EEZ64" i="1"/>
  <c r="EFA64" i="1"/>
  <c r="EFB64" i="1"/>
  <c r="EFC64" i="1"/>
  <c r="EFD64" i="1"/>
  <c r="EFE64" i="1"/>
  <c r="EFF64" i="1"/>
  <c r="EFG64" i="1"/>
  <c r="EFH64" i="1"/>
  <c r="EFI64" i="1"/>
  <c r="EFJ64" i="1"/>
  <c r="EFK64" i="1"/>
  <c r="EFL64" i="1"/>
  <c r="EFM64" i="1"/>
  <c r="EFN64" i="1"/>
  <c r="EFO64" i="1"/>
  <c r="EFP64" i="1"/>
  <c r="EFQ64" i="1"/>
  <c r="EFR64" i="1"/>
  <c r="EFS64" i="1"/>
  <c r="EFT64" i="1"/>
  <c r="EFU64" i="1"/>
  <c r="EFV64" i="1"/>
  <c r="EFW64" i="1"/>
  <c r="EFX64" i="1"/>
  <c r="EFY64" i="1"/>
  <c r="EFZ64" i="1"/>
  <c r="EGA64" i="1"/>
  <c r="EGB64" i="1"/>
  <c r="EGC64" i="1"/>
  <c r="EGD64" i="1"/>
  <c r="EGE64" i="1"/>
  <c r="EGF64" i="1"/>
  <c r="EGG64" i="1"/>
  <c r="EGH64" i="1"/>
  <c r="EGI64" i="1"/>
  <c r="EGJ64" i="1"/>
  <c r="EGK64" i="1"/>
  <c r="EGL64" i="1"/>
  <c r="EGM64" i="1"/>
  <c r="EGN64" i="1"/>
  <c r="EGO64" i="1"/>
  <c r="EGP64" i="1"/>
  <c r="EGQ64" i="1"/>
  <c r="EGR64" i="1"/>
  <c r="EGS64" i="1"/>
  <c r="EGT64" i="1"/>
  <c r="EGU64" i="1"/>
  <c r="EGV64" i="1"/>
  <c r="EGW64" i="1"/>
  <c r="EGX64" i="1"/>
  <c r="EGY64" i="1"/>
  <c r="EGZ64" i="1"/>
  <c r="EHA64" i="1"/>
  <c r="EHB64" i="1"/>
  <c r="EHC64" i="1"/>
  <c r="EHD64" i="1"/>
  <c r="EHE64" i="1"/>
  <c r="EHF64" i="1"/>
  <c r="EHG64" i="1"/>
  <c r="EHH64" i="1"/>
  <c r="EHI64" i="1"/>
  <c r="EHJ64" i="1"/>
  <c r="EHK64" i="1"/>
  <c r="EHL64" i="1"/>
  <c r="EHM64" i="1"/>
  <c r="EHN64" i="1"/>
  <c r="EHO64" i="1"/>
  <c r="EHP64" i="1"/>
  <c r="EHQ64" i="1"/>
  <c r="EHR64" i="1"/>
  <c r="EHS64" i="1"/>
  <c r="EHT64" i="1"/>
  <c r="EHU64" i="1"/>
  <c r="EHV64" i="1"/>
  <c r="EHW64" i="1"/>
  <c r="EHX64" i="1"/>
  <c r="EHY64" i="1"/>
  <c r="EHZ64" i="1"/>
  <c r="EIA64" i="1"/>
  <c r="EIB64" i="1"/>
  <c r="EIC64" i="1"/>
  <c r="EID64" i="1"/>
  <c r="EIE64" i="1"/>
  <c r="EIF64" i="1"/>
  <c r="EIG64" i="1"/>
  <c r="EIH64" i="1"/>
  <c r="EII64" i="1"/>
  <c r="EIJ64" i="1"/>
  <c r="EIK64" i="1"/>
  <c r="EIL64" i="1"/>
  <c r="EIM64" i="1"/>
  <c r="EIN64" i="1"/>
  <c r="EIO64" i="1"/>
  <c r="EIP64" i="1"/>
  <c r="EIQ64" i="1"/>
  <c r="EIR64" i="1"/>
  <c r="EIS64" i="1"/>
  <c r="EIT64" i="1"/>
  <c r="EIU64" i="1"/>
  <c r="EIV64" i="1"/>
  <c r="EIW64" i="1"/>
  <c r="EIX64" i="1"/>
  <c r="EIY64" i="1"/>
  <c r="EIZ64" i="1"/>
  <c r="EJA64" i="1"/>
  <c r="EJB64" i="1"/>
  <c r="EJC64" i="1"/>
  <c r="EJD64" i="1"/>
  <c r="EJE64" i="1"/>
  <c r="EJF64" i="1"/>
  <c r="EJG64" i="1"/>
  <c r="EJH64" i="1"/>
  <c r="EJI64" i="1"/>
  <c r="EJJ64" i="1"/>
  <c r="EJK64" i="1"/>
  <c r="EJL64" i="1"/>
  <c r="EJM64" i="1"/>
  <c r="EJN64" i="1"/>
  <c r="EJO64" i="1"/>
  <c r="EJP64" i="1"/>
  <c r="EJQ64" i="1"/>
  <c r="EJR64" i="1"/>
  <c r="EJS64" i="1"/>
  <c r="EJT64" i="1"/>
  <c r="EJU64" i="1"/>
  <c r="EJV64" i="1"/>
  <c r="EJW64" i="1"/>
  <c r="EJX64" i="1"/>
  <c r="EJY64" i="1"/>
  <c r="EJZ64" i="1"/>
  <c r="EKA64" i="1"/>
  <c r="EKB64" i="1"/>
  <c r="EKC64" i="1"/>
  <c r="EKD64" i="1"/>
  <c r="EKE64" i="1"/>
  <c r="EKF64" i="1"/>
  <c r="EKG64" i="1"/>
  <c r="EKH64" i="1"/>
  <c r="EKI64" i="1"/>
  <c r="EKJ64" i="1"/>
  <c r="EKK64" i="1"/>
  <c r="EKL64" i="1"/>
  <c r="EKM64" i="1"/>
  <c r="EKN64" i="1"/>
  <c r="EKO64" i="1"/>
  <c r="EKP64" i="1"/>
  <c r="EKQ64" i="1"/>
  <c r="EKR64" i="1"/>
  <c r="EKS64" i="1"/>
  <c r="EKT64" i="1"/>
  <c r="EKU64" i="1"/>
  <c r="EKV64" i="1"/>
  <c r="EKW64" i="1"/>
  <c r="EKX64" i="1"/>
  <c r="EKY64" i="1"/>
  <c r="EKZ64" i="1"/>
  <c r="ELA64" i="1"/>
  <c r="ELB64" i="1"/>
  <c r="ELC64" i="1"/>
  <c r="ELD64" i="1"/>
  <c r="ELE64" i="1"/>
  <c r="ELF64" i="1"/>
  <c r="ELG64" i="1"/>
  <c r="ELH64" i="1"/>
  <c r="ELI64" i="1"/>
  <c r="ELJ64" i="1"/>
  <c r="ELK64" i="1"/>
  <c r="ELL64" i="1"/>
  <c r="ELM64" i="1"/>
  <c r="ELN64" i="1"/>
  <c r="ELO64" i="1"/>
  <c r="ELP64" i="1"/>
  <c r="ELQ64" i="1"/>
  <c r="ELR64" i="1"/>
  <c r="ELS64" i="1"/>
  <c r="ELT64" i="1"/>
  <c r="ELU64" i="1"/>
  <c r="ELV64" i="1"/>
  <c r="ELW64" i="1"/>
  <c r="ELX64" i="1"/>
  <c r="ELY64" i="1"/>
  <c r="ELZ64" i="1"/>
  <c r="EMA64" i="1"/>
  <c r="EMB64" i="1"/>
  <c r="EMC64" i="1"/>
  <c r="EMD64" i="1"/>
  <c r="EME64" i="1"/>
  <c r="EMF64" i="1"/>
  <c r="EMG64" i="1"/>
  <c r="EMH64" i="1"/>
  <c r="EMI64" i="1"/>
  <c r="EMJ64" i="1"/>
  <c r="EMK64" i="1"/>
  <c r="EML64" i="1"/>
  <c r="EMM64" i="1"/>
  <c r="EMN64" i="1"/>
  <c r="EMO64" i="1"/>
  <c r="EMP64" i="1"/>
  <c r="EMQ64" i="1"/>
  <c r="EMR64" i="1"/>
  <c r="EMS64" i="1"/>
  <c r="EMT64" i="1"/>
  <c r="EMU64" i="1"/>
  <c r="EMV64" i="1"/>
  <c r="EMW64" i="1"/>
  <c r="EMX64" i="1"/>
  <c r="EMY64" i="1"/>
  <c r="EMZ64" i="1"/>
  <c r="ENA64" i="1"/>
  <c r="ENB64" i="1"/>
  <c r="ENC64" i="1"/>
  <c r="END64" i="1"/>
  <c r="ENE64" i="1"/>
  <c r="ENF64" i="1"/>
  <c r="ENG64" i="1"/>
  <c r="ENH64" i="1"/>
  <c r="ENI64" i="1"/>
  <c r="ENJ64" i="1"/>
  <c r="ENK64" i="1"/>
  <c r="ENL64" i="1"/>
  <c r="ENM64" i="1"/>
  <c r="ENN64" i="1"/>
  <c r="ENO64" i="1"/>
  <c r="ENP64" i="1"/>
  <c r="ENQ64" i="1"/>
  <c r="ENR64" i="1"/>
  <c r="ENS64" i="1"/>
  <c r="ENT64" i="1"/>
  <c r="ENU64" i="1"/>
  <c r="ENV64" i="1"/>
  <c r="ENW64" i="1"/>
  <c r="ENX64" i="1"/>
  <c r="ENY64" i="1"/>
  <c r="ENZ64" i="1"/>
  <c r="EOA64" i="1"/>
  <c r="EOB64" i="1"/>
  <c r="EOC64" i="1"/>
  <c r="EOD64" i="1"/>
  <c r="EOE64" i="1"/>
  <c r="EOF64" i="1"/>
  <c r="EOG64" i="1"/>
  <c r="EOH64" i="1"/>
  <c r="EOI64" i="1"/>
  <c r="EOJ64" i="1"/>
  <c r="EOK64" i="1"/>
  <c r="EOL64" i="1"/>
  <c r="EOM64" i="1"/>
  <c r="EON64" i="1"/>
  <c r="EOO64" i="1"/>
  <c r="EOP64" i="1"/>
  <c r="EOQ64" i="1"/>
  <c r="EOR64" i="1"/>
  <c r="EOS64" i="1"/>
  <c r="EOT64" i="1"/>
  <c r="EOU64" i="1"/>
  <c r="EOV64" i="1"/>
  <c r="EOW64" i="1"/>
  <c r="EOX64" i="1"/>
  <c r="EOY64" i="1"/>
  <c r="EOZ64" i="1"/>
  <c r="EPA64" i="1"/>
  <c r="EPB64" i="1"/>
  <c r="EPC64" i="1"/>
  <c r="EPD64" i="1"/>
  <c r="EPE64" i="1"/>
  <c r="EPF64" i="1"/>
  <c r="EPG64" i="1"/>
  <c r="EPH64" i="1"/>
  <c r="EPI64" i="1"/>
  <c r="EPJ64" i="1"/>
  <c r="EPK64" i="1"/>
  <c r="EPL64" i="1"/>
  <c r="EPM64" i="1"/>
  <c r="EPN64" i="1"/>
  <c r="EPO64" i="1"/>
  <c r="EPP64" i="1"/>
  <c r="EPQ64" i="1"/>
  <c r="EPR64" i="1"/>
  <c r="EPS64" i="1"/>
  <c r="EPT64" i="1"/>
  <c r="EPU64" i="1"/>
  <c r="EPV64" i="1"/>
  <c r="EPW64" i="1"/>
  <c r="EPX64" i="1"/>
  <c r="EPY64" i="1"/>
  <c r="EPZ64" i="1"/>
  <c r="EQA64" i="1"/>
  <c r="EQB64" i="1"/>
  <c r="EQC64" i="1"/>
  <c r="EQD64" i="1"/>
  <c r="EQE64" i="1"/>
  <c r="EQF64" i="1"/>
  <c r="EQG64" i="1"/>
  <c r="EQH64" i="1"/>
  <c r="EQI64" i="1"/>
  <c r="EQJ64" i="1"/>
  <c r="EQK64" i="1"/>
  <c r="EQL64" i="1"/>
  <c r="EQM64" i="1"/>
  <c r="EQN64" i="1"/>
  <c r="EQO64" i="1"/>
  <c r="EQP64" i="1"/>
  <c r="EQQ64" i="1"/>
  <c r="EQR64" i="1"/>
  <c r="EQS64" i="1"/>
  <c r="EQT64" i="1"/>
  <c r="EQU64" i="1"/>
  <c r="EQV64" i="1"/>
  <c r="EQW64" i="1"/>
  <c r="EQX64" i="1"/>
  <c r="EQY64" i="1"/>
  <c r="EQZ64" i="1"/>
  <c r="ERA64" i="1"/>
  <c r="ERB64" i="1"/>
  <c r="ERC64" i="1"/>
  <c r="ERD64" i="1"/>
  <c r="ERE64" i="1"/>
  <c r="ERF64" i="1"/>
  <c r="ERG64" i="1"/>
  <c r="ERH64" i="1"/>
  <c r="ERI64" i="1"/>
  <c r="ERJ64" i="1"/>
  <c r="ERK64" i="1"/>
  <c r="ERL64" i="1"/>
  <c r="ERM64" i="1"/>
  <c r="ERN64" i="1"/>
  <c r="ERO64" i="1"/>
  <c r="ERP64" i="1"/>
  <c r="ERQ64" i="1"/>
  <c r="ERR64" i="1"/>
  <c r="ERS64" i="1"/>
  <c r="ERT64" i="1"/>
  <c r="ERU64" i="1"/>
  <c r="ERV64" i="1"/>
  <c r="ERW64" i="1"/>
  <c r="ERX64" i="1"/>
  <c r="ERY64" i="1"/>
  <c r="ERZ64" i="1"/>
  <c r="ESA64" i="1"/>
  <c r="ESB64" i="1"/>
  <c r="ESC64" i="1"/>
  <c r="ESD64" i="1"/>
  <c r="ESE64" i="1"/>
  <c r="ESF64" i="1"/>
  <c r="ESG64" i="1"/>
  <c r="ESH64" i="1"/>
  <c r="ESI64" i="1"/>
  <c r="ESJ64" i="1"/>
  <c r="ESK64" i="1"/>
  <c r="ESL64" i="1"/>
  <c r="ESM64" i="1"/>
  <c r="ESN64" i="1"/>
  <c r="ESO64" i="1"/>
  <c r="ESP64" i="1"/>
  <c r="ESQ64" i="1"/>
  <c r="ESR64" i="1"/>
  <c r="ESS64" i="1"/>
  <c r="EST64" i="1"/>
  <c r="ESU64" i="1"/>
  <c r="ESV64" i="1"/>
  <c r="ESW64" i="1"/>
  <c r="ESX64" i="1"/>
  <c r="ESY64" i="1"/>
  <c r="ESZ64" i="1"/>
  <c r="ETA64" i="1"/>
  <c r="ETB64" i="1"/>
  <c r="ETC64" i="1"/>
  <c r="ETD64" i="1"/>
  <c r="ETE64" i="1"/>
  <c r="ETF64" i="1"/>
  <c r="ETG64" i="1"/>
  <c r="ETH64" i="1"/>
  <c r="ETI64" i="1"/>
  <c r="ETJ64" i="1"/>
  <c r="ETK64" i="1"/>
  <c r="ETL64" i="1"/>
  <c r="ETM64" i="1"/>
  <c r="ETN64" i="1"/>
  <c r="ETO64" i="1"/>
  <c r="ETP64" i="1"/>
  <c r="ETQ64" i="1"/>
  <c r="ETR64" i="1"/>
  <c r="ETS64" i="1"/>
  <c r="ETT64" i="1"/>
  <c r="ETU64" i="1"/>
  <c r="ETV64" i="1"/>
  <c r="ETW64" i="1"/>
  <c r="ETX64" i="1"/>
  <c r="ETY64" i="1"/>
  <c r="ETZ64" i="1"/>
  <c r="EUA64" i="1"/>
  <c r="EUB64" i="1"/>
  <c r="EUC64" i="1"/>
  <c r="EUD64" i="1"/>
  <c r="EUE64" i="1"/>
  <c r="EUF64" i="1"/>
  <c r="EUG64" i="1"/>
  <c r="EUH64" i="1"/>
  <c r="EUI64" i="1"/>
  <c r="EUJ64" i="1"/>
  <c r="EUK64" i="1"/>
  <c r="EUL64" i="1"/>
  <c r="EUM64" i="1"/>
  <c r="EUN64" i="1"/>
  <c r="EUO64" i="1"/>
  <c r="EUP64" i="1"/>
  <c r="EUQ64" i="1"/>
  <c r="EUR64" i="1"/>
  <c r="EUS64" i="1"/>
  <c r="EUT64" i="1"/>
  <c r="EUU64" i="1"/>
  <c r="EUV64" i="1"/>
  <c r="EUW64" i="1"/>
  <c r="EUX64" i="1"/>
  <c r="EUY64" i="1"/>
  <c r="EUZ64" i="1"/>
  <c r="EVA64" i="1"/>
  <c r="EVB64" i="1"/>
  <c r="EVC64" i="1"/>
  <c r="EVD64" i="1"/>
  <c r="EVE64" i="1"/>
  <c r="EVF64" i="1"/>
  <c r="EVG64" i="1"/>
  <c r="EVH64" i="1"/>
  <c r="EVI64" i="1"/>
  <c r="EVJ64" i="1"/>
  <c r="EVK64" i="1"/>
  <c r="EVL64" i="1"/>
  <c r="EVM64" i="1"/>
  <c r="EVN64" i="1"/>
  <c r="EVO64" i="1"/>
  <c r="EVP64" i="1"/>
  <c r="EVQ64" i="1"/>
  <c r="EVR64" i="1"/>
  <c r="EVS64" i="1"/>
  <c r="EVT64" i="1"/>
  <c r="EVU64" i="1"/>
  <c r="EVV64" i="1"/>
  <c r="EVW64" i="1"/>
  <c r="EVX64" i="1"/>
  <c r="EVY64" i="1"/>
  <c r="EVZ64" i="1"/>
  <c r="EWA64" i="1"/>
  <c r="EWB64" i="1"/>
  <c r="EWC64" i="1"/>
  <c r="EWD64" i="1"/>
  <c r="EWE64" i="1"/>
  <c r="EWF64" i="1"/>
  <c r="EWG64" i="1"/>
  <c r="EWH64" i="1"/>
  <c r="EWI64" i="1"/>
  <c r="EWJ64" i="1"/>
  <c r="EWK64" i="1"/>
  <c r="EWL64" i="1"/>
  <c r="EWM64" i="1"/>
  <c r="EWN64" i="1"/>
  <c r="EWO64" i="1"/>
  <c r="EWP64" i="1"/>
  <c r="EWQ64" i="1"/>
  <c r="EWR64" i="1"/>
  <c r="EWS64" i="1"/>
  <c r="EWT64" i="1"/>
  <c r="EWU64" i="1"/>
  <c r="EWV64" i="1"/>
  <c r="EWW64" i="1"/>
  <c r="EWX64" i="1"/>
  <c r="EWY64" i="1"/>
  <c r="EWZ64" i="1"/>
  <c r="EXA64" i="1"/>
  <c r="EXB64" i="1"/>
  <c r="EXC64" i="1"/>
  <c r="EXD64" i="1"/>
  <c r="EXE64" i="1"/>
  <c r="EXF64" i="1"/>
  <c r="EXG64" i="1"/>
  <c r="EXH64" i="1"/>
  <c r="EXI64" i="1"/>
  <c r="EXJ64" i="1"/>
  <c r="EXK64" i="1"/>
  <c r="EXL64" i="1"/>
  <c r="EXM64" i="1"/>
  <c r="EXN64" i="1"/>
  <c r="EXO64" i="1"/>
  <c r="EXP64" i="1"/>
  <c r="EXQ64" i="1"/>
  <c r="EXR64" i="1"/>
  <c r="EXS64" i="1"/>
  <c r="EXT64" i="1"/>
  <c r="EXU64" i="1"/>
  <c r="EXV64" i="1"/>
  <c r="EXW64" i="1"/>
  <c r="EXX64" i="1"/>
  <c r="EXY64" i="1"/>
  <c r="EXZ64" i="1"/>
  <c r="EYA64" i="1"/>
  <c r="EYB64" i="1"/>
  <c r="EYC64" i="1"/>
  <c r="EYD64" i="1"/>
  <c r="EYE64" i="1"/>
  <c r="EYF64" i="1"/>
  <c r="EYG64" i="1"/>
  <c r="EYH64" i="1"/>
  <c r="EYI64" i="1"/>
  <c r="EYJ64" i="1"/>
  <c r="EYK64" i="1"/>
  <c r="EYL64" i="1"/>
  <c r="EYM64" i="1"/>
  <c r="EYN64" i="1"/>
  <c r="EYO64" i="1"/>
  <c r="EYP64" i="1"/>
  <c r="EYQ64" i="1"/>
  <c r="EYR64" i="1"/>
  <c r="EYS64" i="1"/>
  <c r="EYT64" i="1"/>
  <c r="EYU64" i="1"/>
  <c r="EYV64" i="1"/>
  <c r="EYW64" i="1"/>
  <c r="EYX64" i="1"/>
  <c r="EYY64" i="1"/>
  <c r="EYZ64" i="1"/>
  <c r="EZA64" i="1"/>
  <c r="EZB64" i="1"/>
  <c r="EZC64" i="1"/>
  <c r="EZD64" i="1"/>
  <c r="EZE64" i="1"/>
  <c r="EZF64" i="1"/>
  <c r="EZG64" i="1"/>
  <c r="EZH64" i="1"/>
  <c r="EZI64" i="1"/>
  <c r="EZJ64" i="1"/>
  <c r="EZK64" i="1"/>
  <c r="EZL64" i="1"/>
  <c r="EZM64" i="1"/>
  <c r="EZN64" i="1"/>
  <c r="EZO64" i="1"/>
  <c r="EZP64" i="1"/>
  <c r="EZQ64" i="1"/>
  <c r="EZR64" i="1"/>
  <c r="EZS64" i="1"/>
  <c r="EZT64" i="1"/>
  <c r="EZU64" i="1"/>
  <c r="EZV64" i="1"/>
  <c r="EZW64" i="1"/>
  <c r="EZX64" i="1"/>
  <c r="EZY64" i="1"/>
  <c r="EZZ64" i="1"/>
  <c r="FAA64" i="1"/>
  <c r="FAB64" i="1"/>
  <c r="FAC64" i="1"/>
  <c r="FAD64" i="1"/>
  <c r="FAE64" i="1"/>
  <c r="FAF64" i="1"/>
  <c r="FAG64" i="1"/>
  <c r="FAH64" i="1"/>
  <c r="FAI64" i="1"/>
  <c r="FAJ64" i="1"/>
  <c r="FAK64" i="1"/>
  <c r="FAL64" i="1"/>
  <c r="FAM64" i="1"/>
  <c r="FAN64" i="1"/>
  <c r="FAO64" i="1"/>
  <c r="FAP64" i="1"/>
  <c r="FAQ64" i="1"/>
  <c r="FAR64" i="1"/>
  <c r="FAS64" i="1"/>
  <c r="FAT64" i="1"/>
  <c r="FAU64" i="1"/>
  <c r="FAV64" i="1"/>
  <c r="FAW64" i="1"/>
  <c r="FAX64" i="1"/>
  <c r="FAY64" i="1"/>
  <c r="FAZ64" i="1"/>
  <c r="FBA64" i="1"/>
  <c r="FBB64" i="1"/>
  <c r="FBC64" i="1"/>
  <c r="FBD64" i="1"/>
  <c r="FBE64" i="1"/>
  <c r="FBF64" i="1"/>
  <c r="FBG64" i="1"/>
  <c r="FBH64" i="1"/>
  <c r="FBI64" i="1"/>
  <c r="FBJ64" i="1"/>
  <c r="FBK64" i="1"/>
  <c r="FBL64" i="1"/>
  <c r="FBM64" i="1"/>
  <c r="FBN64" i="1"/>
  <c r="FBO64" i="1"/>
  <c r="FBP64" i="1"/>
  <c r="FBQ64" i="1"/>
  <c r="FBR64" i="1"/>
  <c r="FBS64" i="1"/>
  <c r="FBT64" i="1"/>
  <c r="FBU64" i="1"/>
  <c r="FBV64" i="1"/>
  <c r="FBW64" i="1"/>
  <c r="FBX64" i="1"/>
  <c r="FBY64" i="1"/>
  <c r="FBZ64" i="1"/>
  <c r="FCA64" i="1"/>
  <c r="FCB64" i="1"/>
  <c r="FCC64" i="1"/>
  <c r="FCD64" i="1"/>
  <c r="FCE64" i="1"/>
  <c r="FCF64" i="1"/>
  <c r="FCG64" i="1"/>
  <c r="FCH64" i="1"/>
  <c r="FCI64" i="1"/>
  <c r="FCJ64" i="1"/>
  <c r="FCK64" i="1"/>
  <c r="FCL64" i="1"/>
  <c r="FCM64" i="1"/>
  <c r="FCN64" i="1"/>
  <c r="FCO64" i="1"/>
  <c r="FCP64" i="1"/>
  <c r="FCQ64" i="1"/>
  <c r="FCR64" i="1"/>
  <c r="FCS64" i="1"/>
  <c r="FCT64" i="1"/>
  <c r="FCU64" i="1"/>
  <c r="FCV64" i="1"/>
  <c r="FCW64" i="1"/>
  <c r="FCX64" i="1"/>
  <c r="FCY64" i="1"/>
  <c r="FCZ64" i="1"/>
  <c r="FDA64" i="1"/>
  <c r="FDB64" i="1"/>
  <c r="FDC64" i="1"/>
  <c r="FDD64" i="1"/>
  <c r="FDE64" i="1"/>
  <c r="FDF64" i="1"/>
  <c r="FDG64" i="1"/>
  <c r="FDH64" i="1"/>
  <c r="FDI64" i="1"/>
  <c r="FDJ64" i="1"/>
  <c r="FDK64" i="1"/>
  <c r="FDL64" i="1"/>
  <c r="FDM64" i="1"/>
  <c r="FDN64" i="1"/>
  <c r="FDO64" i="1"/>
  <c r="FDP64" i="1"/>
  <c r="FDQ64" i="1"/>
  <c r="FDR64" i="1"/>
  <c r="FDS64" i="1"/>
  <c r="FDT64" i="1"/>
  <c r="FDU64" i="1"/>
  <c r="FDV64" i="1"/>
  <c r="FDW64" i="1"/>
  <c r="FDX64" i="1"/>
  <c r="FDY64" i="1"/>
  <c r="FDZ64" i="1"/>
  <c r="FEA64" i="1"/>
  <c r="FEB64" i="1"/>
  <c r="FEC64" i="1"/>
  <c r="FED64" i="1"/>
  <c r="FEE64" i="1"/>
  <c r="FEF64" i="1"/>
  <c r="FEG64" i="1"/>
  <c r="FEH64" i="1"/>
  <c r="FEI64" i="1"/>
  <c r="FEJ64" i="1"/>
  <c r="FEK64" i="1"/>
  <c r="FEL64" i="1"/>
  <c r="FEM64" i="1"/>
  <c r="FEN64" i="1"/>
  <c r="FEO64" i="1"/>
  <c r="FEP64" i="1"/>
  <c r="FEQ64" i="1"/>
  <c r="FER64" i="1"/>
  <c r="FES64" i="1"/>
  <c r="FET64" i="1"/>
  <c r="FEU64" i="1"/>
  <c r="FEV64" i="1"/>
  <c r="FEW64" i="1"/>
  <c r="FEX64" i="1"/>
  <c r="FEY64" i="1"/>
  <c r="FEZ64" i="1"/>
  <c r="FFA64" i="1"/>
  <c r="FFB64" i="1"/>
  <c r="FFC64" i="1"/>
  <c r="FFD64" i="1"/>
  <c r="FFE64" i="1"/>
  <c r="FFF64" i="1"/>
  <c r="FFG64" i="1"/>
  <c r="FFH64" i="1"/>
  <c r="FFI64" i="1"/>
  <c r="FFJ64" i="1"/>
  <c r="FFK64" i="1"/>
  <c r="FFL64" i="1"/>
  <c r="FFM64" i="1"/>
  <c r="FFN64" i="1"/>
  <c r="FFO64" i="1"/>
  <c r="FFP64" i="1"/>
  <c r="FFQ64" i="1"/>
  <c r="FFR64" i="1"/>
  <c r="FFS64" i="1"/>
  <c r="FFT64" i="1"/>
  <c r="FFU64" i="1"/>
  <c r="FFV64" i="1"/>
  <c r="FFW64" i="1"/>
  <c r="FFX64" i="1"/>
  <c r="FFY64" i="1"/>
  <c r="FFZ64" i="1"/>
  <c r="FGA64" i="1"/>
  <c r="FGB64" i="1"/>
  <c r="FGC64" i="1"/>
  <c r="FGD64" i="1"/>
  <c r="FGE64" i="1"/>
  <c r="FGF64" i="1"/>
  <c r="FGG64" i="1"/>
  <c r="FGH64" i="1"/>
  <c r="FGI64" i="1"/>
  <c r="FGJ64" i="1"/>
  <c r="FGK64" i="1"/>
  <c r="FGL64" i="1"/>
  <c r="FGM64" i="1"/>
  <c r="FGN64" i="1"/>
  <c r="FGO64" i="1"/>
  <c r="FGP64" i="1"/>
  <c r="FGQ64" i="1"/>
  <c r="FGR64" i="1"/>
  <c r="FGS64" i="1"/>
  <c r="FGT64" i="1"/>
  <c r="FGU64" i="1"/>
  <c r="FGV64" i="1"/>
  <c r="FGW64" i="1"/>
  <c r="FGX64" i="1"/>
  <c r="FGY64" i="1"/>
  <c r="FGZ64" i="1"/>
  <c r="FHA64" i="1"/>
  <c r="FHB64" i="1"/>
  <c r="FHC64" i="1"/>
  <c r="FHD64" i="1"/>
  <c r="FHE64" i="1"/>
  <c r="FHF64" i="1"/>
  <c r="FHG64" i="1"/>
  <c r="FHH64" i="1"/>
  <c r="FHI64" i="1"/>
  <c r="FHJ64" i="1"/>
  <c r="FHK64" i="1"/>
  <c r="FHL64" i="1"/>
  <c r="FHM64" i="1"/>
  <c r="FHN64" i="1"/>
  <c r="FHO64" i="1"/>
  <c r="FHP64" i="1"/>
  <c r="FHQ64" i="1"/>
  <c r="FHR64" i="1"/>
  <c r="FHS64" i="1"/>
  <c r="FHT64" i="1"/>
  <c r="FHU64" i="1"/>
  <c r="FHV64" i="1"/>
  <c r="FHW64" i="1"/>
  <c r="FHX64" i="1"/>
  <c r="FHY64" i="1"/>
  <c r="FHZ64" i="1"/>
  <c r="FIA64" i="1"/>
  <c r="FIB64" i="1"/>
  <c r="FIC64" i="1"/>
  <c r="FID64" i="1"/>
  <c r="FIE64" i="1"/>
  <c r="FIF64" i="1"/>
  <c r="FIG64" i="1"/>
  <c r="FIH64" i="1"/>
  <c r="FII64" i="1"/>
  <c r="FIJ64" i="1"/>
  <c r="FIK64" i="1"/>
  <c r="FIL64" i="1"/>
  <c r="FIM64" i="1"/>
  <c r="FIN64" i="1"/>
  <c r="FIO64" i="1"/>
  <c r="FIP64" i="1"/>
  <c r="FIQ64" i="1"/>
  <c r="FIR64" i="1"/>
  <c r="FIS64" i="1"/>
  <c r="FIT64" i="1"/>
  <c r="FIU64" i="1"/>
  <c r="FIV64" i="1"/>
  <c r="FIW64" i="1"/>
  <c r="FIX64" i="1"/>
  <c r="FIY64" i="1"/>
  <c r="FIZ64" i="1"/>
  <c r="FJA64" i="1"/>
  <c r="FJB64" i="1"/>
  <c r="FJC64" i="1"/>
  <c r="FJD64" i="1"/>
  <c r="FJE64" i="1"/>
  <c r="FJF64" i="1"/>
  <c r="FJG64" i="1"/>
  <c r="FJH64" i="1"/>
  <c r="FJI64" i="1"/>
  <c r="FJJ64" i="1"/>
  <c r="FJK64" i="1"/>
  <c r="FJL64" i="1"/>
  <c r="FJM64" i="1"/>
  <c r="FJN64" i="1"/>
  <c r="FJO64" i="1"/>
  <c r="FJP64" i="1"/>
  <c r="FJQ64" i="1"/>
  <c r="FJR64" i="1"/>
  <c r="FJS64" i="1"/>
  <c r="FJT64" i="1"/>
  <c r="FJU64" i="1"/>
  <c r="FJV64" i="1"/>
  <c r="FJW64" i="1"/>
  <c r="FJX64" i="1"/>
  <c r="FJY64" i="1"/>
  <c r="FJZ64" i="1"/>
  <c r="FKA64" i="1"/>
  <c r="FKB64" i="1"/>
  <c r="FKC64" i="1"/>
  <c r="FKD64" i="1"/>
  <c r="FKE64" i="1"/>
  <c r="FKF64" i="1"/>
  <c r="FKG64" i="1"/>
  <c r="FKH64" i="1"/>
  <c r="FKI64" i="1"/>
  <c r="FKJ64" i="1"/>
  <c r="FKK64" i="1"/>
  <c r="FKL64" i="1"/>
  <c r="FKM64" i="1"/>
  <c r="FKN64" i="1"/>
  <c r="FKO64" i="1"/>
  <c r="FKP64" i="1"/>
  <c r="FKQ64" i="1"/>
  <c r="FKR64" i="1"/>
  <c r="FKS64" i="1"/>
  <c r="FKT64" i="1"/>
  <c r="FKU64" i="1"/>
  <c r="FKV64" i="1"/>
  <c r="FKW64" i="1"/>
  <c r="FKX64" i="1"/>
  <c r="FKY64" i="1"/>
  <c r="FKZ64" i="1"/>
  <c r="FLA64" i="1"/>
  <c r="FLB64" i="1"/>
  <c r="FLC64" i="1"/>
  <c r="FLD64" i="1"/>
  <c r="FLE64" i="1"/>
  <c r="FLF64" i="1"/>
  <c r="FLG64" i="1"/>
  <c r="FLH64" i="1"/>
  <c r="FLI64" i="1"/>
  <c r="FLJ64" i="1"/>
  <c r="FLK64" i="1"/>
  <c r="FLL64" i="1"/>
  <c r="FLM64" i="1"/>
  <c r="FLN64" i="1"/>
  <c r="FLO64" i="1"/>
  <c r="FLP64" i="1"/>
  <c r="FLQ64" i="1"/>
  <c r="FLR64" i="1"/>
  <c r="FLS64" i="1"/>
  <c r="FLT64" i="1"/>
  <c r="FLU64" i="1"/>
  <c r="FLV64" i="1"/>
  <c r="FLW64" i="1"/>
  <c r="FLX64" i="1"/>
  <c r="FLY64" i="1"/>
  <c r="FLZ64" i="1"/>
  <c r="FMA64" i="1"/>
  <c r="FMB64" i="1"/>
  <c r="FMC64" i="1"/>
  <c r="FMD64" i="1"/>
  <c r="FME64" i="1"/>
  <c r="FMF64" i="1"/>
  <c r="FMG64" i="1"/>
  <c r="FMH64" i="1"/>
  <c r="FMI64" i="1"/>
  <c r="FMJ64" i="1"/>
  <c r="FMK64" i="1"/>
  <c r="FML64" i="1"/>
  <c r="FMM64" i="1"/>
  <c r="FMN64" i="1"/>
  <c r="FMO64" i="1"/>
  <c r="FMP64" i="1"/>
  <c r="FMQ64" i="1"/>
  <c r="FMR64" i="1"/>
  <c r="FMS64" i="1"/>
  <c r="FMT64" i="1"/>
  <c r="FMU64" i="1"/>
  <c r="FMV64" i="1"/>
  <c r="FMW64" i="1"/>
  <c r="FMX64" i="1"/>
  <c r="FMY64" i="1"/>
  <c r="FMZ64" i="1"/>
  <c r="FNA64" i="1"/>
  <c r="FNB64" i="1"/>
  <c r="FNC64" i="1"/>
  <c r="FND64" i="1"/>
  <c r="FNE64" i="1"/>
  <c r="FNF64" i="1"/>
  <c r="FNG64" i="1"/>
  <c r="FNH64" i="1"/>
  <c r="FNI64" i="1"/>
  <c r="FNJ64" i="1"/>
  <c r="FNK64" i="1"/>
  <c r="FNL64" i="1"/>
  <c r="FNM64" i="1"/>
  <c r="FNN64" i="1"/>
  <c r="FNO64" i="1"/>
  <c r="FNP64" i="1"/>
  <c r="FNQ64" i="1"/>
  <c r="FNR64" i="1"/>
  <c r="FNS64" i="1"/>
  <c r="FNT64" i="1"/>
  <c r="FNU64" i="1"/>
  <c r="FNV64" i="1"/>
  <c r="FNW64" i="1"/>
  <c r="FNX64" i="1"/>
  <c r="FNY64" i="1"/>
  <c r="FNZ64" i="1"/>
  <c r="FOA64" i="1"/>
  <c r="FOB64" i="1"/>
  <c r="FOC64" i="1"/>
  <c r="FOD64" i="1"/>
  <c r="FOE64" i="1"/>
  <c r="FOF64" i="1"/>
  <c r="FOG64" i="1"/>
  <c r="FOH64" i="1"/>
  <c r="FOI64" i="1"/>
  <c r="FOJ64" i="1"/>
  <c r="FOK64" i="1"/>
  <c r="FOL64" i="1"/>
  <c r="FOM64" i="1"/>
  <c r="FON64" i="1"/>
  <c r="FOO64" i="1"/>
  <c r="FOP64" i="1"/>
  <c r="FOQ64" i="1"/>
  <c r="FOR64" i="1"/>
  <c r="FOS64" i="1"/>
  <c r="FOT64" i="1"/>
  <c r="FOU64" i="1"/>
  <c r="FOV64" i="1"/>
  <c r="FOW64" i="1"/>
  <c r="FOX64" i="1"/>
  <c r="FOY64" i="1"/>
  <c r="FOZ64" i="1"/>
  <c r="FPA64" i="1"/>
  <c r="FPB64" i="1"/>
  <c r="FPC64" i="1"/>
  <c r="FPD64" i="1"/>
  <c r="FPE64" i="1"/>
  <c r="FPF64" i="1"/>
  <c r="FPG64" i="1"/>
  <c r="FPH64" i="1"/>
  <c r="FPI64" i="1"/>
  <c r="FPJ64" i="1"/>
  <c r="FPK64" i="1"/>
  <c r="FPL64" i="1"/>
  <c r="FPM64" i="1"/>
  <c r="FPN64" i="1"/>
  <c r="FPO64" i="1"/>
  <c r="FPP64" i="1"/>
  <c r="FPQ64" i="1"/>
  <c r="FPR64" i="1"/>
  <c r="FPS64" i="1"/>
  <c r="FPT64" i="1"/>
  <c r="FPU64" i="1"/>
  <c r="FPV64" i="1"/>
  <c r="FPW64" i="1"/>
  <c r="FPX64" i="1"/>
  <c r="FPY64" i="1"/>
  <c r="FPZ64" i="1"/>
  <c r="FQA64" i="1"/>
  <c r="FQB64" i="1"/>
  <c r="FQC64" i="1"/>
  <c r="FQD64" i="1"/>
  <c r="FQE64" i="1"/>
  <c r="FQF64" i="1"/>
  <c r="FQG64" i="1"/>
  <c r="FQH64" i="1"/>
  <c r="FQI64" i="1"/>
  <c r="FQJ64" i="1"/>
  <c r="FQK64" i="1"/>
  <c r="FQL64" i="1"/>
  <c r="FQM64" i="1"/>
  <c r="FQN64" i="1"/>
  <c r="FQO64" i="1"/>
  <c r="FQP64" i="1"/>
  <c r="FQQ64" i="1"/>
  <c r="FQR64" i="1"/>
  <c r="FQS64" i="1"/>
  <c r="FQT64" i="1"/>
  <c r="FQU64" i="1"/>
  <c r="FQV64" i="1"/>
  <c r="FQW64" i="1"/>
  <c r="FQX64" i="1"/>
  <c r="FQY64" i="1"/>
  <c r="FQZ64" i="1"/>
  <c r="FRA64" i="1"/>
  <c r="FRB64" i="1"/>
  <c r="FRC64" i="1"/>
  <c r="FRD64" i="1"/>
  <c r="FRE64" i="1"/>
  <c r="FRF64" i="1"/>
  <c r="FRG64" i="1"/>
  <c r="FRH64" i="1"/>
  <c r="FRI64" i="1"/>
  <c r="FRJ64" i="1"/>
  <c r="FRK64" i="1"/>
  <c r="FRL64" i="1"/>
  <c r="FRM64" i="1"/>
  <c r="FRN64" i="1"/>
  <c r="FRO64" i="1"/>
  <c r="FRP64" i="1"/>
  <c r="FRQ64" i="1"/>
  <c r="FRR64" i="1"/>
  <c r="FRS64" i="1"/>
  <c r="FRT64" i="1"/>
  <c r="FRU64" i="1"/>
  <c r="FRV64" i="1"/>
  <c r="FRW64" i="1"/>
  <c r="FRX64" i="1"/>
  <c r="FRY64" i="1"/>
  <c r="FRZ64" i="1"/>
  <c r="FSA64" i="1"/>
  <c r="FSB64" i="1"/>
  <c r="FSC64" i="1"/>
  <c r="FSD64" i="1"/>
  <c r="FSE64" i="1"/>
  <c r="FSF64" i="1"/>
  <c r="FSG64" i="1"/>
  <c r="FSH64" i="1"/>
  <c r="FSI64" i="1"/>
  <c r="FSJ64" i="1"/>
  <c r="FSK64" i="1"/>
  <c r="FSL64" i="1"/>
  <c r="FSM64" i="1"/>
  <c r="FSN64" i="1"/>
  <c r="FSO64" i="1"/>
  <c r="FSP64" i="1"/>
  <c r="FSQ64" i="1"/>
  <c r="FSR64" i="1"/>
  <c r="FSS64" i="1"/>
  <c r="FST64" i="1"/>
  <c r="FSU64" i="1"/>
  <c r="FSV64" i="1"/>
  <c r="FSW64" i="1"/>
  <c r="FSX64" i="1"/>
  <c r="FSY64" i="1"/>
  <c r="FSZ64" i="1"/>
  <c r="FTA64" i="1"/>
  <c r="FTB64" i="1"/>
  <c r="FTC64" i="1"/>
  <c r="FTD64" i="1"/>
  <c r="FTE64" i="1"/>
  <c r="FTF64" i="1"/>
  <c r="FTG64" i="1"/>
  <c r="FTH64" i="1"/>
  <c r="FTI64" i="1"/>
  <c r="FTJ64" i="1"/>
  <c r="FTK64" i="1"/>
  <c r="FTL64" i="1"/>
  <c r="FTM64" i="1"/>
  <c r="FTN64" i="1"/>
  <c r="FTO64" i="1"/>
  <c r="FTP64" i="1"/>
  <c r="FTQ64" i="1"/>
  <c r="FTR64" i="1"/>
  <c r="FTS64" i="1"/>
  <c r="FTT64" i="1"/>
  <c r="FTU64" i="1"/>
  <c r="FTV64" i="1"/>
  <c r="FTW64" i="1"/>
  <c r="FTX64" i="1"/>
  <c r="FTY64" i="1"/>
  <c r="FTZ64" i="1"/>
  <c r="FUA64" i="1"/>
  <c r="FUB64" i="1"/>
  <c r="FUC64" i="1"/>
  <c r="FUD64" i="1"/>
  <c r="FUE64" i="1"/>
  <c r="FUF64" i="1"/>
  <c r="FUG64" i="1"/>
  <c r="FUH64" i="1"/>
  <c r="FUI64" i="1"/>
  <c r="FUJ64" i="1"/>
  <c r="FUK64" i="1"/>
  <c r="FUL64" i="1"/>
  <c r="FUM64" i="1"/>
  <c r="FUN64" i="1"/>
  <c r="FUO64" i="1"/>
  <c r="FUP64" i="1"/>
  <c r="FUQ64" i="1"/>
  <c r="FUR64" i="1"/>
  <c r="FUS64" i="1"/>
  <c r="FUT64" i="1"/>
  <c r="FUU64" i="1"/>
  <c r="FUV64" i="1"/>
  <c r="FUW64" i="1"/>
  <c r="FUX64" i="1"/>
  <c r="FUY64" i="1"/>
  <c r="FUZ64" i="1"/>
  <c r="FVA64" i="1"/>
  <c r="FVB64" i="1"/>
  <c r="FVC64" i="1"/>
  <c r="FVD64" i="1"/>
  <c r="FVE64" i="1"/>
  <c r="FVF64" i="1"/>
  <c r="FVG64" i="1"/>
  <c r="FVH64" i="1"/>
  <c r="FVI64" i="1"/>
  <c r="FVJ64" i="1"/>
  <c r="FVK64" i="1"/>
  <c r="FVL64" i="1"/>
  <c r="FVM64" i="1"/>
  <c r="FVN64" i="1"/>
  <c r="FVO64" i="1"/>
  <c r="FVP64" i="1"/>
  <c r="FVQ64" i="1"/>
  <c r="FVR64" i="1"/>
  <c r="FVS64" i="1"/>
  <c r="FVT64" i="1"/>
  <c r="FVU64" i="1"/>
  <c r="FVV64" i="1"/>
  <c r="FVW64" i="1"/>
  <c r="FVX64" i="1"/>
  <c r="FVY64" i="1"/>
  <c r="FVZ64" i="1"/>
  <c r="FWA64" i="1"/>
  <c r="FWB64" i="1"/>
  <c r="FWC64" i="1"/>
  <c r="FWD64" i="1"/>
  <c r="FWE64" i="1"/>
  <c r="FWF64" i="1"/>
  <c r="FWG64" i="1"/>
  <c r="FWH64" i="1"/>
  <c r="FWI64" i="1"/>
  <c r="FWJ64" i="1"/>
  <c r="FWK64" i="1"/>
  <c r="FWL64" i="1"/>
  <c r="FWM64" i="1"/>
  <c r="FWN64" i="1"/>
  <c r="FWO64" i="1"/>
  <c r="FWP64" i="1"/>
  <c r="FWQ64" i="1"/>
  <c r="FWR64" i="1"/>
  <c r="FWS64" i="1"/>
  <c r="FWT64" i="1"/>
  <c r="FWU64" i="1"/>
  <c r="FWV64" i="1"/>
  <c r="FWW64" i="1"/>
  <c r="FWX64" i="1"/>
  <c r="FWY64" i="1"/>
  <c r="FWZ64" i="1"/>
  <c r="FXA64" i="1"/>
  <c r="FXB64" i="1"/>
  <c r="FXC64" i="1"/>
  <c r="FXD64" i="1"/>
  <c r="FXE64" i="1"/>
  <c r="FXF64" i="1"/>
  <c r="FXG64" i="1"/>
  <c r="FXH64" i="1"/>
  <c r="FXI64" i="1"/>
  <c r="FXJ64" i="1"/>
  <c r="FXK64" i="1"/>
  <c r="FXL64" i="1"/>
  <c r="FXM64" i="1"/>
  <c r="FXN64" i="1"/>
  <c r="FXO64" i="1"/>
  <c r="FXP64" i="1"/>
  <c r="FXQ64" i="1"/>
  <c r="FXR64" i="1"/>
  <c r="FXS64" i="1"/>
  <c r="FXT64" i="1"/>
  <c r="FXU64" i="1"/>
  <c r="FXV64" i="1"/>
  <c r="FXW64" i="1"/>
  <c r="FXX64" i="1"/>
  <c r="FXY64" i="1"/>
  <c r="FXZ64" i="1"/>
  <c r="FYA64" i="1"/>
  <c r="FYB64" i="1"/>
  <c r="FYC64" i="1"/>
  <c r="FYD64" i="1"/>
  <c r="FYE64" i="1"/>
  <c r="FYF64" i="1"/>
  <c r="FYG64" i="1"/>
  <c r="FYH64" i="1"/>
  <c r="FYI64" i="1"/>
  <c r="FYJ64" i="1"/>
  <c r="FYK64" i="1"/>
  <c r="FYL64" i="1"/>
  <c r="FYM64" i="1"/>
  <c r="FYN64" i="1"/>
  <c r="FYO64" i="1"/>
  <c r="FYP64" i="1"/>
  <c r="FYQ64" i="1"/>
  <c r="FYR64" i="1"/>
  <c r="FYS64" i="1"/>
  <c r="FYT64" i="1"/>
  <c r="FYU64" i="1"/>
  <c r="FYV64" i="1"/>
  <c r="FYW64" i="1"/>
  <c r="FYX64" i="1"/>
  <c r="FYY64" i="1"/>
  <c r="FYZ64" i="1"/>
  <c r="FZA64" i="1"/>
  <c r="FZB64" i="1"/>
  <c r="FZC64" i="1"/>
  <c r="FZD64" i="1"/>
  <c r="FZE64" i="1"/>
  <c r="FZF64" i="1"/>
  <c r="FZG64" i="1"/>
  <c r="FZH64" i="1"/>
  <c r="FZI64" i="1"/>
  <c r="FZJ64" i="1"/>
  <c r="FZK64" i="1"/>
  <c r="FZL64" i="1"/>
  <c r="FZM64" i="1"/>
  <c r="FZN64" i="1"/>
  <c r="FZO64" i="1"/>
  <c r="FZP64" i="1"/>
  <c r="FZQ64" i="1"/>
  <c r="FZR64" i="1"/>
  <c r="FZS64" i="1"/>
  <c r="FZT64" i="1"/>
  <c r="FZU64" i="1"/>
  <c r="FZV64" i="1"/>
  <c r="FZW64" i="1"/>
  <c r="FZX64" i="1"/>
  <c r="FZY64" i="1"/>
  <c r="FZZ64" i="1"/>
  <c r="GAA64" i="1"/>
  <c r="GAB64" i="1"/>
  <c r="GAC64" i="1"/>
  <c r="GAD64" i="1"/>
  <c r="GAE64" i="1"/>
  <c r="GAF64" i="1"/>
  <c r="GAG64" i="1"/>
  <c r="GAH64" i="1"/>
  <c r="GAI64" i="1"/>
  <c r="GAJ64" i="1"/>
  <c r="GAK64" i="1"/>
  <c r="GAL64" i="1"/>
  <c r="GAM64" i="1"/>
  <c r="GAN64" i="1"/>
  <c r="GAO64" i="1"/>
  <c r="GAP64" i="1"/>
  <c r="GAQ64" i="1"/>
  <c r="GAR64" i="1"/>
  <c r="GAS64" i="1"/>
  <c r="GAT64" i="1"/>
  <c r="GAU64" i="1"/>
  <c r="GAV64" i="1"/>
  <c r="GAW64" i="1"/>
  <c r="GAX64" i="1"/>
  <c r="GAY64" i="1"/>
  <c r="GAZ64" i="1"/>
  <c r="GBA64" i="1"/>
  <c r="GBB64" i="1"/>
  <c r="GBC64" i="1"/>
  <c r="GBD64" i="1"/>
  <c r="GBE64" i="1"/>
  <c r="GBF64" i="1"/>
  <c r="GBG64" i="1"/>
  <c r="GBH64" i="1"/>
  <c r="GBI64" i="1"/>
  <c r="GBJ64" i="1"/>
  <c r="GBK64" i="1"/>
  <c r="GBL64" i="1"/>
  <c r="GBM64" i="1"/>
  <c r="GBN64" i="1"/>
  <c r="GBO64" i="1"/>
  <c r="GBP64" i="1"/>
  <c r="GBQ64" i="1"/>
  <c r="GBR64" i="1"/>
  <c r="GBS64" i="1"/>
  <c r="GBT64" i="1"/>
  <c r="GBU64" i="1"/>
  <c r="GBV64" i="1"/>
  <c r="GBW64" i="1"/>
  <c r="GBX64" i="1"/>
  <c r="GBY64" i="1"/>
  <c r="GBZ64" i="1"/>
  <c r="GCA64" i="1"/>
  <c r="GCB64" i="1"/>
  <c r="GCC64" i="1"/>
  <c r="GCD64" i="1"/>
  <c r="GCE64" i="1"/>
  <c r="GCF64" i="1"/>
  <c r="GCG64" i="1"/>
  <c r="GCH64" i="1"/>
  <c r="GCI64" i="1"/>
  <c r="GCJ64" i="1"/>
  <c r="GCK64" i="1"/>
  <c r="GCL64" i="1"/>
  <c r="GCM64" i="1"/>
  <c r="GCN64" i="1"/>
  <c r="GCO64" i="1"/>
  <c r="GCP64" i="1"/>
  <c r="GCQ64" i="1"/>
  <c r="GCR64" i="1"/>
  <c r="GCS64" i="1"/>
  <c r="GCT64" i="1"/>
  <c r="GCU64" i="1"/>
  <c r="GCV64" i="1"/>
  <c r="GCW64" i="1"/>
  <c r="GCX64" i="1"/>
  <c r="GCY64" i="1"/>
  <c r="GCZ64" i="1"/>
  <c r="GDA64" i="1"/>
  <c r="GDB64" i="1"/>
  <c r="GDC64" i="1"/>
  <c r="GDD64" i="1"/>
  <c r="GDE64" i="1"/>
  <c r="GDF64" i="1"/>
  <c r="GDG64" i="1"/>
  <c r="GDH64" i="1"/>
  <c r="GDI64" i="1"/>
  <c r="GDJ64" i="1"/>
  <c r="GDK64" i="1"/>
  <c r="GDL64" i="1"/>
  <c r="GDM64" i="1"/>
  <c r="GDN64" i="1"/>
  <c r="GDO64" i="1"/>
  <c r="GDP64" i="1"/>
  <c r="GDQ64" i="1"/>
  <c r="GDR64" i="1"/>
  <c r="GDS64" i="1"/>
  <c r="GDT64" i="1"/>
  <c r="GDU64" i="1"/>
  <c r="GDV64" i="1"/>
  <c r="GDW64" i="1"/>
  <c r="GDX64" i="1"/>
  <c r="GDY64" i="1"/>
  <c r="GDZ64" i="1"/>
  <c r="GEA64" i="1"/>
  <c r="GEB64" i="1"/>
  <c r="GEC64" i="1"/>
  <c r="GED64" i="1"/>
  <c r="GEE64" i="1"/>
  <c r="GEF64" i="1"/>
  <c r="GEG64" i="1"/>
  <c r="GEH64" i="1"/>
  <c r="GEI64" i="1"/>
  <c r="GEJ64" i="1"/>
  <c r="GEK64" i="1"/>
  <c r="GEL64" i="1"/>
  <c r="GEM64" i="1"/>
  <c r="GEN64" i="1"/>
  <c r="GEO64" i="1"/>
  <c r="GEP64" i="1"/>
  <c r="GEQ64" i="1"/>
  <c r="GER64" i="1"/>
  <c r="GES64" i="1"/>
  <c r="GET64" i="1"/>
  <c r="GEU64" i="1"/>
  <c r="GEV64" i="1"/>
  <c r="GEW64" i="1"/>
  <c r="GEX64" i="1"/>
  <c r="GEY64" i="1"/>
  <c r="GEZ64" i="1"/>
  <c r="GFA64" i="1"/>
  <c r="GFB64" i="1"/>
  <c r="GFC64" i="1"/>
  <c r="GFD64" i="1"/>
  <c r="GFE64" i="1"/>
  <c r="GFF64" i="1"/>
  <c r="GFG64" i="1"/>
  <c r="GFH64" i="1"/>
  <c r="GFI64" i="1"/>
  <c r="GFJ64" i="1"/>
  <c r="GFK64" i="1"/>
  <c r="GFL64" i="1"/>
  <c r="GFM64" i="1"/>
  <c r="GFN64" i="1"/>
  <c r="GFO64" i="1"/>
  <c r="GFP64" i="1"/>
  <c r="GFQ64" i="1"/>
  <c r="GFR64" i="1"/>
  <c r="GFS64" i="1"/>
  <c r="GFT64" i="1"/>
  <c r="GFU64" i="1"/>
  <c r="GFV64" i="1"/>
  <c r="GFW64" i="1"/>
  <c r="GFX64" i="1"/>
  <c r="GFY64" i="1"/>
  <c r="GFZ64" i="1"/>
  <c r="GGA64" i="1"/>
  <c r="GGB64" i="1"/>
  <c r="GGC64" i="1"/>
  <c r="GGD64" i="1"/>
  <c r="GGE64" i="1"/>
  <c r="GGF64" i="1"/>
  <c r="GGG64" i="1"/>
  <c r="GGH64" i="1"/>
  <c r="GGI64" i="1"/>
  <c r="GGJ64" i="1"/>
  <c r="GGK64" i="1"/>
  <c r="GGL64" i="1"/>
  <c r="GGM64" i="1"/>
  <c r="GGN64" i="1"/>
  <c r="GGO64" i="1"/>
  <c r="GGP64" i="1"/>
  <c r="GGQ64" i="1"/>
  <c r="GGR64" i="1"/>
  <c r="GGS64" i="1"/>
  <c r="GGT64" i="1"/>
  <c r="GGU64" i="1"/>
  <c r="GGV64" i="1"/>
  <c r="GGW64" i="1"/>
  <c r="GGX64" i="1"/>
  <c r="GGY64" i="1"/>
  <c r="GGZ64" i="1"/>
  <c r="GHA64" i="1"/>
  <c r="GHB64" i="1"/>
  <c r="GHC64" i="1"/>
  <c r="GHD64" i="1"/>
  <c r="GHE64" i="1"/>
  <c r="GHF64" i="1"/>
  <c r="GHG64" i="1"/>
  <c r="GHH64" i="1"/>
  <c r="GHI64" i="1"/>
  <c r="GHJ64" i="1"/>
  <c r="GHK64" i="1"/>
  <c r="GHL64" i="1"/>
  <c r="GHM64" i="1"/>
  <c r="GHN64" i="1"/>
  <c r="GHO64" i="1"/>
  <c r="GHP64" i="1"/>
  <c r="GHQ64" i="1"/>
  <c r="GHR64" i="1"/>
  <c r="GHS64" i="1"/>
  <c r="GHT64" i="1"/>
  <c r="GHU64" i="1"/>
  <c r="GHV64" i="1"/>
  <c r="GHW64" i="1"/>
  <c r="GHX64" i="1"/>
  <c r="GHY64" i="1"/>
  <c r="GHZ64" i="1"/>
  <c r="GIA64" i="1"/>
  <c r="GIB64" i="1"/>
  <c r="GIC64" i="1"/>
  <c r="GID64" i="1"/>
  <c r="GIE64" i="1"/>
  <c r="GIF64" i="1"/>
  <c r="GIG64" i="1"/>
  <c r="GIH64" i="1"/>
  <c r="GII64" i="1"/>
  <c r="GIJ64" i="1"/>
  <c r="GIK64" i="1"/>
  <c r="GIL64" i="1"/>
  <c r="GIM64" i="1"/>
  <c r="GIN64" i="1"/>
  <c r="GIO64" i="1"/>
  <c r="GIP64" i="1"/>
  <c r="GIQ64" i="1"/>
  <c r="GIR64" i="1"/>
  <c r="GIS64" i="1"/>
  <c r="GIT64" i="1"/>
  <c r="GIU64" i="1"/>
  <c r="GIV64" i="1"/>
  <c r="GIW64" i="1"/>
  <c r="GIX64" i="1"/>
  <c r="GIY64" i="1"/>
  <c r="GIZ64" i="1"/>
  <c r="GJA64" i="1"/>
  <c r="GJB64" i="1"/>
  <c r="GJC64" i="1"/>
  <c r="GJD64" i="1"/>
  <c r="GJE64" i="1"/>
  <c r="GJF64" i="1"/>
  <c r="GJG64" i="1"/>
  <c r="GJH64" i="1"/>
  <c r="GJI64" i="1"/>
  <c r="GJJ64" i="1"/>
  <c r="GJK64" i="1"/>
  <c r="GJL64" i="1"/>
  <c r="GJM64" i="1"/>
  <c r="GJN64" i="1"/>
  <c r="GJO64" i="1"/>
  <c r="GJP64" i="1"/>
  <c r="GJQ64" i="1"/>
  <c r="GJR64" i="1"/>
  <c r="GJS64" i="1"/>
  <c r="GJT64" i="1"/>
  <c r="GJU64" i="1"/>
  <c r="GJV64" i="1"/>
  <c r="GJW64" i="1"/>
  <c r="GJX64" i="1"/>
  <c r="GJY64" i="1"/>
  <c r="GJZ64" i="1"/>
  <c r="GKA64" i="1"/>
  <c r="GKB64" i="1"/>
  <c r="GKC64" i="1"/>
  <c r="GKD64" i="1"/>
  <c r="GKE64" i="1"/>
  <c r="GKF64" i="1"/>
  <c r="GKG64" i="1"/>
  <c r="GKH64" i="1"/>
  <c r="GKI64" i="1"/>
  <c r="GKJ64" i="1"/>
  <c r="GKK64" i="1"/>
  <c r="GKL64" i="1"/>
  <c r="GKM64" i="1"/>
  <c r="GKN64" i="1"/>
  <c r="GKO64" i="1"/>
  <c r="GKP64" i="1"/>
  <c r="GKQ64" i="1"/>
  <c r="GKR64" i="1"/>
  <c r="GKS64" i="1"/>
  <c r="GKT64" i="1"/>
  <c r="GKU64" i="1"/>
  <c r="GKV64" i="1"/>
  <c r="GKW64" i="1"/>
  <c r="GKX64" i="1"/>
  <c r="GKY64" i="1"/>
  <c r="GKZ64" i="1"/>
  <c r="GLA64" i="1"/>
  <c r="GLB64" i="1"/>
  <c r="GLC64" i="1"/>
  <c r="GLD64" i="1"/>
  <c r="GLE64" i="1"/>
  <c r="GLF64" i="1"/>
  <c r="GLG64" i="1"/>
  <c r="GLH64" i="1"/>
  <c r="GLI64" i="1"/>
  <c r="GLJ64" i="1"/>
  <c r="GLK64" i="1"/>
  <c r="GLL64" i="1"/>
  <c r="GLM64" i="1"/>
  <c r="GLN64" i="1"/>
  <c r="GLO64" i="1"/>
  <c r="GLP64" i="1"/>
  <c r="GLQ64" i="1"/>
  <c r="GLR64" i="1"/>
  <c r="GLS64" i="1"/>
  <c r="GLT64" i="1"/>
  <c r="GLU64" i="1"/>
  <c r="GLV64" i="1"/>
  <c r="GLW64" i="1"/>
  <c r="GLX64" i="1"/>
  <c r="GLY64" i="1"/>
  <c r="GLZ64" i="1"/>
  <c r="GMA64" i="1"/>
  <c r="GMB64" i="1"/>
  <c r="GMC64" i="1"/>
  <c r="GMD64" i="1"/>
  <c r="GME64" i="1"/>
  <c r="GMF64" i="1"/>
  <c r="GMG64" i="1"/>
  <c r="GMH64" i="1"/>
  <c r="GMI64" i="1"/>
  <c r="GMJ64" i="1"/>
  <c r="GMK64" i="1"/>
  <c r="GML64" i="1"/>
  <c r="GMM64" i="1"/>
  <c r="GMN64" i="1"/>
  <c r="GMO64" i="1"/>
  <c r="GMP64" i="1"/>
  <c r="GMQ64" i="1"/>
  <c r="GMR64" i="1"/>
  <c r="GMS64" i="1"/>
  <c r="GMT64" i="1"/>
  <c r="GMU64" i="1"/>
  <c r="GMV64" i="1"/>
  <c r="GMW64" i="1"/>
  <c r="GMX64" i="1"/>
  <c r="GMY64" i="1"/>
  <c r="GMZ64" i="1"/>
  <c r="GNA64" i="1"/>
  <c r="GNB64" i="1"/>
  <c r="GNC64" i="1"/>
  <c r="GND64" i="1"/>
  <c r="GNE64" i="1"/>
  <c r="GNF64" i="1"/>
  <c r="GNG64" i="1"/>
  <c r="GNH64" i="1"/>
  <c r="GNI64" i="1"/>
  <c r="GNJ64" i="1"/>
  <c r="GNK64" i="1"/>
  <c r="GNL64" i="1"/>
  <c r="GNM64" i="1"/>
  <c r="GNN64" i="1"/>
  <c r="GNO64" i="1"/>
  <c r="GNP64" i="1"/>
  <c r="GNQ64" i="1"/>
  <c r="GNR64" i="1"/>
  <c r="GNS64" i="1"/>
  <c r="GNT64" i="1"/>
  <c r="GNU64" i="1"/>
  <c r="GNV64" i="1"/>
  <c r="GNW64" i="1"/>
  <c r="GNX64" i="1"/>
  <c r="GNY64" i="1"/>
  <c r="GNZ64" i="1"/>
  <c r="GOA64" i="1"/>
  <c r="GOB64" i="1"/>
  <c r="GOC64" i="1"/>
  <c r="GOD64" i="1"/>
  <c r="GOE64" i="1"/>
  <c r="GOF64" i="1"/>
  <c r="GOG64" i="1"/>
  <c r="GOH64" i="1"/>
  <c r="GOI64" i="1"/>
  <c r="GOJ64" i="1"/>
  <c r="GOK64" i="1"/>
  <c r="GOL64" i="1"/>
  <c r="GOM64" i="1"/>
  <c r="GON64" i="1"/>
  <c r="GOO64" i="1"/>
  <c r="GOP64" i="1"/>
  <c r="GOQ64" i="1"/>
  <c r="GOR64" i="1"/>
  <c r="GOS64" i="1"/>
  <c r="GOT64" i="1"/>
  <c r="GOU64" i="1"/>
  <c r="GOV64" i="1"/>
  <c r="GOW64" i="1"/>
  <c r="GOX64" i="1"/>
  <c r="GOY64" i="1"/>
  <c r="GOZ64" i="1"/>
  <c r="GPA64" i="1"/>
  <c r="GPB64" i="1"/>
  <c r="GPC64" i="1"/>
  <c r="GPD64" i="1"/>
  <c r="GPE64" i="1"/>
  <c r="GPF64" i="1"/>
  <c r="GPG64" i="1"/>
  <c r="GPH64" i="1"/>
  <c r="GPI64" i="1"/>
  <c r="GPJ64" i="1"/>
  <c r="GPK64" i="1"/>
  <c r="GPL64" i="1"/>
  <c r="GPM64" i="1"/>
  <c r="GPN64" i="1"/>
  <c r="GPO64" i="1"/>
  <c r="GPP64" i="1"/>
  <c r="GPQ64" i="1"/>
  <c r="GPR64" i="1"/>
  <c r="GPS64" i="1"/>
  <c r="GPT64" i="1"/>
  <c r="GPU64" i="1"/>
  <c r="GPV64" i="1"/>
  <c r="GPW64" i="1"/>
  <c r="GPX64" i="1"/>
  <c r="GPY64" i="1"/>
  <c r="GPZ64" i="1"/>
  <c r="GQA64" i="1"/>
  <c r="GQB64" i="1"/>
  <c r="GQC64" i="1"/>
  <c r="GQD64" i="1"/>
  <c r="GQE64" i="1"/>
  <c r="GQF64" i="1"/>
  <c r="GQG64" i="1"/>
  <c r="GQH64" i="1"/>
  <c r="GQI64" i="1"/>
  <c r="GQJ64" i="1"/>
  <c r="GQK64" i="1"/>
  <c r="GQL64" i="1"/>
  <c r="GQM64" i="1"/>
  <c r="GQN64" i="1"/>
  <c r="GQO64" i="1"/>
  <c r="GQP64" i="1"/>
  <c r="GQQ64" i="1"/>
  <c r="GQR64" i="1"/>
  <c r="GQS64" i="1"/>
  <c r="GQT64" i="1"/>
  <c r="GQU64" i="1"/>
  <c r="GQV64" i="1"/>
  <c r="GQW64" i="1"/>
  <c r="GQX64" i="1"/>
  <c r="GQY64" i="1"/>
  <c r="GQZ64" i="1"/>
  <c r="GRA64" i="1"/>
  <c r="GRB64" i="1"/>
  <c r="GRC64" i="1"/>
  <c r="GRD64" i="1"/>
  <c r="GRE64" i="1"/>
  <c r="GRF64" i="1"/>
  <c r="GRG64" i="1"/>
  <c r="GRH64" i="1"/>
  <c r="GRI64" i="1"/>
  <c r="GRJ64" i="1"/>
  <c r="GRK64" i="1"/>
  <c r="GRL64" i="1"/>
  <c r="GRM64" i="1"/>
  <c r="GRN64" i="1"/>
  <c r="GRO64" i="1"/>
  <c r="GRP64" i="1"/>
  <c r="GRQ64" i="1"/>
  <c r="GRR64" i="1"/>
  <c r="GRS64" i="1"/>
  <c r="GRT64" i="1"/>
  <c r="GRU64" i="1"/>
  <c r="GRV64" i="1"/>
  <c r="GRW64" i="1"/>
  <c r="GRX64" i="1"/>
  <c r="GRY64" i="1"/>
  <c r="GRZ64" i="1"/>
  <c r="GSA64" i="1"/>
  <c r="GSB64" i="1"/>
  <c r="GSC64" i="1"/>
  <c r="GSD64" i="1"/>
  <c r="GSE64" i="1"/>
  <c r="GSF64" i="1"/>
  <c r="GSG64" i="1"/>
  <c r="GSH64" i="1"/>
  <c r="GSI64" i="1"/>
  <c r="GSJ64" i="1"/>
  <c r="GSK64" i="1"/>
  <c r="GSL64" i="1"/>
  <c r="GSM64" i="1"/>
  <c r="GSN64" i="1"/>
  <c r="GSO64" i="1"/>
  <c r="GSP64" i="1"/>
  <c r="GSQ64" i="1"/>
  <c r="GSR64" i="1"/>
  <c r="GSS64" i="1"/>
  <c r="GST64" i="1"/>
  <c r="GSU64" i="1"/>
  <c r="GSV64" i="1"/>
  <c r="GSW64" i="1"/>
  <c r="GSX64" i="1"/>
  <c r="GSY64" i="1"/>
  <c r="GSZ64" i="1"/>
  <c r="GTA64" i="1"/>
  <c r="GTB64" i="1"/>
  <c r="GTC64" i="1"/>
  <c r="GTD64" i="1"/>
  <c r="GTE64" i="1"/>
  <c r="GTF64" i="1"/>
  <c r="GTG64" i="1"/>
  <c r="GTH64" i="1"/>
  <c r="GTI64" i="1"/>
  <c r="GTJ64" i="1"/>
  <c r="GTK64" i="1"/>
  <c r="GTL64" i="1"/>
  <c r="GTM64" i="1"/>
  <c r="GTN64" i="1"/>
  <c r="GTO64" i="1"/>
  <c r="GTP64" i="1"/>
  <c r="GTQ64" i="1"/>
  <c r="GTR64" i="1"/>
  <c r="GTS64" i="1"/>
  <c r="GTT64" i="1"/>
  <c r="GTU64" i="1"/>
  <c r="GTV64" i="1"/>
  <c r="GTW64" i="1"/>
  <c r="GTX64" i="1"/>
  <c r="GTY64" i="1"/>
  <c r="GTZ64" i="1"/>
  <c r="GUA64" i="1"/>
  <c r="GUB64" i="1"/>
  <c r="GUC64" i="1"/>
  <c r="GUD64" i="1"/>
  <c r="GUE64" i="1"/>
  <c r="GUF64" i="1"/>
  <c r="GUG64" i="1"/>
  <c r="GUH64" i="1"/>
  <c r="GUI64" i="1"/>
  <c r="GUJ64" i="1"/>
  <c r="GUK64" i="1"/>
  <c r="GUL64" i="1"/>
  <c r="GUM64" i="1"/>
  <c r="GUN64" i="1"/>
  <c r="GUO64" i="1"/>
  <c r="GUP64" i="1"/>
  <c r="GUQ64" i="1"/>
  <c r="GUR64" i="1"/>
  <c r="GUS64" i="1"/>
  <c r="GUT64" i="1"/>
  <c r="GUU64" i="1"/>
  <c r="GUV64" i="1"/>
  <c r="GUW64" i="1"/>
  <c r="GUX64" i="1"/>
  <c r="GUY64" i="1"/>
  <c r="GUZ64" i="1"/>
  <c r="GVA64" i="1"/>
  <c r="GVB64" i="1"/>
  <c r="GVC64" i="1"/>
  <c r="GVD64" i="1"/>
  <c r="GVE64" i="1"/>
  <c r="GVF64" i="1"/>
  <c r="GVG64" i="1"/>
  <c r="GVH64" i="1"/>
  <c r="GVI64" i="1"/>
  <c r="GVJ64" i="1"/>
  <c r="GVK64" i="1"/>
  <c r="GVL64" i="1"/>
  <c r="GVM64" i="1"/>
  <c r="GVN64" i="1"/>
  <c r="GVO64" i="1"/>
  <c r="GVP64" i="1"/>
  <c r="GVQ64" i="1"/>
  <c r="GVR64" i="1"/>
  <c r="GVS64" i="1"/>
  <c r="GVT64" i="1"/>
  <c r="GVU64" i="1"/>
  <c r="GVV64" i="1"/>
  <c r="GVW64" i="1"/>
  <c r="GVX64" i="1"/>
  <c r="GVY64" i="1"/>
  <c r="GVZ64" i="1"/>
  <c r="GWA64" i="1"/>
  <c r="GWB64" i="1"/>
  <c r="GWC64" i="1"/>
  <c r="GWD64" i="1"/>
  <c r="GWE64" i="1"/>
  <c r="GWF64" i="1"/>
  <c r="GWG64" i="1"/>
  <c r="GWH64" i="1"/>
  <c r="GWI64" i="1"/>
  <c r="GWJ64" i="1"/>
  <c r="GWK64" i="1"/>
  <c r="GWL64" i="1"/>
  <c r="GWM64" i="1"/>
  <c r="GWN64" i="1"/>
  <c r="GWO64" i="1"/>
  <c r="GWP64" i="1"/>
  <c r="GWQ64" i="1"/>
  <c r="GWR64" i="1"/>
  <c r="GWS64" i="1"/>
  <c r="GWT64" i="1"/>
  <c r="GWU64" i="1"/>
  <c r="GWV64" i="1"/>
  <c r="GWW64" i="1"/>
  <c r="GWX64" i="1"/>
  <c r="GWY64" i="1"/>
  <c r="GWZ64" i="1"/>
  <c r="GXA64" i="1"/>
  <c r="GXB64" i="1"/>
  <c r="GXC64" i="1"/>
  <c r="GXD64" i="1"/>
  <c r="GXE64" i="1"/>
  <c r="GXF64" i="1"/>
  <c r="GXG64" i="1"/>
  <c r="GXH64" i="1"/>
  <c r="GXI64" i="1"/>
  <c r="GXJ64" i="1"/>
  <c r="GXK64" i="1"/>
  <c r="GXL64" i="1"/>
  <c r="GXM64" i="1"/>
  <c r="GXN64" i="1"/>
  <c r="GXO64" i="1"/>
  <c r="GXP64" i="1"/>
  <c r="GXQ64" i="1"/>
  <c r="GXR64" i="1"/>
  <c r="GXS64" i="1"/>
  <c r="GXT64" i="1"/>
  <c r="GXU64" i="1"/>
  <c r="GXV64" i="1"/>
  <c r="GXW64" i="1"/>
  <c r="GXX64" i="1"/>
  <c r="GXY64" i="1"/>
  <c r="GXZ64" i="1"/>
  <c r="GYA64" i="1"/>
  <c r="GYB64" i="1"/>
  <c r="GYC64" i="1"/>
  <c r="GYD64" i="1"/>
  <c r="GYE64" i="1"/>
  <c r="GYF64" i="1"/>
  <c r="GYG64" i="1"/>
  <c r="GYH64" i="1"/>
  <c r="GYI64" i="1"/>
  <c r="GYJ64" i="1"/>
  <c r="GYK64" i="1"/>
  <c r="GYL64" i="1"/>
  <c r="GYM64" i="1"/>
  <c r="GYN64" i="1"/>
  <c r="GYO64" i="1"/>
  <c r="GYP64" i="1"/>
  <c r="GYQ64" i="1"/>
  <c r="GYR64" i="1"/>
  <c r="GYS64" i="1"/>
  <c r="GYT64" i="1"/>
  <c r="GYU64" i="1"/>
  <c r="GYV64" i="1"/>
  <c r="GYW64" i="1"/>
  <c r="GYX64" i="1"/>
  <c r="GYY64" i="1"/>
  <c r="GYZ64" i="1"/>
  <c r="GZA64" i="1"/>
  <c r="GZB64" i="1"/>
  <c r="GZC64" i="1"/>
  <c r="GZD64" i="1"/>
  <c r="GZE64" i="1"/>
  <c r="GZF64" i="1"/>
  <c r="GZG64" i="1"/>
  <c r="GZH64" i="1"/>
  <c r="GZI64" i="1"/>
  <c r="GZJ64" i="1"/>
  <c r="GZK64" i="1"/>
  <c r="GZL64" i="1"/>
  <c r="GZM64" i="1"/>
  <c r="GZN64" i="1"/>
  <c r="GZO64" i="1"/>
  <c r="GZP64" i="1"/>
  <c r="GZQ64" i="1"/>
  <c r="GZR64" i="1"/>
  <c r="GZS64" i="1"/>
  <c r="GZT64" i="1"/>
  <c r="GZU64" i="1"/>
  <c r="GZV64" i="1"/>
  <c r="GZW64" i="1"/>
  <c r="GZX64" i="1"/>
  <c r="GZY64" i="1"/>
  <c r="GZZ64" i="1"/>
  <c r="HAA64" i="1"/>
  <c r="HAB64" i="1"/>
  <c r="HAC64" i="1"/>
  <c r="HAD64" i="1"/>
  <c r="HAE64" i="1"/>
  <c r="HAF64" i="1"/>
  <c r="HAG64" i="1"/>
  <c r="HAH64" i="1"/>
  <c r="HAI64" i="1"/>
  <c r="HAJ64" i="1"/>
  <c r="HAK64" i="1"/>
  <c r="HAL64" i="1"/>
  <c r="HAM64" i="1"/>
  <c r="HAN64" i="1"/>
  <c r="HAO64" i="1"/>
  <c r="HAP64" i="1"/>
  <c r="HAQ64" i="1"/>
  <c r="HAR64" i="1"/>
  <c r="HAS64" i="1"/>
  <c r="HAT64" i="1"/>
  <c r="HAU64" i="1"/>
  <c r="HAV64" i="1"/>
  <c r="HAW64" i="1"/>
  <c r="HAX64" i="1"/>
  <c r="HAY64" i="1"/>
  <c r="HAZ64" i="1"/>
  <c r="HBA64" i="1"/>
  <c r="HBB64" i="1"/>
  <c r="HBC64" i="1"/>
  <c r="HBD64" i="1"/>
  <c r="HBE64" i="1"/>
  <c r="HBF64" i="1"/>
  <c r="HBG64" i="1"/>
  <c r="HBH64" i="1"/>
  <c r="HBI64" i="1"/>
  <c r="HBJ64" i="1"/>
  <c r="HBK64" i="1"/>
  <c r="HBL64" i="1"/>
  <c r="HBM64" i="1"/>
  <c r="HBN64" i="1"/>
  <c r="HBO64" i="1"/>
  <c r="HBP64" i="1"/>
  <c r="HBQ64" i="1"/>
  <c r="HBR64" i="1"/>
  <c r="HBS64" i="1"/>
  <c r="HBT64" i="1"/>
  <c r="HBU64" i="1"/>
  <c r="HBV64" i="1"/>
  <c r="HBW64" i="1"/>
  <c r="HBX64" i="1"/>
  <c r="HBY64" i="1"/>
  <c r="HBZ64" i="1"/>
  <c r="HCA64" i="1"/>
  <c r="HCB64" i="1"/>
  <c r="HCC64" i="1"/>
  <c r="HCD64" i="1"/>
  <c r="HCE64" i="1"/>
  <c r="HCF64" i="1"/>
  <c r="HCG64" i="1"/>
  <c r="HCH64" i="1"/>
  <c r="HCI64" i="1"/>
  <c r="HCJ64" i="1"/>
  <c r="HCK64" i="1"/>
  <c r="HCL64" i="1"/>
  <c r="HCM64" i="1"/>
  <c r="HCN64" i="1"/>
  <c r="HCO64" i="1"/>
  <c r="HCP64" i="1"/>
  <c r="HCQ64" i="1"/>
  <c r="HCR64" i="1"/>
  <c r="HCS64" i="1"/>
  <c r="HCT64" i="1"/>
  <c r="HCU64" i="1"/>
  <c r="HCV64" i="1"/>
  <c r="HCW64" i="1"/>
  <c r="HCX64" i="1"/>
  <c r="HCY64" i="1"/>
  <c r="HCZ64" i="1"/>
  <c r="HDA64" i="1"/>
  <c r="HDB64" i="1"/>
  <c r="HDC64" i="1"/>
  <c r="HDD64" i="1"/>
  <c r="HDE64" i="1"/>
  <c r="HDF64" i="1"/>
  <c r="HDG64" i="1"/>
  <c r="HDH64" i="1"/>
  <c r="HDI64" i="1"/>
  <c r="HDJ64" i="1"/>
  <c r="HDK64" i="1"/>
  <c r="HDL64" i="1"/>
  <c r="HDM64" i="1"/>
  <c r="HDN64" i="1"/>
  <c r="HDO64" i="1"/>
  <c r="HDP64" i="1"/>
  <c r="HDQ64" i="1"/>
  <c r="HDR64" i="1"/>
  <c r="HDS64" i="1"/>
  <c r="HDT64" i="1"/>
  <c r="HDU64" i="1"/>
  <c r="HDV64" i="1"/>
  <c r="HDW64" i="1"/>
  <c r="HDX64" i="1"/>
  <c r="HDY64" i="1"/>
  <c r="HDZ64" i="1"/>
  <c r="HEA64" i="1"/>
  <c r="HEB64" i="1"/>
  <c r="HEC64" i="1"/>
  <c r="HED64" i="1"/>
  <c r="HEE64" i="1"/>
  <c r="HEF64" i="1"/>
  <c r="HEG64" i="1"/>
  <c r="HEH64" i="1"/>
  <c r="HEI64" i="1"/>
  <c r="HEJ64" i="1"/>
  <c r="HEK64" i="1"/>
  <c r="HEL64" i="1"/>
  <c r="HEM64" i="1"/>
  <c r="HEN64" i="1"/>
  <c r="HEO64" i="1"/>
  <c r="HEP64" i="1"/>
  <c r="HEQ64" i="1"/>
  <c r="HER64" i="1"/>
  <c r="HES64" i="1"/>
  <c r="HET64" i="1"/>
  <c r="HEU64" i="1"/>
  <c r="HEV64" i="1"/>
  <c r="HEW64" i="1"/>
  <c r="HEX64" i="1"/>
  <c r="HEY64" i="1"/>
  <c r="HEZ64" i="1"/>
  <c r="HFA64" i="1"/>
  <c r="HFB64" i="1"/>
  <c r="HFC64" i="1"/>
  <c r="HFD64" i="1"/>
  <c r="HFE64" i="1"/>
  <c r="HFF64" i="1"/>
  <c r="HFG64" i="1"/>
  <c r="HFH64" i="1"/>
  <c r="HFI64" i="1"/>
  <c r="HFJ64" i="1"/>
  <c r="HFK64" i="1"/>
  <c r="HFL64" i="1"/>
  <c r="HFM64" i="1"/>
  <c r="HFN64" i="1"/>
  <c r="HFO64" i="1"/>
  <c r="HFP64" i="1"/>
  <c r="HFQ64" i="1"/>
  <c r="HFR64" i="1"/>
  <c r="HFS64" i="1"/>
  <c r="HFT64" i="1"/>
  <c r="HFU64" i="1"/>
  <c r="HFV64" i="1"/>
  <c r="HFW64" i="1"/>
  <c r="HFX64" i="1"/>
  <c r="HFY64" i="1"/>
  <c r="HFZ64" i="1"/>
  <c r="HGA64" i="1"/>
  <c r="HGB64" i="1"/>
  <c r="HGC64" i="1"/>
  <c r="HGD64" i="1"/>
  <c r="HGE64" i="1"/>
  <c r="HGF64" i="1"/>
  <c r="HGG64" i="1"/>
  <c r="HGH64" i="1"/>
  <c r="HGI64" i="1"/>
  <c r="HGJ64" i="1"/>
  <c r="HGK64" i="1"/>
  <c r="HGL64" i="1"/>
  <c r="HGM64" i="1"/>
  <c r="HGN64" i="1"/>
  <c r="HGO64" i="1"/>
  <c r="HGP64" i="1"/>
  <c r="HGQ64" i="1"/>
  <c r="HGR64" i="1"/>
  <c r="HGS64" i="1"/>
  <c r="HGT64" i="1"/>
  <c r="HGU64" i="1"/>
  <c r="HGV64" i="1"/>
  <c r="HGW64" i="1"/>
  <c r="HGX64" i="1"/>
  <c r="HGY64" i="1"/>
  <c r="HGZ64" i="1"/>
  <c r="HHA64" i="1"/>
  <c r="HHB64" i="1"/>
  <c r="HHC64" i="1"/>
  <c r="HHD64" i="1"/>
  <c r="HHE64" i="1"/>
  <c r="HHF64" i="1"/>
  <c r="HHG64" i="1"/>
  <c r="HHH64" i="1"/>
  <c r="HHI64" i="1"/>
  <c r="HHJ64" i="1"/>
  <c r="HHK64" i="1"/>
  <c r="HHL64" i="1"/>
  <c r="HHM64" i="1"/>
  <c r="HHN64" i="1"/>
  <c r="HHO64" i="1"/>
  <c r="HHP64" i="1"/>
  <c r="HHQ64" i="1"/>
  <c r="HHR64" i="1"/>
  <c r="HHS64" i="1"/>
  <c r="HHT64" i="1"/>
  <c r="HHU64" i="1"/>
  <c r="HHV64" i="1"/>
  <c r="HHW64" i="1"/>
  <c r="HHX64" i="1"/>
  <c r="HHY64" i="1"/>
  <c r="HHZ64" i="1"/>
  <c r="HIA64" i="1"/>
  <c r="HIB64" i="1"/>
  <c r="HIC64" i="1"/>
  <c r="HID64" i="1"/>
  <c r="HIE64" i="1"/>
  <c r="HIF64" i="1"/>
  <c r="HIG64" i="1"/>
  <c r="HIH64" i="1"/>
  <c r="HII64" i="1"/>
  <c r="HIJ64" i="1"/>
  <c r="HIK64" i="1"/>
  <c r="HIL64" i="1"/>
  <c r="HIM64" i="1"/>
  <c r="HIN64" i="1"/>
  <c r="HIO64" i="1"/>
  <c r="HIP64" i="1"/>
  <c r="HIQ64" i="1"/>
  <c r="HIR64" i="1"/>
  <c r="HIS64" i="1"/>
  <c r="HIT64" i="1"/>
  <c r="HIU64" i="1"/>
  <c r="HIV64" i="1"/>
  <c r="HIW64" i="1"/>
  <c r="HIX64" i="1"/>
  <c r="HIY64" i="1"/>
  <c r="HIZ64" i="1"/>
  <c r="HJA64" i="1"/>
  <c r="HJB64" i="1"/>
  <c r="HJC64" i="1"/>
  <c r="HJD64" i="1"/>
  <c r="HJE64" i="1"/>
  <c r="HJF64" i="1"/>
  <c r="HJG64" i="1"/>
  <c r="HJH64" i="1"/>
  <c r="HJI64" i="1"/>
  <c r="HJJ64" i="1"/>
  <c r="HJK64" i="1"/>
  <c r="HJL64" i="1"/>
  <c r="HJM64" i="1"/>
  <c r="HJN64" i="1"/>
  <c r="HJO64" i="1"/>
  <c r="HJP64" i="1"/>
  <c r="HJQ64" i="1"/>
  <c r="HJR64" i="1"/>
  <c r="HJS64" i="1"/>
  <c r="HJT64" i="1"/>
  <c r="HJU64" i="1"/>
  <c r="HJV64" i="1"/>
  <c r="HJW64" i="1"/>
  <c r="HJX64" i="1"/>
  <c r="HJY64" i="1"/>
  <c r="HJZ64" i="1"/>
  <c r="HKA64" i="1"/>
  <c r="HKB64" i="1"/>
  <c r="HKC64" i="1"/>
  <c r="HKD64" i="1"/>
  <c r="HKE64" i="1"/>
  <c r="HKF64" i="1"/>
  <c r="HKG64" i="1"/>
  <c r="HKH64" i="1"/>
  <c r="HKI64" i="1"/>
  <c r="HKJ64" i="1"/>
  <c r="HKK64" i="1"/>
  <c r="HKL64" i="1"/>
  <c r="HKM64" i="1"/>
  <c r="HKN64" i="1"/>
  <c r="HKO64" i="1"/>
  <c r="HKP64" i="1"/>
  <c r="HKQ64" i="1"/>
  <c r="HKR64" i="1"/>
  <c r="HKS64" i="1"/>
  <c r="HKT64" i="1"/>
  <c r="HKU64" i="1"/>
  <c r="HKV64" i="1"/>
  <c r="HKW64" i="1"/>
  <c r="HKX64" i="1"/>
  <c r="HKY64" i="1"/>
  <c r="HKZ64" i="1"/>
  <c r="HLA64" i="1"/>
  <c r="HLB64" i="1"/>
  <c r="HLC64" i="1"/>
  <c r="HLD64" i="1"/>
  <c r="HLE64" i="1"/>
  <c r="HLF64" i="1"/>
  <c r="HLG64" i="1"/>
  <c r="HLH64" i="1"/>
  <c r="HLI64" i="1"/>
  <c r="HLJ64" i="1"/>
  <c r="HLK64" i="1"/>
  <c r="HLL64" i="1"/>
  <c r="HLM64" i="1"/>
  <c r="HLN64" i="1"/>
  <c r="HLO64" i="1"/>
  <c r="HLP64" i="1"/>
  <c r="HLQ64" i="1"/>
  <c r="HLR64" i="1"/>
  <c r="HLS64" i="1"/>
  <c r="HLT64" i="1"/>
  <c r="HLU64" i="1"/>
  <c r="HLV64" i="1"/>
  <c r="HLW64" i="1"/>
  <c r="HLX64" i="1"/>
  <c r="HLY64" i="1"/>
  <c r="HLZ64" i="1"/>
  <c r="HMA64" i="1"/>
  <c r="HMB64" i="1"/>
  <c r="HMC64" i="1"/>
  <c r="HMD64" i="1"/>
  <c r="HME64" i="1"/>
  <c r="HMF64" i="1"/>
  <c r="HMG64" i="1"/>
  <c r="HMH64" i="1"/>
  <c r="HMI64" i="1"/>
  <c r="HMJ64" i="1"/>
  <c r="HMK64" i="1"/>
  <c r="HML64" i="1"/>
  <c r="HMM64" i="1"/>
  <c r="HMN64" i="1"/>
  <c r="HMO64" i="1"/>
  <c r="HMP64" i="1"/>
  <c r="HMQ64" i="1"/>
  <c r="HMR64" i="1"/>
  <c r="HMS64" i="1"/>
  <c r="HMT64" i="1"/>
  <c r="HMU64" i="1"/>
  <c r="HMV64" i="1"/>
  <c r="HMW64" i="1"/>
  <c r="HMX64" i="1"/>
  <c r="HMY64" i="1"/>
  <c r="HMZ64" i="1"/>
  <c r="HNA64" i="1"/>
  <c r="HNB64" i="1"/>
  <c r="HNC64" i="1"/>
  <c r="HND64" i="1"/>
  <c r="HNE64" i="1"/>
  <c r="HNF64" i="1"/>
  <c r="HNG64" i="1"/>
  <c r="HNH64" i="1"/>
  <c r="HNI64" i="1"/>
  <c r="HNJ64" i="1"/>
  <c r="HNK64" i="1"/>
  <c r="HNL64" i="1"/>
  <c r="HNM64" i="1"/>
  <c r="HNN64" i="1"/>
  <c r="HNO64" i="1"/>
  <c r="HNP64" i="1"/>
  <c r="HNQ64" i="1"/>
  <c r="HNR64" i="1"/>
  <c r="HNS64" i="1"/>
  <c r="HNT64" i="1"/>
  <c r="HNU64" i="1"/>
  <c r="HNV64" i="1"/>
  <c r="HNW64" i="1"/>
  <c r="HNX64" i="1"/>
  <c r="HNY64" i="1"/>
  <c r="HNZ64" i="1"/>
  <c r="HOA64" i="1"/>
  <c r="HOB64" i="1"/>
  <c r="HOC64" i="1"/>
  <c r="HOD64" i="1"/>
  <c r="HOE64" i="1"/>
  <c r="HOF64" i="1"/>
  <c r="HOG64" i="1"/>
  <c r="HOH64" i="1"/>
  <c r="HOI64" i="1"/>
  <c r="HOJ64" i="1"/>
  <c r="HOK64" i="1"/>
  <c r="HOL64" i="1"/>
  <c r="HOM64" i="1"/>
  <c r="HON64" i="1"/>
  <c r="HOO64" i="1"/>
  <c r="HOP64" i="1"/>
  <c r="HOQ64" i="1"/>
  <c r="HOR64" i="1"/>
  <c r="HOS64" i="1"/>
  <c r="HOT64" i="1"/>
  <c r="HOU64" i="1"/>
  <c r="HOV64" i="1"/>
  <c r="HOW64" i="1"/>
  <c r="HOX64" i="1"/>
  <c r="HOY64" i="1"/>
  <c r="HOZ64" i="1"/>
  <c r="HPA64" i="1"/>
  <c r="HPB64" i="1"/>
  <c r="HPC64" i="1"/>
  <c r="HPD64" i="1"/>
  <c r="HPE64" i="1"/>
  <c r="HPF64" i="1"/>
  <c r="HPG64" i="1"/>
  <c r="HPH64" i="1"/>
  <c r="HPI64" i="1"/>
  <c r="HPJ64" i="1"/>
  <c r="HPK64" i="1"/>
  <c r="HPL64" i="1"/>
  <c r="HPM64" i="1"/>
  <c r="HPN64" i="1"/>
  <c r="HPO64" i="1"/>
  <c r="HPP64" i="1"/>
  <c r="HPQ64" i="1"/>
  <c r="HPR64" i="1"/>
  <c r="HPS64" i="1"/>
  <c r="HPT64" i="1"/>
  <c r="HPU64" i="1"/>
  <c r="HPV64" i="1"/>
  <c r="HPW64" i="1"/>
  <c r="HPX64" i="1"/>
  <c r="HPY64" i="1"/>
  <c r="HPZ64" i="1"/>
  <c r="HQA64" i="1"/>
  <c r="HQB64" i="1"/>
  <c r="HQC64" i="1"/>
  <c r="HQD64" i="1"/>
  <c r="HQE64" i="1"/>
  <c r="HQF64" i="1"/>
  <c r="HQG64" i="1"/>
  <c r="HQH64" i="1"/>
  <c r="HQI64" i="1"/>
  <c r="HQJ64" i="1"/>
  <c r="HQK64" i="1"/>
  <c r="HQL64" i="1"/>
  <c r="HQM64" i="1"/>
  <c r="HQN64" i="1"/>
  <c r="HQO64" i="1"/>
  <c r="HQP64" i="1"/>
  <c r="HQQ64" i="1"/>
  <c r="HQR64" i="1"/>
  <c r="HQS64" i="1"/>
  <c r="HQT64" i="1"/>
  <c r="HQU64" i="1"/>
  <c r="HQV64" i="1"/>
  <c r="HQW64" i="1"/>
  <c r="HQX64" i="1"/>
  <c r="HQY64" i="1"/>
  <c r="HQZ64" i="1"/>
  <c r="HRA64" i="1"/>
  <c r="HRB64" i="1"/>
  <c r="HRC64" i="1"/>
  <c r="HRD64" i="1"/>
  <c r="HRE64" i="1"/>
  <c r="HRF64" i="1"/>
  <c r="HRG64" i="1"/>
  <c r="HRH64" i="1"/>
  <c r="HRI64" i="1"/>
  <c r="HRJ64" i="1"/>
  <c r="HRK64" i="1"/>
  <c r="HRL64" i="1"/>
  <c r="HRM64" i="1"/>
  <c r="HRN64" i="1"/>
  <c r="HRO64" i="1"/>
  <c r="HRP64" i="1"/>
  <c r="HRQ64" i="1"/>
  <c r="HRR64" i="1"/>
  <c r="HRS64" i="1"/>
  <c r="HRT64" i="1"/>
  <c r="HRU64" i="1"/>
  <c r="HRV64" i="1"/>
  <c r="HRW64" i="1"/>
  <c r="HRX64" i="1"/>
  <c r="HRY64" i="1"/>
  <c r="HRZ64" i="1"/>
  <c r="HSA64" i="1"/>
  <c r="HSB64" i="1"/>
  <c r="HSC64" i="1"/>
  <c r="HSD64" i="1"/>
  <c r="HSE64" i="1"/>
  <c r="HSF64" i="1"/>
  <c r="HSG64" i="1"/>
  <c r="HSH64" i="1"/>
  <c r="HSI64" i="1"/>
  <c r="HSJ64" i="1"/>
  <c r="HSK64" i="1"/>
  <c r="HSL64" i="1"/>
  <c r="HSM64" i="1"/>
  <c r="HSN64" i="1"/>
  <c r="HSO64" i="1"/>
  <c r="HSP64" i="1"/>
  <c r="HSQ64" i="1"/>
  <c r="HSR64" i="1"/>
  <c r="HSS64" i="1"/>
  <c r="HST64" i="1"/>
  <c r="HSU64" i="1"/>
  <c r="HSV64" i="1"/>
  <c r="HSW64" i="1"/>
  <c r="HSX64" i="1"/>
  <c r="HSY64" i="1"/>
  <c r="HSZ64" i="1"/>
  <c r="HTA64" i="1"/>
  <c r="HTB64" i="1"/>
  <c r="HTC64" i="1"/>
  <c r="HTD64" i="1"/>
  <c r="HTE64" i="1"/>
  <c r="HTF64" i="1"/>
  <c r="HTG64" i="1"/>
  <c r="HTH64" i="1"/>
  <c r="HTI64" i="1"/>
  <c r="HTJ64" i="1"/>
  <c r="HTK64" i="1"/>
  <c r="HTL64" i="1"/>
  <c r="HTM64" i="1"/>
  <c r="HTN64" i="1"/>
  <c r="HTO64" i="1"/>
  <c r="HTP64" i="1"/>
  <c r="HTQ64" i="1"/>
  <c r="HTR64" i="1"/>
  <c r="HTS64" i="1"/>
  <c r="HTT64" i="1"/>
  <c r="HTU64" i="1"/>
  <c r="HTV64" i="1"/>
  <c r="HTW64" i="1"/>
  <c r="HTX64" i="1"/>
  <c r="HTY64" i="1"/>
  <c r="HTZ64" i="1"/>
  <c r="HUA64" i="1"/>
  <c r="HUB64" i="1"/>
  <c r="HUC64" i="1"/>
  <c r="HUD64" i="1"/>
  <c r="HUE64" i="1"/>
  <c r="HUF64" i="1"/>
  <c r="HUG64" i="1"/>
  <c r="HUH64" i="1"/>
  <c r="HUI64" i="1"/>
  <c r="HUJ64" i="1"/>
  <c r="HUK64" i="1"/>
  <c r="HUL64" i="1"/>
  <c r="HUM64" i="1"/>
  <c r="HUN64" i="1"/>
  <c r="HUO64" i="1"/>
  <c r="HUP64" i="1"/>
  <c r="HUQ64" i="1"/>
  <c r="HUR64" i="1"/>
  <c r="HUS64" i="1"/>
  <c r="HUT64" i="1"/>
  <c r="HUU64" i="1"/>
  <c r="HUV64" i="1"/>
  <c r="HUW64" i="1"/>
  <c r="HUX64" i="1"/>
  <c r="HUY64" i="1"/>
  <c r="HUZ64" i="1"/>
  <c r="HVA64" i="1"/>
  <c r="HVB64" i="1"/>
  <c r="HVC64" i="1"/>
  <c r="HVD64" i="1"/>
  <c r="HVE64" i="1"/>
  <c r="HVF64" i="1"/>
  <c r="HVG64" i="1"/>
  <c r="HVH64" i="1"/>
  <c r="HVI64" i="1"/>
  <c r="HVJ64" i="1"/>
  <c r="HVK64" i="1"/>
  <c r="HVL64" i="1"/>
  <c r="HVM64" i="1"/>
  <c r="HVN64" i="1"/>
  <c r="HVO64" i="1"/>
  <c r="HVP64" i="1"/>
  <c r="HVQ64" i="1"/>
  <c r="HVR64" i="1"/>
  <c r="HVS64" i="1"/>
  <c r="HVT64" i="1"/>
  <c r="HVU64" i="1"/>
  <c r="HVV64" i="1"/>
  <c r="HVW64" i="1"/>
  <c r="HVX64" i="1"/>
  <c r="HVY64" i="1"/>
  <c r="HVZ64" i="1"/>
  <c r="HWA64" i="1"/>
  <c r="HWB64" i="1"/>
  <c r="HWC64" i="1"/>
  <c r="HWD64" i="1"/>
  <c r="HWE64" i="1"/>
  <c r="HWF64" i="1"/>
  <c r="HWG64" i="1"/>
  <c r="HWH64" i="1"/>
  <c r="HWI64" i="1"/>
  <c r="HWJ64" i="1"/>
  <c r="HWK64" i="1"/>
  <c r="HWL64" i="1"/>
  <c r="HWM64" i="1"/>
  <c r="HWN64" i="1"/>
  <c r="HWO64" i="1"/>
  <c r="HWP64" i="1"/>
  <c r="HWQ64" i="1"/>
  <c r="HWR64" i="1"/>
  <c r="HWS64" i="1"/>
  <c r="HWT64" i="1"/>
  <c r="HWU64" i="1"/>
  <c r="HWV64" i="1"/>
  <c r="HWW64" i="1"/>
  <c r="HWX64" i="1"/>
  <c r="HWY64" i="1"/>
  <c r="HWZ64" i="1"/>
  <c r="HXA64" i="1"/>
  <c r="HXB64" i="1"/>
  <c r="HXC64" i="1"/>
  <c r="HXD64" i="1"/>
  <c r="HXE64" i="1"/>
  <c r="HXF64" i="1"/>
  <c r="HXG64" i="1"/>
  <c r="HXH64" i="1"/>
  <c r="HXI64" i="1"/>
  <c r="HXJ64" i="1"/>
  <c r="HXK64" i="1"/>
  <c r="HXL64" i="1"/>
  <c r="HXM64" i="1"/>
  <c r="HXN64" i="1"/>
  <c r="HXO64" i="1"/>
  <c r="HXP64" i="1"/>
  <c r="HXQ64" i="1"/>
  <c r="HXR64" i="1"/>
  <c r="HXS64" i="1"/>
  <c r="HXT64" i="1"/>
  <c r="HXU64" i="1"/>
  <c r="HXV64" i="1"/>
  <c r="HXW64" i="1"/>
  <c r="HXX64" i="1"/>
  <c r="HXY64" i="1"/>
  <c r="HXZ64" i="1"/>
  <c r="HYA64" i="1"/>
  <c r="HYB64" i="1"/>
  <c r="HYC64" i="1"/>
  <c r="HYD64" i="1"/>
  <c r="HYE64" i="1"/>
  <c r="HYF64" i="1"/>
  <c r="HYG64" i="1"/>
  <c r="HYH64" i="1"/>
  <c r="HYI64" i="1"/>
  <c r="HYJ64" i="1"/>
  <c r="HYK64" i="1"/>
  <c r="HYL64" i="1"/>
  <c r="HYM64" i="1"/>
  <c r="HYN64" i="1"/>
  <c r="HYO64" i="1"/>
  <c r="HYP64" i="1"/>
  <c r="HYQ64" i="1"/>
  <c r="HYR64" i="1"/>
  <c r="HYS64" i="1"/>
  <c r="HYT64" i="1"/>
  <c r="HYU64" i="1"/>
  <c r="HYV64" i="1"/>
  <c r="HYW64" i="1"/>
  <c r="HYX64" i="1"/>
  <c r="HYY64" i="1"/>
  <c r="HYZ64" i="1"/>
  <c r="HZA64" i="1"/>
  <c r="HZB64" i="1"/>
  <c r="HZC64" i="1"/>
  <c r="HZD64" i="1"/>
  <c r="HZE64" i="1"/>
  <c r="HZF64" i="1"/>
  <c r="HZG64" i="1"/>
  <c r="HZH64" i="1"/>
  <c r="HZI64" i="1"/>
  <c r="HZJ64" i="1"/>
  <c r="HZK64" i="1"/>
  <c r="HZL64" i="1"/>
  <c r="HZM64" i="1"/>
  <c r="HZN64" i="1"/>
  <c r="HZO64" i="1"/>
  <c r="HZP64" i="1"/>
  <c r="HZQ64" i="1"/>
  <c r="HZR64" i="1"/>
  <c r="HZS64" i="1"/>
  <c r="HZT64" i="1"/>
  <c r="HZU64" i="1"/>
  <c r="HZV64" i="1"/>
  <c r="HZW64" i="1"/>
  <c r="HZX64" i="1"/>
  <c r="HZY64" i="1"/>
  <c r="HZZ64" i="1"/>
  <c r="IAA64" i="1"/>
  <c r="IAB64" i="1"/>
  <c r="IAC64" i="1"/>
  <c r="IAD64" i="1"/>
  <c r="IAE64" i="1"/>
  <c r="IAF64" i="1"/>
  <c r="IAG64" i="1"/>
  <c r="IAH64" i="1"/>
  <c r="IAI64" i="1"/>
  <c r="IAJ64" i="1"/>
  <c r="IAK64" i="1"/>
  <c r="IAL64" i="1"/>
  <c r="IAM64" i="1"/>
  <c r="IAN64" i="1"/>
  <c r="IAO64" i="1"/>
  <c r="IAP64" i="1"/>
  <c r="IAQ64" i="1"/>
  <c r="IAR64" i="1"/>
  <c r="IAS64" i="1"/>
  <c r="IAT64" i="1"/>
  <c r="IAU64" i="1"/>
  <c r="IAV64" i="1"/>
  <c r="IAW64" i="1"/>
  <c r="IAX64" i="1"/>
  <c r="IAY64" i="1"/>
  <c r="IAZ64" i="1"/>
  <c r="IBA64" i="1"/>
  <c r="IBB64" i="1"/>
  <c r="IBC64" i="1"/>
  <c r="IBD64" i="1"/>
  <c r="IBE64" i="1"/>
  <c r="IBF64" i="1"/>
  <c r="IBG64" i="1"/>
  <c r="IBH64" i="1"/>
  <c r="IBI64" i="1"/>
  <c r="IBJ64" i="1"/>
  <c r="IBK64" i="1"/>
  <c r="IBL64" i="1"/>
  <c r="IBM64" i="1"/>
  <c r="IBN64" i="1"/>
  <c r="IBO64" i="1"/>
  <c r="IBP64" i="1"/>
  <c r="IBQ64" i="1"/>
  <c r="IBR64" i="1"/>
  <c r="IBS64" i="1"/>
  <c r="IBT64" i="1"/>
  <c r="IBU64" i="1"/>
  <c r="IBV64" i="1"/>
  <c r="IBW64" i="1"/>
  <c r="IBX64" i="1"/>
  <c r="IBY64" i="1"/>
  <c r="IBZ64" i="1"/>
  <c r="ICA64" i="1"/>
  <c r="ICB64" i="1"/>
  <c r="ICC64" i="1"/>
  <c r="ICD64" i="1"/>
  <c r="ICE64" i="1"/>
  <c r="ICF64" i="1"/>
  <c r="ICG64" i="1"/>
  <c r="ICH64" i="1"/>
  <c r="ICI64" i="1"/>
  <c r="ICJ64" i="1"/>
  <c r="ICK64" i="1"/>
  <c r="ICL64" i="1"/>
  <c r="ICM64" i="1"/>
  <c r="ICN64" i="1"/>
  <c r="ICO64" i="1"/>
  <c r="ICP64" i="1"/>
  <c r="ICQ64" i="1"/>
  <c r="ICR64" i="1"/>
  <c r="ICS64" i="1"/>
  <c r="ICT64" i="1"/>
  <c r="ICU64" i="1"/>
  <c r="ICV64" i="1"/>
  <c r="ICW64" i="1"/>
  <c r="ICX64" i="1"/>
  <c r="ICY64" i="1"/>
  <c r="ICZ64" i="1"/>
  <c r="IDA64" i="1"/>
  <c r="IDB64" i="1"/>
  <c r="IDC64" i="1"/>
  <c r="IDD64" i="1"/>
  <c r="IDE64" i="1"/>
  <c r="IDF64" i="1"/>
  <c r="IDG64" i="1"/>
  <c r="IDH64" i="1"/>
  <c r="IDI64" i="1"/>
  <c r="IDJ64" i="1"/>
  <c r="IDK64" i="1"/>
  <c r="IDL64" i="1"/>
  <c r="IDM64" i="1"/>
  <c r="IDN64" i="1"/>
  <c r="IDO64" i="1"/>
  <c r="IDP64" i="1"/>
  <c r="IDQ64" i="1"/>
  <c r="IDR64" i="1"/>
  <c r="IDS64" i="1"/>
  <c r="IDT64" i="1"/>
  <c r="IDU64" i="1"/>
  <c r="IDV64" i="1"/>
  <c r="IDW64" i="1"/>
  <c r="IDX64" i="1"/>
  <c r="IDY64" i="1"/>
  <c r="IDZ64" i="1"/>
  <c r="IEA64" i="1"/>
  <c r="IEB64" i="1"/>
  <c r="IEC64" i="1"/>
  <c r="IED64" i="1"/>
  <c r="IEE64" i="1"/>
  <c r="IEF64" i="1"/>
  <c r="IEG64" i="1"/>
  <c r="IEH64" i="1"/>
  <c r="IEI64" i="1"/>
  <c r="IEJ64" i="1"/>
  <c r="IEK64" i="1"/>
  <c r="IEL64" i="1"/>
  <c r="IEM64" i="1"/>
  <c r="IEN64" i="1"/>
  <c r="IEO64" i="1"/>
  <c r="IEP64" i="1"/>
  <c r="IEQ64" i="1"/>
  <c r="IER64" i="1"/>
  <c r="IES64" i="1"/>
  <c r="IET64" i="1"/>
  <c r="IEU64" i="1"/>
  <c r="IEV64" i="1"/>
  <c r="IEW64" i="1"/>
  <c r="IEX64" i="1"/>
  <c r="IEY64" i="1"/>
  <c r="IEZ64" i="1"/>
  <c r="IFA64" i="1"/>
  <c r="IFB64" i="1"/>
  <c r="IFC64" i="1"/>
  <c r="IFD64" i="1"/>
  <c r="IFE64" i="1"/>
  <c r="IFF64" i="1"/>
  <c r="IFG64" i="1"/>
  <c r="IFH64" i="1"/>
  <c r="IFI64" i="1"/>
  <c r="IFJ64" i="1"/>
  <c r="IFK64" i="1"/>
  <c r="IFL64" i="1"/>
  <c r="IFM64" i="1"/>
  <c r="IFN64" i="1"/>
  <c r="IFO64" i="1"/>
  <c r="IFP64" i="1"/>
  <c r="IFQ64" i="1"/>
  <c r="IFR64" i="1"/>
  <c r="IFS64" i="1"/>
  <c r="IFT64" i="1"/>
  <c r="IFU64" i="1"/>
  <c r="IFV64" i="1"/>
  <c r="IFW64" i="1"/>
  <c r="IFX64" i="1"/>
  <c r="IFY64" i="1"/>
  <c r="IFZ64" i="1"/>
  <c r="IGA64" i="1"/>
  <c r="IGB64" i="1"/>
  <c r="IGC64" i="1"/>
  <c r="IGD64" i="1"/>
  <c r="IGE64" i="1"/>
  <c r="IGF64" i="1"/>
  <c r="IGG64" i="1"/>
  <c r="IGH64" i="1"/>
  <c r="IGI64" i="1"/>
  <c r="IGJ64" i="1"/>
  <c r="IGK64" i="1"/>
  <c r="IGL64" i="1"/>
  <c r="IGM64" i="1"/>
  <c r="IGN64" i="1"/>
  <c r="IGO64" i="1"/>
  <c r="IGP64" i="1"/>
  <c r="IGQ64" i="1"/>
  <c r="IGR64" i="1"/>
  <c r="IGS64" i="1"/>
  <c r="IGT64" i="1"/>
  <c r="IGU64" i="1"/>
  <c r="IGV64" i="1"/>
  <c r="IGW64" i="1"/>
  <c r="IGX64" i="1"/>
  <c r="IGY64" i="1"/>
  <c r="IGZ64" i="1"/>
  <c r="IHA64" i="1"/>
  <c r="IHB64" i="1"/>
  <c r="IHC64" i="1"/>
  <c r="IHD64" i="1"/>
  <c r="IHE64" i="1"/>
  <c r="IHF64" i="1"/>
  <c r="IHG64" i="1"/>
  <c r="IHH64" i="1"/>
  <c r="IHI64" i="1"/>
  <c r="IHJ64" i="1"/>
  <c r="IHK64" i="1"/>
  <c r="IHL64" i="1"/>
  <c r="IHM64" i="1"/>
  <c r="IHN64" i="1"/>
  <c r="IHO64" i="1"/>
  <c r="IHP64" i="1"/>
  <c r="IHQ64" i="1"/>
  <c r="IHR64" i="1"/>
  <c r="IHS64" i="1"/>
  <c r="IHT64" i="1"/>
  <c r="IHU64" i="1"/>
  <c r="IHV64" i="1"/>
  <c r="IHW64" i="1"/>
  <c r="IHX64" i="1"/>
  <c r="IHY64" i="1"/>
  <c r="IHZ64" i="1"/>
  <c r="IIA64" i="1"/>
  <c r="IIB64" i="1"/>
  <c r="IIC64" i="1"/>
  <c r="IID64" i="1"/>
  <c r="IIE64" i="1"/>
  <c r="IIF64" i="1"/>
  <c r="IIG64" i="1"/>
  <c r="IIH64" i="1"/>
  <c r="III64" i="1"/>
  <c r="IIJ64" i="1"/>
  <c r="IIK64" i="1"/>
  <c r="IIL64" i="1"/>
  <c r="IIM64" i="1"/>
  <c r="IIN64" i="1"/>
  <c r="IIO64" i="1"/>
  <c r="IIP64" i="1"/>
  <c r="IIQ64" i="1"/>
  <c r="IIR64" i="1"/>
  <c r="IIS64" i="1"/>
  <c r="IIT64" i="1"/>
  <c r="IIU64" i="1"/>
  <c r="IIV64" i="1"/>
  <c r="IIW64" i="1"/>
  <c r="IIX64" i="1"/>
  <c r="IIY64" i="1"/>
  <c r="IIZ64" i="1"/>
  <c r="IJA64" i="1"/>
  <c r="IJB64" i="1"/>
  <c r="IJC64" i="1"/>
  <c r="IJD64" i="1"/>
  <c r="IJE64" i="1"/>
  <c r="IJF64" i="1"/>
  <c r="IJG64" i="1"/>
  <c r="IJH64" i="1"/>
  <c r="IJI64" i="1"/>
  <c r="IJJ64" i="1"/>
  <c r="IJK64" i="1"/>
  <c r="IJL64" i="1"/>
  <c r="IJM64" i="1"/>
  <c r="IJN64" i="1"/>
  <c r="IJO64" i="1"/>
  <c r="IJP64" i="1"/>
  <c r="IJQ64" i="1"/>
  <c r="IJR64" i="1"/>
  <c r="IJS64" i="1"/>
  <c r="IJT64" i="1"/>
  <c r="IJU64" i="1"/>
  <c r="IJV64" i="1"/>
  <c r="IJW64" i="1"/>
  <c r="IJX64" i="1"/>
  <c r="IJY64" i="1"/>
  <c r="IJZ64" i="1"/>
  <c r="IKA64" i="1"/>
  <c r="IKB64" i="1"/>
  <c r="IKC64" i="1"/>
  <c r="IKD64" i="1"/>
  <c r="IKE64" i="1"/>
  <c r="IKF64" i="1"/>
  <c r="IKG64" i="1"/>
  <c r="IKH64" i="1"/>
  <c r="IKI64" i="1"/>
  <c r="IKJ64" i="1"/>
  <c r="IKK64" i="1"/>
  <c r="IKL64" i="1"/>
  <c r="IKM64" i="1"/>
  <c r="IKN64" i="1"/>
  <c r="IKO64" i="1"/>
  <c r="IKP64" i="1"/>
  <c r="IKQ64" i="1"/>
  <c r="IKR64" i="1"/>
  <c r="IKS64" i="1"/>
  <c r="IKT64" i="1"/>
  <c r="IKU64" i="1"/>
  <c r="IKV64" i="1"/>
  <c r="IKW64" i="1"/>
  <c r="IKX64" i="1"/>
  <c r="IKY64" i="1"/>
  <c r="IKZ64" i="1"/>
  <c r="ILA64" i="1"/>
  <c r="ILB64" i="1"/>
  <c r="ILC64" i="1"/>
  <c r="ILD64" i="1"/>
  <c r="ILE64" i="1"/>
  <c r="ILF64" i="1"/>
  <c r="ILG64" i="1"/>
  <c r="ILH64" i="1"/>
  <c r="ILI64" i="1"/>
  <c r="ILJ64" i="1"/>
  <c r="ILK64" i="1"/>
  <c r="ILL64" i="1"/>
  <c r="ILM64" i="1"/>
  <c r="ILN64" i="1"/>
  <c r="ILO64" i="1"/>
  <c r="ILP64" i="1"/>
  <c r="ILQ64" i="1"/>
  <c r="ILR64" i="1"/>
  <c r="ILS64" i="1"/>
  <c r="ILT64" i="1"/>
  <c r="ILU64" i="1"/>
  <c r="ILV64" i="1"/>
  <c r="ILW64" i="1"/>
  <c r="ILX64" i="1"/>
  <c r="ILY64" i="1"/>
  <c r="ILZ64" i="1"/>
  <c r="IMA64" i="1"/>
  <c r="IMB64" i="1"/>
  <c r="IMC64" i="1"/>
  <c r="IMD64" i="1"/>
  <c r="IME64" i="1"/>
  <c r="IMF64" i="1"/>
  <c r="IMG64" i="1"/>
  <c r="IMH64" i="1"/>
  <c r="IMI64" i="1"/>
  <c r="IMJ64" i="1"/>
  <c r="IMK64" i="1"/>
  <c r="IML64" i="1"/>
  <c r="IMM64" i="1"/>
  <c r="IMN64" i="1"/>
  <c r="IMO64" i="1"/>
  <c r="IMP64" i="1"/>
  <c r="IMQ64" i="1"/>
  <c r="IMR64" i="1"/>
  <c r="IMS64" i="1"/>
  <c r="IMT64" i="1"/>
  <c r="IMU64" i="1"/>
  <c r="IMV64" i="1"/>
  <c r="IMW64" i="1"/>
  <c r="IMX64" i="1"/>
  <c r="IMY64" i="1"/>
  <c r="IMZ64" i="1"/>
  <c r="INA64" i="1"/>
  <c r="INB64" i="1"/>
  <c r="INC64" i="1"/>
  <c r="IND64" i="1"/>
  <c r="INE64" i="1"/>
  <c r="INF64" i="1"/>
  <c r="ING64" i="1"/>
  <c r="INH64" i="1"/>
  <c r="INI64" i="1"/>
  <c r="INJ64" i="1"/>
  <c r="INK64" i="1"/>
  <c r="INL64" i="1"/>
  <c r="INM64" i="1"/>
  <c r="INN64" i="1"/>
  <c r="INO64" i="1"/>
  <c r="INP64" i="1"/>
  <c r="INQ64" i="1"/>
  <c r="INR64" i="1"/>
  <c r="INS64" i="1"/>
  <c r="INT64" i="1"/>
  <c r="INU64" i="1"/>
  <c r="INV64" i="1"/>
  <c r="INW64" i="1"/>
  <c r="INX64" i="1"/>
  <c r="INY64" i="1"/>
  <c r="INZ64" i="1"/>
  <c r="IOA64" i="1"/>
  <c r="IOB64" i="1"/>
  <c r="IOC64" i="1"/>
  <c r="IOD64" i="1"/>
  <c r="IOE64" i="1"/>
  <c r="IOF64" i="1"/>
  <c r="IOG64" i="1"/>
  <c r="IOH64" i="1"/>
  <c r="IOI64" i="1"/>
  <c r="IOJ64" i="1"/>
  <c r="IOK64" i="1"/>
  <c r="IOL64" i="1"/>
  <c r="IOM64" i="1"/>
  <c r="ION64" i="1"/>
  <c r="IOO64" i="1"/>
  <c r="IOP64" i="1"/>
  <c r="IOQ64" i="1"/>
  <c r="IOR64" i="1"/>
  <c r="IOS64" i="1"/>
  <c r="IOT64" i="1"/>
  <c r="IOU64" i="1"/>
  <c r="IOV64" i="1"/>
  <c r="IOW64" i="1"/>
  <c r="IOX64" i="1"/>
  <c r="IOY64" i="1"/>
  <c r="IOZ64" i="1"/>
  <c r="IPA64" i="1"/>
  <c r="IPB64" i="1"/>
  <c r="IPC64" i="1"/>
  <c r="IPD64" i="1"/>
  <c r="IPE64" i="1"/>
  <c r="IPF64" i="1"/>
  <c r="IPG64" i="1"/>
  <c r="IPH64" i="1"/>
  <c r="IPI64" i="1"/>
  <c r="IPJ64" i="1"/>
  <c r="IPK64" i="1"/>
  <c r="IPL64" i="1"/>
  <c r="IPM64" i="1"/>
  <c r="IPN64" i="1"/>
  <c r="IPO64" i="1"/>
  <c r="IPP64" i="1"/>
  <c r="IPQ64" i="1"/>
  <c r="IPR64" i="1"/>
  <c r="IPS64" i="1"/>
  <c r="IPT64" i="1"/>
  <c r="IPU64" i="1"/>
  <c r="IPV64" i="1"/>
  <c r="IPW64" i="1"/>
  <c r="IPX64" i="1"/>
  <c r="IPY64" i="1"/>
  <c r="IPZ64" i="1"/>
  <c r="IQA64" i="1"/>
  <c r="IQB64" i="1"/>
  <c r="IQC64" i="1"/>
  <c r="IQD64" i="1"/>
  <c r="IQE64" i="1"/>
  <c r="IQF64" i="1"/>
  <c r="IQG64" i="1"/>
  <c r="IQH64" i="1"/>
  <c r="IQI64" i="1"/>
  <c r="IQJ64" i="1"/>
  <c r="IQK64" i="1"/>
  <c r="IQL64" i="1"/>
  <c r="IQM64" i="1"/>
  <c r="IQN64" i="1"/>
  <c r="IQO64" i="1"/>
  <c r="IQP64" i="1"/>
  <c r="IQQ64" i="1"/>
  <c r="IQR64" i="1"/>
  <c r="IQS64" i="1"/>
  <c r="IQT64" i="1"/>
  <c r="IQU64" i="1"/>
  <c r="IQV64" i="1"/>
  <c r="IQW64" i="1"/>
  <c r="IQX64" i="1"/>
  <c r="IQY64" i="1"/>
  <c r="IQZ64" i="1"/>
  <c r="IRA64" i="1"/>
  <c r="IRB64" i="1"/>
  <c r="IRC64" i="1"/>
  <c r="IRD64" i="1"/>
  <c r="IRE64" i="1"/>
  <c r="IRF64" i="1"/>
  <c r="IRG64" i="1"/>
  <c r="IRH64" i="1"/>
  <c r="IRI64" i="1"/>
  <c r="IRJ64" i="1"/>
  <c r="IRK64" i="1"/>
  <c r="IRL64" i="1"/>
  <c r="IRM64" i="1"/>
  <c r="IRN64" i="1"/>
  <c r="IRO64" i="1"/>
  <c r="IRP64" i="1"/>
  <c r="IRQ64" i="1"/>
  <c r="IRR64" i="1"/>
  <c r="IRS64" i="1"/>
  <c r="IRT64" i="1"/>
  <c r="IRU64" i="1"/>
  <c r="IRV64" i="1"/>
  <c r="IRW64" i="1"/>
  <c r="IRX64" i="1"/>
  <c r="IRY64" i="1"/>
  <c r="IRZ64" i="1"/>
  <c r="ISA64" i="1"/>
  <c r="ISB64" i="1"/>
  <c r="ISC64" i="1"/>
  <c r="ISD64" i="1"/>
  <c r="ISE64" i="1"/>
  <c r="ISF64" i="1"/>
  <c r="ISG64" i="1"/>
  <c r="ISH64" i="1"/>
  <c r="ISI64" i="1"/>
  <c r="ISJ64" i="1"/>
  <c r="ISK64" i="1"/>
  <c r="ISL64" i="1"/>
  <c r="ISM64" i="1"/>
  <c r="ISN64" i="1"/>
  <c r="ISO64" i="1"/>
  <c r="ISP64" i="1"/>
  <c r="ISQ64" i="1"/>
  <c r="ISR64" i="1"/>
  <c r="ISS64" i="1"/>
  <c r="IST64" i="1"/>
  <c r="ISU64" i="1"/>
  <c r="ISV64" i="1"/>
  <c r="ISW64" i="1"/>
  <c r="ISX64" i="1"/>
  <c r="ISY64" i="1"/>
  <c r="ISZ64" i="1"/>
  <c r="ITA64" i="1"/>
  <c r="ITB64" i="1"/>
  <c r="ITC64" i="1"/>
  <c r="ITD64" i="1"/>
  <c r="ITE64" i="1"/>
  <c r="ITF64" i="1"/>
  <c r="ITG64" i="1"/>
  <c r="ITH64" i="1"/>
  <c r="ITI64" i="1"/>
  <c r="ITJ64" i="1"/>
  <c r="ITK64" i="1"/>
  <c r="ITL64" i="1"/>
  <c r="ITM64" i="1"/>
  <c r="ITN64" i="1"/>
  <c r="ITO64" i="1"/>
  <c r="ITP64" i="1"/>
  <c r="ITQ64" i="1"/>
  <c r="ITR64" i="1"/>
  <c r="ITS64" i="1"/>
  <c r="ITT64" i="1"/>
  <c r="ITU64" i="1"/>
  <c r="ITV64" i="1"/>
  <c r="ITW64" i="1"/>
  <c r="ITX64" i="1"/>
  <c r="ITY64" i="1"/>
  <c r="ITZ64" i="1"/>
  <c r="IUA64" i="1"/>
  <c r="IUB64" i="1"/>
  <c r="IUC64" i="1"/>
  <c r="IUD64" i="1"/>
  <c r="IUE64" i="1"/>
  <c r="IUF64" i="1"/>
  <c r="IUG64" i="1"/>
  <c r="IUH64" i="1"/>
  <c r="IUI64" i="1"/>
  <c r="IUJ64" i="1"/>
  <c r="IUK64" i="1"/>
  <c r="IUL64" i="1"/>
  <c r="IUM64" i="1"/>
  <c r="IUN64" i="1"/>
  <c r="IUO64" i="1"/>
  <c r="IUP64" i="1"/>
  <c r="IUQ64" i="1"/>
  <c r="IUR64" i="1"/>
  <c r="IUS64" i="1"/>
  <c r="IUT64" i="1"/>
  <c r="IUU64" i="1"/>
  <c r="IUV64" i="1"/>
  <c r="IUW64" i="1"/>
  <c r="IUX64" i="1"/>
  <c r="IUY64" i="1"/>
  <c r="IUZ64" i="1"/>
  <c r="IVA64" i="1"/>
  <c r="IVB64" i="1"/>
  <c r="IVC64" i="1"/>
  <c r="IVD64" i="1"/>
  <c r="IVE64" i="1"/>
  <c r="IVF64" i="1"/>
  <c r="IVG64" i="1"/>
  <c r="IVH64" i="1"/>
  <c r="IVI64" i="1"/>
  <c r="IVJ64" i="1"/>
  <c r="IVK64" i="1"/>
  <c r="IVL64" i="1"/>
  <c r="IVM64" i="1"/>
  <c r="IVN64" i="1"/>
  <c r="IVO64" i="1"/>
  <c r="IVP64" i="1"/>
  <c r="IVQ64" i="1"/>
  <c r="IVR64" i="1"/>
  <c r="IVS64" i="1"/>
  <c r="IVT64" i="1"/>
  <c r="IVU64" i="1"/>
  <c r="IVV64" i="1"/>
  <c r="IVW64" i="1"/>
  <c r="IVX64" i="1"/>
  <c r="IVY64" i="1"/>
  <c r="IVZ64" i="1"/>
  <c r="IWA64" i="1"/>
  <c r="IWB64" i="1"/>
  <c r="IWC64" i="1"/>
  <c r="IWD64" i="1"/>
  <c r="IWE64" i="1"/>
  <c r="IWF64" i="1"/>
  <c r="IWG64" i="1"/>
  <c r="IWH64" i="1"/>
  <c r="IWI64" i="1"/>
  <c r="IWJ64" i="1"/>
  <c r="IWK64" i="1"/>
  <c r="IWL64" i="1"/>
  <c r="IWM64" i="1"/>
  <c r="IWN64" i="1"/>
  <c r="IWO64" i="1"/>
  <c r="IWP64" i="1"/>
  <c r="IWQ64" i="1"/>
  <c r="IWR64" i="1"/>
  <c r="IWS64" i="1"/>
  <c r="IWT64" i="1"/>
  <c r="IWU64" i="1"/>
  <c r="IWV64" i="1"/>
  <c r="IWW64" i="1"/>
  <c r="IWX64" i="1"/>
  <c r="IWY64" i="1"/>
  <c r="IWZ64" i="1"/>
  <c r="IXA64" i="1"/>
  <c r="IXB64" i="1"/>
  <c r="IXC64" i="1"/>
  <c r="IXD64" i="1"/>
  <c r="IXE64" i="1"/>
  <c r="IXF64" i="1"/>
  <c r="IXG64" i="1"/>
  <c r="IXH64" i="1"/>
  <c r="IXI64" i="1"/>
  <c r="IXJ64" i="1"/>
  <c r="IXK64" i="1"/>
  <c r="IXL64" i="1"/>
  <c r="IXM64" i="1"/>
  <c r="IXN64" i="1"/>
  <c r="IXO64" i="1"/>
  <c r="IXP64" i="1"/>
  <c r="IXQ64" i="1"/>
  <c r="IXR64" i="1"/>
  <c r="IXS64" i="1"/>
  <c r="IXT64" i="1"/>
  <c r="IXU64" i="1"/>
  <c r="IXV64" i="1"/>
  <c r="IXW64" i="1"/>
  <c r="IXX64" i="1"/>
  <c r="IXY64" i="1"/>
  <c r="IXZ64" i="1"/>
  <c r="IYA64" i="1"/>
  <c r="IYB64" i="1"/>
  <c r="IYC64" i="1"/>
  <c r="IYD64" i="1"/>
  <c r="IYE64" i="1"/>
  <c r="IYF64" i="1"/>
  <c r="IYG64" i="1"/>
  <c r="IYH64" i="1"/>
  <c r="IYI64" i="1"/>
  <c r="IYJ64" i="1"/>
  <c r="IYK64" i="1"/>
  <c r="IYL64" i="1"/>
  <c r="IYM64" i="1"/>
  <c r="IYN64" i="1"/>
  <c r="IYO64" i="1"/>
  <c r="IYP64" i="1"/>
  <c r="IYQ64" i="1"/>
  <c r="IYR64" i="1"/>
  <c r="IYS64" i="1"/>
  <c r="IYT64" i="1"/>
  <c r="IYU64" i="1"/>
  <c r="IYV64" i="1"/>
  <c r="IYW64" i="1"/>
  <c r="IYX64" i="1"/>
  <c r="IYY64" i="1"/>
  <c r="IYZ64" i="1"/>
  <c r="IZA64" i="1"/>
  <c r="IZB64" i="1"/>
  <c r="IZC64" i="1"/>
  <c r="IZD64" i="1"/>
  <c r="IZE64" i="1"/>
  <c r="IZF64" i="1"/>
  <c r="IZG64" i="1"/>
  <c r="IZH64" i="1"/>
  <c r="IZI64" i="1"/>
  <c r="IZJ64" i="1"/>
  <c r="IZK64" i="1"/>
  <c r="IZL64" i="1"/>
  <c r="IZM64" i="1"/>
  <c r="IZN64" i="1"/>
  <c r="IZO64" i="1"/>
  <c r="IZP64" i="1"/>
  <c r="IZQ64" i="1"/>
  <c r="IZR64" i="1"/>
  <c r="IZS64" i="1"/>
  <c r="IZT64" i="1"/>
  <c r="IZU64" i="1"/>
  <c r="IZV64" i="1"/>
  <c r="IZW64" i="1"/>
  <c r="IZX64" i="1"/>
  <c r="IZY64" i="1"/>
  <c r="IZZ64" i="1"/>
  <c r="JAA64" i="1"/>
  <c r="JAB64" i="1"/>
  <c r="JAC64" i="1"/>
  <c r="JAD64" i="1"/>
  <c r="JAE64" i="1"/>
  <c r="JAF64" i="1"/>
  <c r="JAG64" i="1"/>
  <c r="JAH64" i="1"/>
  <c r="JAI64" i="1"/>
  <c r="JAJ64" i="1"/>
  <c r="JAK64" i="1"/>
  <c r="JAL64" i="1"/>
  <c r="JAM64" i="1"/>
  <c r="JAN64" i="1"/>
  <c r="JAO64" i="1"/>
  <c r="JAP64" i="1"/>
  <c r="JAQ64" i="1"/>
  <c r="JAR64" i="1"/>
  <c r="JAS64" i="1"/>
  <c r="JAT64" i="1"/>
  <c r="JAU64" i="1"/>
  <c r="JAV64" i="1"/>
  <c r="JAW64" i="1"/>
  <c r="JAX64" i="1"/>
  <c r="JAY64" i="1"/>
  <c r="JAZ64" i="1"/>
  <c r="JBA64" i="1"/>
  <c r="JBB64" i="1"/>
  <c r="JBC64" i="1"/>
  <c r="JBD64" i="1"/>
  <c r="JBE64" i="1"/>
  <c r="JBF64" i="1"/>
  <c r="JBG64" i="1"/>
  <c r="JBH64" i="1"/>
  <c r="JBI64" i="1"/>
  <c r="JBJ64" i="1"/>
  <c r="JBK64" i="1"/>
  <c r="JBL64" i="1"/>
  <c r="JBM64" i="1"/>
  <c r="JBN64" i="1"/>
  <c r="JBO64" i="1"/>
  <c r="JBP64" i="1"/>
  <c r="JBQ64" i="1"/>
  <c r="JBR64" i="1"/>
  <c r="JBS64" i="1"/>
  <c r="JBT64" i="1"/>
  <c r="JBU64" i="1"/>
  <c r="JBV64" i="1"/>
  <c r="JBW64" i="1"/>
  <c r="JBX64" i="1"/>
  <c r="JBY64" i="1"/>
  <c r="JBZ64" i="1"/>
  <c r="JCA64" i="1"/>
  <c r="JCB64" i="1"/>
  <c r="JCC64" i="1"/>
  <c r="JCD64" i="1"/>
  <c r="JCE64" i="1"/>
  <c r="JCF64" i="1"/>
  <c r="JCG64" i="1"/>
  <c r="JCH64" i="1"/>
  <c r="JCI64" i="1"/>
  <c r="JCJ64" i="1"/>
  <c r="JCK64" i="1"/>
  <c r="JCL64" i="1"/>
  <c r="JCM64" i="1"/>
  <c r="JCN64" i="1"/>
  <c r="JCO64" i="1"/>
  <c r="JCP64" i="1"/>
  <c r="JCQ64" i="1"/>
  <c r="JCR64" i="1"/>
  <c r="JCS64" i="1"/>
  <c r="JCT64" i="1"/>
  <c r="JCU64" i="1"/>
  <c r="JCV64" i="1"/>
  <c r="JCW64" i="1"/>
  <c r="JCX64" i="1"/>
  <c r="JCY64" i="1"/>
  <c r="JCZ64" i="1"/>
  <c r="JDA64" i="1"/>
  <c r="JDB64" i="1"/>
  <c r="JDC64" i="1"/>
  <c r="JDD64" i="1"/>
  <c r="JDE64" i="1"/>
  <c r="JDF64" i="1"/>
  <c r="JDG64" i="1"/>
  <c r="JDH64" i="1"/>
  <c r="JDI64" i="1"/>
  <c r="JDJ64" i="1"/>
  <c r="JDK64" i="1"/>
  <c r="JDL64" i="1"/>
  <c r="JDM64" i="1"/>
  <c r="JDN64" i="1"/>
  <c r="JDO64" i="1"/>
  <c r="JDP64" i="1"/>
  <c r="JDQ64" i="1"/>
  <c r="JDR64" i="1"/>
  <c r="JDS64" i="1"/>
  <c r="JDT64" i="1"/>
  <c r="JDU64" i="1"/>
  <c r="JDV64" i="1"/>
  <c r="JDW64" i="1"/>
  <c r="JDX64" i="1"/>
  <c r="JDY64" i="1"/>
  <c r="JDZ64" i="1"/>
  <c r="JEA64" i="1"/>
  <c r="JEB64" i="1"/>
  <c r="JEC64" i="1"/>
  <c r="JED64" i="1"/>
  <c r="JEE64" i="1"/>
  <c r="JEF64" i="1"/>
  <c r="JEG64" i="1"/>
  <c r="JEH64" i="1"/>
  <c r="JEI64" i="1"/>
  <c r="JEJ64" i="1"/>
  <c r="JEK64" i="1"/>
  <c r="JEL64" i="1"/>
  <c r="JEM64" i="1"/>
  <c r="JEN64" i="1"/>
  <c r="JEO64" i="1"/>
  <c r="JEP64" i="1"/>
  <c r="JEQ64" i="1"/>
  <c r="JER64" i="1"/>
  <c r="JES64" i="1"/>
  <c r="JET64" i="1"/>
  <c r="JEU64" i="1"/>
  <c r="JEV64" i="1"/>
  <c r="JEW64" i="1"/>
  <c r="JEX64" i="1"/>
  <c r="JEY64" i="1"/>
  <c r="JEZ64" i="1"/>
  <c r="JFA64" i="1"/>
  <c r="JFB64" i="1"/>
  <c r="JFC64" i="1"/>
  <c r="JFD64" i="1"/>
  <c r="JFE64" i="1"/>
  <c r="JFF64" i="1"/>
  <c r="JFG64" i="1"/>
  <c r="JFH64" i="1"/>
  <c r="JFI64" i="1"/>
  <c r="JFJ64" i="1"/>
  <c r="JFK64" i="1"/>
  <c r="JFL64" i="1"/>
  <c r="JFM64" i="1"/>
  <c r="JFN64" i="1"/>
  <c r="JFO64" i="1"/>
  <c r="JFP64" i="1"/>
  <c r="JFQ64" i="1"/>
  <c r="JFR64" i="1"/>
  <c r="JFS64" i="1"/>
  <c r="JFT64" i="1"/>
  <c r="JFU64" i="1"/>
  <c r="JFV64" i="1"/>
  <c r="JFW64" i="1"/>
  <c r="JFX64" i="1"/>
  <c r="JFY64" i="1"/>
  <c r="JFZ64" i="1"/>
  <c r="JGA64" i="1"/>
  <c r="JGB64" i="1"/>
  <c r="JGC64" i="1"/>
  <c r="JGD64" i="1"/>
  <c r="JGE64" i="1"/>
  <c r="JGF64" i="1"/>
  <c r="JGG64" i="1"/>
  <c r="JGH64" i="1"/>
  <c r="JGI64" i="1"/>
  <c r="JGJ64" i="1"/>
  <c r="JGK64" i="1"/>
  <c r="JGL64" i="1"/>
  <c r="JGM64" i="1"/>
  <c r="JGN64" i="1"/>
  <c r="JGO64" i="1"/>
  <c r="JGP64" i="1"/>
  <c r="JGQ64" i="1"/>
  <c r="JGR64" i="1"/>
  <c r="JGS64" i="1"/>
  <c r="JGT64" i="1"/>
  <c r="JGU64" i="1"/>
  <c r="JGV64" i="1"/>
  <c r="JGW64" i="1"/>
  <c r="JGX64" i="1"/>
  <c r="JGY64" i="1"/>
  <c r="JGZ64" i="1"/>
  <c r="JHA64" i="1"/>
  <c r="JHB64" i="1"/>
  <c r="JHC64" i="1"/>
  <c r="JHD64" i="1"/>
  <c r="JHE64" i="1"/>
  <c r="JHF64" i="1"/>
  <c r="JHG64" i="1"/>
  <c r="JHH64" i="1"/>
  <c r="JHI64" i="1"/>
  <c r="JHJ64" i="1"/>
  <c r="JHK64" i="1"/>
  <c r="JHL64" i="1"/>
  <c r="JHM64" i="1"/>
  <c r="JHN64" i="1"/>
  <c r="JHO64" i="1"/>
  <c r="JHP64" i="1"/>
  <c r="JHQ64" i="1"/>
  <c r="JHR64" i="1"/>
  <c r="JHS64" i="1"/>
  <c r="JHT64" i="1"/>
  <c r="JHU64" i="1"/>
  <c r="JHV64" i="1"/>
  <c r="JHW64" i="1"/>
  <c r="JHX64" i="1"/>
  <c r="JHY64" i="1"/>
  <c r="JHZ64" i="1"/>
  <c r="JIA64" i="1"/>
  <c r="JIB64" i="1"/>
  <c r="JIC64" i="1"/>
  <c r="JID64" i="1"/>
  <c r="JIE64" i="1"/>
  <c r="JIF64" i="1"/>
  <c r="JIG64" i="1"/>
  <c r="JIH64" i="1"/>
  <c r="JII64" i="1"/>
  <c r="JIJ64" i="1"/>
  <c r="JIK64" i="1"/>
  <c r="JIL64" i="1"/>
  <c r="JIM64" i="1"/>
  <c r="JIN64" i="1"/>
  <c r="JIO64" i="1"/>
  <c r="JIP64" i="1"/>
  <c r="JIQ64" i="1"/>
  <c r="JIR64" i="1"/>
  <c r="JIS64" i="1"/>
  <c r="JIT64" i="1"/>
  <c r="JIU64" i="1"/>
  <c r="JIV64" i="1"/>
  <c r="JIW64" i="1"/>
  <c r="JIX64" i="1"/>
  <c r="JIY64" i="1"/>
  <c r="JIZ64" i="1"/>
  <c r="JJA64" i="1"/>
  <c r="JJB64" i="1"/>
  <c r="JJC64" i="1"/>
  <c r="JJD64" i="1"/>
  <c r="JJE64" i="1"/>
  <c r="JJF64" i="1"/>
  <c r="JJG64" i="1"/>
  <c r="JJH64" i="1"/>
  <c r="JJI64" i="1"/>
  <c r="JJJ64" i="1"/>
  <c r="JJK64" i="1"/>
  <c r="JJL64" i="1"/>
  <c r="JJM64" i="1"/>
  <c r="JJN64" i="1"/>
  <c r="JJO64" i="1"/>
  <c r="JJP64" i="1"/>
  <c r="JJQ64" i="1"/>
  <c r="JJR64" i="1"/>
  <c r="JJS64" i="1"/>
  <c r="JJT64" i="1"/>
  <c r="JJU64" i="1"/>
  <c r="JJV64" i="1"/>
  <c r="JJW64" i="1"/>
  <c r="JJX64" i="1"/>
  <c r="JJY64" i="1"/>
  <c r="JJZ64" i="1"/>
  <c r="JKA64" i="1"/>
  <c r="JKB64" i="1"/>
  <c r="JKC64" i="1"/>
  <c r="JKD64" i="1"/>
  <c r="JKE64" i="1"/>
  <c r="JKF64" i="1"/>
  <c r="JKG64" i="1"/>
  <c r="JKH64" i="1"/>
  <c r="JKI64" i="1"/>
  <c r="JKJ64" i="1"/>
  <c r="JKK64" i="1"/>
  <c r="JKL64" i="1"/>
  <c r="JKM64" i="1"/>
  <c r="JKN64" i="1"/>
  <c r="JKO64" i="1"/>
  <c r="JKP64" i="1"/>
  <c r="JKQ64" i="1"/>
  <c r="JKR64" i="1"/>
  <c r="JKS64" i="1"/>
  <c r="JKT64" i="1"/>
  <c r="JKU64" i="1"/>
  <c r="JKV64" i="1"/>
  <c r="JKW64" i="1"/>
  <c r="JKX64" i="1"/>
  <c r="JKY64" i="1"/>
  <c r="JKZ64" i="1"/>
  <c r="JLA64" i="1"/>
  <c r="JLB64" i="1"/>
  <c r="JLC64" i="1"/>
  <c r="JLD64" i="1"/>
  <c r="JLE64" i="1"/>
  <c r="JLF64" i="1"/>
  <c r="JLG64" i="1"/>
  <c r="JLH64" i="1"/>
  <c r="JLI64" i="1"/>
  <c r="JLJ64" i="1"/>
  <c r="JLK64" i="1"/>
  <c r="JLL64" i="1"/>
  <c r="JLM64" i="1"/>
  <c r="JLN64" i="1"/>
  <c r="JLO64" i="1"/>
  <c r="JLP64" i="1"/>
  <c r="JLQ64" i="1"/>
  <c r="JLR64" i="1"/>
  <c r="JLS64" i="1"/>
  <c r="JLT64" i="1"/>
  <c r="JLU64" i="1"/>
  <c r="JLV64" i="1"/>
  <c r="JLW64" i="1"/>
  <c r="JLX64" i="1"/>
  <c r="JLY64" i="1"/>
  <c r="JLZ64" i="1"/>
  <c r="JMA64" i="1"/>
  <c r="JMB64" i="1"/>
  <c r="JMC64" i="1"/>
  <c r="JMD64" i="1"/>
  <c r="JME64" i="1"/>
  <c r="JMF64" i="1"/>
  <c r="JMG64" i="1"/>
  <c r="JMH64" i="1"/>
  <c r="JMI64" i="1"/>
  <c r="JMJ64" i="1"/>
  <c r="JMK64" i="1"/>
  <c r="JML64" i="1"/>
  <c r="JMM64" i="1"/>
  <c r="JMN64" i="1"/>
  <c r="JMO64" i="1"/>
  <c r="JMP64" i="1"/>
  <c r="JMQ64" i="1"/>
  <c r="JMR64" i="1"/>
  <c r="JMS64" i="1"/>
  <c r="JMT64" i="1"/>
  <c r="JMU64" i="1"/>
  <c r="JMV64" i="1"/>
  <c r="JMW64" i="1"/>
  <c r="JMX64" i="1"/>
  <c r="JMY64" i="1"/>
  <c r="JMZ64" i="1"/>
  <c r="JNA64" i="1"/>
  <c r="JNB64" i="1"/>
  <c r="JNC64" i="1"/>
  <c r="JND64" i="1"/>
  <c r="JNE64" i="1"/>
  <c r="JNF64" i="1"/>
  <c r="JNG64" i="1"/>
  <c r="JNH64" i="1"/>
  <c r="JNI64" i="1"/>
  <c r="JNJ64" i="1"/>
  <c r="JNK64" i="1"/>
  <c r="JNL64" i="1"/>
  <c r="JNM64" i="1"/>
  <c r="JNN64" i="1"/>
  <c r="JNO64" i="1"/>
  <c r="JNP64" i="1"/>
  <c r="JNQ64" i="1"/>
  <c r="JNR64" i="1"/>
  <c r="JNS64" i="1"/>
  <c r="JNT64" i="1"/>
  <c r="JNU64" i="1"/>
  <c r="JNV64" i="1"/>
  <c r="JNW64" i="1"/>
  <c r="JNX64" i="1"/>
  <c r="JNY64" i="1"/>
  <c r="JNZ64" i="1"/>
  <c r="JOA64" i="1"/>
  <c r="JOB64" i="1"/>
  <c r="JOC64" i="1"/>
  <c r="JOD64" i="1"/>
  <c r="JOE64" i="1"/>
  <c r="JOF64" i="1"/>
  <c r="JOG64" i="1"/>
  <c r="JOH64" i="1"/>
  <c r="JOI64" i="1"/>
  <c r="JOJ64" i="1"/>
  <c r="JOK64" i="1"/>
  <c r="JOL64" i="1"/>
  <c r="JOM64" i="1"/>
  <c r="JON64" i="1"/>
  <c r="JOO64" i="1"/>
  <c r="JOP64" i="1"/>
  <c r="JOQ64" i="1"/>
  <c r="JOR64" i="1"/>
  <c r="JOS64" i="1"/>
  <c r="JOT64" i="1"/>
  <c r="JOU64" i="1"/>
  <c r="JOV64" i="1"/>
  <c r="JOW64" i="1"/>
  <c r="JOX64" i="1"/>
  <c r="JOY64" i="1"/>
  <c r="JOZ64" i="1"/>
  <c r="JPA64" i="1"/>
  <c r="JPB64" i="1"/>
  <c r="JPC64" i="1"/>
  <c r="JPD64" i="1"/>
  <c r="JPE64" i="1"/>
  <c r="JPF64" i="1"/>
  <c r="JPG64" i="1"/>
  <c r="JPH64" i="1"/>
  <c r="JPI64" i="1"/>
  <c r="JPJ64" i="1"/>
  <c r="JPK64" i="1"/>
  <c r="JPL64" i="1"/>
  <c r="JPM64" i="1"/>
  <c r="JPN64" i="1"/>
  <c r="JPO64" i="1"/>
  <c r="JPP64" i="1"/>
  <c r="JPQ64" i="1"/>
  <c r="JPR64" i="1"/>
  <c r="JPS64" i="1"/>
  <c r="JPT64" i="1"/>
  <c r="JPU64" i="1"/>
  <c r="JPV64" i="1"/>
  <c r="JPW64" i="1"/>
  <c r="JPX64" i="1"/>
  <c r="JPY64" i="1"/>
  <c r="JPZ64" i="1"/>
  <c r="JQA64" i="1"/>
  <c r="JQB64" i="1"/>
  <c r="JQC64" i="1"/>
  <c r="JQD64" i="1"/>
  <c r="JQE64" i="1"/>
  <c r="JQF64" i="1"/>
  <c r="JQG64" i="1"/>
  <c r="JQH64" i="1"/>
  <c r="JQI64" i="1"/>
  <c r="JQJ64" i="1"/>
  <c r="JQK64" i="1"/>
  <c r="JQL64" i="1"/>
  <c r="JQM64" i="1"/>
  <c r="JQN64" i="1"/>
  <c r="JQO64" i="1"/>
  <c r="JQP64" i="1"/>
  <c r="JQQ64" i="1"/>
  <c r="JQR64" i="1"/>
  <c r="JQS64" i="1"/>
  <c r="JQT64" i="1"/>
  <c r="JQU64" i="1"/>
  <c r="JQV64" i="1"/>
  <c r="JQW64" i="1"/>
  <c r="JQX64" i="1"/>
  <c r="JQY64" i="1"/>
  <c r="JQZ64" i="1"/>
  <c r="JRA64" i="1"/>
  <c r="JRB64" i="1"/>
  <c r="JRC64" i="1"/>
  <c r="JRD64" i="1"/>
  <c r="JRE64" i="1"/>
  <c r="JRF64" i="1"/>
  <c r="JRG64" i="1"/>
  <c r="JRH64" i="1"/>
  <c r="JRI64" i="1"/>
  <c r="JRJ64" i="1"/>
  <c r="JRK64" i="1"/>
  <c r="JRL64" i="1"/>
  <c r="JRM64" i="1"/>
  <c r="JRN64" i="1"/>
  <c r="JRO64" i="1"/>
  <c r="JRP64" i="1"/>
  <c r="JRQ64" i="1"/>
  <c r="JRR64" i="1"/>
  <c r="JRS64" i="1"/>
  <c r="JRT64" i="1"/>
  <c r="JRU64" i="1"/>
  <c r="JRV64" i="1"/>
  <c r="JRW64" i="1"/>
  <c r="JRX64" i="1"/>
  <c r="JRY64" i="1"/>
  <c r="JRZ64" i="1"/>
  <c r="JSA64" i="1"/>
  <c r="JSB64" i="1"/>
  <c r="JSC64" i="1"/>
  <c r="JSD64" i="1"/>
  <c r="JSE64" i="1"/>
  <c r="JSF64" i="1"/>
  <c r="JSG64" i="1"/>
  <c r="JSH64" i="1"/>
  <c r="JSI64" i="1"/>
  <c r="JSJ64" i="1"/>
  <c r="JSK64" i="1"/>
  <c r="JSL64" i="1"/>
  <c r="JSM64" i="1"/>
  <c r="JSN64" i="1"/>
  <c r="JSO64" i="1"/>
  <c r="JSP64" i="1"/>
  <c r="JSQ64" i="1"/>
  <c r="JSR64" i="1"/>
  <c r="JSS64" i="1"/>
  <c r="JST64" i="1"/>
  <c r="JSU64" i="1"/>
  <c r="JSV64" i="1"/>
  <c r="JSW64" i="1"/>
  <c r="JSX64" i="1"/>
  <c r="JSY64" i="1"/>
  <c r="JSZ64" i="1"/>
  <c r="JTA64" i="1"/>
  <c r="JTB64" i="1"/>
  <c r="JTC64" i="1"/>
  <c r="JTD64" i="1"/>
  <c r="JTE64" i="1"/>
  <c r="JTF64" i="1"/>
  <c r="JTG64" i="1"/>
  <c r="JTH64" i="1"/>
  <c r="JTI64" i="1"/>
  <c r="JTJ64" i="1"/>
  <c r="JTK64" i="1"/>
  <c r="JTL64" i="1"/>
  <c r="JTM64" i="1"/>
  <c r="JTN64" i="1"/>
  <c r="JTO64" i="1"/>
  <c r="JTP64" i="1"/>
  <c r="JTQ64" i="1"/>
  <c r="JTR64" i="1"/>
  <c r="JTS64" i="1"/>
  <c r="JTT64" i="1"/>
  <c r="JTU64" i="1"/>
  <c r="JTV64" i="1"/>
  <c r="JTW64" i="1"/>
  <c r="JTX64" i="1"/>
  <c r="JTY64" i="1"/>
  <c r="JTZ64" i="1"/>
  <c r="JUA64" i="1"/>
  <c r="JUB64" i="1"/>
  <c r="JUC64" i="1"/>
  <c r="JUD64" i="1"/>
  <c r="JUE64" i="1"/>
  <c r="JUF64" i="1"/>
  <c r="JUG64" i="1"/>
  <c r="JUH64" i="1"/>
  <c r="JUI64" i="1"/>
  <c r="JUJ64" i="1"/>
  <c r="JUK64" i="1"/>
  <c r="JUL64" i="1"/>
  <c r="JUM64" i="1"/>
  <c r="JUN64" i="1"/>
  <c r="JUO64" i="1"/>
  <c r="JUP64" i="1"/>
  <c r="JUQ64" i="1"/>
  <c r="JUR64" i="1"/>
  <c r="JUS64" i="1"/>
  <c r="JUT64" i="1"/>
  <c r="JUU64" i="1"/>
  <c r="JUV64" i="1"/>
  <c r="JUW64" i="1"/>
  <c r="JUX64" i="1"/>
  <c r="JUY64" i="1"/>
  <c r="JUZ64" i="1"/>
  <c r="JVA64" i="1"/>
  <c r="JVB64" i="1"/>
  <c r="JVC64" i="1"/>
  <c r="JVD64" i="1"/>
  <c r="JVE64" i="1"/>
  <c r="JVF64" i="1"/>
  <c r="JVG64" i="1"/>
  <c r="JVH64" i="1"/>
  <c r="JVI64" i="1"/>
  <c r="JVJ64" i="1"/>
  <c r="JVK64" i="1"/>
  <c r="JVL64" i="1"/>
  <c r="JVM64" i="1"/>
  <c r="JVN64" i="1"/>
  <c r="JVO64" i="1"/>
  <c r="JVP64" i="1"/>
  <c r="JVQ64" i="1"/>
  <c r="JVR64" i="1"/>
  <c r="JVS64" i="1"/>
  <c r="JVT64" i="1"/>
  <c r="JVU64" i="1"/>
  <c r="JVV64" i="1"/>
  <c r="JVW64" i="1"/>
  <c r="JVX64" i="1"/>
  <c r="JVY64" i="1"/>
  <c r="JVZ64" i="1"/>
  <c r="JWA64" i="1"/>
  <c r="JWB64" i="1"/>
  <c r="JWC64" i="1"/>
  <c r="JWD64" i="1"/>
  <c r="JWE64" i="1"/>
  <c r="JWF64" i="1"/>
  <c r="JWG64" i="1"/>
  <c r="JWH64" i="1"/>
  <c r="JWI64" i="1"/>
  <c r="JWJ64" i="1"/>
  <c r="JWK64" i="1"/>
  <c r="JWL64" i="1"/>
  <c r="JWM64" i="1"/>
  <c r="JWN64" i="1"/>
  <c r="JWO64" i="1"/>
  <c r="JWP64" i="1"/>
  <c r="JWQ64" i="1"/>
  <c r="JWR64" i="1"/>
  <c r="JWS64" i="1"/>
  <c r="JWT64" i="1"/>
  <c r="JWU64" i="1"/>
  <c r="JWV64" i="1"/>
  <c r="JWW64" i="1"/>
  <c r="JWX64" i="1"/>
  <c r="JWY64" i="1"/>
  <c r="JWZ64" i="1"/>
  <c r="JXA64" i="1"/>
  <c r="JXB64" i="1"/>
  <c r="JXC64" i="1"/>
  <c r="JXD64" i="1"/>
  <c r="JXE64" i="1"/>
  <c r="JXF64" i="1"/>
  <c r="JXG64" i="1"/>
  <c r="JXH64" i="1"/>
  <c r="JXI64" i="1"/>
  <c r="JXJ64" i="1"/>
  <c r="JXK64" i="1"/>
  <c r="JXL64" i="1"/>
  <c r="JXM64" i="1"/>
  <c r="JXN64" i="1"/>
  <c r="JXO64" i="1"/>
  <c r="JXP64" i="1"/>
  <c r="JXQ64" i="1"/>
  <c r="JXR64" i="1"/>
  <c r="JXS64" i="1"/>
  <c r="JXT64" i="1"/>
  <c r="JXU64" i="1"/>
  <c r="JXV64" i="1"/>
  <c r="JXW64" i="1"/>
  <c r="JXX64" i="1"/>
  <c r="JXY64" i="1"/>
  <c r="JXZ64" i="1"/>
  <c r="JYA64" i="1"/>
  <c r="JYB64" i="1"/>
  <c r="JYC64" i="1"/>
  <c r="JYD64" i="1"/>
  <c r="JYE64" i="1"/>
  <c r="JYF64" i="1"/>
  <c r="JYG64" i="1"/>
  <c r="JYH64" i="1"/>
  <c r="JYI64" i="1"/>
  <c r="JYJ64" i="1"/>
  <c r="JYK64" i="1"/>
  <c r="JYL64" i="1"/>
  <c r="JYM64" i="1"/>
  <c r="JYN64" i="1"/>
  <c r="JYO64" i="1"/>
  <c r="JYP64" i="1"/>
  <c r="JYQ64" i="1"/>
  <c r="JYR64" i="1"/>
  <c r="JYS64" i="1"/>
  <c r="JYT64" i="1"/>
  <c r="JYU64" i="1"/>
  <c r="JYV64" i="1"/>
  <c r="JYW64" i="1"/>
  <c r="JYX64" i="1"/>
  <c r="JYY64" i="1"/>
  <c r="JYZ64" i="1"/>
  <c r="JZA64" i="1"/>
  <c r="JZB64" i="1"/>
  <c r="JZC64" i="1"/>
  <c r="JZD64" i="1"/>
  <c r="JZE64" i="1"/>
  <c r="JZF64" i="1"/>
  <c r="JZG64" i="1"/>
  <c r="JZH64" i="1"/>
  <c r="JZI64" i="1"/>
  <c r="JZJ64" i="1"/>
  <c r="JZK64" i="1"/>
  <c r="JZL64" i="1"/>
  <c r="JZM64" i="1"/>
  <c r="JZN64" i="1"/>
  <c r="JZO64" i="1"/>
  <c r="JZP64" i="1"/>
  <c r="JZQ64" i="1"/>
  <c r="JZR64" i="1"/>
  <c r="JZS64" i="1"/>
  <c r="JZT64" i="1"/>
  <c r="JZU64" i="1"/>
  <c r="JZV64" i="1"/>
  <c r="JZW64" i="1"/>
  <c r="JZX64" i="1"/>
  <c r="JZY64" i="1"/>
  <c r="JZZ64" i="1"/>
  <c r="KAA64" i="1"/>
  <c r="KAB64" i="1"/>
  <c r="KAC64" i="1"/>
  <c r="KAD64" i="1"/>
  <c r="KAE64" i="1"/>
  <c r="KAF64" i="1"/>
  <c r="KAG64" i="1"/>
  <c r="KAH64" i="1"/>
  <c r="KAI64" i="1"/>
  <c r="KAJ64" i="1"/>
  <c r="KAK64" i="1"/>
  <c r="KAL64" i="1"/>
  <c r="KAM64" i="1"/>
  <c r="KAN64" i="1"/>
  <c r="KAO64" i="1"/>
  <c r="KAP64" i="1"/>
  <c r="KAQ64" i="1"/>
  <c r="KAR64" i="1"/>
  <c r="KAS64" i="1"/>
  <c r="KAT64" i="1"/>
  <c r="KAU64" i="1"/>
  <c r="KAV64" i="1"/>
  <c r="KAW64" i="1"/>
  <c r="KAX64" i="1"/>
  <c r="KAY64" i="1"/>
  <c r="KAZ64" i="1"/>
  <c r="KBA64" i="1"/>
  <c r="KBB64" i="1"/>
  <c r="KBC64" i="1"/>
  <c r="KBD64" i="1"/>
  <c r="KBE64" i="1"/>
  <c r="KBF64" i="1"/>
  <c r="KBG64" i="1"/>
  <c r="KBH64" i="1"/>
  <c r="KBI64" i="1"/>
  <c r="KBJ64" i="1"/>
  <c r="KBK64" i="1"/>
  <c r="KBL64" i="1"/>
  <c r="KBM64" i="1"/>
  <c r="KBN64" i="1"/>
  <c r="KBO64" i="1"/>
  <c r="KBP64" i="1"/>
  <c r="KBQ64" i="1"/>
  <c r="KBR64" i="1"/>
  <c r="KBS64" i="1"/>
  <c r="KBT64" i="1"/>
  <c r="KBU64" i="1"/>
  <c r="KBV64" i="1"/>
  <c r="KBW64" i="1"/>
  <c r="KBX64" i="1"/>
  <c r="KBY64" i="1"/>
  <c r="KBZ64" i="1"/>
  <c r="KCA64" i="1"/>
  <c r="KCB64" i="1"/>
  <c r="KCC64" i="1"/>
  <c r="KCD64" i="1"/>
  <c r="KCE64" i="1"/>
  <c r="KCF64" i="1"/>
  <c r="KCG64" i="1"/>
  <c r="KCH64" i="1"/>
  <c r="KCI64" i="1"/>
  <c r="KCJ64" i="1"/>
  <c r="KCK64" i="1"/>
  <c r="KCL64" i="1"/>
  <c r="KCM64" i="1"/>
  <c r="KCN64" i="1"/>
  <c r="KCO64" i="1"/>
  <c r="KCP64" i="1"/>
  <c r="KCQ64" i="1"/>
  <c r="KCR64" i="1"/>
  <c r="KCS64" i="1"/>
  <c r="KCT64" i="1"/>
  <c r="KCU64" i="1"/>
  <c r="KCV64" i="1"/>
  <c r="KCW64" i="1"/>
  <c r="KCX64" i="1"/>
  <c r="KCY64" i="1"/>
  <c r="KCZ64" i="1"/>
  <c r="KDA64" i="1"/>
  <c r="KDB64" i="1"/>
  <c r="KDC64" i="1"/>
  <c r="KDD64" i="1"/>
  <c r="KDE64" i="1"/>
  <c r="KDF64" i="1"/>
  <c r="KDG64" i="1"/>
  <c r="KDH64" i="1"/>
  <c r="KDI64" i="1"/>
  <c r="KDJ64" i="1"/>
  <c r="KDK64" i="1"/>
  <c r="KDL64" i="1"/>
  <c r="KDM64" i="1"/>
  <c r="KDN64" i="1"/>
  <c r="KDO64" i="1"/>
  <c r="KDP64" i="1"/>
  <c r="KDQ64" i="1"/>
  <c r="KDR64" i="1"/>
  <c r="KDS64" i="1"/>
  <c r="KDT64" i="1"/>
  <c r="KDU64" i="1"/>
  <c r="KDV64" i="1"/>
  <c r="KDW64" i="1"/>
  <c r="KDX64" i="1"/>
  <c r="KDY64" i="1"/>
  <c r="KDZ64" i="1"/>
  <c r="KEA64" i="1"/>
  <c r="KEB64" i="1"/>
  <c r="KEC64" i="1"/>
  <c r="KED64" i="1"/>
  <c r="KEE64" i="1"/>
  <c r="KEF64" i="1"/>
  <c r="KEG64" i="1"/>
  <c r="KEH64" i="1"/>
  <c r="KEI64" i="1"/>
  <c r="KEJ64" i="1"/>
  <c r="KEK64" i="1"/>
  <c r="KEL64" i="1"/>
  <c r="KEM64" i="1"/>
  <c r="KEN64" i="1"/>
  <c r="KEO64" i="1"/>
  <c r="KEP64" i="1"/>
  <c r="KEQ64" i="1"/>
  <c r="KER64" i="1"/>
  <c r="KES64" i="1"/>
  <c r="KET64" i="1"/>
  <c r="KEU64" i="1"/>
  <c r="KEV64" i="1"/>
  <c r="KEW64" i="1"/>
  <c r="KEX64" i="1"/>
  <c r="KEY64" i="1"/>
  <c r="KEZ64" i="1"/>
  <c r="KFA64" i="1"/>
  <c r="KFB64" i="1"/>
  <c r="KFC64" i="1"/>
  <c r="KFD64" i="1"/>
  <c r="KFE64" i="1"/>
  <c r="KFF64" i="1"/>
  <c r="KFG64" i="1"/>
  <c r="KFH64" i="1"/>
  <c r="KFI64" i="1"/>
  <c r="KFJ64" i="1"/>
  <c r="KFK64" i="1"/>
  <c r="KFL64" i="1"/>
  <c r="KFM64" i="1"/>
  <c r="KFN64" i="1"/>
  <c r="KFO64" i="1"/>
  <c r="KFP64" i="1"/>
  <c r="KFQ64" i="1"/>
  <c r="KFR64" i="1"/>
  <c r="KFS64" i="1"/>
  <c r="KFT64" i="1"/>
  <c r="KFU64" i="1"/>
  <c r="KFV64" i="1"/>
  <c r="KFW64" i="1"/>
  <c r="KFX64" i="1"/>
  <c r="KFY64" i="1"/>
  <c r="KFZ64" i="1"/>
  <c r="KGA64" i="1"/>
  <c r="KGB64" i="1"/>
  <c r="KGC64" i="1"/>
  <c r="KGD64" i="1"/>
  <c r="KGE64" i="1"/>
  <c r="KGF64" i="1"/>
  <c r="KGG64" i="1"/>
  <c r="KGH64" i="1"/>
  <c r="KGI64" i="1"/>
  <c r="KGJ64" i="1"/>
  <c r="KGK64" i="1"/>
  <c r="KGL64" i="1"/>
  <c r="KGM64" i="1"/>
  <c r="KGN64" i="1"/>
  <c r="KGO64" i="1"/>
  <c r="KGP64" i="1"/>
  <c r="KGQ64" i="1"/>
  <c r="KGR64" i="1"/>
  <c r="KGS64" i="1"/>
  <c r="KGT64" i="1"/>
  <c r="KGU64" i="1"/>
  <c r="KGV64" i="1"/>
  <c r="KGW64" i="1"/>
  <c r="KGX64" i="1"/>
  <c r="KGY64" i="1"/>
  <c r="KGZ64" i="1"/>
  <c r="KHA64" i="1"/>
  <c r="KHB64" i="1"/>
  <c r="KHC64" i="1"/>
  <c r="KHD64" i="1"/>
  <c r="KHE64" i="1"/>
  <c r="KHF64" i="1"/>
  <c r="KHG64" i="1"/>
  <c r="KHH64" i="1"/>
  <c r="KHI64" i="1"/>
  <c r="KHJ64" i="1"/>
  <c r="KHK64" i="1"/>
  <c r="KHL64" i="1"/>
  <c r="KHM64" i="1"/>
  <c r="KHN64" i="1"/>
  <c r="KHO64" i="1"/>
  <c r="KHP64" i="1"/>
  <c r="KHQ64" i="1"/>
  <c r="KHR64" i="1"/>
  <c r="KHS64" i="1"/>
  <c r="KHT64" i="1"/>
  <c r="KHU64" i="1"/>
  <c r="KHV64" i="1"/>
  <c r="KHW64" i="1"/>
  <c r="KHX64" i="1"/>
  <c r="KHY64" i="1"/>
  <c r="KHZ64" i="1"/>
  <c r="KIA64" i="1"/>
  <c r="KIB64" i="1"/>
  <c r="KIC64" i="1"/>
  <c r="KID64" i="1"/>
  <c r="KIE64" i="1"/>
  <c r="KIF64" i="1"/>
  <c r="KIG64" i="1"/>
  <c r="KIH64" i="1"/>
  <c r="KII64" i="1"/>
  <c r="KIJ64" i="1"/>
  <c r="KIK64" i="1"/>
  <c r="KIL64" i="1"/>
  <c r="KIM64" i="1"/>
  <c r="KIN64" i="1"/>
  <c r="KIO64" i="1"/>
  <c r="KIP64" i="1"/>
  <c r="KIQ64" i="1"/>
  <c r="KIR64" i="1"/>
  <c r="KIS64" i="1"/>
  <c r="KIT64" i="1"/>
  <c r="KIU64" i="1"/>
  <c r="KIV64" i="1"/>
  <c r="KIW64" i="1"/>
  <c r="KIX64" i="1"/>
  <c r="KIY64" i="1"/>
  <c r="KIZ64" i="1"/>
  <c r="KJA64" i="1"/>
  <c r="KJB64" i="1"/>
  <c r="KJC64" i="1"/>
  <c r="KJD64" i="1"/>
  <c r="KJE64" i="1"/>
  <c r="KJF64" i="1"/>
  <c r="KJG64" i="1"/>
  <c r="KJH64" i="1"/>
  <c r="KJI64" i="1"/>
  <c r="KJJ64" i="1"/>
  <c r="KJK64" i="1"/>
  <c r="KJL64" i="1"/>
  <c r="KJM64" i="1"/>
  <c r="KJN64" i="1"/>
  <c r="KJO64" i="1"/>
  <c r="KJP64" i="1"/>
  <c r="KJQ64" i="1"/>
  <c r="KJR64" i="1"/>
  <c r="KJS64" i="1"/>
  <c r="KJT64" i="1"/>
  <c r="KJU64" i="1"/>
  <c r="KJV64" i="1"/>
  <c r="KJW64" i="1"/>
  <c r="KJX64" i="1"/>
  <c r="KJY64" i="1"/>
  <c r="KJZ64" i="1"/>
  <c r="KKA64" i="1"/>
  <c r="KKB64" i="1"/>
  <c r="KKC64" i="1"/>
  <c r="KKD64" i="1"/>
  <c r="KKE64" i="1"/>
  <c r="KKF64" i="1"/>
  <c r="KKG64" i="1"/>
  <c r="KKH64" i="1"/>
  <c r="KKI64" i="1"/>
  <c r="KKJ64" i="1"/>
  <c r="KKK64" i="1"/>
  <c r="KKL64" i="1"/>
  <c r="KKM64" i="1"/>
  <c r="KKN64" i="1"/>
  <c r="KKO64" i="1"/>
  <c r="KKP64" i="1"/>
  <c r="KKQ64" i="1"/>
  <c r="KKR64" i="1"/>
  <c r="KKS64" i="1"/>
  <c r="KKT64" i="1"/>
  <c r="KKU64" i="1"/>
  <c r="KKV64" i="1"/>
  <c r="KKW64" i="1"/>
  <c r="KKX64" i="1"/>
  <c r="KKY64" i="1"/>
  <c r="KKZ64" i="1"/>
  <c r="KLA64" i="1"/>
  <c r="KLB64" i="1"/>
  <c r="KLC64" i="1"/>
  <c r="KLD64" i="1"/>
  <c r="KLE64" i="1"/>
  <c r="KLF64" i="1"/>
  <c r="KLG64" i="1"/>
  <c r="KLH64" i="1"/>
  <c r="KLI64" i="1"/>
  <c r="KLJ64" i="1"/>
  <c r="KLK64" i="1"/>
  <c r="KLL64" i="1"/>
  <c r="KLM64" i="1"/>
  <c r="KLN64" i="1"/>
  <c r="KLO64" i="1"/>
  <c r="KLP64" i="1"/>
  <c r="KLQ64" i="1"/>
  <c r="KLR64" i="1"/>
  <c r="KLS64" i="1"/>
  <c r="KLT64" i="1"/>
  <c r="KLU64" i="1"/>
  <c r="KLV64" i="1"/>
  <c r="KLW64" i="1"/>
  <c r="KLX64" i="1"/>
  <c r="KLY64" i="1"/>
  <c r="KLZ64" i="1"/>
  <c r="KMA64" i="1"/>
  <c r="KMB64" i="1"/>
  <c r="KMC64" i="1"/>
  <c r="KMD64" i="1"/>
  <c r="KME64" i="1"/>
  <c r="KMF64" i="1"/>
  <c r="KMG64" i="1"/>
  <c r="KMH64" i="1"/>
  <c r="KMI64" i="1"/>
  <c r="KMJ64" i="1"/>
  <c r="KMK64" i="1"/>
  <c r="KML64" i="1"/>
  <c r="KMM64" i="1"/>
  <c r="KMN64" i="1"/>
  <c r="KMO64" i="1"/>
  <c r="KMP64" i="1"/>
  <c r="KMQ64" i="1"/>
  <c r="KMR64" i="1"/>
  <c r="KMS64" i="1"/>
  <c r="KMT64" i="1"/>
  <c r="KMU64" i="1"/>
  <c r="KMV64" i="1"/>
  <c r="KMW64" i="1"/>
  <c r="KMX64" i="1"/>
  <c r="KMY64" i="1"/>
  <c r="KMZ64" i="1"/>
  <c r="KNA64" i="1"/>
  <c r="KNB64" i="1"/>
  <c r="KNC64" i="1"/>
  <c r="KND64" i="1"/>
  <c r="KNE64" i="1"/>
  <c r="KNF64" i="1"/>
  <c r="KNG64" i="1"/>
  <c r="KNH64" i="1"/>
  <c r="KNI64" i="1"/>
  <c r="KNJ64" i="1"/>
  <c r="KNK64" i="1"/>
  <c r="KNL64" i="1"/>
  <c r="KNM64" i="1"/>
  <c r="KNN64" i="1"/>
  <c r="KNO64" i="1"/>
  <c r="KNP64" i="1"/>
  <c r="KNQ64" i="1"/>
  <c r="KNR64" i="1"/>
  <c r="KNS64" i="1"/>
  <c r="KNT64" i="1"/>
  <c r="KNU64" i="1"/>
  <c r="KNV64" i="1"/>
  <c r="KNW64" i="1"/>
  <c r="KNX64" i="1"/>
  <c r="KNY64" i="1"/>
  <c r="KNZ64" i="1"/>
  <c r="KOA64" i="1"/>
  <c r="KOB64" i="1"/>
  <c r="KOC64" i="1"/>
  <c r="KOD64" i="1"/>
  <c r="KOE64" i="1"/>
  <c r="KOF64" i="1"/>
  <c r="KOG64" i="1"/>
  <c r="KOH64" i="1"/>
  <c r="KOI64" i="1"/>
  <c r="KOJ64" i="1"/>
  <c r="KOK64" i="1"/>
  <c r="KOL64" i="1"/>
  <c r="KOM64" i="1"/>
  <c r="KON64" i="1"/>
  <c r="KOO64" i="1"/>
  <c r="KOP64" i="1"/>
  <c r="KOQ64" i="1"/>
  <c r="KOR64" i="1"/>
  <c r="KOS64" i="1"/>
  <c r="KOT64" i="1"/>
  <c r="KOU64" i="1"/>
  <c r="KOV64" i="1"/>
  <c r="KOW64" i="1"/>
  <c r="KOX64" i="1"/>
  <c r="KOY64" i="1"/>
  <c r="KOZ64" i="1"/>
  <c r="KPA64" i="1"/>
  <c r="KPB64" i="1"/>
  <c r="KPC64" i="1"/>
  <c r="KPD64" i="1"/>
  <c r="KPE64" i="1"/>
  <c r="KPF64" i="1"/>
  <c r="KPG64" i="1"/>
  <c r="KPH64" i="1"/>
  <c r="KPI64" i="1"/>
  <c r="KPJ64" i="1"/>
  <c r="KPK64" i="1"/>
  <c r="KPL64" i="1"/>
  <c r="KPM64" i="1"/>
  <c r="KPN64" i="1"/>
  <c r="KPO64" i="1"/>
  <c r="KPP64" i="1"/>
  <c r="KPQ64" i="1"/>
  <c r="KPR64" i="1"/>
  <c r="KPS64" i="1"/>
  <c r="KPT64" i="1"/>
  <c r="KPU64" i="1"/>
  <c r="KPV64" i="1"/>
  <c r="KPW64" i="1"/>
  <c r="KPX64" i="1"/>
  <c r="KPY64" i="1"/>
  <c r="KPZ64" i="1"/>
  <c r="KQA64" i="1"/>
  <c r="KQB64" i="1"/>
  <c r="KQC64" i="1"/>
  <c r="KQD64" i="1"/>
  <c r="KQE64" i="1"/>
  <c r="KQF64" i="1"/>
  <c r="KQG64" i="1"/>
  <c r="KQH64" i="1"/>
  <c r="KQI64" i="1"/>
  <c r="KQJ64" i="1"/>
  <c r="KQK64" i="1"/>
  <c r="KQL64" i="1"/>
  <c r="KQM64" i="1"/>
  <c r="KQN64" i="1"/>
  <c r="KQO64" i="1"/>
  <c r="KQP64" i="1"/>
  <c r="KQQ64" i="1"/>
  <c r="KQR64" i="1"/>
  <c r="KQS64" i="1"/>
  <c r="KQT64" i="1"/>
  <c r="KQU64" i="1"/>
  <c r="KQV64" i="1"/>
  <c r="KQW64" i="1"/>
  <c r="KQX64" i="1"/>
  <c r="KQY64" i="1"/>
  <c r="KQZ64" i="1"/>
  <c r="KRA64" i="1"/>
  <c r="KRB64" i="1"/>
  <c r="KRC64" i="1"/>
  <c r="KRD64" i="1"/>
  <c r="KRE64" i="1"/>
  <c r="KRF64" i="1"/>
  <c r="KRG64" i="1"/>
  <c r="KRH64" i="1"/>
  <c r="KRI64" i="1"/>
  <c r="KRJ64" i="1"/>
  <c r="KRK64" i="1"/>
  <c r="KRL64" i="1"/>
  <c r="KRM64" i="1"/>
  <c r="KRN64" i="1"/>
  <c r="KRO64" i="1"/>
  <c r="KRP64" i="1"/>
  <c r="KRQ64" i="1"/>
  <c r="KRR64" i="1"/>
  <c r="KRS64" i="1"/>
  <c r="KRT64" i="1"/>
  <c r="KRU64" i="1"/>
  <c r="KRV64" i="1"/>
  <c r="KRW64" i="1"/>
  <c r="KRX64" i="1"/>
  <c r="KRY64" i="1"/>
  <c r="KRZ64" i="1"/>
  <c r="KSA64" i="1"/>
  <c r="KSB64" i="1"/>
  <c r="KSC64" i="1"/>
  <c r="KSD64" i="1"/>
  <c r="KSE64" i="1"/>
  <c r="KSF64" i="1"/>
  <c r="KSG64" i="1"/>
  <c r="KSH64" i="1"/>
  <c r="KSI64" i="1"/>
  <c r="KSJ64" i="1"/>
  <c r="KSK64" i="1"/>
  <c r="KSL64" i="1"/>
  <c r="KSM64" i="1"/>
  <c r="KSN64" i="1"/>
  <c r="KSO64" i="1"/>
  <c r="KSP64" i="1"/>
  <c r="KSQ64" i="1"/>
  <c r="KSR64" i="1"/>
  <c r="KSS64" i="1"/>
  <c r="KST64" i="1"/>
  <c r="KSU64" i="1"/>
  <c r="KSV64" i="1"/>
  <c r="KSW64" i="1"/>
  <c r="KSX64" i="1"/>
  <c r="KSY64" i="1"/>
  <c r="KSZ64" i="1"/>
  <c r="KTA64" i="1"/>
  <c r="KTB64" i="1"/>
  <c r="KTC64" i="1"/>
  <c r="KTD64" i="1"/>
  <c r="KTE64" i="1"/>
  <c r="KTF64" i="1"/>
  <c r="KTG64" i="1"/>
  <c r="KTH64" i="1"/>
  <c r="KTI64" i="1"/>
  <c r="KTJ64" i="1"/>
  <c r="KTK64" i="1"/>
  <c r="KTL64" i="1"/>
  <c r="KTM64" i="1"/>
  <c r="KTN64" i="1"/>
  <c r="KTO64" i="1"/>
  <c r="KTP64" i="1"/>
  <c r="KTQ64" i="1"/>
  <c r="KTR64" i="1"/>
  <c r="KTS64" i="1"/>
  <c r="KTT64" i="1"/>
  <c r="KTU64" i="1"/>
  <c r="KTV64" i="1"/>
  <c r="KTW64" i="1"/>
  <c r="KTX64" i="1"/>
  <c r="KTY64" i="1"/>
  <c r="KTZ64" i="1"/>
  <c r="KUA64" i="1"/>
  <c r="KUB64" i="1"/>
  <c r="KUC64" i="1"/>
  <c r="KUD64" i="1"/>
  <c r="KUE64" i="1"/>
  <c r="KUF64" i="1"/>
  <c r="KUG64" i="1"/>
  <c r="KUH64" i="1"/>
  <c r="KUI64" i="1"/>
  <c r="KUJ64" i="1"/>
  <c r="KUK64" i="1"/>
  <c r="KUL64" i="1"/>
  <c r="KUM64" i="1"/>
  <c r="KUN64" i="1"/>
  <c r="KUO64" i="1"/>
  <c r="KUP64" i="1"/>
  <c r="KUQ64" i="1"/>
  <c r="KUR64" i="1"/>
  <c r="KUS64" i="1"/>
  <c r="KUT64" i="1"/>
  <c r="KUU64" i="1"/>
  <c r="KUV64" i="1"/>
  <c r="KUW64" i="1"/>
  <c r="KUX64" i="1"/>
  <c r="KUY64" i="1"/>
  <c r="KUZ64" i="1"/>
  <c r="KVA64" i="1"/>
  <c r="KVB64" i="1"/>
  <c r="KVC64" i="1"/>
  <c r="KVD64" i="1"/>
  <c r="KVE64" i="1"/>
  <c r="KVF64" i="1"/>
  <c r="KVG64" i="1"/>
  <c r="KVH64" i="1"/>
  <c r="KVI64" i="1"/>
  <c r="KVJ64" i="1"/>
  <c r="KVK64" i="1"/>
  <c r="KVL64" i="1"/>
  <c r="KVM64" i="1"/>
  <c r="KVN64" i="1"/>
  <c r="KVO64" i="1"/>
  <c r="KVP64" i="1"/>
  <c r="KVQ64" i="1"/>
  <c r="KVR64" i="1"/>
  <c r="KVS64" i="1"/>
  <c r="KVT64" i="1"/>
  <c r="KVU64" i="1"/>
  <c r="KVV64" i="1"/>
  <c r="KVW64" i="1"/>
  <c r="KVX64" i="1"/>
  <c r="KVY64" i="1"/>
  <c r="KVZ64" i="1"/>
  <c r="KWA64" i="1"/>
  <c r="KWB64" i="1"/>
  <c r="KWC64" i="1"/>
  <c r="KWD64" i="1"/>
  <c r="KWE64" i="1"/>
  <c r="KWF64" i="1"/>
  <c r="KWG64" i="1"/>
  <c r="KWH64" i="1"/>
  <c r="KWI64" i="1"/>
  <c r="KWJ64" i="1"/>
  <c r="KWK64" i="1"/>
  <c r="KWL64" i="1"/>
  <c r="KWM64" i="1"/>
  <c r="KWN64" i="1"/>
  <c r="KWO64" i="1"/>
  <c r="KWP64" i="1"/>
  <c r="KWQ64" i="1"/>
  <c r="KWR64" i="1"/>
  <c r="KWS64" i="1"/>
  <c r="KWT64" i="1"/>
  <c r="KWU64" i="1"/>
  <c r="KWV64" i="1"/>
  <c r="KWW64" i="1"/>
  <c r="KWX64" i="1"/>
  <c r="KWY64" i="1"/>
  <c r="KWZ64" i="1"/>
  <c r="KXA64" i="1"/>
  <c r="KXB64" i="1"/>
  <c r="KXC64" i="1"/>
  <c r="KXD64" i="1"/>
  <c r="KXE64" i="1"/>
  <c r="KXF64" i="1"/>
  <c r="KXG64" i="1"/>
  <c r="KXH64" i="1"/>
  <c r="KXI64" i="1"/>
  <c r="KXJ64" i="1"/>
  <c r="KXK64" i="1"/>
  <c r="KXL64" i="1"/>
  <c r="KXM64" i="1"/>
  <c r="KXN64" i="1"/>
  <c r="KXO64" i="1"/>
  <c r="KXP64" i="1"/>
  <c r="KXQ64" i="1"/>
  <c r="KXR64" i="1"/>
  <c r="KXS64" i="1"/>
  <c r="KXT64" i="1"/>
  <c r="KXU64" i="1"/>
  <c r="KXV64" i="1"/>
  <c r="KXW64" i="1"/>
  <c r="KXX64" i="1"/>
  <c r="KXY64" i="1"/>
  <c r="KXZ64" i="1"/>
  <c r="KYA64" i="1"/>
  <c r="KYB64" i="1"/>
  <c r="KYC64" i="1"/>
  <c r="KYD64" i="1"/>
  <c r="KYE64" i="1"/>
  <c r="KYF64" i="1"/>
  <c r="KYG64" i="1"/>
  <c r="KYH64" i="1"/>
  <c r="KYI64" i="1"/>
  <c r="KYJ64" i="1"/>
  <c r="KYK64" i="1"/>
  <c r="KYL64" i="1"/>
  <c r="KYM64" i="1"/>
  <c r="KYN64" i="1"/>
  <c r="KYO64" i="1"/>
  <c r="KYP64" i="1"/>
  <c r="KYQ64" i="1"/>
  <c r="KYR64" i="1"/>
  <c r="KYS64" i="1"/>
  <c r="KYT64" i="1"/>
  <c r="KYU64" i="1"/>
  <c r="KYV64" i="1"/>
  <c r="KYW64" i="1"/>
  <c r="KYX64" i="1"/>
  <c r="KYY64" i="1"/>
  <c r="KYZ64" i="1"/>
  <c r="KZA64" i="1"/>
  <c r="KZB64" i="1"/>
  <c r="KZC64" i="1"/>
  <c r="KZD64" i="1"/>
  <c r="KZE64" i="1"/>
  <c r="KZF64" i="1"/>
  <c r="KZG64" i="1"/>
  <c r="KZH64" i="1"/>
  <c r="KZI64" i="1"/>
  <c r="KZJ64" i="1"/>
  <c r="KZK64" i="1"/>
  <c r="KZL64" i="1"/>
  <c r="KZM64" i="1"/>
  <c r="KZN64" i="1"/>
  <c r="KZO64" i="1"/>
  <c r="KZP64" i="1"/>
  <c r="KZQ64" i="1"/>
  <c r="KZR64" i="1"/>
  <c r="KZS64" i="1"/>
  <c r="KZT64" i="1"/>
  <c r="KZU64" i="1"/>
  <c r="KZV64" i="1"/>
  <c r="KZW64" i="1"/>
  <c r="KZX64" i="1"/>
  <c r="KZY64" i="1"/>
  <c r="KZZ64" i="1"/>
  <c r="LAA64" i="1"/>
  <c r="LAB64" i="1"/>
  <c r="LAC64" i="1"/>
  <c r="LAD64" i="1"/>
  <c r="LAE64" i="1"/>
  <c r="LAF64" i="1"/>
  <c r="LAG64" i="1"/>
  <c r="LAH64" i="1"/>
  <c r="LAI64" i="1"/>
  <c r="LAJ64" i="1"/>
  <c r="LAK64" i="1"/>
  <c r="LAL64" i="1"/>
  <c r="LAM64" i="1"/>
  <c r="LAN64" i="1"/>
  <c r="LAO64" i="1"/>
  <c r="LAP64" i="1"/>
  <c r="LAQ64" i="1"/>
  <c r="LAR64" i="1"/>
  <c r="LAS64" i="1"/>
  <c r="LAT64" i="1"/>
  <c r="LAU64" i="1"/>
  <c r="LAV64" i="1"/>
  <c r="LAW64" i="1"/>
  <c r="LAX64" i="1"/>
  <c r="LAY64" i="1"/>
  <c r="LAZ64" i="1"/>
  <c r="LBA64" i="1"/>
  <c r="LBB64" i="1"/>
  <c r="LBC64" i="1"/>
  <c r="LBD64" i="1"/>
  <c r="LBE64" i="1"/>
  <c r="LBF64" i="1"/>
  <c r="LBG64" i="1"/>
  <c r="LBH64" i="1"/>
  <c r="LBI64" i="1"/>
  <c r="LBJ64" i="1"/>
  <c r="LBK64" i="1"/>
  <c r="LBL64" i="1"/>
  <c r="LBM64" i="1"/>
  <c r="LBN64" i="1"/>
  <c r="LBO64" i="1"/>
  <c r="LBP64" i="1"/>
  <c r="LBQ64" i="1"/>
  <c r="LBR64" i="1"/>
  <c r="LBS64" i="1"/>
  <c r="LBT64" i="1"/>
  <c r="LBU64" i="1"/>
  <c r="LBV64" i="1"/>
  <c r="LBW64" i="1"/>
  <c r="LBX64" i="1"/>
  <c r="LBY64" i="1"/>
  <c r="LBZ64" i="1"/>
  <c r="LCA64" i="1"/>
  <c r="LCB64" i="1"/>
  <c r="LCC64" i="1"/>
  <c r="LCD64" i="1"/>
  <c r="LCE64" i="1"/>
  <c r="LCF64" i="1"/>
  <c r="LCG64" i="1"/>
  <c r="LCH64" i="1"/>
  <c r="LCI64" i="1"/>
  <c r="LCJ64" i="1"/>
  <c r="LCK64" i="1"/>
  <c r="LCL64" i="1"/>
  <c r="LCM64" i="1"/>
  <c r="LCN64" i="1"/>
  <c r="LCO64" i="1"/>
  <c r="LCP64" i="1"/>
  <c r="LCQ64" i="1"/>
  <c r="LCR64" i="1"/>
  <c r="LCS64" i="1"/>
  <c r="LCT64" i="1"/>
  <c r="LCU64" i="1"/>
  <c r="LCV64" i="1"/>
  <c r="LCW64" i="1"/>
  <c r="LCX64" i="1"/>
  <c r="LCY64" i="1"/>
  <c r="LCZ64" i="1"/>
  <c r="LDA64" i="1"/>
  <c r="LDB64" i="1"/>
  <c r="LDC64" i="1"/>
  <c r="LDD64" i="1"/>
  <c r="LDE64" i="1"/>
  <c r="LDF64" i="1"/>
  <c r="LDG64" i="1"/>
  <c r="LDH64" i="1"/>
  <c r="LDI64" i="1"/>
  <c r="LDJ64" i="1"/>
  <c r="LDK64" i="1"/>
  <c r="LDL64" i="1"/>
  <c r="LDM64" i="1"/>
  <c r="LDN64" i="1"/>
  <c r="LDO64" i="1"/>
  <c r="LDP64" i="1"/>
  <c r="LDQ64" i="1"/>
  <c r="LDR64" i="1"/>
  <c r="LDS64" i="1"/>
  <c r="LDT64" i="1"/>
  <c r="LDU64" i="1"/>
  <c r="LDV64" i="1"/>
  <c r="LDW64" i="1"/>
  <c r="LDX64" i="1"/>
  <c r="LDY64" i="1"/>
  <c r="LDZ64" i="1"/>
  <c r="LEA64" i="1"/>
  <c r="LEB64" i="1"/>
  <c r="LEC64" i="1"/>
  <c r="LED64" i="1"/>
  <c r="LEE64" i="1"/>
  <c r="LEF64" i="1"/>
  <c r="LEG64" i="1"/>
  <c r="LEH64" i="1"/>
  <c r="LEI64" i="1"/>
  <c r="LEJ64" i="1"/>
  <c r="LEK64" i="1"/>
  <c r="LEL64" i="1"/>
  <c r="LEM64" i="1"/>
  <c r="LEN64" i="1"/>
  <c r="LEO64" i="1"/>
  <c r="LEP64" i="1"/>
  <c r="LEQ64" i="1"/>
  <c r="LER64" i="1"/>
  <c r="LES64" i="1"/>
  <c r="LET64" i="1"/>
  <c r="LEU64" i="1"/>
  <c r="LEV64" i="1"/>
  <c r="LEW64" i="1"/>
  <c r="LEX64" i="1"/>
  <c r="LEY64" i="1"/>
  <c r="LEZ64" i="1"/>
  <c r="LFA64" i="1"/>
  <c r="LFB64" i="1"/>
  <c r="LFC64" i="1"/>
  <c r="LFD64" i="1"/>
  <c r="LFE64" i="1"/>
  <c r="LFF64" i="1"/>
  <c r="LFG64" i="1"/>
  <c r="LFH64" i="1"/>
  <c r="LFI64" i="1"/>
  <c r="LFJ64" i="1"/>
  <c r="LFK64" i="1"/>
  <c r="LFL64" i="1"/>
  <c r="LFM64" i="1"/>
  <c r="LFN64" i="1"/>
  <c r="LFO64" i="1"/>
  <c r="LFP64" i="1"/>
  <c r="LFQ64" i="1"/>
  <c r="LFR64" i="1"/>
  <c r="LFS64" i="1"/>
  <c r="LFT64" i="1"/>
  <c r="LFU64" i="1"/>
  <c r="LFV64" i="1"/>
  <c r="LFW64" i="1"/>
  <c r="LFX64" i="1"/>
  <c r="LFY64" i="1"/>
  <c r="LFZ64" i="1"/>
  <c r="LGA64" i="1"/>
  <c r="LGB64" i="1"/>
  <c r="LGC64" i="1"/>
  <c r="LGD64" i="1"/>
  <c r="LGE64" i="1"/>
  <c r="LGF64" i="1"/>
  <c r="LGG64" i="1"/>
  <c r="LGH64" i="1"/>
  <c r="LGI64" i="1"/>
  <c r="LGJ64" i="1"/>
  <c r="LGK64" i="1"/>
  <c r="LGL64" i="1"/>
  <c r="LGM64" i="1"/>
  <c r="LGN64" i="1"/>
  <c r="LGO64" i="1"/>
  <c r="LGP64" i="1"/>
  <c r="LGQ64" i="1"/>
  <c r="LGR64" i="1"/>
  <c r="LGS64" i="1"/>
  <c r="LGT64" i="1"/>
  <c r="LGU64" i="1"/>
  <c r="LGV64" i="1"/>
  <c r="LGW64" i="1"/>
  <c r="LGX64" i="1"/>
  <c r="LGY64" i="1"/>
  <c r="LGZ64" i="1"/>
  <c r="LHA64" i="1"/>
  <c r="LHB64" i="1"/>
  <c r="LHC64" i="1"/>
  <c r="LHD64" i="1"/>
  <c r="LHE64" i="1"/>
  <c r="LHF64" i="1"/>
  <c r="LHG64" i="1"/>
  <c r="LHH64" i="1"/>
  <c r="LHI64" i="1"/>
  <c r="LHJ64" i="1"/>
  <c r="LHK64" i="1"/>
  <c r="LHL64" i="1"/>
  <c r="LHM64" i="1"/>
  <c r="LHN64" i="1"/>
  <c r="LHO64" i="1"/>
  <c r="LHP64" i="1"/>
  <c r="LHQ64" i="1"/>
  <c r="LHR64" i="1"/>
  <c r="LHS64" i="1"/>
  <c r="LHT64" i="1"/>
  <c r="LHU64" i="1"/>
  <c r="LHV64" i="1"/>
  <c r="LHW64" i="1"/>
  <c r="LHX64" i="1"/>
  <c r="LHY64" i="1"/>
  <c r="LHZ64" i="1"/>
  <c r="LIA64" i="1"/>
  <c r="LIB64" i="1"/>
  <c r="LIC64" i="1"/>
  <c r="LID64" i="1"/>
  <c r="LIE64" i="1"/>
  <c r="LIF64" i="1"/>
  <c r="LIG64" i="1"/>
  <c r="LIH64" i="1"/>
  <c r="LII64" i="1"/>
  <c r="LIJ64" i="1"/>
  <c r="LIK64" i="1"/>
  <c r="LIL64" i="1"/>
  <c r="LIM64" i="1"/>
  <c r="LIN64" i="1"/>
  <c r="LIO64" i="1"/>
  <c r="LIP64" i="1"/>
  <c r="LIQ64" i="1"/>
  <c r="LIR64" i="1"/>
  <c r="LIS64" i="1"/>
  <c r="LIT64" i="1"/>
  <c r="LIU64" i="1"/>
  <c r="LIV64" i="1"/>
  <c r="LIW64" i="1"/>
  <c r="LIX64" i="1"/>
  <c r="LIY64" i="1"/>
  <c r="LIZ64" i="1"/>
  <c r="LJA64" i="1"/>
  <c r="LJB64" i="1"/>
  <c r="LJC64" i="1"/>
  <c r="LJD64" i="1"/>
  <c r="LJE64" i="1"/>
  <c r="LJF64" i="1"/>
  <c r="LJG64" i="1"/>
  <c r="LJH64" i="1"/>
  <c r="LJI64" i="1"/>
  <c r="LJJ64" i="1"/>
  <c r="LJK64" i="1"/>
  <c r="LJL64" i="1"/>
  <c r="LJM64" i="1"/>
  <c r="LJN64" i="1"/>
  <c r="LJO64" i="1"/>
  <c r="LJP64" i="1"/>
  <c r="LJQ64" i="1"/>
  <c r="LJR64" i="1"/>
  <c r="LJS64" i="1"/>
  <c r="LJT64" i="1"/>
  <c r="LJU64" i="1"/>
  <c r="LJV64" i="1"/>
  <c r="LJW64" i="1"/>
  <c r="LJX64" i="1"/>
  <c r="LJY64" i="1"/>
  <c r="LJZ64" i="1"/>
  <c r="LKA64" i="1"/>
  <c r="LKB64" i="1"/>
  <c r="LKC64" i="1"/>
  <c r="LKD64" i="1"/>
  <c r="LKE64" i="1"/>
  <c r="LKF64" i="1"/>
  <c r="LKG64" i="1"/>
  <c r="LKH64" i="1"/>
  <c r="LKI64" i="1"/>
  <c r="LKJ64" i="1"/>
  <c r="LKK64" i="1"/>
  <c r="LKL64" i="1"/>
  <c r="LKM64" i="1"/>
  <c r="LKN64" i="1"/>
  <c r="LKO64" i="1"/>
  <c r="LKP64" i="1"/>
  <c r="LKQ64" i="1"/>
  <c r="LKR64" i="1"/>
  <c r="LKS64" i="1"/>
  <c r="LKT64" i="1"/>
  <c r="LKU64" i="1"/>
  <c r="LKV64" i="1"/>
  <c r="LKW64" i="1"/>
  <c r="LKX64" i="1"/>
  <c r="LKY64" i="1"/>
  <c r="LKZ64" i="1"/>
  <c r="LLA64" i="1"/>
  <c r="LLB64" i="1"/>
  <c r="LLC64" i="1"/>
  <c r="LLD64" i="1"/>
  <c r="LLE64" i="1"/>
  <c r="LLF64" i="1"/>
  <c r="LLG64" i="1"/>
  <c r="LLH64" i="1"/>
  <c r="LLI64" i="1"/>
  <c r="LLJ64" i="1"/>
  <c r="LLK64" i="1"/>
  <c r="LLL64" i="1"/>
  <c r="LLM64" i="1"/>
  <c r="LLN64" i="1"/>
  <c r="LLO64" i="1"/>
  <c r="LLP64" i="1"/>
  <c r="LLQ64" i="1"/>
  <c r="LLR64" i="1"/>
  <c r="LLS64" i="1"/>
  <c r="LLT64" i="1"/>
  <c r="LLU64" i="1"/>
  <c r="LLV64" i="1"/>
  <c r="LLW64" i="1"/>
  <c r="LLX64" i="1"/>
  <c r="LLY64" i="1"/>
  <c r="LLZ64" i="1"/>
  <c r="LMA64" i="1"/>
  <c r="LMB64" i="1"/>
  <c r="LMC64" i="1"/>
  <c r="LMD64" i="1"/>
  <c r="LME64" i="1"/>
  <c r="LMF64" i="1"/>
  <c r="LMG64" i="1"/>
  <c r="LMH64" i="1"/>
  <c r="LMI64" i="1"/>
  <c r="LMJ64" i="1"/>
  <c r="LMK64" i="1"/>
  <c r="LML64" i="1"/>
  <c r="LMM64" i="1"/>
  <c r="LMN64" i="1"/>
  <c r="LMO64" i="1"/>
  <c r="LMP64" i="1"/>
  <c r="LMQ64" i="1"/>
  <c r="LMR64" i="1"/>
  <c r="LMS64" i="1"/>
  <c r="LMT64" i="1"/>
  <c r="LMU64" i="1"/>
  <c r="LMV64" i="1"/>
  <c r="LMW64" i="1"/>
  <c r="LMX64" i="1"/>
  <c r="LMY64" i="1"/>
  <c r="LMZ64" i="1"/>
  <c r="LNA64" i="1"/>
  <c r="LNB64" i="1"/>
  <c r="LNC64" i="1"/>
  <c r="LND64" i="1"/>
  <c r="LNE64" i="1"/>
  <c r="LNF64" i="1"/>
  <c r="LNG64" i="1"/>
  <c r="LNH64" i="1"/>
  <c r="LNI64" i="1"/>
  <c r="LNJ64" i="1"/>
  <c r="LNK64" i="1"/>
  <c r="LNL64" i="1"/>
  <c r="LNM64" i="1"/>
  <c r="LNN64" i="1"/>
  <c r="LNO64" i="1"/>
  <c r="LNP64" i="1"/>
  <c r="LNQ64" i="1"/>
  <c r="LNR64" i="1"/>
  <c r="LNS64" i="1"/>
  <c r="LNT64" i="1"/>
  <c r="LNU64" i="1"/>
  <c r="LNV64" i="1"/>
  <c r="LNW64" i="1"/>
  <c r="LNX64" i="1"/>
  <c r="LNY64" i="1"/>
  <c r="LNZ64" i="1"/>
  <c r="LOA64" i="1"/>
  <c r="LOB64" i="1"/>
  <c r="LOC64" i="1"/>
  <c r="LOD64" i="1"/>
  <c r="LOE64" i="1"/>
  <c r="LOF64" i="1"/>
  <c r="LOG64" i="1"/>
  <c r="LOH64" i="1"/>
  <c r="LOI64" i="1"/>
  <c r="LOJ64" i="1"/>
  <c r="LOK64" i="1"/>
  <c r="LOL64" i="1"/>
  <c r="LOM64" i="1"/>
  <c r="LON64" i="1"/>
  <c r="LOO64" i="1"/>
  <c r="LOP64" i="1"/>
  <c r="LOQ64" i="1"/>
  <c r="LOR64" i="1"/>
  <c r="LOS64" i="1"/>
  <c r="LOT64" i="1"/>
  <c r="LOU64" i="1"/>
  <c r="LOV64" i="1"/>
  <c r="LOW64" i="1"/>
  <c r="LOX64" i="1"/>
  <c r="LOY64" i="1"/>
  <c r="LOZ64" i="1"/>
  <c r="LPA64" i="1"/>
  <c r="LPB64" i="1"/>
  <c r="LPC64" i="1"/>
  <c r="LPD64" i="1"/>
  <c r="LPE64" i="1"/>
  <c r="LPF64" i="1"/>
  <c r="LPG64" i="1"/>
  <c r="LPH64" i="1"/>
  <c r="LPI64" i="1"/>
  <c r="LPJ64" i="1"/>
  <c r="LPK64" i="1"/>
  <c r="LPL64" i="1"/>
  <c r="LPM64" i="1"/>
  <c r="LPN64" i="1"/>
  <c r="LPO64" i="1"/>
  <c r="LPP64" i="1"/>
  <c r="LPQ64" i="1"/>
  <c r="LPR64" i="1"/>
  <c r="LPS64" i="1"/>
  <c r="LPT64" i="1"/>
  <c r="LPU64" i="1"/>
  <c r="LPV64" i="1"/>
  <c r="LPW64" i="1"/>
  <c r="LPX64" i="1"/>
  <c r="LPY64" i="1"/>
  <c r="LPZ64" i="1"/>
  <c r="LQA64" i="1"/>
  <c r="LQB64" i="1"/>
  <c r="LQC64" i="1"/>
  <c r="LQD64" i="1"/>
  <c r="LQE64" i="1"/>
  <c r="LQF64" i="1"/>
  <c r="LQG64" i="1"/>
  <c r="LQH64" i="1"/>
  <c r="LQI64" i="1"/>
  <c r="LQJ64" i="1"/>
  <c r="LQK64" i="1"/>
  <c r="LQL64" i="1"/>
  <c r="LQM64" i="1"/>
  <c r="LQN64" i="1"/>
  <c r="LQO64" i="1"/>
  <c r="LQP64" i="1"/>
  <c r="LQQ64" i="1"/>
  <c r="LQR64" i="1"/>
  <c r="LQS64" i="1"/>
  <c r="LQT64" i="1"/>
  <c r="LQU64" i="1"/>
  <c r="LQV64" i="1"/>
  <c r="LQW64" i="1"/>
  <c r="LQX64" i="1"/>
  <c r="LQY64" i="1"/>
  <c r="LQZ64" i="1"/>
  <c r="LRA64" i="1"/>
  <c r="LRB64" i="1"/>
  <c r="LRC64" i="1"/>
  <c r="LRD64" i="1"/>
  <c r="LRE64" i="1"/>
  <c r="LRF64" i="1"/>
  <c r="LRG64" i="1"/>
  <c r="LRH64" i="1"/>
  <c r="LRI64" i="1"/>
  <c r="LRJ64" i="1"/>
  <c r="LRK64" i="1"/>
  <c r="LRL64" i="1"/>
  <c r="LRM64" i="1"/>
  <c r="LRN64" i="1"/>
  <c r="LRO64" i="1"/>
  <c r="LRP64" i="1"/>
  <c r="LRQ64" i="1"/>
  <c r="LRR64" i="1"/>
  <c r="LRS64" i="1"/>
  <c r="LRT64" i="1"/>
  <c r="LRU64" i="1"/>
  <c r="LRV64" i="1"/>
  <c r="LRW64" i="1"/>
  <c r="LRX64" i="1"/>
  <c r="LRY64" i="1"/>
  <c r="LRZ64" i="1"/>
  <c r="LSA64" i="1"/>
  <c r="LSB64" i="1"/>
  <c r="LSC64" i="1"/>
  <c r="LSD64" i="1"/>
  <c r="LSE64" i="1"/>
  <c r="LSF64" i="1"/>
  <c r="LSG64" i="1"/>
  <c r="LSH64" i="1"/>
  <c r="LSI64" i="1"/>
  <c r="LSJ64" i="1"/>
  <c r="LSK64" i="1"/>
  <c r="LSL64" i="1"/>
  <c r="LSM64" i="1"/>
  <c r="LSN64" i="1"/>
  <c r="LSO64" i="1"/>
  <c r="LSP64" i="1"/>
  <c r="LSQ64" i="1"/>
  <c r="LSR64" i="1"/>
  <c r="LSS64" i="1"/>
  <c r="LST64" i="1"/>
  <c r="LSU64" i="1"/>
  <c r="LSV64" i="1"/>
  <c r="LSW64" i="1"/>
  <c r="LSX64" i="1"/>
  <c r="LSY64" i="1"/>
  <c r="LSZ64" i="1"/>
  <c r="LTA64" i="1"/>
  <c r="LTB64" i="1"/>
  <c r="LTC64" i="1"/>
  <c r="LTD64" i="1"/>
  <c r="LTE64" i="1"/>
  <c r="LTF64" i="1"/>
  <c r="LTG64" i="1"/>
  <c r="LTH64" i="1"/>
  <c r="LTI64" i="1"/>
  <c r="LTJ64" i="1"/>
  <c r="LTK64" i="1"/>
  <c r="LTL64" i="1"/>
  <c r="LTM64" i="1"/>
  <c r="LTN64" i="1"/>
  <c r="LTO64" i="1"/>
  <c r="LTP64" i="1"/>
  <c r="LTQ64" i="1"/>
  <c r="LTR64" i="1"/>
  <c r="LTS64" i="1"/>
  <c r="LTT64" i="1"/>
  <c r="LTU64" i="1"/>
  <c r="LTV64" i="1"/>
  <c r="LTW64" i="1"/>
  <c r="LTX64" i="1"/>
  <c r="LTY64" i="1"/>
  <c r="LTZ64" i="1"/>
  <c r="LUA64" i="1"/>
  <c r="LUB64" i="1"/>
  <c r="LUC64" i="1"/>
  <c r="LUD64" i="1"/>
  <c r="LUE64" i="1"/>
  <c r="LUF64" i="1"/>
  <c r="LUG64" i="1"/>
  <c r="LUH64" i="1"/>
  <c r="LUI64" i="1"/>
  <c r="LUJ64" i="1"/>
  <c r="LUK64" i="1"/>
  <c r="LUL64" i="1"/>
  <c r="LUM64" i="1"/>
  <c r="LUN64" i="1"/>
  <c r="LUO64" i="1"/>
  <c r="LUP64" i="1"/>
  <c r="LUQ64" i="1"/>
  <c r="LUR64" i="1"/>
  <c r="LUS64" i="1"/>
  <c r="LUT64" i="1"/>
  <c r="LUU64" i="1"/>
  <c r="LUV64" i="1"/>
  <c r="LUW64" i="1"/>
  <c r="LUX64" i="1"/>
  <c r="LUY64" i="1"/>
  <c r="LUZ64" i="1"/>
  <c r="LVA64" i="1"/>
  <c r="LVB64" i="1"/>
  <c r="LVC64" i="1"/>
  <c r="LVD64" i="1"/>
  <c r="LVE64" i="1"/>
  <c r="LVF64" i="1"/>
  <c r="LVG64" i="1"/>
  <c r="LVH64" i="1"/>
  <c r="LVI64" i="1"/>
  <c r="LVJ64" i="1"/>
  <c r="LVK64" i="1"/>
  <c r="LVL64" i="1"/>
  <c r="LVM64" i="1"/>
  <c r="LVN64" i="1"/>
  <c r="LVO64" i="1"/>
  <c r="LVP64" i="1"/>
  <c r="LVQ64" i="1"/>
  <c r="LVR64" i="1"/>
  <c r="LVS64" i="1"/>
  <c r="LVT64" i="1"/>
  <c r="LVU64" i="1"/>
  <c r="LVV64" i="1"/>
  <c r="LVW64" i="1"/>
  <c r="LVX64" i="1"/>
  <c r="LVY64" i="1"/>
  <c r="LVZ64" i="1"/>
  <c r="LWA64" i="1"/>
  <c r="LWB64" i="1"/>
  <c r="LWC64" i="1"/>
  <c r="LWD64" i="1"/>
  <c r="LWE64" i="1"/>
  <c r="LWF64" i="1"/>
  <c r="LWG64" i="1"/>
  <c r="LWH64" i="1"/>
  <c r="LWI64" i="1"/>
  <c r="LWJ64" i="1"/>
  <c r="LWK64" i="1"/>
  <c r="LWL64" i="1"/>
  <c r="LWM64" i="1"/>
  <c r="LWN64" i="1"/>
  <c r="LWO64" i="1"/>
  <c r="LWP64" i="1"/>
  <c r="LWQ64" i="1"/>
  <c r="LWR64" i="1"/>
  <c r="LWS64" i="1"/>
  <c r="LWT64" i="1"/>
  <c r="LWU64" i="1"/>
  <c r="LWV64" i="1"/>
  <c r="LWW64" i="1"/>
  <c r="LWX64" i="1"/>
  <c r="LWY64" i="1"/>
  <c r="LWZ64" i="1"/>
  <c r="LXA64" i="1"/>
  <c r="LXB64" i="1"/>
  <c r="LXC64" i="1"/>
  <c r="LXD64" i="1"/>
  <c r="LXE64" i="1"/>
  <c r="LXF64" i="1"/>
  <c r="LXG64" i="1"/>
  <c r="LXH64" i="1"/>
  <c r="LXI64" i="1"/>
  <c r="LXJ64" i="1"/>
  <c r="LXK64" i="1"/>
  <c r="LXL64" i="1"/>
  <c r="LXM64" i="1"/>
  <c r="LXN64" i="1"/>
  <c r="LXO64" i="1"/>
  <c r="LXP64" i="1"/>
  <c r="LXQ64" i="1"/>
  <c r="LXR64" i="1"/>
  <c r="LXS64" i="1"/>
  <c r="LXT64" i="1"/>
  <c r="LXU64" i="1"/>
  <c r="LXV64" i="1"/>
  <c r="LXW64" i="1"/>
  <c r="LXX64" i="1"/>
  <c r="LXY64" i="1"/>
  <c r="LXZ64" i="1"/>
  <c r="LYA64" i="1"/>
  <c r="LYB64" i="1"/>
  <c r="LYC64" i="1"/>
  <c r="LYD64" i="1"/>
  <c r="LYE64" i="1"/>
  <c r="LYF64" i="1"/>
  <c r="LYG64" i="1"/>
  <c r="LYH64" i="1"/>
  <c r="LYI64" i="1"/>
  <c r="LYJ64" i="1"/>
  <c r="LYK64" i="1"/>
  <c r="LYL64" i="1"/>
  <c r="LYM64" i="1"/>
  <c r="LYN64" i="1"/>
  <c r="LYO64" i="1"/>
  <c r="LYP64" i="1"/>
  <c r="LYQ64" i="1"/>
  <c r="LYR64" i="1"/>
  <c r="LYS64" i="1"/>
  <c r="LYT64" i="1"/>
  <c r="LYU64" i="1"/>
  <c r="LYV64" i="1"/>
  <c r="LYW64" i="1"/>
  <c r="LYX64" i="1"/>
  <c r="LYY64" i="1"/>
  <c r="LYZ64" i="1"/>
  <c r="LZA64" i="1"/>
  <c r="LZB64" i="1"/>
  <c r="LZC64" i="1"/>
  <c r="LZD64" i="1"/>
  <c r="LZE64" i="1"/>
  <c r="LZF64" i="1"/>
  <c r="LZG64" i="1"/>
  <c r="LZH64" i="1"/>
  <c r="LZI64" i="1"/>
  <c r="LZJ64" i="1"/>
  <c r="LZK64" i="1"/>
  <c r="LZL64" i="1"/>
  <c r="LZM64" i="1"/>
  <c r="LZN64" i="1"/>
  <c r="LZO64" i="1"/>
  <c r="LZP64" i="1"/>
  <c r="LZQ64" i="1"/>
  <c r="LZR64" i="1"/>
  <c r="LZS64" i="1"/>
  <c r="LZT64" i="1"/>
  <c r="LZU64" i="1"/>
  <c r="LZV64" i="1"/>
  <c r="LZW64" i="1"/>
  <c r="LZX64" i="1"/>
  <c r="LZY64" i="1"/>
  <c r="LZZ64" i="1"/>
  <c r="MAA64" i="1"/>
  <c r="MAB64" i="1"/>
  <c r="MAC64" i="1"/>
  <c r="MAD64" i="1"/>
  <c r="MAE64" i="1"/>
  <c r="MAF64" i="1"/>
  <c r="MAG64" i="1"/>
  <c r="MAH64" i="1"/>
  <c r="MAI64" i="1"/>
  <c r="MAJ64" i="1"/>
  <c r="MAK64" i="1"/>
  <c r="MAL64" i="1"/>
  <c r="MAM64" i="1"/>
  <c r="MAN64" i="1"/>
  <c r="MAO64" i="1"/>
  <c r="MAP64" i="1"/>
  <c r="MAQ64" i="1"/>
  <c r="MAR64" i="1"/>
  <c r="MAS64" i="1"/>
  <c r="MAT64" i="1"/>
  <c r="MAU64" i="1"/>
  <c r="MAV64" i="1"/>
  <c r="MAW64" i="1"/>
  <c r="MAX64" i="1"/>
  <c r="MAY64" i="1"/>
  <c r="MAZ64" i="1"/>
  <c r="MBA64" i="1"/>
  <c r="MBB64" i="1"/>
  <c r="MBC64" i="1"/>
  <c r="MBD64" i="1"/>
  <c r="MBE64" i="1"/>
  <c r="MBF64" i="1"/>
  <c r="MBG64" i="1"/>
  <c r="MBH64" i="1"/>
  <c r="MBI64" i="1"/>
  <c r="MBJ64" i="1"/>
  <c r="MBK64" i="1"/>
  <c r="MBL64" i="1"/>
  <c r="MBM64" i="1"/>
  <c r="MBN64" i="1"/>
  <c r="MBO64" i="1"/>
  <c r="MBP64" i="1"/>
  <c r="MBQ64" i="1"/>
  <c r="MBR64" i="1"/>
  <c r="MBS64" i="1"/>
  <c r="MBT64" i="1"/>
  <c r="MBU64" i="1"/>
  <c r="MBV64" i="1"/>
  <c r="MBW64" i="1"/>
  <c r="MBX64" i="1"/>
  <c r="MBY64" i="1"/>
  <c r="MBZ64" i="1"/>
  <c r="MCA64" i="1"/>
  <c r="MCB64" i="1"/>
  <c r="MCC64" i="1"/>
  <c r="MCD64" i="1"/>
  <c r="MCE64" i="1"/>
  <c r="MCF64" i="1"/>
  <c r="MCG64" i="1"/>
  <c r="MCH64" i="1"/>
  <c r="MCI64" i="1"/>
  <c r="MCJ64" i="1"/>
  <c r="MCK64" i="1"/>
  <c r="MCL64" i="1"/>
  <c r="MCM64" i="1"/>
  <c r="MCN64" i="1"/>
  <c r="MCO64" i="1"/>
  <c r="MCP64" i="1"/>
  <c r="MCQ64" i="1"/>
  <c r="MCR64" i="1"/>
  <c r="MCS64" i="1"/>
  <c r="MCT64" i="1"/>
  <c r="MCU64" i="1"/>
  <c r="MCV64" i="1"/>
  <c r="MCW64" i="1"/>
  <c r="MCX64" i="1"/>
  <c r="MCY64" i="1"/>
  <c r="MCZ64" i="1"/>
  <c r="MDA64" i="1"/>
  <c r="MDB64" i="1"/>
  <c r="MDC64" i="1"/>
  <c r="MDD64" i="1"/>
  <c r="MDE64" i="1"/>
  <c r="MDF64" i="1"/>
  <c r="MDG64" i="1"/>
  <c r="MDH64" i="1"/>
  <c r="MDI64" i="1"/>
  <c r="MDJ64" i="1"/>
  <c r="MDK64" i="1"/>
  <c r="MDL64" i="1"/>
  <c r="MDM64" i="1"/>
  <c r="MDN64" i="1"/>
  <c r="MDO64" i="1"/>
  <c r="MDP64" i="1"/>
  <c r="MDQ64" i="1"/>
  <c r="MDR64" i="1"/>
  <c r="MDS64" i="1"/>
  <c r="MDT64" i="1"/>
  <c r="MDU64" i="1"/>
  <c r="MDV64" i="1"/>
  <c r="MDW64" i="1"/>
  <c r="MDX64" i="1"/>
  <c r="MDY64" i="1"/>
  <c r="MDZ64" i="1"/>
  <c r="MEA64" i="1"/>
  <c r="MEB64" i="1"/>
  <c r="MEC64" i="1"/>
  <c r="MED64" i="1"/>
  <c r="MEE64" i="1"/>
  <c r="MEF64" i="1"/>
  <c r="MEG64" i="1"/>
  <c r="MEH64" i="1"/>
  <c r="MEI64" i="1"/>
  <c r="MEJ64" i="1"/>
  <c r="MEK64" i="1"/>
  <c r="MEL64" i="1"/>
  <c r="MEM64" i="1"/>
  <c r="MEN64" i="1"/>
  <c r="MEO64" i="1"/>
  <c r="MEP64" i="1"/>
  <c r="MEQ64" i="1"/>
  <c r="MER64" i="1"/>
  <c r="MES64" i="1"/>
  <c r="MET64" i="1"/>
  <c r="MEU64" i="1"/>
  <c r="MEV64" i="1"/>
  <c r="MEW64" i="1"/>
  <c r="MEX64" i="1"/>
  <c r="MEY64" i="1"/>
  <c r="MEZ64" i="1"/>
  <c r="MFA64" i="1"/>
  <c r="MFB64" i="1"/>
  <c r="MFC64" i="1"/>
  <c r="MFD64" i="1"/>
  <c r="MFE64" i="1"/>
  <c r="MFF64" i="1"/>
  <c r="MFG64" i="1"/>
  <c r="MFH64" i="1"/>
  <c r="MFI64" i="1"/>
  <c r="MFJ64" i="1"/>
  <c r="MFK64" i="1"/>
  <c r="MFL64" i="1"/>
  <c r="MFM64" i="1"/>
  <c r="MFN64" i="1"/>
  <c r="MFO64" i="1"/>
  <c r="MFP64" i="1"/>
  <c r="MFQ64" i="1"/>
  <c r="MFR64" i="1"/>
  <c r="MFS64" i="1"/>
  <c r="MFT64" i="1"/>
  <c r="MFU64" i="1"/>
  <c r="MFV64" i="1"/>
  <c r="MFW64" i="1"/>
  <c r="MFX64" i="1"/>
  <c r="MFY64" i="1"/>
  <c r="MFZ64" i="1"/>
  <c r="MGA64" i="1"/>
  <c r="MGB64" i="1"/>
  <c r="MGC64" i="1"/>
  <c r="MGD64" i="1"/>
  <c r="MGE64" i="1"/>
  <c r="MGF64" i="1"/>
  <c r="MGG64" i="1"/>
  <c r="MGH64" i="1"/>
  <c r="MGI64" i="1"/>
  <c r="MGJ64" i="1"/>
  <c r="MGK64" i="1"/>
  <c r="MGL64" i="1"/>
  <c r="MGM64" i="1"/>
  <c r="MGN64" i="1"/>
  <c r="MGO64" i="1"/>
  <c r="MGP64" i="1"/>
  <c r="MGQ64" i="1"/>
  <c r="MGR64" i="1"/>
  <c r="MGS64" i="1"/>
  <c r="MGT64" i="1"/>
  <c r="MGU64" i="1"/>
  <c r="MGV64" i="1"/>
  <c r="MGW64" i="1"/>
  <c r="MGX64" i="1"/>
  <c r="MGY64" i="1"/>
  <c r="MGZ64" i="1"/>
  <c r="MHA64" i="1"/>
  <c r="MHB64" i="1"/>
  <c r="MHC64" i="1"/>
  <c r="MHD64" i="1"/>
  <c r="MHE64" i="1"/>
  <c r="MHF64" i="1"/>
  <c r="MHG64" i="1"/>
  <c r="MHH64" i="1"/>
  <c r="MHI64" i="1"/>
  <c r="MHJ64" i="1"/>
  <c r="MHK64" i="1"/>
  <c r="MHL64" i="1"/>
  <c r="MHM64" i="1"/>
  <c r="MHN64" i="1"/>
  <c r="MHO64" i="1"/>
  <c r="MHP64" i="1"/>
  <c r="MHQ64" i="1"/>
  <c r="MHR64" i="1"/>
  <c r="MHS64" i="1"/>
  <c r="MHT64" i="1"/>
  <c r="MHU64" i="1"/>
  <c r="MHV64" i="1"/>
  <c r="MHW64" i="1"/>
  <c r="MHX64" i="1"/>
  <c r="MHY64" i="1"/>
  <c r="MHZ64" i="1"/>
  <c r="MIA64" i="1"/>
  <c r="MIB64" i="1"/>
  <c r="MIC64" i="1"/>
  <c r="MID64" i="1"/>
  <c r="MIE64" i="1"/>
  <c r="MIF64" i="1"/>
  <c r="MIG64" i="1"/>
  <c r="MIH64" i="1"/>
  <c r="MII64" i="1"/>
  <c r="MIJ64" i="1"/>
  <c r="MIK64" i="1"/>
  <c r="MIL64" i="1"/>
  <c r="MIM64" i="1"/>
  <c r="MIN64" i="1"/>
  <c r="MIO64" i="1"/>
  <c r="MIP64" i="1"/>
  <c r="MIQ64" i="1"/>
  <c r="MIR64" i="1"/>
  <c r="MIS64" i="1"/>
  <c r="MIT64" i="1"/>
  <c r="MIU64" i="1"/>
  <c r="MIV64" i="1"/>
  <c r="MIW64" i="1"/>
  <c r="MIX64" i="1"/>
  <c r="MIY64" i="1"/>
  <c r="MIZ64" i="1"/>
  <c r="MJA64" i="1"/>
  <c r="MJB64" i="1"/>
  <c r="MJC64" i="1"/>
  <c r="MJD64" i="1"/>
  <c r="MJE64" i="1"/>
  <c r="MJF64" i="1"/>
  <c r="MJG64" i="1"/>
  <c r="MJH64" i="1"/>
  <c r="MJI64" i="1"/>
  <c r="MJJ64" i="1"/>
  <c r="MJK64" i="1"/>
  <c r="MJL64" i="1"/>
  <c r="MJM64" i="1"/>
  <c r="MJN64" i="1"/>
  <c r="MJO64" i="1"/>
  <c r="MJP64" i="1"/>
  <c r="MJQ64" i="1"/>
  <c r="MJR64" i="1"/>
  <c r="MJS64" i="1"/>
  <c r="MJT64" i="1"/>
  <c r="MJU64" i="1"/>
  <c r="MJV64" i="1"/>
  <c r="MJW64" i="1"/>
  <c r="MJX64" i="1"/>
  <c r="MJY64" i="1"/>
  <c r="MJZ64" i="1"/>
  <c r="MKA64" i="1"/>
  <c r="MKB64" i="1"/>
  <c r="MKC64" i="1"/>
  <c r="MKD64" i="1"/>
  <c r="MKE64" i="1"/>
  <c r="MKF64" i="1"/>
  <c r="MKG64" i="1"/>
  <c r="MKH64" i="1"/>
  <c r="MKI64" i="1"/>
  <c r="MKJ64" i="1"/>
  <c r="MKK64" i="1"/>
  <c r="MKL64" i="1"/>
  <c r="MKM64" i="1"/>
  <c r="MKN64" i="1"/>
  <c r="MKO64" i="1"/>
  <c r="MKP64" i="1"/>
  <c r="MKQ64" i="1"/>
  <c r="MKR64" i="1"/>
  <c r="MKS64" i="1"/>
  <c r="MKT64" i="1"/>
  <c r="MKU64" i="1"/>
  <c r="MKV64" i="1"/>
  <c r="MKW64" i="1"/>
  <c r="MKX64" i="1"/>
  <c r="MKY64" i="1"/>
  <c r="MKZ64" i="1"/>
  <c r="MLA64" i="1"/>
  <c r="MLB64" i="1"/>
  <c r="MLC64" i="1"/>
  <c r="MLD64" i="1"/>
  <c r="MLE64" i="1"/>
  <c r="MLF64" i="1"/>
  <c r="MLG64" i="1"/>
  <c r="MLH64" i="1"/>
  <c r="MLI64" i="1"/>
  <c r="MLJ64" i="1"/>
  <c r="MLK64" i="1"/>
  <c r="MLL64" i="1"/>
  <c r="MLM64" i="1"/>
  <c r="MLN64" i="1"/>
  <c r="MLO64" i="1"/>
  <c r="MLP64" i="1"/>
  <c r="MLQ64" i="1"/>
  <c r="MLR64" i="1"/>
  <c r="MLS64" i="1"/>
  <c r="MLT64" i="1"/>
  <c r="MLU64" i="1"/>
  <c r="MLV64" i="1"/>
  <c r="MLW64" i="1"/>
  <c r="MLX64" i="1"/>
  <c r="MLY64" i="1"/>
  <c r="MLZ64" i="1"/>
  <c r="MMA64" i="1"/>
  <c r="MMB64" i="1"/>
  <c r="MMC64" i="1"/>
  <c r="MMD64" i="1"/>
  <c r="MME64" i="1"/>
  <c r="MMF64" i="1"/>
  <c r="MMG64" i="1"/>
  <c r="MMH64" i="1"/>
  <c r="MMI64" i="1"/>
  <c r="MMJ64" i="1"/>
  <c r="MMK64" i="1"/>
  <c r="MML64" i="1"/>
  <c r="MMM64" i="1"/>
  <c r="MMN64" i="1"/>
  <c r="MMO64" i="1"/>
  <c r="MMP64" i="1"/>
  <c r="MMQ64" i="1"/>
  <c r="MMR64" i="1"/>
  <c r="MMS64" i="1"/>
  <c r="MMT64" i="1"/>
  <c r="MMU64" i="1"/>
  <c r="MMV64" i="1"/>
  <c r="MMW64" i="1"/>
  <c r="MMX64" i="1"/>
  <c r="MMY64" i="1"/>
  <c r="MMZ64" i="1"/>
  <c r="MNA64" i="1"/>
  <c r="MNB64" i="1"/>
  <c r="MNC64" i="1"/>
  <c r="MND64" i="1"/>
  <c r="MNE64" i="1"/>
  <c r="MNF64" i="1"/>
  <c r="MNG64" i="1"/>
  <c r="MNH64" i="1"/>
  <c r="MNI64" i="1"/>
  <c r="MNJ64" i="1"/>
  <c r="MNK64" i="1"/>
  <c r="MNL64" i="1"/>
  <c r="MNM64" i="1"/>
  <c r="MNN64" i="1"/>
  <c r="MNO64" i="1"/>
  <c r="MNP64" i="1"/>
  <c r="MNQ64" i="1"/>
  <c r="MNR64" i="1"/>
  <c r="MNS64" i="1"/>
  <c r="MNT64" i="1"/>
  <c r="MNU64" i="1"/>
  <c r="MNV64" i="1"/>
  <c r="MNW64" i="1"/>
  <c r="MNX64" i="1"/>
  <c r="MNY64" i="1"/>
  <c r="MNZ64" i="1"/>
  <c r="MOA64" i="1"/>
  <c r="MOB64" i="1"/>
  <c r="MOC64" i="1"/>
  <c r="MOD64" i="1"/>
  <c r="MOE64" i="1"/>
  <c r="MOF64" i="1"/>
  <c r="MOG64" i="1"/>
  <c r="MOH64" i="1"/>
  <c r="MOI64" i="1"/>
  <c r="MOJ64" i="1"/>
  <c r="MOK64" i="1"/>
  <c r="MOL64" i="1"/>
  <c r="MOM64" i="1"/>
  <c r="MON64" i="1"/>
  <c r="MOO64" i="1"/>
  <c r="MOP64" i="1"/>
  <c r="MOQ64" i="1"/>
  <c r="MOR64" i="1"/>
  <c r="MOS64" i="1"/>
  <c r="MOT64" i="1"/>
  <c r="MOU64" i="1"/>
  <c r="MOV64" i="1"/>
  <c r="MOW64" i="1"/>
  <c r="MOX64" i="1"/>
  <c r="MOY64" i="1"/>
  <c r="MOZ64" i="1"/>
  <c r="MPA64" i="1"/>
  <c r="MPB64" i="1"/>
  <c r="MPC64" i="1"/>
  <c r="MPD64" i="1"/>
  <c r="MPE64" i="1"/>
  <c r="MPF64" i="1"/>
  <c r="MPG64" i="1"/>
  <c r="MPH64" i="1"/>
  <c r="MPI64" i="1"/>
  <c r="MPJ64" i="1"/>
  <c r="MPK64" i="1"/>
  <c r="MPL64" i="1"/>
  <c r="MPM64" i="1"/>
  <c r="MPN64" i="1"/>
  <c r="MPO64" i="1"/>
  <c r="MPP64" i="1"/>
  <c r="MPQ64" i="1"/>
  <c r="MPR64" i="1"/>
  <c r="MPS64" i="1"/>
  <c r="MPT64" i="1"/>
  <c r="MPU64" i="1"/>
  <c r="MPV64" i="1"/>
  <c r="MPW64" i="1"/>
  <c r="MPX64" i="1"/>
  <c r="MPY64" i="1"/>
  <c r="MPZ64" i="1"/>
  <c r="MQA64" i="1"/>
  <c r="MQB64" i="1"/>
  <c r="MQC64" i="1"/>
  <c r="MQD64" i="1"/>
  <c r="MQE64" i="1"/>
  <c r="MQF64" i="1"/>
  <c r="MQG64" i="1"/>
  <c r="MQH64" i="1"/>
  <c r="MQI64" i="1"/>
  <c r="MQJ64" i="1"/>
  <c r="MQK64" i="1"/>
  <c r="MQL64" i="1"/>
  <c r="MQM64" i="1"/>
  <c r="MQN64" i="1"/>
  <c r="MQO64" i="1"/>
  <c r="MQP64" i="1"/>
  <c r="MQQ64" i="1"/>
  <c r="MQR64" i="1"/>
  <c r="MQS64" i="1"/>
  <c r="MQT64" i="1"/>
  <c r="MQU64" i="1"/>
  <c r="MQV64" i="1"/>
  <c r="MQW64" i="1"/>
  <c r="MQX64" i="1"/>
  <c r="MQY64" i="1"/>
  <c r="MQZ64" i="1"/>
  <c r="MRA64" i="1"/>
  <c r="MRB64" i="1"/>
  <c r="MRC64" i="1"/>
  <c r="MRD64" i="1"/>
  <c r="MRE64" i="1"/>
  <c r="MRF64" i="1"/>
  <c r="MRG64" i="1"/>
  <c r="MRH64" i="1"/>
  <c r="MRI64" i="1"/>
  <c r="MRJ64" i="1"/>
  <c r="MRK64" i="1"/>
  <c r="MRL64" i="1"/>
  <c r="MRM64" i="1"/>
  <c r="MRN64" i="1"/>
  <c r="MRO64" i="1"/>
  <c r="MRP64" i="1"/>
  <c r="MRQ64" i="1"/>
  <c r="MRR64" i="1"/>
  <c r="MRS64" i="1"/>
  <c r="MRT64" i="1"/>
  <c r="MRU64" i="1"/>
  <c r="MRV64" i="1"/>
  <c r="MRW64" i="1"/>
  <c r="MRX64" i="1"/>
  <c r="MRY64" i="1"/>
  <c r="MRZ64" i="1"/>
  <c r="MSA64" i="1"/>
  <c r="MSB64" i="1"/>
  <c r="MSC64" i="1"/>
  <c r="MSD64" i="1"/>
  <c r="MSE64" i="1"/>
  <c r="MSF64" i="1"/>
  <c r="MSG64" i="1"/>
  <c r="MSH64" i="1"/>
  <c r="MSI64" i="1"/>
  <c r="MSJ64" i="1"/>
  <c r="MSK64" i="1"/>
  <c r="MSL64" i="1"/>
  <c r="MSM64" i="1"/>
  <c r="MSN64" i="1"/>
  <c r="MSO64" i="1"/>
  <c r="MSP64" i="1"/>
  <c r="MSQ64" i="1"/>
  <c r="MSR64" i="1"/>
  <c r="MSS64" i="1"/>
  <c r="MST64" i="1"/>
  <c r="MSU64" i="1"/>
  <c r="MSV64" i="1"/>
  <c r="MSW64" i="1"/>
  <c r="MSX64" i="1"/>
  <c r="MSY64" i="1"/>
  <c r="MSZ64" i="1"/>
  <c r="MTA64" i="1"/>
  <c r="MTB64" i="1"/>
  <c r="MTC64" i="1"/>
  <c r="MTD64" i="1"/>
  <c r="MTE64" i="1"/>
  <c r="MTF64" i="1"/>
  <c r="MTG64" i="1"/>
  <c r="MTH64" i="1"/>
  <c r="MTI64" i="1"/>
  <c r="MTJ64" i="1"/>
  <c r="MTK64" i="1"/>
  <c r="MTL64" i="1"/>
  <c r="MTM64" i="1"/>
  <c r="MTN64" i="1"/>
  <c r="MTO64" i="1"/>
  <c r="MTP64" i="1"/>
  <c r="MTQ64" i="1"/>
  <c r="MTR64" i="1"/>
  <c r="MTS64" i="1"/>
  <c r="MTT64" i="1"/>
  <c r="MTU64" i="1"/>
  <c r="MTV64" i="1"/>
  <c r="MTW64" i="1"/>
  <c r="MTX64" i="1"/>
  <c r="MTY64" i="1"/>
  <c r="MTZ64" i="1"/>
  <c r="MUA64" i="1"/>
  <c r="MUB64" i="1"/>
  <c r="MUC64" i="1"/>
  <c r="MUD64" i="1"/>
  <c r="MUE64" i="1"/>
  <c r="MUF64" i="1"/>
  <c r="MUG64" i="1"/>
  <c r="MUH64" i="1"/>
  <c r="MUI64" i="1"/>
  <c r="MUJ64" i="1"/>
  <c r="MUK64" i="1"/>
  <c r="MUL64" i="1"/>
  <c r="MUM64" i="1"/>
  <c r="MUN64" i="1"/>
  <c r="MUO64" i="1"/>
  <c r="MUP64" i="1"/>
  <c r="MUQ64" i="1"/>
  <c r="MUR64" i="1"/>
  <c r="MUS64" i="1"/>
  <c r="MUT64" i="1"/>
  <c r="MUU64" i="1"/>
  <c r="MUV64" i="1"/>
  <c r="MUW64" i="1"/>
  <c r="MUX64" i="1"/>
  <c r="MUY64" i="1"/>
  <c r="MUZ64" i="1"/>
  <c r="MVA64" i="1"/>
  <c r="MVB64" i="1"/>
  <c r="MVC64" i="1"/>
  <c r="MVD64" i="1"/>
  <c r="MVE64" i="1"/>
  <c r="MVF64" i="1"/>
  <c r="MVG64" i="1"/>
  <c r="MVH64" i="1"/>
  <c r="MVI64" i="1"/>
  <c r="MVJ64" i="1"/>
  <c r="MVK64" i="1"/>
  <c r="MVL64" i="1"/>
  <c r="MVM64" i="1"/>
  <c r="MVN64" i="1"/>
  <c r="MVO64" i="1"/>
  <c r="MVP64" i="1"/>
  <c r="MVQ64" i="1"/>
  <c r="MVR64" i="1"/>
  <c r="MVS64" i="1"/>
  <c r="MVT64" i="1"/>
  <c r="MVU64" i="1"/>
  <c r="MVV64" i="1"/>
  <c r="MVW64" i="1"/>
  <c r="MVX64" i="1"/>
  <c r="MVY64" i="1"/>
  <c r="MVZ64" i="1"/>
  <c r="MWA64" i="1"/>
  <c r="MWB64" i="1"/>
  <c r="MWC64" i="1"/>
  <c r="MWD64" i="1"/>
  <c r="MWE64" i="1"/>
  <c r="MWF64" i="1"/>
  <c r="MWG64" i="1"/>
  <c r="MWH64" i="1"/>
  <c r="MWI64" i="1"/>
  <c r="MWJ64" i="1"/>
  <c r="MWK64" i="1"/>
  <c r="MWL64" i="1"/>
  <c r="MWM64" i="1"/>
  <c r="MWN64" i="1"/>
  <c r="MWO64" i="1"/>
  <c r="MWP64" i="1"/>
  <c r="MWQ64" i="1"/>
  <c r="MWR64" i="1"/>
  <c r="MWS64" i="1"/>
  <c r="MWT64" i="1"/>
  <c r="MWU64" i="1"/>
  <c r="MWV64" i="1"/>
  <c r="MWW64" i="1"/>
  <c r="MWX64" i="1"/>
  <c r="MWY64" i="1"/>
  <c r="MWZ64" i="1"/>
  <c r="MXA64" i="1"/>
  <c r="MXB64" i="1"/>
  <c r="MXC64" i="1"/>
  <c r="MXD64" i="1"/>
  <c r="MXE64" i="1"/>
  <c r="MXF64" i="1"/>
  <c r="MXG64" i="1"/>
  <c r="MXH64" i="1"/>
  <c r="MXI64" i="1"/>
  <c r="MXJ64" i="1"/>
  <c r="MXK64" i="1"/>
  <c r="MXL64" i="1"/>
  <c r="MXM64" i="1"/>
  <c r="MXN64" i="1"/>
  <c r="MXO64" i="1"/>
  <c r="MXP64" i="1"/>
  <c r="MXQ64" i="1"/>
  <c r="MXR64" i="1"/>
  <c r="MXS64" i="1"/>
  <c r="MXT64" i="1"/>
  <c r="MXU64" i="1"/>
  <c r="MXV64" i="1"/>
  <c r="MXW64" i="1"/>
  <c r="MXX64" i="1"/>
  <c r="MXY64" i="1"/>
  <c r="MXZ64" i="1"/>
  <c r="MYA64" i="1"/>
  <c r="MYB64" i="1"/>
  <c r="MYC64" i="1"/>
  <c r="MYD64" i="1"/>
  <c r="MYE64" i="1"/>
  <c r="MYF64" i="1"/>
  <c r="MYG64" i="1"/>
  <c r="MYH64" i="1"/>
  <c r="MYI64" i="1"/>
  <c r="MYJ64" i="1"/>
  <c r="MYK64" i="1"/>
  <c r="MYL64" i="1"/>
  <c r="MYM64" i="1"/>
  <c r="MYN64" i="1"/>
  <c r="MYO64" i="1"/>
  <c r="MYP64" i="1"/>
  <c r="MYQ64" i="1"/>
  <c r="MYR64" i="1"/>
  <c r="MYS64" i="1"/>
  <c r="MYT64" i="1"/>
  <c r="MYU64" i="1"/>
  <c r="MYV64" i="1"/>
  <c r="MYW64" i="1"/>
  <c r="MYX64" i="1"/>
  <c r="MYY64" i="1"/>
  <c r="MYZ64" i="1"/>
  <c r="MZA64" i="1"/>
  <c r="MZB64" i="1"/>
  <c r="MZC64" i="1"/>
  <c r="MZD64" i="1"/>
  <c r="MZE64" i="1"/>
  <c r="MZF64" i="1"/>
  <c r="MZG64" i="1"/>
  <c r="MZH64" i="1"/>
  <c r="MZI64" i="1"/>
  <c r="MZJ64" i="1"/>
  <c r="MZK64" i="1"/>
  <c r="MZL64" i="1"/>
  <c r="MZM64" i="1"/>
  <c r="MZN64" i="1"/>
  <c r="MZO64" i="1"/>
  <c r="MZP64" i="1"/>
  <c r="MZQ64" i="1"/>
  <c r="MZR64" i="1"/>
  <c r="MZS64" i="1"/>
  <c r="MZT64" i="1"/>
  <c r="MZU64" i="1"/>
  <c r="MZV64" i="1"/>
  <c r="MZW64" i="1"/>
  <c r="MZX64" i="1"/>
  <c r="MZY64" i="1"/>
  <c r="MZZ64" i="1"/>
  <c r="NAA64" i="1"/>
  <c r="NAB64" i="1"/>
  <c r="NAC64" i="1"/>
  <c r="NAD64" i="1"/>
  <c r="NAE64" i="1"/>
  <c r="NAF64" i="1"/>
  <c r="NAG64" i="1"/>
  <c r="NAH64" i="1"/>
  <c r="NAI64" i="1"/>
  <c r="NAJ64" i="1"/>
  <c r="NAK64" i="1"/>
  <c r="NAL64" i="1"/>
  <c r="NAM64" i="1"/>
  <c r="NAN64" i="1"/>
  <c r="NAO64" i="1"/>
  <c r="NAP64" i="1"/>
  <c r="NAQ64" i="1"/>
  <c r="NAR64" i="1"/>
  <c r="NAS64" i="1"/>
  <c r="NAT64" i="1"/>
  <c r="NAU64" i="1"/>
  <c r="NAV64" i="1"/>
  <c r="NAW64" i="1"/>
  <c r="NAX64" i="1"/>
  <c r="NAY64" i="1"/>
  <c r="NAZ64" i="1"/>
  <c r="NBA64" i="1"/>
  <c r="NBB64" i="1"/>
  <c r="NBC64" i="1"/>
  <c r="NBD64" i="1"/>
  <c r="NBE64" i="1"/>
  <c r="NBF64" i="1"/>
  <c r="NBG64" i="1"/>
  <c r="NBH64" i="1"/>
  <c r="NBI64" i="1"/>
  <c r="NBJ64" i="1"/>
  <c r="NBK64" i="1"/>
  <c r="NBL64" i="1"/>
  <c r="NBM64" i="1"/>
  <c r="NBN64" i="1"/>
  <c r="NBO64" i="1"/>
  <c r="NBP64" i="1"/>
  <c r="NBQ64" i="1"/>
  <c r="NBR64" i="1"/>
  <c r="NBS64" i="1"/>
  <c r="NBT64" i="1"/>
  <c r="NBU64" i="1"/>
  <c r="NBV64" i="1"/>
  <c r="NBW64" i="1"/>
  <c r="NBX64" i="1"/>
  <c r="NBY64" i="1"/>
  <c r="NBZ64" i="1"/>
  <c r="NCA64" i="1"/>
  <c r="NCB64" i="1"/>
  <c r="NCC64" i="1"/>
  <c r="NCD64" i="1"/>
  <c r="NCE64" i="1"/>
  <c r="NCF64" i="1"/>
  <c r="NCG64" i="1"/>
  <c r="NCH64" i="1"/>
  <c r="NCI64" i="1"/>
  <c r="NCJ64" i="1"/>
  <c r="NCK64" i="1"/>
  <c r="NCL64" i="1"/>
  <c r="NCM64" i="1"/>
  <c r="NCN64" i="1"/>
  <c r="NCO64" i="1"/>
  <c r="NCP64" i="1"/>
  <c r="NCQ64" i="1"/>
  <c r="NCR64" i="1"/>
  <c r="NCS64" i="1"/>
  <c r="NCT64" i="1"/>
  <c r="NCU64" i="1"/>
  <c r="NCV64" i="1"/>
  <c r="NCW64" i="1"/>
  <c r="NCX64" i="1"/>
  <c r="NCY64" i="1"/>
  <c r="NCZ64" i="1"/>
  <c r="NDA64" i="1"/>
  <c r="NDB64" i="1"/>
  <c r="NDC64" i="1"/>
  <c r="NDD64" i="1"/>
  <c r="NDE64" i="1"/>
  <c r="NDF64" i="1"/>
  <c r="NDG64" i="1"/>
  <c r="NDH64" i="1"/>
  <c r="NDI64" i="1"/>
  <c r="NDJ64" i="1"/>
  <c r="NDK64" i="1"/>
  <c r="NDL64" i="1"/>
  <c r="NDM64" i="1"/>
  <c r="NDN64" i="1"/>
  <c r="NDO64" i="1"/>
  <c r="NDP64" i="1"/>
  <c r="NDQ64" i="1"/>
  <c r="NDR64" i="1"/>
  <c r="NDS64" i="1"/>
  <c r="NDT64" i="1"/>
  <c r="NDU64" i="1"/>
  <c r="NDV64" i="1"/>
  <c r="NDW64" i="1"/>
  <c r="NDX64" i="1"/>
  <c r="NDY64" i="1"/>
  <c r="NDZ64" i="1"/>
  <c r="NEA64" i="1"/>
  <c r="NEB64" i="1"/>
  <c r="NEC64" i="1"/>
  <c r="NED64" i="1"/>
  <c r="NEE64" i="1"/>
  <c r="NEF64" i="1"/>
  <c r="NEG64" i="1"/>
  <c r="NEH64" i="1"/>
  <c r="NEI64" i="1"/>
  <c r="NEJ64" i="1"/>
  <c r="NEK64" i="1"/>
  <c r="NEL64" i="1"/>
  <c r="NEM64" i="1"/>
  <c r="NEN64" i="1"/>
  <c r="NEO64" i="1"/>
  <c r="NEP64" i="1"/>
  <c r="NEQ64" i="1"/>
  <c r="NER64" i="1"/>
  <c r="NES64" i="1"/>
  <c r="NET64" i="1"/>
  <c r="NEU64" i="1"/>
  <c r="NEV64" i="1"/>
  <c r="NEW64" i="1"/>
  <c r="NEX64" i="1"/>
  <c r="NEY64" i="1"/>
  <c r="NEZ64" i="1"/>
  <c r="NFA64" i="1"/>
  <c r="NFB64" i="1"/>
  <c r="NFC64" i="1"/>
  <c r="NFD64" i="1"/>
  <c r="NFE64" i="1"/>
  <c r="NFF64" i="1"/>
  <c r="NFG64" i="1"/>
  <c r="NFH64" i="1"/>
  <c r="NFI64" i="1"/>
  <c r="NFJ64" i="1"/>
  <c r="NFK64" i="1"/>
  <c r="NFL64" i="1"/>
  <c r="NFM64" i="1"/>
  <c r="NFN64" i="1"/>
  <c r="NFO64" i="1"/>
  <c r="NFP64" i="1"/>
  <c r="NFQ64" i="1"/>
  <c r="NFR64" i="1"/>
  <c r="NFS64" i="1"/>
  <c r="NFT64" i="1"/>
  <c r="NFU64" i="1"/>
  <c r="NFV64" i="1"/>
  <c r="NFW64" i="1"/>
  <c r="NFX64" i="1"/>
  <c r="NFY64" i="1"/>
  <c r="NFZ64" i="1"/>
  <c r="NGA64" i="1"/>
  <c r="NGB64" i="1"/>
  <c r="NGC64" i="1"/>
  <c r="NGD64" i="1"/>
  <c r="NGE64" i="1"/>
  <c r="NGF64" i="1"/>
  <c r="NGG64" i="1"/>
  <c r="NGH64" i="1"/>
  <c r="NGI64" i="1"/>
  <c r="NGJ64" i="1"/>
  <c r="NGK64" i="1"/>
  <c r="NGL64" i="1"/>
  <c r="NGM64" i="1"/>
  <c r="NGN64" i="1"/>
  <c r="NGO64" i="1"/>
  <c r="NGP64" i="1"/>
  <c r="NGQ64" i="1"/>
  <c r="NGR64" i="1"/>
  <c r="NGS64" i="1"/>
  <c r="NGT64" i="1"/>
  <c r="NGU64" i="1"/>
  <c r="NGV64" i="1"/>
  <c r="NGW64" i="1"/>
  <c r="NGX64" i="1"/>
  <c r="NGY64" i="1"/>
  <c r="NGZ64" i="1"/>
  <c r="NHA64" i="1"/>
  <c r="NHB64" i="1"/>
  <c r="NHC64" i="1"/>
  <c r="NHD64" i="1"/>
  <c r="NHE64" i="1"/>
  <c r="NHF64" i="1"/>
  <c r="NHG64" i="1"/>
  <c r="NHH64" i="1"/>
  <c r="NHI64" i="1"/>
  <c r="NHJ64" i="1"/>
  <c r="NHK64" i="1"/>
  <c r="NHL64" i="1"/>
  <c r="NHM64" i="1"/>
  <c r="NHN64" i="1"/>
  <c r="NHO64" i="1"/>
  <c r="NHP64" i="1"/>
  <c r="NHQ64" i="1"/>
  <c r="NHR64" i="1"/>
  <c r="NHS64" i="1"/>
  <c r="NHT64" i="1"/>
  <c r="NHU64" i="1"/>
  <c r="NHV64" i="1"/>
  <c r="NHW64" i="1"/>
  <c r="NHX64" i="1"/>
  <c r="NHY64" i="1"/>
  <c r="NHZ64" i="1"/>
  <c r="NIA64" i="1"/>
  <c r="NIB64" i="1"/>
  <c r="NIC64" i="1"/>
  <c r="NID64" i="1"/>
  <c r="NIE64" i="1"/>
  <c r="NIF64" i="1"/>
  <c r="NIG64" i="1"/>
  <c r="NIH64" i="1"/>
  <c r="NII64" i="1"/>
  <c r="NIJ64" i="1"/>
  <c r="NIK64" i="1"/>
  <c r="NIL64" i="1"/>
  <c r="NIM64" i="1"/>
  <c r="NIN64" i="1"/>
  <c r="NIO64" i="1"/>
  <c r="NIP64" i="1"/>
  <c r="NIQ64" i="1"/>
  <c r="NIR64" i="1"/>
  <c r="NIS64" i="1"/>
  <c r="NIT64" i="1"/>
  <c r="NIU64" i="1"/>
  <c r="NIV64" i="1"/>
  <c r="NIW64" i="1"/>
  <c r="NIX64" i="1"/>
  <c r="NIY64" i="1"/>
  <c r="NIZ64" i="1"/>
  <c r="NJA64" i="1"/>
  <c r="NJB64" i="1"/>
  <c r="NJC64" i="1"/>
  <c r="NJD64" i="1"/>
  <c r="NJE64" i="1"/>
  <c r="NJF64" i="1"/>
  <c r="NJG64" i="1"/>
  <c r="NJH64" i="1"/>
  <c r="NJI64" i="1"/>
  <c r="NJJ64" i="1"/>
  <c r="NJK64" i="1"/>
  <c r="NJL64" i="1"/>
  <c r="NJM64" i="1"/>
  <c r="NJN64" i="1"/>
  <c r="NJO64" i="1"/>
  <c r="NJP64" i="1"/>
  <c r="NJQ64" i="1"/>
  <c r="NJR64" i="1"/>
  <c r="NJS64" i="1"/>
  <c r="NJT64" i="1"/>
  <c r="NJU64" i="1"/>
  <c r="NJV64" i="1"/>
  <c r="NJW64" i="1"/>
  <c r="NJX64" i="1"/>
  <c r="NJY64" i="1"/>
  <c r="NJZ64" i="1"/>
  <c r="NKA64" i="1"/>
  <c r="NKB64" i="1"/>
  <c r="NKC64" i="1"/>
  <c r="NKD64" i="1"/>
  <c r="NKE64" i="1"/>
  <c r="NKF64" i="1"/>
  <c r="NKG64" i="1"/>
  <c r="NKH64" i="1"/>
  <c r="NKI64" i="1"/>
  <c r="NKJ64" i="1"/>
  <c r="NKK64" i="1"/>
  <c r="NKL64" i="1"/>
  <c r="NKM64" i="1"/>
  <c r="NKN64" i="1"/>
  <c r="NKO64" i="1"/>
  <c r="NKP64" i="1"/>
  <c r="NKQ64" i="1"/>
  <c r="NKR64" i="1"/>
  <c r="NKS64" i="1"/>
  <c r="NKT64" i="1"/>
  <c r="NKU64" i="1"/>
  <c r="NKV64" i="1"/>
  <c r="NKW64" i="1"/>
  <c r="NKX64" i="1"/>
  <c r="NKY64" i="1"/>
  <c r="NKZ64" i="1"/>
  <c r="NLA64" i="1"/>
  <c r="NLB64" i="1"/>
  <c r="NLC64" i="1"/>
  <c r="NLD64" i="1"/>
  <c r="NLE64" i="1"/>
  <c r="NLF64" i="1"/>
  <c r="NLG64" i="1"/>
  <c r="NLH64" i="1"/>
  <c r="NLI64" i="1"/>
  <c r="NLJ64" i="1"/>
  <c r="NLK64" i="1"/>
  <c r="NLL64" i="1"/>
  <c r="NLM64" i="1"/>
  <c r="NLN64" i="1"/>
  <c r="NLO64" i="1"/>
  <c r="NLP64" i="1"/>
  <c r="NLQ64" i="1"/>
  <c r="NLR64" i="1"/>
  <c r="NLS64" i="1"/>
  <c r="NLT64" i="1"/>
  <c r="NLU64" i="1"/>
  <c r="NLV64" i="1"/>
  <c r="NLW64" i="1"/>
  <c r="NLX64" i="1"/>
  <c r="NLY64" i="1"/>
  <c r="NLZ64" i="1"/>
  <c r="NMA64" i="1"/>
  <c r="NMB64" i="1"/>
  <c r="NMC64" i="1"/>
  <c r="NMD64" i="1"/>
  <c r="NME64" i="1"/>
  <c r="NMF64" i="1"/>
  <c r="NMG64" i="1"/>
  <c r="NMH64" i="1"/>
  <c r="NMI64" i="1"/>
  <c r="NMJ64" i="1"/>
  <c r="NMK64" i="1"/>
  <c r="NML64" i="1"/>
  <c r="NMM64" i="1"/>
  <c r="NMN64" i="1"/>
  <c r="NMO64" i="1"/>
  <c r="NMP64" i="1"/>
  <c r="NMQ64" i="1"/>
  <c r="NMR64" i="1"/>
  <c r="NMS64" i="1"/>
  <c r="NMT64" i="1"/>
  <c r="NMU64" i="1"/>
  <c r="NMV64" i="1"/>
  <c r="NMW64" i="1"/>
  <c r="NMX64" i="1"/>
  <c r="NMY64" i="1"/>
  <c r="NMZ64" i="1"/>
  <c r="NNA64" i="1"/>
  <c r="NNB64" i="1"/>
  <c r="NNC64" i="1"/>
  <c r="NND64" i="1"/>
  <c r="NNE64" i="1"/>
  <c r="NNF64" i="1"/>
  <c r="NNG64" i="1"/>
  <c r="NNH64" i="1"/>
  <c r="NNI64" i="1"/>
  <c r="NNJ64" i="1"/>
  <c r="NNK64" i="1"/>
  <c r="NNL64" i="1"/>
  <c r="NNM64" i="1"/>
  <c r="NNN64" i="1"/>
  <c r="NNO64" i="1"/>
  <c r="NNP64" i="1"/>
  <c r="NNQ64" i="1"/>
  <c r="NNR64" i="1"/>
  <c r="NNS64" i="1"/>
  <c r="NNT64" i="1"/>
  <c r="NNU64" i="1"/>
  <c r="NNV64" i="1"/>
  <c r="NNW64" i="1"/>
  <c r="NNX64" i="1"/>
  <c r="NNY64" i="1"/>
  <c r="NNZ64" i="1"/>
  <c r="NOA64" i="1"/>
  <c r="NOB64" i="1"/>
  <c r="NOC64" i="1"/>
  <c r="NOD64" i="1"/>
  <c r="NOE64" i="1"/>
  <c r="NOF64" i="1"/>
  <c r="NOG64" i="1"/>
  <c r="NOH64" i="1"/>
  <c r="NOI64" i="1"/>
  <c r="NOJ64" i="1"/>
  <c r="NOK64" i="1"/>
  <c r="NOL64" i="1"/>
  <c r="NOM64" i="1"/>
  <c r="NON64" i="1"/>
  <c r="NOO64" i="1"/>
  <c r="NOP64" i="1"/>
  <c r="NOQ64" i="1"/>
  <c r="NOR64" i="1"/>
  <c r="NOS64" i="1"/>
  <c r="NOT64" i="1"/>
  <c r="NOU64" i="1"/>
  <c r="NOV64" i="1"/>
  <c r="NOW64" i="1"/>
  <c r="NOX64" i="1"/>
  <c r="NOY64" i="1"/>
  <c r="NOZ64" i="1"/>
  <c r="NPA64" i="1"/>
  <c r="NPB64" i="1"/>
  <c r="NPC64" i="1"/>
  <c r="NPD64" i="1"/>
  <c r="NPE64" i="1"/>
  <c r="NPF64" i="1"/>
  <c r="NPG64" i="1"/>
  <c r="NPH64" i="1"/>
  <c r="NPI64" i="1"/>
  <c r="NPJ64" i="1"/>
  <c r="NPK64" i="1"/>
  <c r="NPL64" i="1"/>
  <c r="NPM64" i="1"/>
  <c r="NPN64" i="1"/>
  <c r="NPO64" i="1"/>
  <c r="NPP64" i="1"/>
  <c r="NPQ64" i="1"/>
  <c r="NPR64" i="1"/>
  <c r="NPS64" i="1"/>
  <c r="NPT64" i="1"/>
  <c r="NPU64" i="1"/>
  <c r="NPV64" i="1"/>
  <c r="NPW64" i="1"/>
  <c r="NPX64" i="1"/>
  <c r="NPY64" i="1"/>
  <c r="NPZ64" i="1"/>
  <c r="NQA64" i="1"/>
  <c r="NQB64" i="1"/>
  <c r="NQC64" i="1"/>
  <c r="NQD64" i="1"/>
  <c r="NQE64" i="1"/>
  <c r="NQF64" i="1"/>
  <c r="NQG64" i="1"/>
  <c r="NQH64" i="1"/>
  <c r="NQI64" i="1"/>
  <c r="NQJ64" i="1"/>
  <c r="NQK64" i="1"/>
  <c r="NQL64" i="1"/>
  <c r="NQM64" i="1"/>
  <c r="NQN64" i="1"/>
  <c r="NQO64" i="1"/>
  <c r="NQP64" i="1"/>
  <c r="NQQ64" i="1"/>
  <c r="NQR64" i="1"/>
  <c r="NQS64" i="1"/>
  <c r="NQT64" i="1"/>
  <c r="NQU64" i="1"/>
  <c r="NQV64" i="1"/>
  <c r="NQW64" i="1"/>
  <c r="NQX64" i="1"/>
  <c r="NQY64" i="1"/>
  <c r="NQZ64" i="1"/>
  <c r="NRA64" i="1"/>
  <c r="NRB64" i="1"/>
  <c r="NRC64" i="1"/>
  <c r="NRD64" i="1"/>
  <c r="NRE64" i="1"/>
  <c r="NRF64" i="1"/>
  <c r="NRG64" i="1"/>
  <c r="NRH64" i="1"/>
  <c r="NRI64" i="1"/>
  <c r="NRJ64" i="1"/>
  <c r="NRK64" i="1"/>
  <c r="NRL64" i="1"/>
  <c r="NRM64" i="1"/>
  <c r="NRN64" i="1"/>
  <c r="NRO64" i="1"/>
  <c r="NRP64" i="1"/>
  <c r="NRQ64" i="1"/>
  <c r="NRR64" i="1"/>
  <c r="NRS64" i="1"/>
  <c r="NRT64" i="1"/>
  <c r="NRU64" i="1"/>
  <c r="NRV64" i="1"/>
  <c r="NRW64" i="1"/>
  <c r="NRX64" i="1"/>
  <c r="NRY64" i="1"/>
  <c r="NRZ64" i="1"/>
  <c r="NSA64" i="1"/>
  <c r="NSB64" i="1"/>
  <c r="NSC64" i="1"/>
  <c r="NSD64" i="1"/>
  <c r="NSE64" i="1"/>
  <c r="NSF64" i="1"/>
  <c r="NSG64" i="1"/>
  <c r="NSH64" i="1"/>
  <c r="NSI64" i="1"/>
  <c r="NSJ64" i="1"/>
  <c r="NSK64" i="1"/>
  <c r="NSL64" i="1"/>
  <c r="NSM64" i="1"/>
  <c r="NSN64" i="1"/>
  <c r="NSO64" i="1"/>
  <c r="NSP64" i="1"/>
  <c r="NSQ64" i="1"/>
  <c r="NSR64" i="1"/>
  <c r="NSS64" i="1"/>
  <c r="NST64" i="1"/>
  <c r="NSU64" i="1"/>
  <c r="NSV64" i="1"/>
  <c r="NSW64" i="1"/>
  <c r="NSX64" i="1"/>
  <c r="NSY64" i="1"/>
  <c r="NSZ64" i="1"/>
  <c r="NTA64" i="1"/>
  <c r="NTB64" i="1"/>
  <c r="NTC64" i="1"/>
  <c r="NTD64" i="1"/>
  <c r="NTE64" i="1"/>
  <c r="NTF64" i="1"/>
  <c r="NTG64" i="1"/>
  <c r="NTH64" i="1"/>
  <c r="NTI64" i="1"/>
  <c r="NTJ64" i="1"/>
  <c r="NTK64" i="1"/>
  <c r="NTL64" i="1"/>
  <c r="NTM64" i="1"/>
  <c r="NTN64" i="1"/>
  <c r="NTO64" i="1"/>
  <c r="NTP64" i="1"/>
  <c r="NTQ64" i="1"/>
  <c r="NTR64" i="1"/>
  <c r="NTS64" i="1"/>
  <c r="NTT64" i="1"/>
  <c r="NTU64" i="1"/>
  <c r="NTV64" i="1"/>
  <c r="NTW64" i="1"/>
  <c r="NTX64" i="1"/>
  <c r="NTY64" i="1"/>
  <c r="NTZ64" i="1"/>
  <c r="NUA64" i="1"/>
  <c r="NUB64" i="1"/>
  <c r="NUC64" i="1"/>
  <c r="NUD64" i="1"/>
  <c r="NUE64" i="1"/>
  <c r="NUF64" i="1"/>
  <c r="NUG64" i="1"/>
  <c r="NUH64" i="1"/>
  <c r="NUI64" i="1"/>
  <c r="NUJ64" i="1"/>
  <c r="NUK64" i="1"/>
  <c r="NUL64" i="1"/>
  <c r="NUM64" i="1"/>
  <c r="NUN64" i="1"/>
  <c r="NUO64" i="1"/>
  <c r="NUP64" i="1"/>
  <c r="NUQ64" i="1"/>
  <c r="NUR64" i="1"/>
  <c r="NUS64" i="1"/>
  <c r="NUT64" i="1"/>
  <c r="NUU64" i="1"/>
  <c r="NUV64" i="1"/>
  <c r="NUW64" i="1"/>
  <c r="NUX64" i="1"/>
  <c r="NUY64" i="1"/>
  <c r="NUZ64" i="1"/>
  <c r="NVA64" i="1"/>
  <c r="NVB64" i="1"/>
  <c r="NVC64" i="1"/>
  <c r="NVD64" i="1"/>
  <c r="NVE64" i="1"/>
  <c r="NVF64" i="1"/>
  <c r="NVG64" i="1"/>
  <c r="NVH64" i="1"/>
  <c r="NVI64" i="1"/>
  <c r="NVJ64" i="1"/>
  <c r="NVK64" i="1"/>
  <c r="NVL64" i="1"/>
  <c r="NVM64" i="1"/>
  <c r="NVN64" i="1"/>
  <c r="NVO64" i="1"/>
  <c r="NVP64" i="1"/>
  <c r="NVQ64" i="1"/>
  <c r="NVR64" i="1"/>
  <c r="NVS64" i="1"/>
  <c r="NVT64" i="1"/>
  <c r="NVU64" i="1"/>
  <c r="NVV64" i="1"/>
  <c r="NVW64" i="1"/>
  <c r="NVX64" i="1"/>
  <c r="NVY64" i="1"/>
  <c r="NVZ64" i="1"/>
  <c r="NWA64" i="1"/>
  <c r="NWB64" i="1"/>
  <c r="NWC64" i="1"/>
  <c r="NWD64" i="1"/>
  <c r="NWE64" i="1"/>
  <c r="NWF64" i="1"/>
  <c r="NWG64" i="1"/>
  <c r="NWH64" i="1"/>
  <c r="NWI64" i="1"/>
  <c r="NWJ64" i="1"/>
  <c r="NWK64" i="1"/>
  <c r="NWL64" i="1"/>
  <c r="NWM64" i="1"/>
  <c r="NWN64" i="1"/>
  <c r="NWO64" i="1"/>
  <c r="NWP64" i="1"/>
  <c r="NWQ64" i="1"/>
  <c r="NWR64" i="1"/>
  <c r="NWS64" i="1"/>
  <c r="NWT64" i="1"/>
  <c r="NWU64" i="1"/>
  <c r="NWV64" i="1"/>
  <c r="NWW64" i="1"/>
  <c r="NWX64" i="1"/>
  <c r="NWY64" i="1"/>
  <c r="NWZ64" i="1"/>
  <c r="NXA64" i="1"/>
  <c r="NXB64" i="1"/>
  <c r="NXC64" i="1"/>
  <c r="NXD64" i="1"/>
  <c r="NXE64" i="1"/>
  <c r="NXF64" i="1"/>
  <c r="NXG64" i="1"/>
  <c r="NXH64" i="1"/>
  <c r="NXI64" i="1"/>
  <c r="NXJ64" i="1"/>
  <c r="NXK64" i="1"/>
  <c r="NXL64" i="1"/>
  <c r="NXM64" i="1"/>
  <c r="NXN64" i="1"/>
  <c r="NXO64" i="1"/>
  <c r="NXP64" i="1"/>
  <c r="NXQ64" i="1"/>
  <c r="NXR64" i="1"/>
  <c r="NXS64" i="1"/>
  <c r="NXT64" i="1"/>
  <c r="NXU64" i="1"/>
  <c r="NXV64" i="1"/>
  <c r="NXW64" i="1"/>
  <c r="NXX64" i="1"/>
  <c r="NXY64" i="1"/>
  <c r="NXZ64" i="1"/>
  <c r="NYA64" i="1"/>
  <c r="NYB64" i="1"/>
  <c r="NYC64" i="1"/>
  <c r="NYD64" i="1"/>
  <c r="NYE64" i="1"/>
  <c r="NYF64" i="1"/>
  <c r="NYG64" i="1"/>
  <c r="NYH64" i="1"/>
  <c r="NYI64" i="1"/>
  <c r="NYJ64" i="1"/>
  <c r="NYK64" i="1"/>
  <c r="NYL64" i="1"/>
  <c r="NYM64" i="1"/>
  <c r="NYN64" i="1"/>
  <c r="NYO64" i="1"/>
  <c r="NYP64" i="1"/>
  <c r="NYQ64" i="1"/>
  <c r="NYR64" i="1"/>
  <c r="NYS64" i="1"/>
  <c r="NYT64" i="1"/>
  <c r="NYU64" i="1"/>
  <c r="NYV64" i="1"/>
  <c r="NYW64" i="1"/>
  <c r="NYX64" i="1"/>
  <c r="NYY64" i="1"/>
  <c r="NYZ64" i="1"/>
  <c r="NZA64" i="1"/>
  <c r="NZB64" i="1"/>
  <c r="NZC64" i="1"/>
  <c r="NZD64" i="1"/>
  <c r="NZE64" i="1"/>
  <c r="NZF64" i="1"/>
  <c r="NZG64" i="1"/>
  <c r="NZH64" i="1"/>
  <c r="NZI64" i="1"/>
  <c r="NZJ64" i="1"/>
  <c r="NZK64" i="1"/>
  <c r="NZL64" i="1"/>
  <c r="NZM64" i="1"/>
  <c r="NZN64" i="1"/>
  <c r="NZO64" i="1"/>
  <c r="NZP64" i="1"/>
  <c r="NZQ64" i="1"/>
  <c r="NZR64" i="1"/>
  <c r="NZS64" i="1"/>
  <c r="NZT64" i="1"/>
  <c r="NZU64" i="1"/>
  <c r="NZV64" i="1"/>
  <c r="NZW64" i="1"/>
  <c r="NZX64" i="1"/>
  <c r="NZY64" i="1"/>
  <c r="NZZ64" i="1"/>
  <c r="OAA64" i="1"/>
  <c r="OAB64" i="1"/>
  <c r="OAC64" i="1"/>
  <c r="OAD64" i="1"/>
  <c r="OAE64" i="1"/>
  <c r="OAF64" i="1"/>
  <c r="OAG64" i="1"/>
  <c r="OAH64" i="1"/>
  <c r="OAI64" i="1"/>
  <c r="OAJ64" i="1"/>
  <c r="OAK64" i="1"/>
  <c r="OAL64" i="1"/>
  <c r="OAM64" i="1"/>
  <c r="OAN64" i="1"/>
  <c r="OAO64" i="1"/>
  <c r="OAP64" i="1"/>
  <c r="OAQ64" i="1"/>
  <c r="OAR64" i="1"/>
  <c r="OAS64" i="1"/>
  <c r="OAT64" i="1"/>
  <c r="OAU64" i="1"/>
  <c r="OAV64" i="1"/>
  <c r="OAW64" i="1"/>
  <c r="OAX64" i="1"/>
  <c r="OAY64" i="1"/>
  <c r="OAZ64" i="1"/>
  <c r="OBA64" i="1"/>
  <c r="OBB64" i="1"/>
  <c r="OBC64" i="1"/>
  <c r="OBD64" i="1"/>
  <c r="OBE64" i="1"/>
  <c r="OBF64" i="1"/>
  <c r="OBG64" i="1"/>
  <c r="OBH64" i="1"/>
  <c r="OBI64" i="1"/>
  <c r="OBJ64" i="1"/>
  <c r="OBK64" i="1"/>
  <c r="OBL64" i="1"/>
  <c r="OBM64" i="1"/>
  <c r="OBN64" i="1"/>
  <c r="OBO64" i="1"/>
  <c r="OBP64" i="1"/>
  <c r="OBQ64" i="1"/>
  <c r="OBR64" i="1"/>
  <c r="OBS64" i="1"/>
  <c r="OBT64" i="1"/>
  <c r="OBU64" i="1"/>
  <c r="OBV64" i="1"/>
  <c r="OBW64" i="1"/>
  <c r="OBX64" i="1"/>
  <c r="OBY64" i="1"/>
  <c r="OBZ64" i="1"/>
  <c r="OCA64" i="1"/>
  <c r="OCB64" i="1"/>
  <c r="OCC64" i="1"/>
  <c r="OCD64" i="1"/>
  <c r="OCE64" i="1"/>
  <c r="OCF64" i="1"/>
  <c r="OCG64" i="1"/>
  <c r="OCH64" i="1"/>
  <c r="OCI64" i="1"/>
  <c r="OCJ64" i="1"/>
  <c r="OCK64" i="1"/>
  <c r="OCL64" i="1"/>
  <c r="OCM64" i="1"/>
  <c r="OCN64" i="1"/>
  <c r="OCO64" i="1"/>
  <c r="OCP64" i="1"/>
  <c r="OCQ64" i="1"/>
  <c r="OCR64" i="1"/>
  <c r="OCS64" i="1"/>
  <c r="OCT64" i="1"/>
  <c r="OCU64" i="1"/>
  <c r="OCV64" i="1"/>
  <c r="OCW64" i="1"/>
  <c r="OCX64" i="1"/>
  <c r="OCY64" i="1"/>
  <c r="OCZ64" i="1"/>
  <c r="ODA64" i="1"/>
  <c r="ODB64" i="1"/>
  <c r="ODC64" i="1"/>
  <c r="ODD64" i="1"/>
  <c r="ODE64" i="1"/>
  <c r="ODF64" i="1"/>
  <c r="ODG64" i="1"/>
  <c r="ODH64" i="1"/>
  <c r="ODI64" i="1"/>
  <c r="ODJ64" i="1"/>
  <c r="ODK64" i="1"/>
  <c r="ODL64" i="1"/>
  <c r="ODM64" i="1"/>
  <c r="ODN64" i="1"/>
  <c r="ODO64" i="1"/>
  <c r="ODP64" i="1"/>
  <c r="ODQ64" i="1"/>
  <c r="ODR64" i="1"/>
  <c r="ODS64" i="1"/>
  <c r="ODT64" i="1"/>
  <c r="ODU64" i="1"/>
  <c r="ODV64" i="1"/>
  <c r="ODW64" i="1"/>
  <c r="ODX64" i="1"/>
  <c r="ODY64" i="1"/>
  <c r="ODZ64" i="1"/>
  <c r="OEA64" i="1"/>
  <c r="OEB64" i="1"/>
  <c r="OEC64" i="1"/>
  <c r="OED64" i="1"/>
  <c r="OEE64" i="1"/>
  <c r="OEF64" i="1"/>
  <c r="OEG64" i="1"/>
  <c r="OEH64" i="1"/>
  <c r="OEI64" i="1"/>
  <c r="OEJ64" i="1"/>
  <c r="OEK64" i="1"/>
  <c r="OEL64" i="1"/>
  <c r="OEM64" i="1"/>
  <c r="OEN64" i="1"/>
  <c r="OEO64" i="1"/>
  <c r="OEP64" i="1"/>
  <c r="OEQ64" i="1"/>
  <c r="OER64" i="1"/>
  <c r="OES64" i="1"/>
  <c r="OET64" i="1"/>
  <c r="OEU64" i="1"/>
  <c r="OEV64" i="1"/>
  <c r="OEW64" i="1"/>
  <c r="OEX64" i="1"/>
  <c r="OEY64" i="1"/>
  <c r="OEZ64" i="1"/>
  <c r="OFA64" i="1"/>
  <c r="OFB64" i="1"/>
  <c r="OFC64" i="1"/>
  <c r="OFD64" i="1"/>
  <c r="OFE64" i="1"/>
  <c r="OFF64" i="1"/>
  <c r="OFG64" i="1"/>
  <c r="OFH64" i="1"/>
  <c r="OFI64" i="1"/>
  <c r="OFJ64" i="1"/>
  <c r="OFK64" i="1"/>
  <c r="OFL64" i="1"/>
  <c r="OFM64" i="1"/>
  <c r="OFN64" i="1"/>
  <c r="OFO64" i="1"/>
  <c r="OFP64" i="1"/>
  <c r="OFQ64" i="1"/>
  <c r="OFR64" i="1"/>
  <c r="OFS64" i="1"/>
  <c r="OFT64" i="1"/>
  <c r="OFU64" i="1"/>
  <c r="OFV64" i="1"/>
  <c r="OFW64" i="1"/>
  <c r="OFX64" i="1"/>
  <c r="OFY64" i="1"/>
  <c r="OFZ64" i="1"/>
  <c r="OGA64" i="1"/>
  <c r="OGB64" i="1"/>
  <c r="OGC64" i="1"/>
  <c r="OGD64" i="1"/>
  <c r="OGE64" i="1"/>
  <c r="OGF64" i="1"/>
  <c r="OGG64" i="1"/>
  <c r="OGH64" i="1"/>
  <c r="OGI64" i="1"/>
  <c r="OGJ64" i="1"/>
  <c r="OGK64" i="1"/>
  <c r="OGL64" i="1"/>
  <c r="OGM64" i="1"/>
  <c r="OGN64" i="1"/>
  <c r="OGO64" i="1"/>
  <c r="OGP64" i="1"/>
  <c r="OGQ64" i="1"/>
  <c r="OGR64" i="1"/>
  <c r="OGS64" i="1"/>
  <c r="OGT64" i="1"/>
  <c r="OGU64" i="1"/>
  <c r="OGV64" i="1"/>
  <c r="OGW64" i="1"/>
  <c r="OGX64" i="1"/>
  <c r="OGY64" i="1"/>
  <c r="OGZ64" i="1"/>
  <c r="OHA64" i="1"/>
  <c r="OHB64" i="1"/>
  <c r="OHC64" i="1"/>
  <c r="OHD64" i="1"/>
  <c r="OHE64" i="1"/>
  <c r="OHF64" i="1"/>
  <c r="OHG64" i="1"/>
  <c r="OHH64" i="1"/>
  <c r="OHI64" i="1"/>
  <c r="OHJ64" i="1"/>
  <c r="OHK64" i="1"/>
  <c r="OHL64" i="1"/>
  <c r="OHM64" i="1"/>
  <c r="OHN64" i="1"/>
  <c r="OHO64" i="1"/>
  <c r="OHP64" i="1"/>
  <c r="OHQ64" i="1"/>
  <c r="OHR64" i="1"/>
  <c r="OHS64" i="1"/>
  <c r="OHT64" i="1"/>
  <c r="OHU64" i="1"/>
  <c r="OHV64" i="1"/>
  <c r="OHW64" i="1"/>
  <c r="OHX64" i="1"/>
  <c r="OHY64" i="1"/>
  <c r="OHZ64" i="1"/>
  <c r="OIA64" i="1"/>
  <c r="OIB64" i="1"/>
  <c r="OIC64" i="1"/>
  <c r="OID64" i="1"/>
  <c r="OIE64" i="1"/>
  <c r="OIF64" i="1"/>
  <c r="OIG64" i="1"/>
  <c r="OIH64" i="1"/>
  <c r="OII64" i="1"/>
  <c r="OIJ64" i="1"/>
  <c r="OIK64" i="1"/>
  <c r="OIL64" i="1"/>
  <c r="OIM64" i="1"/>
  <c r="OIN64" i="1"/>
  <c r="OIO64" i="1"/>
  <c r="OIP64" i="1"/>
  <c r="OIQ64" i="1"/>
  <c r="OIR64" i="1"/>
  <c r="OIS64" i="1"/>
  <c r="OIT64" i="1"/>
  <c r="OIU64" i="1"/>
  <c r="OIV64" i="1"/>
  <c r="OIW64" i="1"/>
  <c r="OIX64" i="1"/>
  <c r="OIY64" i="1"/>
  <c r="OIZ64" i="1"/>
  <c r="OJA64" i="1"/>
  <c r="OJB64" i="1"/>
  <c r="OJC64" i="1"/>
  <c r="OJD64" i="1"/>
  <c r="OJE64" i="1"/>
  <c r="OJF64" i="1"/>
  <c r="OJG64" i="1"/>
  <c r="OJH64" i="1"/>
  <c r="OJI64" i="1"/>
  <c r="OJJ64" i="1"/>
  <c r="OJK64" i="1"/>
  <c r="OJL64" i="1"/>
  <c r="OJM64" i="1"/>
  <c r="OJN64" i="1"/>
  <c r="OJO64" i="1"/>
  <c r="OJP64" i="1"/>
  <c r="OJQ64" i="1"/>
  <c r="OJR64" i="1"/>
  <c r="OJS64" i="1"/>
  <c r="OJT64" i="1"/>
  <c r="OJU64" i="1"/>
  <c r="OJV64" i="1"/>
  <c r="OJW64" i="1"/>
  <c r="OJX64" i="1"/>
  <c r="OJY64" i="1"/>
  <c r="OJZ64" i="1"/>
  <c r="OKA64" i="1"/>
  <c r="OKB64" i="1"/>
  <c r="OKC64" i="1"/>
  <c r="OKD64" i="1"/>
  <c r="OKE64" i="1"/>
  <c r="OKF64" i="1"/>
  <c r="OKG64" i="1"/>
  <c r="OKH64" i="1"/>
  <c r="OKI64" i="1"/>
  <c r="OKJ64" i="1"/>
  <c r="OKK64" i="1"/>
  <c r="OKL64" i="1"/>
  <c r="OKM64" i="1"/>
  <c r="OKN64" i="1"/>
  <c r="OKO64" i="1"/>
  <c r="OKP64" i="1"/>
  <c r="OKQ64" i="1"/>
  <c r="OKR64" i="1"/>
  <c r="OKS64" i="1"/>
  <c r="OKT64" i="1"/>
  <c r="OKU64" i="1"/>
  <c r="OKV64" i="1"/>
  <c r="OKW64" i="1"/>
  <c r="OKX64" i="1"/>
  <c r="OKY64" i="1"/>
  <c r="OKZ64" i="1"/>
  <c r="OLA64" i="1"/>
  <c r="OLB64" i="1"/>
  <c r="OLC64" i="1"/>
  <c r="OLD64" i="1"/>
  <c r="OLE64" i="1"/>
  <c r="OLF64" i="1"/>
  <c r="OLG64" i="1"/>
  <c r="OLH64" i="1"/>
  <c r="OLI64" i="1"/>
  <c r="OLJ64" i="1"/>
  <c r="OLK64" i="1"/>
  <c r="OLL64" i="1"/>
  <c r="OLM64" i="1"/>
  <c r="OLN64" i="1"/>
  <c r="OLO64" i="1"/>
  <c r="OLP64" i="1"/>
  <c r="OLQ64" i="1"/>
  <c r="OLR64" i="1"/>
  <c r="OLS64" i="1"/>
  <c r="OLT64" i="1"/>
  <c r="OLU64" i="1"/>
  <c r="OLV64" i="1"/>
  <c r="OLW64" i="1"/>
  <c r="OLX64" i="1"/>
  <c r="OLY64" i="1"/>
  <c r="OLZ64" i="1"/>
  <c r="OMA64" i="1"/>
  <c r="OMB64" i="1"/>
  <c r="OMC64" i="1"/>
  <c r="OMD64" i="1"/>
  <c r="OME64" i="1"/>
  <c r="OMF64" i="1"/>
  <c r="OMG64" i="1"/>
  <c r="OMH64" i="1"/>
  <c r="OMI64" i="1"/>
  <c r="OMJ64" i="1"/>
  <c r="OMK64" i="1"/>
  <c r="OML64" i="1"/>
  <c r="OMM64" i="1"/>
  <c r="OMN64" i="1"/>
  <c r="OMO64" i="1"/>
  <c r="OMP64" i="1"/>
  <c r="OMQ64" i="1"/>
  <c r="OMR64" i="1"/>
  <c r="OMS64" i="1"/>
  <c r="OMT64" i="1"/>
  <c r="OMU64" i="1"/>
  <c r="OMV64" i="1"/>
  <c r="OMW64" i="1"/>
  <c r="OMX64" i="1"/>
  <c r="OMY64" i="1"/>
  <c r="OMZ64" i="1"/>
  <c r="ONA64" i="1"/>
  <c r="ONB64" i="1"/>
  <c r="ONC64" i="1"/>
  <c r="OND64" i="1"/>
  <c r="ONE64" i="1"/>
  <c r="ONF64" i="1"/>
  <c r="ONG64" i="1"/>
  <c r="ONH64" i="1"/>
  <c r="ONI64" i="1"/>
  <c r="ONJ64" i="1"/>
  <c r="ONK64" i="1"/>
  <c r="ONL64" i="1"/>
  <c r="ONM64" i="1"/>
  <c r="ONN64" i="1"/>
  <c r="ONO64" i="1"/>
  <c r="ONP64" i="1"/>
  <c r="ONQ64" i="1"/>
  <c r="ONR64" i="1"/>
  <c r="ONS64" i="1"/>
  <c r="ONT64" i="1"/>
  <c r="ONU64" i="1"/>
  <c r="ONV64" i="1"/>
  <c r="ONW64" i="1"/>
  <c r="ONX64" i="1"/>
  <c r="ONY64" i="1"/>
  <c r="ONZ64" i="1"/>
  <c r="OOA64" i="1"/>
  <c r="OOB64" i="1"/>
  <c r="OOC64" i="1"/>
  <c r="OOD64" i="1"/>
  <c r="OOE64" i="1"/>
  <c r="OOF64" i="1"/>
  <c r="OOG64" i="1"/>
  <c r="OOH64" i="1"/>
  <c r="OOI64" i="1"/>
  <c r="OOJ64" i="1"/>
  <c r="OOK64" i="1"/>
  <c r="OOL64" i="1"/>
  <c r="OOM64" i="1"/>
  <c r="OON64" i="1"/>
  <c r="OOO64" i="1"/>
  <c r="OOP64" i="1"/>
  <c r="OOQ64" i="1"/>
  <c r="OOR64" i="1"/>
  <c r="OOS64" i="1"/>
  <c r="OOT64" i="1"/>
  <c r="OOU64" i="1"/>
  <c r="OOV64" i="1"/>
  <c r="OOW64" i="1"/>
  <c r="OOX64" i="1"/>
  <c r="OOY64" i="1"/>
  <c r="OOZ64" i="1"/>
  <c r="OPA64" i="1"/>
  <c r="OPB64" i="1"/>
  <c r="OPC64" i="1"/>
  <c r="OPD64" i="1"/>
  <c r="OPE64" i="1"/>
  <c r="OPF64" i="1"/>
  <c r="OPG64" i="1"/>
  <c r="OPH64" i="1"/>
  <c r="OPI64" i="1"/>
  <c r="OPJ64" i="1"/>
  <c r="OPK64" i="1"/>
  <c r="OPL64" i="1"/>
  <c r="OPM64" i="1"/>
  <c r="OPN64" i="1"/>
  <c r="OPO64" i="1"/>
  <c r="OPP64" i="1"/>
  <c r="OPQ64" i="1"/>
  <c r="OPR64" i="1"/>
  <c r="OPS64" i="1"/>
  <c r="OPT64" i="1"/>
  <c r="OPU64" i="1"/>
  <c r="OPV64" i="1"/>
  <c r="OPW64" i="1"/>
  <c r="OPX64" i="1"/>
  <c r="OPY64" i="1"/>
  <c r="OPZ64" i="1"/>
  <c r="OQA64" i="1"/>
  <c r="OQB64" i="1"/>
  <c r="OQC64" i="1"/>
  <c r="OQD64" i="1"/>
  <c r="OQE64" i="1"/>
  <c r="OQF64" i="1"/>
  <c r="OQG64" i="1"/>
  <c r="OQH64" i="1"/>
  <c r="OQI64" i="1"/>
  <c r="OQJ64" i="1"/>
  <c r="OQK64" i="1"/>
  <c r="OQL64" i="1"/>
  <c r="OQM64" i="1"/>
  <c r="OQN64" i="1"/>
  <c r="OQO64" i="1"/>
  <c r="OQP64" i="1"/>
  <c r="OQQ64" i="1"/>
  <c r="OQR64" i="1"/>
  <c r="OQS64" i="1"/>
  <c r="OQT64" i="1"/>
  <c r="OQU64" i="1"/>
  <c r="OQV64" i="1"/>
  <c r="OQW64" i="1"/>
  <c r="OQX64" i="1"/>
  <c r="OQY64" i="1"/>
  <c r="OQZ64" i="1"/>
  <c r="ORA64" i="1"/>
  <c r="ORB64" i="1"/>
  <c r="ORC64" i="1"/>
  <c r="ORD64" i="1"/>
  <c r="ORE64" i="1"/>
  <c r="ORF64" i="1"/>
  <c r="ORG64" i="1"/>
  <c r="ORH64" i="1"/>
  <c r="ORI64" i="1"/>
  <c r="ORJ64" i="1"/>
  <c r="ORK64" i="1"/>
  <c r="ORL64" i="1"/>
  <c r="ORM64" i="1"/>
  <c r="ORN64" i="1"/>
  <c r="ORO64" i="1"/>
  <c r="ORP64" i="1"/>
  <c r="ORQ64" i="1"/>
  <c r="ORR64" i="1"/>
  <c r="ORS64" i="1"/>
  <c r="ORT64" i="1"/>
  <c r="ORU64" i="1"/>
  <c r="ORV64" i="1"/>
  <c r="ORW64" i="1"/>
  <c r="ORX64" i="1"/>
  <c r="ORY64" i="1"/>
  <c r="ORZ64" i="1"/>
  <c r="OSA64" i="1"/>
  <c r="OSB64" i="1"/>
  <c r="OSC64" i="1"/>
  <c r="OSD64" i="1"/>
  <c r="OSE64" i="1"/>
  <c r="OSF64" i="1"/>
  <c r="OSG64" i="1"/>
  <c r="OSH64" i="1"/>
  <c r="OSI64" i="1"/>
  <c r="OSJ64" i="1"/>
  <c r="OSK64" i="1"/>
  <c r="OSL64" i="1"/>
  <c r="OSM64" i="1"/>
  <c r="OSN64" i="1"/>
  <c r="OSO64" i="1"/>
  <c r="OSP64" i="1"/>
  <c r="OSQ64" i="1"/>
  <c r="OSR64" i="1"/>
  <c r="OSS64" i="1"/>
  <c r="OST64" i="1"/>
  <c r="OSU64" i="1"/>
  <c r="OSV64" i="1"/>
  <c r="OSW64" i="1"/>
  <c r="OSX64" i="1"/>
  <c r="OSY64" i="1"/>
  <c r="OSZ64" i="1"/>
  <c r="OTA64" i="1"/>
  <c r="OTB64" i="1"/>
  <c r="OTC64" i="1"/>
  <c r="OTD64" i="1"/>
  <c r="OTE64" i="1"/>
  <c r="OTF64" i="1"/>
  <c r="OTG64" i="1"/>
  <c r="OTH64" i="1"/>
  <c r="OTI64" i="1"/>
  <c r="OTJ64" i="1"/>
  <c r="OTK64" i="1"/>
  <c r="OTL64" i="1"/>
  <c r="OTM64" i="1"/>
  <c r="OTN64" i="1"/>
  <c r="OTO64" i="1"/>
  <c r="OTP64" i="1"/>
  <c r="OTQ64" i="1"/>
  <c r="OTR64" i="1"/>
  <c r="OTS64" i="1"/>
  <c r="OTT64" i="1"/>
  <c r="OTU64" i="1"/>
  <c r="OTV64" i="1"/>
  <c r="OTW64" i="1"/>
  <c r="OTX64" i="1"/>
  <c r="OTY64" i="1"/>
  <c r="OTZ64" i="1"/>
  <c r="OUA64" i="1"/>
  <c r="OUB64" i="1"/>
  <c r="OUC64" i="1"/>
  <c r="OUD64" i="1"/>
  <c r="OUE64" i="1"/>
  <c r="OUF64" i="1"/>
  <c r="OUG64" i="1"/>
  <c r="OUH64" i="1"/>
  <c r="OUI64" i="1"/>
  <c r="OUJ64" i="1"/>
  <c r="OUK64" i="1"/>
  <c r="OUL64" i="1"/>
  <c r="OUM64" i="1"/>
  <c r="OUN64" i="1"/>
  <c r="OUO64" i="1"/>
  <c r="OUP64" i="1"/>
  <c r="OUQ64" i="1"/>
  <c r="OUR64" i="1"/>
  <c r="OUS64" i="1"/>
  <c r="OUT64" i="1"/>
  <c r="OUU64" i="1"/>
  <c r="OUV64" i="1"/>
  <c r="OUW64" i="1"/>
  <c r="OUX64" i="1"/>
  <c r="OUY64" i="1"/>
  <c r="OUZ64" i="1"/>
  <c r="OVA64" i="1"/>
  <c r="OVB64" i="1"/>
  <c r="OVC64" i="1"/>
  <c r="OVD64" i="1"/>
  <c r="OVE64" i="1"/>
  <c r="OVF64" i="1"/>
  <c r="OVG64" i="1"/>
  <c r="OVH64" i="1"/>
  <c r="OVI64" i="1"/>
  <c r="OVJ64" i="1"/>
  <c r="OVK64" i="1"/>
  <c r="OVL64" i="1"/>
  <c r="OVM64" i="1"/>
  <c r="OVN64" i="1"/>
  <c r="OVO64" i="1"/>
  <c r="OVP64" i="1"/>
  <c r="OVQ64" i="1"/>
  <c r="OVR64" i="1"/>
  <c r="OVS64" i="1"/>
  <c r="OVT64" i="1"/>
  <c r="OVU64" i="1"/>
  <c r="OVV64" i="1"/>
  <c r="OVW64" i="1"/>
  <c r="OVX64" i="1"/>
  <c r="OVY64" i="1"/>
  <c r="OVZ64" i="1"/>
  <c r="OWA64" i="1"/>
  <c r="OWB64" i="1"/>
  <c r="OWC64" i="1"/>
  <c r="OWD64" i="1"/>
  <c r="OWE64" i="1"/>
  <c r="OWF64" i="1"/>
  <c r="OWG64" i="1"/>
  <c r="OWH64" i="1"/>
  <c r="OWI64" i="1"/>
  <c r="OWJ64" i="1"/>
  <c r="OWK64" i="1"/>
  <c r="OWL64" i="1"/>
  <c r="OWM64" i="1"/>
  <c r="OWN64" i="1"/>
  <c r="OWO64" i="1"/>
  <c r="OWP64" i="1"/>
  <c r="OWQ64" i="1"/>
  <c r="OWR64" i="1"/>
  <c r="OWS64" i="1"/>
  <c r="OWT64" i="1"/>
  <c r="OWU64" i="1"/>
  <c r="OWV64" i="1"/>
  <c r="OWW64" i="1"/>
  <c r="OWX64" i="1"/>
  <c r="OWY64" i="1"/>
  <c r="OWZ64" i="1"/>
  <c r="OXA64" i="1"/>
  <c r="OXB64" i="1"/>
  <c r="OXC64" i="1"/>
  <c r="OXD64" i="1"/>
  <c r="OXE64" i="1"/>
  <c r="OXF64" i="1"/>
  <c r="OXG64" i="1"/>
  <c r="OXH64" i="1"/>
  <c r="OXI64" i="1"/>
  <c r="OXJ64" i="1"/>
  <c r="OXK64" i="1"/>
  <c r="OXL64" i="1"/>
  <c r="OXM64" i="1"/>
  <c r="OXN64" i="1"/>
  <c r="OXO64" i="1"/>
  <c r="OXP64" i="1"/>
  <c r="OXQ64" i="1"/>
  <c r="OXR64" i="1"/>
  <c r="OXS64" i="1"/>
  <c r="OXT64" i="1"/>
  <c r="OXU64" i="1"/>
  <c r="OXV64" i="1"/>
  <c r="OXW64" i="1"/>
  <c r="OXX64" i="1"/>
  <c r="OXY64" i="1"/>
  <c r="OXZ64" i="1"/>
  <c r="OYA64" i="1"/>
  <c r="OYB64" i="1"/>
  <c r="OYC64" i="1"/>
  <c r="OYD64" i="1"/>
  <c r="OYE64" i="1"/>
  <c r="OYF64" i="1"/>
  <c r="OYG64" i="1"/>
  <c r="OYH64" i="1"/>
  <c r="OYI64" i="1"/>
  <c r="OYJ64" i="1"/>
  <c r="OYK64" i="1"/>
  <c r="OYL64" i="1"/>
  <c r="OYM64" i="1"/>
  <c r="OYN64" i="1"/>
  <c r="OYO64" i="1"/>
  <c r="OYP64" i="1"/>
  <c r="OYQ64" i="1"/>
  <c r="OYR64" i="1"/>
  <c r="OYS64" i="1"/>
  <c r="OYT64" i="1"/>
  <c r="OYU64" i="1"/>
  <c r="OYV64" i="1"/>
  <c r="OYW64" i="1"/>
  <c r="OYX64" i="1"/>
  <c r="OYY64" i="1"/>
  <c r="OYZ64" i="1"/>
  <c r="OZA64" i="1"/>
  <c r="OZB64" i="1"/>
  <c r="OZC64" i="1"/>
  <c r="OZD64" i="1"/>
  <c r="OZE64" i="1"/>
  <c r="OZF64" i="1"/>
  <c r="OZG64" i="1"/>
  <c r="OZH64" i="1"/>
  <c r="OZI64" i="1"/>
  <c r="OZJ64" i="1"/>
  <c r="OZK64" i="1"/>
  <c r="OZL64" i="1"/>
  <c r="OZM64" i="1"/>
  <c r="OZN64" i="1"/>
  <c r="OZO64" i="1"/>
  <c r="OZP64" i="1"/>
  <c r="OZQ64" i="1"/>
  <c r="OZR64" i="1"/>
  <c r="OZS64" i="1"/>
  <c r="OZT64" i="1"/>
  <c r="OZU64" i="1"/>
  <c r="OZV64" i="1"/>
  <c r="OZW64" i="1"/>
  <c r="OZX64" i="1"/>
  <c r="OZY64" i="1"/>
  <c r="OZZ64" i="1"/>
  <c r="PAA64" i="1"/>
  <c r="PAB64" i="1"/>
  <c r="PAC64" i="1"/>
  <c r="PAD64" i="1"/>
  <c r="PAE64" i="1"/>
  <c r="PAF64" i="1"/>
  <c r="PAG64" i="1"/>
  <c r="PAH64" i="1"/>
  <c r="PAI64" i="1"/>
  <c r="PAJ64" i="1"/>
  <c r="PAK64" i="1"/>
  <c r="PAL64" i="1"/>
  <c r="PAM64" i="1"/>
  <c r="PAN64" i="1"/>
  <c r="PAO64" i="1"/>
  <c r="PAP64" i="1"/>
  <c r="PAQ64" i="1"/>
  <c r="PAR64" i="1"/>
  <c r="PAS64" i="1"/>
  <c r="PAT64" i="1"/>
  <c r="PAU64" i="1"/>
  <c r="PAV64" i="1"/>
  <c r="PAW64" i="1"/>
  <c r="PAX64" i="1"/>
  <c r="PAY64" i="1"/>
  <c r="PAZ64" i="1"/>
  <c r="PBA64" i="1"/>
  <c r="PBB64" i="1"/>
  <c r="PBC64" i="1"/>
  <c r="PBD64" i="1"/>
  <c r="PBE64" i="1"/>
  <c r="PBF64" i="1"/>
  <c r="PBG64" i="1"/>
  <c r="PBH64" i="1"/>
  <c r="PBI64" i="1"/>
  <c r="PBJ64" i="1"/>
  <c r="PBK64" i="1"/>
  <c r="PBL64" i="1"/>
  <c r="PBM64" i="1"/>
  <c r="PBN64" i="1"/>
  <c r="PBO64" i="1"/>
  <c r="PBP64" i="1"/>
  <c r="PBQ64" i="1"/>
  <c r="PBR64" i="1"/>
  <c r="PBS64" i="1"/>
  <c r="PBT64" i="1"/>
  <c r="PBU64" i="1"/>
  <c r="PBV64" i="1"/>
  <c r="PBW64" i="1"/>
  <c r="PBX64" i="1"/>
  <c r="PBY64" i="1"/>
  <c r="PBZ64" i="1"/>
  <c r="PCA64" i="1"/>
  <c r="PCB64" i="1"/>
  <c r="PCC64" i="1"/>
  <c r="PCD64" i="1"/>
  <c r="PCE64" i="1"/>
  <c r="PCF64" i="1"/>
  <c r="PCG64" i="1"/>
  <c r="PCH64" i="1"/>
  <c r="PCI64" i="1"/>
  <c r="PCJ64" i="1"/>
  <c r="PCK64" i="1"/>
  <c r="PCL64" i="1"/>
  <c r="PCM64" i="1"/>
  <c r="PCN64" i="1"/>
  <c r="PCO64" i="1"/>
  <c r="PCP64" i="1"/>
  <c r="PCQ64" i="1"/>
  <c r="PCR64" i="1"/>
  <c r="PCS64" i="1"/>
  <c r="PCT64" i="1"/>
  <c r="PCU64" i="1"/>
  <c r="PCV64" i="1"/>
  <c r="PCW64" i="1"/>
  <c r="PCX64" i="1"/>
  <c r="PCY64" i="1"/>
  <c r="PCZ64" i="1"/>
  <c r="PDA64" i="1"/>
  <c r="PDB64" i="1"/>
  <c r="PDC64" i="1"/>
  <c r="PDD64" i="1"/>
  <c r="PDE64" i="1"/>
  <c r="PDF64" i="1"/>
  <c r="PDG64" i="1"/>
  <c r="PDH64" i="1"/>
  <c r="PDI64" i="1"/>
  <c r="PDJ64" i="1"/>
  <c r="PDK64" i="1"/>
  <c r="PDL64" i="1"/>
  <c r="PDM64" i="1"/>
  <c r="PDN64" i="1"/>
  <c r="PDO64" i="1"/>
  <c r="PDP64" i="1"/>
  <c r="PDQ64" i="1"/>
  <c r="PDR64" i="1"/>
  <c r="PDS64" i="1"/>
  <c r="PDT64" i="1"/>
  <c r="PDU64" i="1"/>
  <c r="PDV64" i="1"/>
  <c r="PDW64" i="1"/>
  <c r="PDX64" i="1"/>
  <c r="PDY64" i="1"/>
  <c r="PDZ64" i="1"/>
  <c r="PEA64" i="1"/>
  <c r="PEB64" i="1"/>
  <c r="PEC64" i="1"/>
  <c r="PED64" i="1"/>
  <c r="PEE64" i="1"/>
  <c r="PEF64" i="1"/>
  <c r="PEG64" i="1"/>
  <c r="PEH64" i="1"/>
  <c r="PEI64" i="1"/>
  <c r="PEJ64" i="1"/>
  <c r="PEK64" i="1"/>
  <c r="PEL64" i="1"/>
  <c r="PEM64" i="1"/>
  <c r="PEN64" i="1"/>
  <c r="PEO64" i="1"/>
  <c r="PEP64" i="1"/>
  <c r="PEQ64" i="1"/>
  <c r="PER64" i="1"/>
  <c r="PES64" i="1"/>
  <c r="PET64" i="1"/>
  <c r="PEU64" i="1"/>
  <c r="PEV64" i="1"/>
  <c r="PEW64" i="1"/>
  <c r="PEX64" i="1"/>
  <c r="PEY64" i="1"/>
  <c r="PEZ64" i="1"/>
  <c r="PFA64" i="1"/>
  <c r="PFB64" i="1"/>
  <c r="PFC64" i="1"/>
  <c r="PFD64" i="1"/>
  <c r="PFE64" i="1"/>
  <c r="PFF64" i="1"/>
  <c r="PFG64" i="1"/>
  <c r="PFH64" i="1"/>
  <c r="PFI64" i="1"/>
  <c r="PFJ64" i="1"/>
  <c r="PFK64" i="1"/>
  <c r="PFL64" i="1"/>
  <c r="PFM64" i="1"/>
  <c r="PFN64" i="1"/>
  <c r="PFO64" i="1"/>
  <c r="PFP64" i="1"/>
  <c r="PFQ64" i="1"/>
  <c r="PFR64" i="1"/>
  <c r="PFS64" i="1"/>
  <c r="PFT64" i="1"/>
  <c r="PFU64" i="1"/>
  <c r="PFV64" i="1"/>
  <c r="PFW64" i="1"/>
  <c r="PFX64" i="1"/>
  <c r="PFY64" i="1"/>
  <c r="PFZ64" i="1"/>
  <c r="PGA64" i="1"/>
  <c r="PGB64" i="1"/>
  <c r="PGC64" i="1"/>
  <c r="PGD64" i="1"/>
  <c r="PGE64" i="1"/>
  <c r="PGF64" i="1"/>
  <c r="PGG64" i="1"/>
  <c r="PGH64" i="1"/>
  <c r="PGI64" i="1"/>
  <c r="PGJ64" i="1"/>
  <c r="PGK64" i="1"/>
  <c r="PGL64" i="1"/>
  <c r="PGM64" i="1"/>
  <c r="PGN64" i="1"/>
  <c r="PGO64" i="1"/>
  <c r="PGP64" i="1"/>
  <c r="PGQ64" i="1"/>
  <c r="PGR64" i="1"/>
  <c r="PGS64" i="1"/>
  <c r="PGT64" i="1"/>
  <c r="PGU64" i="1"/>
  <c r="PGV64" i="1"/>
  <c r="PGW64" i="1"/>
  <c r="PGX64" i="1"/>
  <c r="PGY64" i="1"/>
  <c r="PGZ64" i="1"/>
  <c r="PHA64" i="1"/>
  <c r="PHB64" i="1"/>
  <c r="PHC64" i="1"/>
  <c r="PHD64" i="1"/>
  <c r="PHE64" i="1"/>
  <c r="PHF64" i="1"/>
  <c r="PHG64" i="1"/>
  <c r="PHH64" i="1"/>
  <c r="PHI64" i="1"/>
  <c r="PHJ64" i="1"/>
  <c r="PHK64" i="1"/>
  <c r="PHL64" i="1"/>
  <c r="PHM64" i="1"/>
  <c r="PHN64" i="1"/>
  <c r="PHO64" i="1"/>
  <c r="PHP64" i="1"/>
  <c r="PHQ64" i="1"/>
  <c r="PHR64" i="1"/>
  <c r="PHS64" i="1"/>
  <c r="PHT64" i="1"/>
  <c r="PHU64" i="1"/>
  <c r="PHV64" i="1"/>
  <c r="PHW64" i="1"/>
  <c r="PHX64" i="1"/>
  <c r="PHY64" i="1"/>
  <c r="PHZ64" i="1"/>
  <c r="PIA64" i="1"/>
  <c r="PIB64" i="1"/>
  <c r="PIC64" i="1"/>
  <c r="PID64" i="1"/>
  <c r="PIE64" i="1"/>
  <c r="PIF64" i="1"/>
  <c r="PIG64" i="1"/>
  <c r="PIH64" i="1"/>
  <c r="PII64" i="1"/>
  <c r="PIJ64" i="1"/>
  <c r="PIK64" i="1"/>
  <c r="PIL64" i="1"/>
  <c r="PIM64" i="1"/>
  <c r="PIN64" i="1"/>
  <c r="PIO64" i="1"/>
  <c r="PIP64" i="1"/>
  <c r="PIQ64" i="1"/>
  <c r="PIR64" i="1"/>
  <c r="PIS64" i="1"/>
  <c r="PIT64" i="1"/>
  <c r="PIU64" i="1"/>
  <c r="PIV64" i="1"/>
  <c r="PIW64" i="1"/>
  <c r="PIX64" i="1"/>
  <c r="PIY64" i="1"/>
  <c r="PIZ64" i="1"/>
  <c r="PJA64" i="1"/>
  <c r="PJB64" i="1"/>
  <c r="PJC64" i="1"/>
  <c r="PJD64" i="1"/>
  <c r="PJE64" i="1"/>
  <c r="PJF64" i="1"/>
  <c r="PJG64" i="1"/>
  <c r="PJH64" i="1"/>
  <c r="PJI64" i="1"/>
  <c r="PJJ64" i="1"/>
  <c r="PJK64" i="1"/>
  <c r="PJL64" i="1"/>
  <c r="PJM64" i="1"/>
  <c r="PJN64" i="1"/>
  <c r="PJO64" i="1"/>
  <c r="PJP64" i="1"/>
  <c r="PJQ64" i="1"/>
  <c r="PJR64" i="1"/>
  <c r="PJS64" i="1"/>
  <c r="PJT64" i="1"/>
  <c r="PJU64" i="1"/>
  <c r="PJV64" i="1"/>
  <c r="PJW64" i="1"/>
  <c r="PJX64" i="1"/>
  <c r="PJY64" i="1"/>
  <c r="PJZ64" i="1"/>
  <c r="PKA64" i="1"/>
  <c r="PKB64" i="1"/>
  <c r="PKC64" i="1"/>
  <c r="PKD64" i="1"/>
  <c r="PKE64" i="1"/>
  <c r="PKF64" i="1"/>
  <c r="PKG64" i="1"/>
  <c r="PKH64" i="1"/>
  <c r="PKI64" i="1"/>
  <c r="PKJ64" i="1"/>
  <c r="PKK64" i="1"/>
  <c r="PKL64" i="1"/>
  <c r="PKM64" i="1"/>
  <c r="PKN64" i="1"/>
  <c r="PKO64" i="1"/>
  <c r="PKP64" i="1"/>
  <c r="PKQ64" i="1"/>
  <c r="PKR64" i="1"/>
  <c r="PKS64" i="1"/>
  <c r="PKT64" i="1"/>
  <c r="PKU64" i="1"/>
  <c r="PKV64" i="1"/>
  <c r="PKW64" i="1"/>
  <c r="PKX64" i="1"/>
  <c r="PKY64" i="1"/>
  <c r="PKZ64" i="1"/>
  <c r="PLA64" i="1"/>
  <c r="PLB64" i="1"/>
  <c r="PLC64" i="1"/>
  <c r="PLD64" i="1"/>
  <c r="PLE64" i="1"/>
  <c r="PLF64" i="1"/>
  <c r="PLG64" i="1"/>
  <c r="PLH64" i="1"/>
  <c r="PLI64" i="1"/>
  <c r="PLJ64" i="1"/>
  <c r="PLK64" i="1"/>
  <c r="PLL64" i="1"/>
  <c r="PLM64" i="1"/>
  <c r="PLN64" i="1"/>
  <c r="PLO64" i="1"/>
  <c r="PLP64" i="1"/>
  <c r="PLQ64" i="1"/>
  <c r="PLR64" i="1"/>
  <c r="PLS64" i="1"/>
  <c r="PLT64" i="1"/>
  <c r="PLU64" i="1"/>
  <c r="PLV64" i="1"/>
  <c r="PLW64" i="1"/>
  <c r="PLX64" i="1"/>
  <c r="PLY64" i="1"/>
  <c r="PLZ64" i="1"/>
  <c r="PMA64" i="1"/>
  <c r="PMB64" i="1"/>
  <c r="PMC64" i="1"/>
  <c r="PMD64" i="1"/>
  <c r="PME64" i="1"/>
  <c r="PMF64" i="1"/>
  <c r="PMG64" i="1"/>
  <c r="PMH64" i="1"/>
  <c r="PMI64" i="1"/>
  <c r="PMJ64" i="1"/>
  <c r="PMK64" i="1"/>
  <c r="PML64" i="1"/>
  <c r="PMM64" i="1"/>
  <c r="PMN64" i="1"/>
  <c r="PMO64" i="1"/>
  <c r="PMP64" i="1"/>
  <c r="PMQ64" i="1"/>
  <c r="PMR64" i="1"/>
  <c r="PMS64" i="1"/>
  <c r="PMT64" i="1"/>
  <c r="PMU64" i="1"/>
  <c r="PMV64" i="1"/>
  <c r="PMW64" i="1"/>
  <c r="PMX64" i="1"/>
  <c r="PMY64" i="1"/>
  <c r="PMZ64" i="1"/>
  <c r="PNA64" i="1"/>
  <c r="PNB64" i="1"/>
  <c r="PNC64" i="1"/>
  <c r="PND64" i="1"/>
  <c r="PNE64" i="1"/>
  <c r="PNF64" i="1"/>
  <c r="PNG64" i="1"/>
  <c r="PNH64" i="1"/>
  <c r="PNI64" i="1"/>
  <c r="PNJ64" i="1"/>
  <c r="PNK64" i="1"/>
  <c r="PNL64" i="1"/>
  <c r="PNM64" i="1"/>
  <c r="PNN64" i="1"/>
  <c r="PNO64" i="1"/>
  <c r="PNP64" i="1"/>
  <c r="PNQ64" i="1"/>
  <c r="PNR64" i="1"/>
  <c r="PNS64" i="1"/>
  <c r="PNT64" i="1"/>
  <c r="PNU64" i="1"/>
  <c r="PNV64" i="1"/>
  <c r="PNW64" i="1"/>
  <c r="PNX64" i="1"/>
  <c r="PNY64" i="1"/>
  <c r="PNZ64" i="1"/>
  <c r="POA64" i="1"/>
  <c r="POB64" i="1"/>
  <c r="POC64" i="1"/>
  <c r="POD64" i="1"/>
  <c r="POE64" i="1"/>
  <c r="POF64" i="1"/>
  <c r="POG64" i="1"/>
  <c r="POH64" i="1"/>
  <c r="POI64" i="1"/>
  <c r="POJ64" i="1"/>
  <c r="POK64" i="1"/>
  <c r="POL64" i="1"/>
  <c r="POM64" i="1"/>
  <c r="PON64" i="1"/>
  <c r="POO64" i="1"/>
  <c r="POP64" i="1"/>
  <c r="POQ64" i="1"/>
  <c r="POR64" i="1"/>
  <c r="POS64" i="1"/>
  <c r="POT64" i="1"/>
  <c r="POU64" i="1"/>
  <c r="POV64" i="1"/>
  <c r="POW64" i="1"/>
  <c r="POX64" i="1"/>
  <c r="POY64" i="1"/>
  <c r="POZ64" i="1"/>
  <c r="PPA64" i="1"/>
  <c r="PPB64" i="1"/>
  <c r="PPC64" i="1"/>
  <c r="PPD64" i="1"/>
  <c r="PPE64" i="1"/>
  <c r="PPF64" i="1"/>
  <c r="PPG64" i="1"/>
  <c r="PPH64" i="1"/>
  <c r="PPI64" i="1"/>
  <c r="PPJ64" i="1"/>
  <c r="PPK64" i="1"/>
  <c r="PPL64" i="1"/>
  <c r="PPM64" i="1"/>
  <c r="PPN64" i="1"/>
  <c r="PPO64" i="1"/>
  <c r="PPP64" i="1"/>
  <c r="PPQ64" i="1"/>
  <c r="PPR64" i="1"/>
  <c r="PPS64" i="1"/>
  <c r="PPT64" i="1"/>
  <c r="PPU64" i="1"/>
  <c r="PPV64" i="1"/>
  <c r="PPW64" i="1"/>
  <c r="PPX64" i="1"/>
  <c r="PPY64" i="1"/>
  <c r="PPZ64" i="1"/>
  <c r="PQA64" i="1"/>
  <c r="PQB64" i="1"/>
  <c r="PQC64" i="1"/>
  <c r="PQD64" i="1"/>
  <c r="PQE64" i="1"/>
  <c r="PQF64" i="1"/>
  <c r="PQG64" i="1"/>
  <c r="PQH64" i="1"/>
  <c r="PQI64" i="1"/>
  <c r="PQJ64" i="1"/>
  <c r="PQK64" i="1"/>
  <c r="PQL64" i="1"/>
  <c r="PQM64" i="1"/>
  <c r="PQN64" i="1"/>
  <c r="PQO64" i="1"/>
  <c r="PQP64" i="1"/>
  <c r="PQQ64" i="1"/>
  <c r="PQR64" i="1"/>
  <c r="PQS64" i="1"/>
  <c r="PQT64" i="1"/>
  <c r="PQU64" i="1"/>
  <c r="PQV64" i="1"/>
  <c r="PQW64" i="1"/>
  <c r="PQX64" i="1"/>
  <c r="PQY64" i="1"/>
  <c r="PQZ64" i="1"/>
  <c r="PRA64" i="1"/>
  <c r="PRB64" i="1"/>
  <c r="PRC64" i="1"/>
  <c r="PRD64" i="1"/>
  <c r="PRE64" i="1"/>
  <c r="PRF64" i="1"/>
  <c r="PRG64" i="1"/>
  <c r="PRH64" i="1"/>
  <c r="PRI64" i="1"/>
  <c r="PRJ64" i="1"/>
  <c r="PRK64" i="1"/>
  <c r="PRL64" i="1"/>
  <c r="PRM64" i="1"/>
  <c r="PRN64" i="1"/>
  <c r="PRO64" i="1"/>
  <c r="PRP64" i="1"/>
  <c r="PRQ64" i="1"/>
  <c r="PRR64" i="1"/>
  <c r="PRS64" i="1"/>
  <c r="PRT64" i="1"/>
  <c r="PRU64" i="1"/>
  <c r="PRV64" i="1"/>
  <c r="PRW64" i="1"/>
  <c r="PRX64" i="1"/>
  <c r="PRY64" i="1"/>
  <c r="PRZ64" i="1"/>
  <c r="PSA64" i="1"/>
  <c r="PSB64" i="1"/>
  <c r="PSC64" i="1"/>
  <c r="PSD64" i="1"/>
  <c r="PSE64" i="1"/>
  <c r="PSF64" i="1"/>
  <c r="PSG64" i="1"/>
  <c r="PSH64" i="1"/>
  <c r="PSI64" i="1"/>
  <c r="PSJ64" i="1"/>
  <c r="PSK64" i="1"/>
  <c r="PSL64" i="1"/>
  <c r="PSM64" i="1"/>
  <c r="PSN64" i="1"/>
  <c r="PSO64" i="1"/>
  <c r="PSP64" i="1"/>
  <c r="PSQ64" i="1"/>
  <c r="PSR64" i="1"/>
  <c r="PSS64" i="1"/>
  <c r="PST64" i="1"/>
  <c r="PSU64" i="1"/>
  <c r="PSV64" i="1"/>
  <c r="PSW64" i="1"/>
  <c r="PSX64" i="1"/>
  <c r="PSY64" i="1"/>
  <c r="PSZ64" i="1"/>
  <c r="PTA64" i="1"/>
  <c r="PTB64" i="1"/>
  <c r="PTC64" i="1"/>
  <c r="PTD64" i="1"/>
  <c r="PTE64" i="1"/>
  <c r="PTF64" i="1"/>
  <c r="PTG64" i="1"/>
  <c r="PTH64" i="1"/>
  <c r="PTI64" i="1"/>
  <c r="PTJ64" i="1"/>
  <c r="PTK64" i="1"/>
  <c r="PTL64" i="1"/>
  <c r="PTM64" i="1"/>
  <c r="PTN64" i="1"/>
  <c r="PTO64" i="1"/>
  <c r="PTP64" i="1"/>
  <c r="PTQ64" i="1"/>
  <c r="PTR64" i="1"/>
  <c r="PTS64" i="1"/>
  <c r="PTT64" i="1"/>
  <c r="PTU64" i="1"/>
  <c r="PTV64" i="1"/>
  <c r="PTW64" i="1"/>
  <c r="PTX64" i="1"/>
  <c r="PTY64" i="1"/>
  <c r="PTZ64" i="1"/>
  <c r="PUA64" i="1"/>
  <c r="PUB64" i="1"/>
  <c r="PUC64" i="1"/>
  <c r="PUD64" i="1"/>
  <c r="PUE64" i="1"/>
  <c r="PUF64" i="1"/>
  <c r="PUG64" i="1"/>
  <c r="PUH64" i="1"/>
  <c r="PUI64" i="1"/>
  <c r="PUJ64" i="1"/>
  <c r="PUK64" i="1"/>
  <c r="PUL64" i="1"/>
  <c r="PUM64" i="1"/>
  <c r="PUN64" i="1"/>
  <c r="PUO64" i="1"/>
  <c r="PUP64" i="1"/>
  <c r="PUQ64" i="1"/>
  <c r="PUR64" i="1"/>
  <c r="PUS64" i="1"/>
  <c r="PUT64" i="1"/>
  <c r="PUU64" i="1"/>
  <c r="PUV64" i="1"/>
  <c r="PUW64" i="1"/>
  <c r="PUX64" i="1"/>
  <c r="PUY64" i="1"/>
  <c r="PUZ64" i="1"/>
  <c r="PVA64" i="1"/>
  <c r="PVB64" i="1"/>
  <c r="PVC64" i="1"/>
  <c r="PVD64" i="1"/>
  <c r="PVE64" i="1"/>
  <c r="PVF64" i="1"/>
  <c r="PVG64" i="1"/>
  <c r="PVH64" i="1"/>
  <c r="PVI64" i="1"/>
  <c r="PVJ64" i="1"/>
  <c r="PVK64" i="1"/>
  <c r="PVL64" i="1"/>
  <c r="PVM64" i="1"/>
  <c r="PVN64" i="1"/>
  <c r="PVO64" i="1"/>
  <c r="PVP64" i="1"/>
  <c r="PVQ64" i="1"/>
  <c r="PVR64" i="1"/>
  <c r="PVS64" i="1"/>
  <c r="PVT64" i="1"/>
  <c r="PVU64" i="1"/>
  <c r="PVV64" i="1"/>
  <c r="PVW64" i="1"/>
  <c r="PVX64" i="1"/>
  <c r="PVY64" i="1"/>
  <c r="PVZ64" i="1"/>
  <c r="PWA64" i="1"/>
  <c r="PWB64" i="1"/>
  <c r="PWC64" i="1"/>
  <c r="PWD64" i="1"/>
  <c r="PWE64" i="1"/>
  <c r="PWF64" i="1"/>
  <c r="PWG64" i="1"/>
  <c r="PWH64" i="1"/>
  <c r="PWI64" i="1"/>
  <c r="PWJ64" i="1"/>
  <c r="PWK64" i="1"/>
  <c r="PWL64" i="1"/>
  <c r="PWM64" i="1"/>
  <c r="PWN64" i="1"/>
  <c r="PWO64" i="1"/>
  <c r="PWP64" i="1"/>
  <c r="PWQ64" i="1"/>
  <c r="PWR64" i="1"/>
  <c r="PWS64" i="1"/>
  <c r="PWT64" i="1"/>
  <c r="PWU64" i="1"/>
  <c r="PWV64" i="1"/>
  <c r="PWW64" i="1"/>
  <c r="PWX64" i="1"/>
  <c r="PWY64" i="1"/>
  <c r="PWZ64" i="1"/>
  <c r="PXA64" i="1"/>
  <c r="PXB64" i="1"/>
  <c r="PXC64" i="1"/>
  <c r="PXD64" i="1"/>
  <c r="PXE64" i="1"/>
  <c r="PXF64" i="1"/>
  <c r="PXG64" i="1"/>
  <c r="PXH64" i="1"/>
  <c r="PXI64" i="1"/>
  <c r="PXJ64" i="1"/>
  <c r="PXK64" i="1"/>
  <c r="PXL64" i="1"/>
  <c r="PXM64" i="1"/>
  <c r="PXN64" i="1"/>
  <c r="PXO64" i="1"/>
  <c r="PXP64" i="1"/>
  <c r="PXQ64" i="1"/>
  <c r="PXR64" i="1"/>
  <c r="PXS64" i="1"/>
  <c r="PXT64" i="1"/>
  <c r="PXU64" i="1"/>
  <c r="PXV64" i="1"/>
  <c r="PXW64" i="1"/>
  <c r="PXX64" i="1"/>
  <c r="PXY64" i="1"/>
  <c r="PXZ64" i="1"/>
  <c r="PYA64" i="1"/>
  <c r="PYB64" i="1"/>
  <c r="PYC64" i="1"/>
  <c r="PYD64" i="1"/>
  <c r="PYE64" i="1"/>
  <c r="PYF64" i="1"/>
  <c r="PYG64" i="1"/>
  <c r="PYH64" i="1"/>
  <c r="PYI64" i="1"/>
  <c r="PYJ64" i="1"/>
  <c r="PYK64" i="1"/>
  <c r="PYL64" i="1"/>
  <c r="PYM64" i="1"/>
  <c r="PYN64" i="1"/>
  <c r="PYO64" i="1"/>
  <c r="PYP64" i="1"/>
  <c r="PYQ64" i="1"/>
  <c r="PYR64" i="1"/>
  <c r="PYS64" i="1"/>
  <c r="PYT64" i="1"/>
  <c r="PYU64" i="1"/>
  <c r="PYV64" i="1"/>
  <c r="PYW64" i="1"/>
  <c r="PYX64" i="1"/>
  <c r="PYY64" i="1"/>
  <c r="PYZ64" i="1"/>
  <c r="PZA64" i="1"/>
  <c r="PZB64" i="1"/>
  <c r="PZC64" i="1"/>
  <c r="PZD64" i="1"/>
  <c r="PZE64" i="1"/>
  <c r="PZF64" i="1"/>
  <c r="PZG64" i="1"/>
  <c r="PZH64" i="1"/>
  <c r="PZI64" i="1"/>
  <c r="PZJ64" i="1"/>
  <c r="PZK64" i="1"/>
  <c r="PZL64" i="1"/>
  <c r="PZM64" i="1"/>
  <c r="PZN64" i="1"/>
  <c r="PZO64" i="1"/>
  <c r="PZP64" i="1"/>
  <c r="PZQ64" i="1"/>
  <c r="PZR64" i="1"/>
  <c r="PZS64" i="1"/>
  <c r="PZT64" i="1"/>
  <c r="PZU64" i="1"/>
  <c r="PZV64" i="1"/>
  <c r="PZW64" i="1"/>
  <c r="PZX64" i="1"/>
  <c r="PZY64" i="1"/>
  <c r="PZZ64" i="1"/>
  <c r="QAA64" i="1"/>
  <c r="QAB64" i="1"/>
  <c r="QAC64" i="1"/>
  <c r="QAD64" i="1"/>
  <c r="QAE64" i="1"/>
  <c r="QAF64" i="1"/>
  <c r="QAG64" i="1"/>
  <c r="QAH64" i="1"/>
  <c r="QAI64" i="1"/>
  <c r="QAJ64" i="1"/>
  <c r="QAK64" i="1"/>
  <c r="QAL64" i="1"/>
  <c r="QAM64" i="1"/>
  <c r="QAN64" i="1"/>
  <c r="QAO64" i="1"/>
  <c r="QAP64" i="1"/>
  <c r="QAQ64" i="1"/>
  <c r="QAR64" i="1"/>
  <c r="QAS64" i="1"/>
  <c r="QAT64" i="1"/>
  <c r="QAU64" i="1"/>
  <c r="QAV64" i="1"/>
  <c r="QAW64" i="1"/>
  <c r="QAX64" i="1"/>
  <c r="QAY64" i="1"/>
  <c r="QAZ64" i="1"/>
  <c r="QBA64" i="1"/>
  <c r="QBB64" i="1"/>
  <c r="QBC64" i="1"/>
  <c r="QBD64" i="1"/>
  <c r="QBE64" i="1"/>
  <c r="QBF64" i="1"/>
  <c r="QBG64" i="1"/>
  <c r="QBH64" i="1"/>
  <c r="QBI64" i="1"/>
  <c r="QBJ64" i="1"/>
  <c r="QBK64" i="1"/>
  <c r="QBL64" i="1"/>
  <c r="QBM64" i="1"/>
  <c r="QBN64" i="1"/>
  <c r="QBO64" i="1"/>
  <c r="QBP64" i="1"/>
  <c r="QBQ64" i="1"/>
  <c r="QBR64" i="1"/>
  <c r="QBS64" i="1"/>
  <c r="QBT64" i="1"/>
  <c r="QBU64" i="1"/>
  <c r="QBV64" i="1"/>
  <c r="QBW64" i="1"/>
  <c r="QBX64" i="1"/>
  <c r="QBY64" i="1"/>
  <c r="QBZ64" i="1"/>
  <c r="QCA64" i="1"/>
  <c r="QCB64" i="1"/>
  <c r="QCC64" i="1"/>
  <c r="QCD64" i="1"/>
  <c r="QCE64" i="1"/>
  <c r="QCF64" i="1"/>
  <c r="QCG64" i="1"/>
  <c r="QCH64" i="1"/>
  <c r="QCI64" i="1"/>
  <c r="QCJ64" i="1"/>
  <c r="QCK64" i="1"/>
  <c r="QCL64" i="1"/>
  <c r="QCM64" i="1"/>
  <c r="QCN64" i="1"/>
  <c r="QCO64" i="1"/>
  <c r="QCP64" i="1"/>
  <c r="QCQ64" i="1"/>
  <c r="QCR64" i="1"/>
  <c r="QCS64" i="1"/>
  <c r="QCT64" i="1"/>
  <c r="QCU64" i="1"/>
  <c r="QCV64" i="1"/>
  <c r="QCW64" i="1"/>
  <c r="QCX64" i="1"/>
  <c r="QCY64" i="1"/>
  <c r="QCZ64" i="1"/>
  <c r="QDA64" i="1"/>
  <c r="QDB64" i="1"/>
  <c r="QDC64" i="1"/>
  <c r="QDD64" i="1"/>
  <c r="QDE64" i="1"/>
  <c r="QDF64" i="1"/>
  <c r="QDG64" i="1"/>
  <c r="QDH64" i="1"/>
  <c r="QDI64" i="1"/>
  <c r="QDJ64" i="1"/>
  <c r="QDK64" i="1"/>
  <c r="QDL64" i="1"/>
  <c r="QDM64" i="1"/>
  <c r="QDN64" i="1"/>
  <c r="QDO64" i="1"/>
  <c r="QDP64" i="1"/>
  <c r="QDQ64" i="1"/>
  <c r="QDR64" i="1"/>
  <c r="QDS64" i="1"/>
  <c r="QDT64" i="1"/>
  <c r="QDU64" i="1"/>
  <c r="QDV64" i="1"/>
  <c r="QDW64" i="1"/>
  <c r="QDX64" i="1"/>
  <c r="QDY64" i="1"/>
  <c r="QDZ64" i="1"/>
  <c r="QEA64" i="1"/>
  <c r="QEB64" i="1"/>
  <c r="QEC64" i="1"/>
  <c r="QED64" i="1"/>
  <c r="QEE64" i="1"/>
  <c r="QEF64" i="1"/>
  <c r="QEG64" i="1"/>
  <c r="QEH64" i="1"/>
  <c r="QEI64" i="1"/>
  <c r="QEJ64" i="1"/>
  <c r="QEK64" i="1"/>
  <c r="QEL64" i="1"/>
  <c r="QEM64" i="1"/>
  <c r="QEN64" i="1"/>
  <c r="QEO64" i="1"/>
  <c r="QEP64" i="1"/>
  <c r="QEQ64" i="1"/>
  <c r="QER64" i="1"/>
  <c r="QES64" i="1"/>
  <c r="QET64" i="1"/>
  <c r="QEU64" i="1"/>
  <c r="QEV64" i="1"/>
  <c r="QEW64" i="1"/>
  <c r="QEX64" i="1"/>
  <c r="QEY64" i="1"/>
  <c r="QEZ64" i="1"/>
  <c r="QFA64" i="1"/>
  <c r="QFB64" i="1"/>
  <c r="QFC64" i="1"/>
  <c r="QFD64" i="1"/>
  <c r="QFE64" i="1"/>
  <c r="QFF64" i="1"/>
  <c r="QFG64" i="1"/>
  <c r="QFH64" i="1"/>
  <c r="QFI64" i="1"/>
  <c r="QFJ64" i="1"/>
  <c r="QFK64" i="1"/>
  <c r="QFL64" i="1"/>
  <c r="QFM64" i="1"/>
  <c r="QFN64" i="1"/>
  <c r="QFO64" i="1"/>
  <c r="QFP64" i="1"/>
  <c r="QFQ64" i="1"/>
  <c r="QFR64" i="1"/>
  <c r="QFS64" i="1"/>
  <c r="QFT64" i="1"/>
  <c r="QFU64" i="1"/>
  <c r="QFV64" i="1"/>
  <c r="QFW64" i="1"/>
  <c r="QFX64" i="1"/>
  <c r="QFY64" i="1"/>
  <c r="QFZ64" i="1"/>
  <c r="QGA64" i="1"/>
  <c r="QGB64" i="1"/>
  <c r="QGC64" i="1"/>
  <c r="QGD64" i="1"/>
  <c r="QGE64" i="1"/>
  <c r="QGF64" i="1"/>
  <c r="QGG64" i="1"/>
  <c r="QGH64" i="1"/>
  <c r="QGI64" i="1"/>
  <c r="QGJ64" i="1"/>
  <c r="QGK64" i="1"/>
  <c r="QGL64" i="1"/>
  <c r="QGM64" i="1"/>
  <c r="QGN64" i="1"/>
  <c r="QGO64" i="1"/>
  <c r="QGP64" i="1"/>
  <c r="QGQ64" i="1"/>
  <c r="QGR64" i="1"/>
  <c r="QGS64" i="1"/>
  <c r="QGT64" i="1"/>
  <c r="QGU64" i="1"/>
  <c r="QGV64" i="1"/>
  <c r="QGW64" i="1"/>
  <c r="QGX64" i="1"/>
  <c r="QGY64" i="1"/>
  <c r="QGZ64" i="1"/>
  <c r="QHA64" i="1"/>
  <c r="QHB64" i="1"/>
  <c r="QHC64" i="1"/>
  <c r="QHD64" i="1"/>
  <c r="QHE64" i="1"/>
  <c r="QHF64" i="1"/>
  <c r="QHG64" i="1"/>
  <c r="QHH64" i="1"/>
  <c r="QHI64" i="1"/>
  <c r="QHJ64" i="1"/>
  <c r="QHK64" i="1"/>
  <c r="QHL64" i="1"/>
  <c r="QHM64" i="1"/>
  <c r="QHN64" i="1"/>
  <c r="QHO64" i="1"/>
  <c r="QHP64" i="1"/>
  <c r="QHQ64" i="1"/>
  <c r="QHR64" i="1"/>
  <c r="QHS64" i="1"/>
  <c r="QHT64" i="1"/>
  <c r="QHU64" i="1"/>
  <c r="QHV64" i="1"/>
  <c r="QHW64" i="1"/>
  <c r="QHX64" i="1"/>
  <c r="QHY64" i="1"/>
  <c r="QHZ64" i="1"/>
  <c r="QIA64" i="1"/>
  <c r="QIB64" i="1"/>
  <c r="QIC64" i="1"/>
  <c r="QID64" i="1"/>
  <c r="QIE64" i="1"/>
  <c r="QIF64" i="1"/>
  <c r="QIG64" i="1"/>
  <c r="QIH64" i="1"/>
  <c r="QII64" i="1"/>
  <c r="QIJ64" i="1"/>
  <c r="QIK64" i="1"/>
  <c r="QIL64" i="1"/>
  <c r="QIM64" i="1"/>
  <c r="QIN64" i="1"/>
  <c r="QIO64" i="1"/>
  <c r="QIP64" i="1"/>
  <c r="QIQ64" i="1"/>
  <c r="QIR64" i="1"/>
  <c r="QIS64" i="1"/>
  <c r="QIT64" i="1"/>
  <c r="QIU64" i="1"/>
  <c r="QIV64" i="1"/>
  <c r="QIW64" i="1"/>
  <c r="QIX64" i="1"/>
  <c r="QIY64" i="1"/>
  <c r="QIZ64" i="1"/>
  <c r="QJA64" i="1"/>
  <c r="QJB64" i="1"/>
  <c r="QJC64" i="1"/>
  <c r="QJD64" i="1"/>
  <c r="QJE64" i="1"/>
  <c r="QJF64" i="1"/>
  <c r="QJG64" i="1"/>
  <c r="QJH64" i="1"/>
  <c r="QJI64" i="1"/>
  <c r="QJJ64" i="1"/>
  <c r="QJK64" i="1"/>
  <c r="QJL64" i="1"/>
  <c r="QJM64" i="1"/>
  <c r="QJN64" i="1"/>
  <c r="QJO64" i="1"/>
  <c r="QJP64" i="1"/>
  <c r="QJQ64" i="1"/>
  <c r="QJR64" i="1"/>
  <c r="QJS64" i="1"/>
  <c r="QJT64" i="1"/>
  <c r="QJU64" i="1"/>
  <c r="QJV64" i="1"/>
  <c r="QJW64" i="1"/>
  <c r="QJX64" i="1"/>
  <c r="QJY64" i="1"/>
  <c r="QJZ64" i="1"/>
  <c r="QKA64" i="1"/>
  <c r="QKB64" i="1"/>
  <c r="QKC64" i="1"/>
  <c r="QKD64" i="1"/>
  <c r="QKE64" i="1"/>
  <c r="QKF64" i="1"/>
  <c r="QKG64" i="1"/>
  <c r="QKH64" i="1"/>
  <c r="QKI64" i="1"/>
  <c r="QKJ64" i="1"/>
  <c r="QKK64" i="1"/>
  <c r="QKL64" i="1"/>
  <c r="QKM64" i="1"/>
  <c r="QKN64" i="1"/>
  <c r="QKO64" i="1"/>
  <c r="QKP64" i="1"/>
  <c r="QKQ64" i="1"/>
  <c r="QKR64" i="1"/>
  <c r="QKS64" i="1"/>
  <c r="QKT64" i="1"/>
  <c r="QKU64" i="1"/>
  <c r="QKV64" i="1"/>
  <c r="QKW64" i="1"/>
  <c r="QKX64" i="1"/>
  <c r="QKY64" i="1"/>
  <c r="QKZ64" i="1"/>
  <c r="QLA64" i="1"/>
  <c r="QLB64" i="1"/>
  <c r="QLC64" i="1"/>
  <c r="QLD64" i="1"/>
  <c r="QLE64" i="1"/>
  <c r="QLF64" i="1"/>
  <c r="QLG64" i="1"/>
  <c r="QLH64" i="1"/>
  <c r="QLI64" i="1"/>
  <c r="QLJ64" i="1"/>
  <c r="QLK64" i="1"/>
  <c r="QLL64" i="1"/>
  <c r="QLM64" i="1"/>
  <c r="QLN64" i="1"/>
  <c r="QLO64" i="1"/>
  <c r="QLP64" i="1"/>
  <c r="QLQ64" i="1"/>
  <c r="QLR64" i="1"/>
  <c r="QLS64" i="1"/>
  <c r="QLT64" i="1"/>
  <c r="QLU64" i="1"/>
  <c r="QLV64" i="1"/>
  <c r="QLW64" i="1"/>
  <c r="QLX64" i="1"/>
  <c r="QLY64" i="1"/>
  <c r="QLZ64" i="1"/>
  <c r="QMA64" i="1"/>
  <c r="QMB64" i="1"/>
  <c r="QMC64" i="1"/>
  <c r="QMD64" i="1"/>
  <c r="QME64" i="1"/>
  <c r="QMF64" i="1"/>
  <c r="QMG64" i="1"/>
  <c r="QMH64" i="1"/>
  <c r="QMI64" i="1"/>
  <c r="QMJ64" i="1"/>
  <c r="QMK64" i="1"/>
  <c r="QML64" i="1"/>
  <c r="QMM64" i="1"/>
  <c r="QMN64" i="1"/>
  <c r="QMO64" i="1"/>
  <c r="QMP64" i="1"/>
  <c r="QMQ64" i="1"/>
  <c r="QMR64" i="1"/>
  <c r="QMS64" i="1"/>
  <c r="QMT64" i="1"/>
  <c r="QMU64" i="1"/>
  <c r="QMV64" i="1"/>
  <c r="QMW64" i="1"/>
  <c r="QMX64" i="1"/>
  <c r="QMY64" i="1"/>
  <c r="QMZ64" i="1"/>
  <c r="QNA64" i="1"/>
  <c r="QNB64" i="1"/>
  <c r="QNC64" i="1"/>
  <c r="QND64" i="1"/>
  <c r="QNE64" i="1"/>
  <c r="QNF64" i="1"/>
  <c r="QNG64" i="1"/>
  <c r="QNH64" i="1"/>
  <c r="QNI64" i="1"/>
  <c r="QNJ64" i="1"/>
  <c r="QNK64" i="1"/>
  <c r="QNL64" i="1"/>
  <c r="QNM64" i="1"/>
  <c r="QNN64" i="1"/>
  <c r="QNO64" i="1"/>
  <c r="QNP64" i="1"/>
  <c r="QNQ64" i="1"/>
  <c r="QNR64" i="1"/>
  <c r="QNS64" i="1"/>
  <c r="QNT64" i="1"/>
  <c r="QNU64" i="1"/>
  <c r="QNV64" i="1"/>
  <c r="QNW64" i="1"/>
  <c r="QNX64" i="1"/>
  <c r="QNY64" i="1"/>
  <c r="QNZ64" i="1"/>
  <c r="QOA64" i="1"/>
  <c r="QOB64" i="1"/>
  <c r="QOC64" i="1"/>
  <c r="QOD64" i="1"/>
  <c r="QOE64" i="1"/>
  <c r="QOF64" i="1"/>
  <c r="QOG64" i="1"/>
  <c r="QOH64" i="1"/>
  <c r="QOI64" i="1"/>
  <c r="QOJ64" i="1"/>
  <c r="QOK64" i="1"/>
  <c r="QOL64" i="1"/>
  <c r="QOM64" i="1"/>
  <c r="QON64" i="1"/>
  <c r="QOO64" i="1"/>
  <c r="QOP64" i="1"/>
  <c r="QOQ64" i="1"/>
  <c r="QOR64" i="1"/>
  <c r="QOS64" i="1"/>
  <c r="QOT64" i="1"/>
  <c r="QOU64" i="1"/>
  <c r="QOV64" i="1"/>
  <c r="QOW64" i="1"/>
  <c r="QOX64" i="1"/>
  <c r="QOY64" i="1"/>
  <c r="QOZ64" i="1"/>
  <c r="QPA64" i="1"/>
  <c r="QPB64" i="1"/>
  <c r="QPC64" i="1"/>
  <c r="QPD64" i="1"/>
  <c r="QPE64" i="1"/>
  <c r="QPF64" i="1"/>
  <c r="QPG64" i="1"/>
  <c r="QPH64" i="1"/>
  <c r="QPI64" i="1"/>
  <c r="QPJ64" i="1"/>
  <c r="QPK64" i="1"/>
  <c r="QPL64" i="1"/>
  <c r="QPM64" i="1"/>
  <c r="QPN64" i="1"/>
  <c r="QPO64" i="1"/>
  <c r="QPP64" i="1"/>
  <c r="QPQ64" i="1"/>
  <c r="QPR64" i="1"/>
  <c r="QPS64" i="1"/>
  <c r="QPT64" i="1"/>
  <c r="QPU64" i="1"/>
  <c r="QPV64" i="1"/>
  <c r="QPW64" i="1"/>
  <c r="QPX64" i="1"/>
  <c r="QPY64" i="1"/>
  <c r="QPZ64" i="1"/>
  <c r="QQA64" i="1"/>
  <c r="QQB64" i="1"/>
  <c r="QQC64" i="1"/>
  <c r="QQD64" i="1"/>
  <c r="QQE64" i="1"/>
  <c r="QQF64" i="1"/>
  <c r="QQG64" i="1"/>
  <c r="QQH64" i="1"/>
  <c r="QQI64" i="1"/>
  <c r="QQJ64" i="1"/>
  <c r="QQK64" i="1"/>
  <c r="QQL64" i="1"/>
  <c r="QQM64" i="1"/>
  <c r="QQN64" i="1"/>
  <c r="QQO64" i="1"/>
  <c r="QQP64" i="1"/>
  <c r="QQQ64" i="1"/>
  <c r="QQR64" i="1"/>
  <c r="QQS64" i="1"/>
  <c r="QQT64" i="1"/>
  <c r="QQU64" i="1"/>
  <c r="QQV64" i="1"/>
  <c r="QQW64" i="1"/>
  <c r="QQX64" i="1"/>
  <c r="QQY64" i="1"/>
  <c r="QQZ64" i="1"/>
  <c r="QRA64" i="1"/>
  <c r="QRB64" i="1"/>
  <c r="QRC64" i="1"/>
  <c r="QRD64" i="1"/>
  <c r="QRE64" i="1"/>
  <c r="QRF64" i="1"/>
  <c r="QRG64" i="1"/>
  <c r="QRH64" i="1"/>
  <c r="QRI64" i="1"/>
  <c r="QRJ64" i="1"/>
  <c r="QRK64" i="1"/>
  <c r="QRL64" i="1"/>
  <c r="QRM64" i="1"/>
  <c r="QRN64" i="1"/>
  <c r="QRO64" i="1"/>
  <c r="QRP64" i="1"/>
  <c r="QRQ64" i="1"/>
  <c r="QRR64" i="1"/>
  <c r="QRS64" i="1"/>
  <c r="QRT64" i="1"/>
  <c r="QRU64" i="1"/>
  <c r="QRV64" i="1"/>
  <c r="QRW64" i="1"/>
  <c r="QRX64" i="1"/>
  <c r="QRY64" i="1"/>
  <c r="QRZ64" i="1"/>
  <c r="QSA64" i="1"/>
  <c r="QSB64" i="1"/>
  <c r="QSC64" i="1"/>
  <c r="QSD64" i="1"/>
  <c r="QSE64" i="1"/>
  <c r="QSF64" i="1"/>
  <c r="QSG64" i="1"/>
  <c r="QSH64" i="1"/>
  <c r="QSI64" i="1"/>
  <c r="QSJ64" i="1"/>
  <c r="QSK64" i="1"/>
  <c r="QSL64" i="1"/>
  <c r="QSM64" i="1"/>
  <c r="QSN64" i="1"/>
  <c r="QSO64" i="1"/>
  <c r="QSP64" i="1"/>
  <c r="QSQ64" i="1"/>
  <c r="QSR64" i="1"/>
  <c r="QSS64" i="1"/>
  <c r="QST64" i="1"/>
  <c r="QSU64" i="1"/>
  <c r="QSV64" i="1"/>
  <c r="QSW64" i="1"/>
  <c r="QSX64" i="1"/>
  <c r="QSY64" i="1"/>
  <c r="QSZ64" i="1"/>
  <c r="QTA64" i="1"/>
  <c r="QTB64" i="1"/>
  <c r="QTC64" i="1"/>
  <c r="QTD64" i="1"/>
  <c r="QTE64" i="1"/>
  <c r="QTF64" i="1"/>
  <c r="QTG64" i="1"/>
  <c r="QTH64" i="1"/>
  <c r="QTI64" i="1"/>
  <c r="QTJ64" i="1"/>
  <c r="QTK64" i="1"/>
  <c r="QTL64" i="1"/>
  <c r="QTM64" i="1"/>
  <c r="QTN64" i="1"/>
  <c r="QTO64" i="1"/>
  <c r="QTP64" i="1"/>
  <c r="QTQ64" i="1"/>
  <c r="QTR64" i="1"/>
  <c r="QTS64" i="1"/>
  <c r="QTT64" i="1"/>
  <c r="QTU64" i="1"/>
  <c r="QTV64" i="1"/>
  <c r="QTW64" i="1"/>
  <c r="QTX64" i="1"/>
  <c r="QTY64" i="1"/>
  <c r="QTZ64" i="1"/>
  <c r="QUA64" i="1"/>
  <c r="QUB64" i="1"/>
  <c r="QUC64" i="1"/>
  <c r="QUD64" i="1"/>
  <c r="QUE64" i="1"/>
  <c r="QUF64" i="1"/>
  <c r="QUG64" i="1"/>
  <c r="QUH64" i="1"/>
  <c r="QUI64" i="1"/>
  <c r="QUJ64" i="1"/>
  <c r="QUK64" i="1"/>
  <c r="QUL64" i="1"/>
  <c r="QUM64" i="1"/>
  <c r="QUN64" i="1"/>
  <c r="QUO64" i="1"/>
  <c r="QUP64" i="1"/>
  <c r="QUQ64" i="1"/>
  <c r="QUR64" i="1"/>
  <c r="QUS64" i="1"/>
  <c r="QUT64" i="1"/>
  <c r="QUU64" i="1"/>
  <c r="QUV64" i="1"/>
  <c r="QUW64" i="1"/>
  <c r="QUX64" i="1"/>
  <c r="QUY64" i="1"/>
  <c r="QUZ64" i="1"/>
  <c r="QVA64" i="1"/>
  <c r="QVB64" i="1"/>
  <c r="QVC64" i="1"/>
  <c r="QVD64" i="1"/>
  <c r="QVE64" i="1"/>
  <c r="QVF64" i="1"/>
  <c r="QVG64" i="1"/>
  <c r="QVH64" i="1"/>
  <c r="QVI64" i="1"/>
  <c r="QVJ64" i="1"/>
  <c r="QVK64" i="1"/>
  <c r="QVL64" i="1"/>
  <c r="QVM64" i="1"/>
  <c r="QVN64" i="1"/>
  <c r="QVO64" i="1"/>
  <c r="QVP64" i="1"/>
  <c r="QVQ64" i="1"/>
  <c r="QVR64" i="1"/>
  <c r="QVS64" i="1"/>
  <c r="QVT64" i="1"/>
  <c r="QVU64" i="1"/>
  <c r="QVV64" i="1"/>
  <c r="QVW64" i="1"/>
  <c r="QVX64" i="1"/>
  <c r="QVY64" i="1"/>
  <c r="QVZ64" i="1"/>
  <c r="QWA64" i="1"/>
  <c r="QWB64" i="1"/>
  <c r="QWC64" i="1"/>
  <c r="QWD64" i="1"/>
  <c r="QWE64" i="1"/>
  <c r="QWF64" i="1"/>
  <c r="QWG64" i="1"/>
  <c r="QWH64" i="1"/>
  <c r="QWI64" i="1"/>
  <c r="QWJ64" i="1"/>
  <c r="QWK64" i="1"/>
  <c r="QWL64" i="1"/>
  <c r="QWM64" i="1"/>
  <c r="QWN64" i="1"/>
  <c r="QWO64" i="1"/>
  <c r="QWP64" i="1"/>
  <c r="QWQ64" i="1"/>
  <c r="QWR64" i="1"/>
  <c r="QWS64" i="1"/>
  <c r="QWT64" i="1"/>
  <c r="QWU64" i="1"/>
  <c r="QWV64" i="1"/>
  <c r="QWW64" i="1"/>
  <c r="QWX64" i="1"/>
  <c r="QWY64" i="1"/>
  <c r="QWZ64" i="1"/>
  <c r="QXA64" i="1"/>
  <c r="QXB64" i="1"/>
  <c r="QXC64" i="1"/>
  <c r="QXD64" i="1"/>
  <c r="QXE64" i="1"/>
  <c r="QXF64" i="1"/>
  <c r="QXG64" i="1"/>
  <c r="QXH64" i="1"/>
  <c r="QXI64" i="1"/>
  <c r="QXJ64" i="1"/>
  <c r="QXK64" i="1"/>
  <c r="QXL64" i="1"/>
  <c r="QXM64" i="1"/>
  <c r="QXN64" i="1"/>
  <c r="QXO64" i="1"/>
  <c r="QXP64" i="1"/>
  <c r="QXQ64" i="1"/>
  <c r="QXR64" i="1"/>
  <c r="QXS64" i="1"/>
  <c r="QXT64" i="1"/>
  <c r="QXU64" i="1"/>
  <c r="QXV64" i="1"/>
  <c r="QXW64" i="1"/>
  <c r="QXX64" i="1"/>
  <c r="QXY64" i="1"/>
  <c r="QXZ64" i="1"/>
  <c r="QYA64" i="1"/>
  <c r="QYB64" i="1"/>
  <c r="QYC64" i="1"/>
  <c r="QYD64" i="1"/>
  <c r="QYE64" i="1"/>
  <c r="QYF64" i="1"/>
  <c r="QYG64" i="1"/>
  <c r="QYH64" i="1"/>
  <c r="QYI64" i="1"/>
  <c r="QYJ64" i="1"/>
  <c r="QYK64" i="1"/>
  <c r="QYL64" i="1"/>
  <c r="QYM64" i="1"/>
  <c r="QYN64" i="1"/>
  <c r="QYO64" i="1"/>
  <c r="QYP64" i="1"/>
  <c r="QYQ64" i="1"/>
  <c r="QYR64" i="1"/>
  <c r="QYS64" i="1"/>
  <c r="QYT64" i="1"/>
  <c r="QYU64" i="1"/>
  <c r="QYV64" i="1"/>
  <c r="QYW64" i="1"/>
  <c r="QYX64" i="1"/>
  <c r="QYY64" i="1"/>
  <c r="QYZ64" i="1"/>
  <c r="QZA64" i="1"/>
  <c r="QZB64" i="1"/>
  <c r="QZC64" i="1"/>
  <c r="QZD64" i="1"/>
  <c r="QZE64" i="1"/>
  <c r="QZF64" i="1"/>
  <c r="QZG64" i="1"/>
  <c r="QZH64" i="1"/>
  <c r="QZI64" i="1"/>
  <c r="QZJ64" i="1"/>
  <c r="QZK64" i="1"/>
  <c r="QZL64" i="1"/>
  <c r="QZM64" i="1"/>
  <c r="QZN64" i="1"/>
  <c r="QZO64" i="1"/>
  <c r="QZP64" i="1"/>
  <c r="QZQ64" i="1"/>
  <c r="QZR64" i="1"/>
  <c r="QZS64" i="1"/>
  <c r="QZT64" i="1"/>
  <c r="QZU64" i="1"/>
  <c r="QZV64" i="1"/>
  <c r="QZW64" i="1"/>
  <c r="QZX64" i="1"/>
  <c r="QZY64" i="1"/>
  <c r="QZZ64" i="1"/>
  <c r="RAA64" i="1"/>
  <c r="RAB64" i="1"/>
  <c r="RAC64" i="1"/>
  <c r="RAD64" i="1"/>
  <c r="RAE64" i="1"/>
  <c r="RAF64" i="1"/>
  <c r="RAG64" i="1"/>
  <c r="RAH64" i="1"/>
  <c r="RAI64" i="1"/>
  <c r="RAJ64" i="1"/>
  <c r="RAK64" i="1"/>
  <c r="RAL64" i="1"/>
  <c r="RAM64" i="1"/>
  <c r="RAN64" i="1"/>
  <c r="RAO64" i="1"/>
  <c r="RAP64" i="1"/>
  <c r="RAQ64" i="1"/>
  <c r="RAR64" i="1"/>
  <c r="RAS64" i="1"/>
  <c r="RAT64" i="1"/>
  <c r="RAU64" i="1"/>
  <c r="RAV64" i="1"/>
  <c r="RAW64" i="1"/>
  <c r="RAX64" i="1"/>
  <c r="RAY64" i="1"/>
  <c r="RAZ64" i="1"/>
  <c r="RBA64" i="1"/>
  <c r="RBB64" i="1"/>
  <c r="RBC64" i="1"/>
  <c r="RBD64" i="1"/>
  <c r="RBE64" i="1"/>
  <c r="RBF64" i="1"/>
  <c r="RBG64" i="1"/>
  <c r="RBH64" i="1"/>
  <c r="RBI64" i="1"/>
  <c r="RBJ64" i="1"/>
  <c r="RBK64" i="1"/>
  <c r="RBL64" i="1"/>
  <c r="RBM64" i="1"/>
  <c r="RBN64" i="1"/>
  <c r="RBO64" i="1"/>
  <c r="RBP64" i="1"/>
  <c r="RBQ64" i="1"/>
  <c r="RBR64" i="1"/>
  <c r="RBS64" i="1"/>
  <c r="RBT64" i="1"/>
  <c r="RBU64" i="1"/>
  <c r="RBV64" i="1"/>
  <c r="RBW64" i="1"/>
  <c r="RBX64" i="1"/>
  <c r="RBY64" i="1"/>
  <c r="RBZ64" i="1"/>
  <c r="RCA64" i="1"/>
  <c r="RCB64" i="1"/>
  <c r="RCC64" i="1"/>
  <c r="RCD64" i="1"/>
  <c r="RCE64" i="1"/>
  <c r="RCF64" i="1"/>
  <c r="RCG64" i="1"/>
  <c r="RCH64" i="1"/>
  <c r="RCI64" i="1"/>
  <c r="RCJ64" i="1"/>
  <c r="RCK64" i="1"/>
  <c r="RCL64" i="1"/>
  <c r="RCM64" i="1"/>
  <c r="RCN64" i="1"/>
  <c r="RCO64" i="1"/>
  <c r="RCP64" i="1"/>
  <c r="RCQ64" i="1"/>
  <c r="RCR64" i="1"/>
  <c r="RCS64" i="1"/>
  <c r="RCT64" i="1"/>
  <c r="RCU64" i="1"/>
  <c r="RCV64" i="1"/>
  <c r="RCW64" i="1"/>
  <c r="RCX64" i="1"/>
  <c r="RCY64" i="1"/>
  <c r="RCZ64" i="1"/>
  <c r="RDA64" i="1"/>
  <c r="RDB64" i="1"/>
  <c r="RDC64" i="1"/>
  <c r="RDD64" i="1"/>
  <c r="RDE64" i="1"/>
  <c r="RDF64" i="1"/>
  <c r="RDG64" i="1"/>
  <c r="RDH64" i="1"/>
  <c r="RDI64" i="1"/>
  <c r="RDJ64" i="1"/>
  <c r="RDK64" i="1"/>
  <c r="RDL64" i="1"/>
  <c r="RDM64" i="1"/>
  <c r="RDN64" i="1"/>
  <c r="RDO64" i="1"/>
  <c r="RDP64" i="1"/>
  <c r="RDQ64" i="1"/>
  <c r="RDR64" i="1"/>
  <c r="RDS64" i="1"/>
  <c r="RDT64" i="1"/>
  <c r="RDU64" i="1"/>
  <c r="RDV64" i="1"/>
  <c r="RDW64" i="1"/>
  <c r="RDX64" i="1"/>
  <c r="RDY64" i="1"/>
  <c r="RDZ64" i="1"/>
  <c r="REA64" i="1"/>
  <c r="REB64" i="1"/>
  <c r="REC64" i="1"/>
  <c r="RED64" i="1"/>
  <c r="REE64" i="1"/>
  <c r="REF64" i="1"/>
  <c r="REG64" i="1"/>
  <c r="REH64" i="1"/>
  <c r="REI64" i="1"/>
  <c r="REJ64" i="1"/>
  <c r="REK64" i="1"/>
  <c r="REL64" i="1"/>
  <c r="REM64" i="1"/>
  <c r="REN64" i="1"/>
  <c r="REO64" i="1"/>
  <c r="REP64" i="1"/>
  <c r="REQ64" i="1"/>
  <c r="RER64" i="1"/>
  <c r="RES64" i="1"/>
  <c r="RET64" i="1"/>
  <c r="REU64" i="1"/>
  <c r="REV64" i="1"/>
  <c r="REW64" i="1"/>
  <c r="REX64" i="1"/>
  <c r="REY64" i="1"/>
  <c r="REZ64" i="1"/>
  <c r="RFA64" i="1"/>
  <c r="RFB64" i="1"/>
  <c r="RFC64" i="1"/>
  <c r="RFD64" i="1"/>
  <c r="RFE64" i="1"/>
  <c r="RFF64" i="1"/>
  <c r="RFG64" i="1"/>
  <c r="RFH64" i="1"/>
  <c r="RFI64" i="1"/>
  <c r="RFJ64" i="1"/>
  <c r="RFK64" i="1"/>
  <c r="RFL64" i="1"/>
  <c r="RFM64" i="1"/>
  <c r="RFN64" i="1"/>
  <c r="RFO64" i="1"/>
  <c r="RFP64" i="1"/>
  <c r="RFQ64" i="1"/>
  <c r="RFR64" i="1"/>
  <c r="RFS64" i="1"/>
  <c r="RFT64" i="1"/>
  <c r="RFU64" i="1"/>
  <c r="RFV64" i="1"/>
  <c r="RFW64" i="1"/>
  <c r="RFX64" i="1"/>
  <c r="RFY64" i="1"/>
  <c r="RFZ64" i="1"/>
  <c r="RGA64" i="1"/>
  <c r="RGB64" i="1"/>
  <c r="RGC64" i="1"/>
  <c r="RGD64" i="1"/>
  <c r="RGE64" i="1"/>
  <c r="RGF64" i="1"/>
  <c r="RGG64" i="1"/>
  <c r="RGH64" i="1"/>
  <c r="RGI64" i="1"/>
  <c r="RGJ64" i="1"/>
  <c r="RGK64" i="1"/>
  <c r="RGL64" i="1"/>
  <c r="RGM64" i="1"/>
  <c r="RGN64" i="1"/>
  <c r="RGO64" i="1"/>
  <c r="RGP64" i="1"/>
  <c r="RGQ64" i="1"/>
  <c r="RGR64" i="1"/>
  <c r="RGS64" i="1"/>
  <c r="RGT64" i="1"/>
  <c r="RGU64" i="1"/>
  <c r="RGV64" i="1"/>
  <c r="RGW64" i="1"/>
  <c r="RGX64" i="1"/>
  <c r="RGY64" i="1"/>
  <c r="RGZ64" i="1"/>
  <c r="RHA64" i="1"/>
  <c r="RHB64" i="1"/>
  <c r="RHC64" i="1"/>
  <c r="RHD64" i="1"/>
  <c r="RHE64" i="1"/>
  <c r="RHF64" i="1"/>
  <c r="RHG64" i="1"/>
  <c r="RHH64" i="1"/>
  <c r="RHI64" i="1"/>
  <c r="RHJ64" i="1"/>
  <c r="RHK64" i="1"/>
  <c r="RHL64" i="1"/>
  <c r="RHM64" i="1"/>
  <c r="RHN64" i="1"/>
  <c r="RHO64" i="1"/>
  <c r="RHP64" i="1"/>
  <c r="RHQ64" i="1"/>
  <c r="RHR64" i="1"/>
  <c r="RHS64" i="1"/>
  <c r="RHT64" i="1"/>
  <c r="RHU64" i="1"/>
  <c r="RHV64" i="1"/>
  <c r="RHW64" i="1"/>
  <c r="RHX64" i="1"/>
  <c r="RHY64" i="1"/>
  <c r="RHZ64" i="1"/>
  <c r="RIA64" i="1"/>
  <c r="RIB64" i="1"/>
  <c r="RIC64" i="1"/>
  <c r="RID64" i="1"/>
  <c r="RIE64" i="1"/>
  <c r="RIF64" i="1"/>
  <c r="RIG64" i="1"/>
  <c r="RIH64" i="1"/>
  <c r="RII64" i="1"/>
  <c r="RIJ64" i="1"/>
  <c r="RIK64" i="1"/>
  <c r="RIL64" i="1"/>
  <c r="RIM64" i="1"/>
  <c r="RIN64" i="1"/>
  <c r="RIO64" i="1"/>
  <c r="RIP64" i="1"/>
  <c r="RIQ64" i="1"/>
  <c r="RIR64" i="1"/>
  <c r="RIS64" i="1"/>
  <c r="RIT64" i="1"/>
  <c r="RIU64" i="1"/>
  <c r="RIV64" i="1"/>
  <c r="RIW64" i="1"/>
  <c r="RIX64" i="1"/>
  <c r="RIY64" i="1"/>
  <c r="RIZ64" i="1"/>
  <c r="RJA64" i="1"/>
  <c r="RJB64" i="1"/>
  <c r="RJC64" i="1"/>
  <c r="RJD64" i="1"/>
  <c r="RJE64" i="1"/>
  <c r="RJF64" i="1"/>
  <c r="RJG64" i="1"/>
  <c r="RJH64" i="1"/>
  <c r="RJI64" i="1"/>
  <c r="RJJ64" i="1"/>
  <c r="RJK64" i="1"/>
  <c r="RJL64" i="1"/>
  <c r="RJM64" i="1"/>
  <c r="RJN64" i="1"/>
  <c r="RJO64" i="1"/>
  <c r="RJP64" i="1"/>
  <c r="RJQ64" i="1"/>
  <c r="RJR64" i="1"/>
  <c r="RJS64" i="1"/>
  <c r="RJT64" i="1"/>
  <c r="RJU64" i="1"/>
  <c r="RJV64" i="1"/>
  <c r="RJW64" i="1"/>
  <c r="RJX64" i="1"/>
  <c r="RJY64" i="1"/>
  <c r="RJZ64" i="1"/>
  <c r="RKA64" i="1"/>
  <c r="RKB64" i="1"/>
  <c r="RKC64" i="1"/>
  <c r="RKD64" i="1"/>
  <c r="RKE64" i="1"/>
  <c r="RKF64" i="1"/>
  <c r="RKG64" i="1"/>
  <c r="RKH64" i="1"/>
  <c r="RKI64" i="1"/>
  <c r="RKJ64" i="1"/>
  <c r="RKK64" i="1"/>
  <c r="RKL64" i="1"/>
  <c r="RKM64" i="1"/>
  <c r="RKN64" i="1"/>
  <c r="RKO64" i="1"/>
  <c r="RKP64" i="1"/>
  <c r="RKQ64" i="1"/>
  <c r="RKR64" i="1"/>
  <c r="RKS64" i="1"/>
  <c r="RKT64" i="1"/>
  <c r="RKU64" i="1"/>
  <c r="RKV64" i="1"/>
  <c r="RKW64" i="1"/>
  <c r="RKX64" i="1"/>
  <c r="RKY64" i="1"/>
  <c r="RKZ64" i="1"/>
  <c r="RLA64" i="1"/>
  <c r="RLB64" i="1"/>
  <c r="RLC64" i="1"/>
  <c r="RLD64" i="1"/>
  <c r="RLE64" i="1"/>
  <c r="RLF64" i="1"/>
  <c r="RLG64" i="1"/>
  <c r="RLH64" i="1"/>
  <c r="RLI64" i="1"/>
  <c r="RLJ64" i="1"/>
  <c r="RLK64" i="1"/>
  <c r="RLL64" i="1"/>
  <c r="RLM64" i="1"/>
  <c r="RLN64" i="1"/>
  <c r="RLO64" i="1"/>
  <c r="RLP64" i="1"/>
  <c r="RLQ64" i="1"/>
  <c r="RLR64" i="1"/>
  <c r="RLS64" i="1"/>
  <c r="RLT64" i="1"/>
  <c r="RLU64" i="1"/>
  <c r="RLV64" i="1"/>
  <c r="RLW64" i="1"/>
  <c r="RLX64" i="1"/>
  <c r="RLY64" i="1"/>
  <c r="RLZ64" i="1"/>
  <c r="RMA64" i="1"/>
  <c r="RMB64" i="1"/>
  <c r="RMC64" i="1"/>
  <c r="RMD64" i="1"/>
  <c r="RME64" i="1"/>
  <c r="RMF64" i="1"/>
  <c r="RMG64" i="1"/>
  <c r="RMH64" i="1"/>
  <c r="RMI64" i="1"/>
  <c r="RMJ64" i="1"/>
  <c r="RMK64" i="1"/>
  <c r="RML64" i="1"/>
  <c r="RMM64" i="1"/>
  <c r="RMN64" i="1"/>
  <c r="RMO64" i="1"/>
  <c r="RMP64" i="1"/>
  <c r="RMQ64" i="1"/>
  <c r="RMR64" i="1"/>
  <c r="RMS64" i="1"/>
  <c r="RMT64" i="1"/>
  <c r="RMU64" i="1"/>
  <c r="RMV64" i="1"/>
  <c r="RMW64" i="1"/>
  <c r="RMX64" i="1"/>
  <c r="RMY64" i="1"/>
  <c r="RMZ64" i="1"/>
  <c r="RNA64" i="1"/>
  <c r="RNB64" i="1"/>
  <c r="RNC64" i="1"/>
  <c r="RND64" i="1"/>
  <c r="RNE64" i="1"/>
  <c r="RNF64" i="1"/>
  <c r="RNG64" i="1"/>
  <c r="RNH64" i="1"/>
  <c r="RNI64" i="1"/>
  <c r="RNJ64" i="1"/>
  <c r="RNK64" i="1"/>
  <c r="RNL64" i="1"/>
  <c r="RNM64" i="1"/>
  <c r="RNN64" i="1"/>
  <c r="RNO64" i="1"/>
  <c r="RNP64" i="1"/>
  <c r="RNQ64" i="1"/>
  <c r="RNR64" i="1"/>
  <c r="RNS64" i="1"/>
  <c r="RNT64" i="1"/>
  <c r="RNU64" i="1"/>
  <c r="RNV64" i="1"/>
  <c r="RNW64" i="1"/>
  <c r="RNX64" i="1"/>
  <c r="RNY64" i="1"/>
  <c r="RNZ64" i="1"/>
  <c r="ROA64" i="1"/>
  <c r="ROB64" i="1"/>
  <c r="ROC64" i="1"/>
  <c r="ROD64" i="1"/>
  <c r="ROE64" i="1"/>
  <c r="ROF64" i="1"/>
  <c r="ROG64" i="1"/>
  <c r="ROH64" i="1"/>
  <c r="ROI64" i="1"/>
  <c r="ROJ64" i="1"/>
  <c r="ROK64" i="1"/>
  <c r="ROL64" i="1"/>
  <c r="ROM64" i="1"/>
  <c r="RON64" i="1"/>
  <c r="ROO64" i="1"/>
  <c r="ROP64" i="1"/>
  <c r="ROQ64" i="1"/>
  <c r="ROR64" i="1"/>
  <c r="ROS64" i="1"/>
  <c r="ROT64" i="1"/>
  <c r="ROU64" i="1"/>
  <c r="ROV64" i="1"/>
  <c r="ROW64" i="1"/>
  <c r="ROX64" i="1"/>
  <c r="ROY64" i="1"/>
  <c r="ROZ64" i="1"/>
  <c r="RPA64" i="1"/>
  <c r="RPB64" i="1"/>
  <c r="RPC64" i="1"/>
  <c r="RPD64" i="1"/>
  <c r="RPE64" i="1"/>
  <c r="RPF64" i="1"/>
  <c r="RPG64" i="1"/>
  <c r="RPH64" i="1"/>
  <c r="RPI64" i="1"/>
  <c r="RPJ64" i="1"/>
  <c r="RPK64" i="1"/>
  <c r="RPL64" i="1"/>
  <c r="RPM64" i="1"/>
  <c r="RPN64" i="1"/>
  <c r="RPO64" i="1"/>
  <c r="RPP64" i="1"/>
  <c r="RPQ64" i="1"/>
  <c r="RPR64" i="1"/>
  <c r="RPS64" i="1"/>
  <c r="RPT64" i="1"/>
  <c r="RPU64" i="1"/>
  <c r="RPV64" i="1"/>
  <c r="RPW64" i="1"/>
  <c r="RPX64" i="1"/>
  <c r="RPY64" i="1"/>
  <c r="RPZ64" i="1"/>
  <c r="RQA64" i="1"/>
  <c r="RQB64" i="1"/>
  <c r="RQC64" i="1"/>
  <c r="RQD64" i="1"/>
  <c r="RQE64" i="1"/>
  <c r="RQF64" i="1"/>
  <c r="RQG64" i="1"/>
  <c r="RQH64" i="1"/>
  <c r="RQI64" i="1"/>
  <c r="RQJ64" i="1"/>
  <c r="RQK64" i="1"/>
  <c r="RQL64" i="1"/>
  <c r="RQM64" i="1"/>
  <c r="RQN64" i="1"/>
  <c r="RQO64" i="1"/>
  <c r="RQP64" i="1"/>
  <c r="RQQ64" i="1"/>
  <c r="RQR64" i="1"/>
  <c r="RQS64" i="1"/>
  <c r="RQT64" i="1"/>
  <c r="RQU64" i="1"/>
  <c r="RQV64" i="1"/>
  <c r="RQW64" i="1"/>
  <c r="RQX64" i="1"/>
  <c r="RQY64" i="1"/>
  <c r="RQZ64" i="1"/>
  <c r="RRA64" i="1"/>
  <c r="RRB64" i="1"/>
  <c r="RRC64" i="1"/>
  <c r="RRD64" i="1"/>
  <c r="RRE64" i="1"/>
  <c r="RRF64" i="1"/>
  <c r="RRG64" i="1"/>
  <c r="RRH64" i="1"/>
  <c r="RRI64" i="1"/>
  <c r="RRJ64" i="1"/>
  <c r="RRK64" i="1"/>
  <c r="RRL64" i="1"/>
  <c r="RRM64" i="1"/>
  <c r="RRN64" i="1"/>
  <c r="RRO64" i="1"/>
  <c r="RRP64" i="1"/>
  <c r="RRQ64" i="1"/>
  <c r="RRR64" i="1"/>
  <c r="RRS64" i="1"/>
  <c r="RRT64" i="1"/>
  <c r="RRU64" i="1"/>
  <c r="RRV64" i="1"/>
  <c r="RRW64" i="1"/>
  <c r="RRX64" i="1"/>
  <c r="RRY64" i="1"/>
  <c r="RRZ64" i="1"/>
  <c r="RSA64" i="1"/>
  <c r="RSB64" i="1"/>
  <c r="RSC64" i="1"/>
  <c r="RSD64" i="1"/>
  <c r="RSE64" i="1"/>
  <c r="RSF64" i="1"/>
  <c r="RSG64" i="1"/>
  <c r="RSH64" i="1"/>
  <c r="RSI64" i="1"/>
  <c r="RSJ64" i="1"/>
  <c r="RSK64" i="1"/>
  <c r="RSL64" i="1"/>
  <c r="RSM64" i="1"/>
  <c r="RSN64" i="1"/>
  <c r="RSO64" i="1"/>
  <c r="RSP64" i="1"/>
  <c r="RSQ64" i="1"/>
  <c r="RSR64" i="1"/>
  <c r="RSS64" i="1"/>
  <c r="RST64" i="1"/>
  <c r="RSU64" i="1"/>
  <c r="RSV64" i="1"/>
  <c r="RSW64" i="1"/>
  <c r="RSX64" i="1"/>
  <c r="RSY64" i="1"/>
  <c r="RSZ64" i="1"/>
  <c r="RTA64" i="1"/>
  <c r="RTB64" i="1"/>
  <c r="RTC64" i="1"/>
  <c r="RTD64" i="1"/>
  <c r="RTE64" i="1"/>
  <c r="RTF64" i="1"/>
  <c r="RTG64" i="1"/>
  <c r="RTH64" i="1"/>
  <c r="RTI64" i="1"/>
  <c r="RTJ64" i="1"/>
  <c r="RTK64" i="1"/>
  <c r="RTL64" i="1"/>
  <c r="RTM64" i="1"/>
  <c r="RTN64" i="1"/>
  <c r="RTO64" i="1"/>
  <c r="RTP64" i="1"/>
  <c r="RTQ64" i="1"/>
  <c r="RTR64" i="1"/>
  <c r="RTS64" i="1"/>
  <c r="RTT64" i="1"/>
  <c r="RTU64" i="1"/>
  <c r="RTV64" i="1"/>
  <c r="RTW64" i="1"/>
  <c r="RTX64" i="1"/>
  <c r="RTY64" i="1"/>
  <c r="RTZ64" i="1"/>
  <c r="RUA64" i="1"/>
  <c r="RUB64" i="1"/>
  <c r="RUC64" i="1"/>
  <c r="RUD64" i="1"/>
  <c r="RUE64" i="1"/>
  <c r="RUF64" i="1"/>
  <c r="RUG64" i="1"/>
  <c r="RUH64" i="1"/>
  <c r="RUI64" i="1"/>
  <c r="RUJ64" i="1"/>
  <c r="RUK64" i="1"/>
  <c r="RUL64" i="1"/>
  <c r="RUM64" i="1"/>
  <c r="RUN64" i="1"/>
  <c r="RUO64" i="1"/>
  <c r="RUP64" i="1"/>
  <c r="RUQ64" i="1"/>
  <c r="RUR64" i="1"/>
  <c r="RUS64" i="1"/>
  <c r="RUT64" i="1"/>
  <c r="RUU64" i="1"/>
  <c r="RUV64" i="1"/>
  <c r="RUW64" i="1"/>
  <c r="RUX64" i="1"/>
  <c r="RUY64" i="1"/>
  <c r="RUZ64" i="1"/>
  <c r="RVA64" i="1"/>
  <c r="RVB64" i="1"/>
  <c r="RVC64" i="1"/>
  <c r="RVD64" i="1"/>
  <c r="RVE64" i="1"/>
  <c r="RVF64" i="1"/>
  <c r="RVG64" i="1"/>
  <c r="RVH64" i="1"/>
  <c r="RVI64" i="1"/>
  <c r="RVJ64" i="1"/>
  <c r="RVK64" i="1"/>
  <c r="RVL64" i="1"/>
  <c r="RVM64" i="1"/>
  <c r="RVN64" i="1"/>
  <c r="RVO64" i="1"/>
  <c r="RVP64" i="1"/>
  <c r="RVQ64" i="1"/>
  <c r="RVR64" i="1"/>
  <c r="RVS64" i="1"/>
  <c r="RVT64" i="1"/>
  <c r="RVU64" i="1"/>
  <c r="RVV64" i="1"/>
  <c r="RVW64" i="1"/>
  <c r="RVX64" i="1"/>
  <c r="RVY64" i="1"/>
  <c r="RVZ64" i="1"/>
  <c r="RWA64" i="1"/>
  <c r="RWB64" i="1"/>
  <c r="RWC64" i="1"/>
  <c r="RWD64" i="1"/>
  <c r="RWE64" i="1"/>
  <c r="RWF64" i="1"/>
  <c r="RWG64" i="1"/>
  <c r="RWH64" i="1"/>
  <c r="RWI64" i="1"/>
  <c r="RWJ64" i="1"/>
  <c r="RWK64" i="1"/>
  <c r="RWL64" i="1"/>
  <c r="RWM64" i="1"/>
  <c r="RWN64" i="1"/>
  <c r="RWO64" i="1"/>
  <c r="RWP64" i="1"/>
  <c r="RWQ64" i="1"/>
  <c r="RWR64" i="1"/>
  <c r="RWS64" i="1"/>
  <c r="RWT64" i="1"/>
  <c r="RWU64" i="1"/>
  <c r="RWV64" i="1"/>
  <c r="RWW64" i="1"/>
  <c r="RWX64" i="1"/>
  <c r="RWY64" i="1"/>
  <c r="RWZ64" i="1"/>
  <c r="RXA64" i="1"/>
  <c r="RXB64" i="1"/>
  <c r="RXC64" i="1"/>
  <c r="RXD64" i="1"/>
  <c r="RXE64" i="1"/>
  <c r="RXF64" i="1"/>
  <c r="RXG64" i="1"/>
  <c r="RXH64" i="1"/>
  <c r="RXI64" i="1"/>
  <c r="RXJ64" i="1"/>
  <c r="RXK64" i="1"/>
  <c r="RXL64" i="1"/>
  <c r="RXM64" i="1"/>
  <c r="RXN64" i="1"/>
  <c r="RXO64" i="1"/>
  <c r="RXP64" i="1"/>
  <c r="RXQ64" i="1"/>
  <c r="RXR64" i="1"/>
  <c r="RXS64" i="1"/>
  <c r="RXT64" i="1"/>
  <c r="RXU64" i="1"/>
  <c r="RXV64" i="1"/>
  <c r="RXW64" i="1"/>
  <c r="RXX64" i="1"/>
  <c r="RXY64" i="1"/>
  <c r="RXZ64" i="1"/>
  <c r="RYA64" i="1"/>
  <c r="RYB64" i="1"/>
  <c r="RYC64" i="1"/>
  <c r="RYD64" i="1"/>
  <c r="RYE64" i="1"/>
  <c r="RYF64" i="1"/>
  <c r="RYG64" i="1"/>
  <c r="RYH64" i="1"/>
  <c r="RYI64" i="1"/>
  <c r="RYJ64" i="1"/>
  <c r="RYK64" i="1"/>
  <c r="RYL64" i="1"/>
  <c r="RYM64" i="1"/>
  <c r="RYN64" i="1"/>
  <c r="RYO64" i="1"/>
  <c r="RYP64" i="1"/>
  <c r="RYQ64" i="1"/>
  <c r="RYR64" i="1"/>
  <c r="RYS64" i="1"/>
  <c r="RYT64" i="1"/>
  <c r="RYU64" i="1"/>
  <c r="RYV64" i="1"/>
  <c r="RYW64" i="1"/>
  <c r="RYX64" i="1"/>
  <c r="RYY64" i="1"/>
  <c r="RYZ64" i="1"/>
  <c r="RZA64" i="1"/>
  <c r="RZB64" i="1"/>
  <c r="RZC64" i="1"/>
  <c r="RZD64" i="1"/>
  <c r="RZE64" i="1"/>
  <c r="RZF64" i="1"/>
  <c r="RZG64" i="1"/>
  <c r="RZH64" i="1"/>
  <c r="RZI64" i="1"/>
  <c r="RZJ64" i="1"/>
  <c r="RZK64" i="1"/>
  <c r="RZL64" i="1"/>
  <c r="RZM64" i="1"/>
  <c r="RZN64" i="1"/>
  <c r="RZO64" i="1"/>
  <c r="RZP64" i="1"/>
  <c r="RZQ64" i="1"/>
  <c r="RZR64" i="1"/>
  <c r="RZS64" i="1"/>
  <c r="RZT64" i="1"/>
  <c r="RZU64" i="1"/>
  <c r="RZV64" i="1"/>
  <c r="RZW64" i="1"/>
  <c r="RZX64" i="1"/>
  <c r="RZY64" i="1"/>
  <c r="RZZ64" i="1"/>
  <c r="SAA64" i="1"/>
  <c r="SAB64" i="1"/>
  <c r="SAC64" i="1"/>
  <c r="SAD64" i="1"/>
  <c r="SAE64" i="1"/>
  <c r="SAF64" i="1"/>
  <c r="SAG64" i="1"/>
  <c r="SAH64" i="1"/>
  <c r="SAI64" i="1"/>
  <c r="SAJ64" i="1"/>
  <c r="SAK64" i="1"/>
  <c r="SAL64" i="1"/>
  <c r="SAM64" i="1"/>
  <c r="SAN64" i="1"/>
  <c r="SAO64" i="1"/>
  <c r="SAP64" i="1"/>
  <c r="SAQ64" i="1"/>
  <c r="SAR64" i="1"/>
  <c r="SAS64" i="1"/>
  <c r="SAT64" i="1"/>
  <c r="SAU64" i="1"/>
  <c r="SAV64" i="1"/>
  <c r="SAW64" i="1"/>
  <c r="SAX64" i="1"/>
  <c r="SAY64" i="1"/>
  <c r="SAZ64" i="1"/>
  <c r="SBA64" i="1"/>
  <c r="SBB64" i="1"/>
  <c r="SBC64" i="1"/>
  <c r="SBD64" i="1"/>
  <c r="SBE64" i="1"/>
  <c r="SBF64" i="1"/>
  <c r="SBG64" i="1"/>
  <c r="SBH64" i="1"/>
  <c r="SBI64" i="1"/>
  <c r="SBJ64" i="1"/>
  <c r="SBK64" i="1"/>
  <c r="SBL64" i="1"/>
  <c r="SBM64" i="1"/>
  <c r="SBN64" i="1"/>
  <c r="SBO64" i="1"/>
  <c r="SBP64" i="1"/>
  <c r="SBQ64" i="1"/>
  <c r="SBR64" i="1"/>
  <c r="SBS64" i="1"/>
  <c r="SBT64" i="1"/>
  <c r="SBU64" i="1"/>
  <c r="SBV64" i="1"/>
  <c r="SBW64" i="1"/>
  <c r="SBX64" i="1"/>
  <c r="SBY64" i="1"/>
  <c r="SBZ64" i="1"/>
  <c r="SCA64" i="1"/>
  <c r="SCB64" i="1"/>
  <c r="SCC64" i="1"/>
  <c r="SCD64" i="1"/>
  <c r="SCE64" i="1"/>
  <c r="SCF64" i="1"/>
  <c r="SCG64" i="1"/>
  <c r="SCH64" i="1"/>
  <c r="SCI64" i="1"/>
  <c r="SCJ64" i="1"/>
  <c r="SCK64" i="1"/>
  <c r="SCL64" i="1"/>
  <c r="SCM64" i="1"/>
  <c r="SCN64" i="1"/>
  <c r="SCO64" i="1"/>
  <c r="SCP64" i="1"/>
  <c r="SCQ64" i="1"/>
  <c r="SCR64" i="1"/>
  <c r="SCS64" i="1"/>
  <c r="SCT64" i="1"/>
  <c r="SCU64" i="1"/>
  <c r="SCV64" i="1"/>
  <c r="SCW64" i="1"/>
  <c r="SCX64" i="1"/>
  <c r="SCY64" i="1"/>
  <c r="SCZ64" i="1"/>
  <c r="SDA64" i="1"/>
  <c r="SDB64" i="1"/>
  <c r="SDC64" i="1"/>
  <c r="SDD64" i="1"/>
  <c r="SDE64" i="1"/>
  <c r="SDF64" i="1"/>
  <c r="SDG64" i="1"/>
  <c r="SDH64" i="1"/>
  <c r="SDI64" i="1"/>
  <c r="SDJ64" i="1"/>
  <c r="SDK64" i="1"/>
  <c r="SDL64" i="1"/>
  <c r="SDM64" i="1"/>
  <c r="SDN64" i="1"/>
  <c r="SDO64" i="1"/>
  <c r="SDP64" i="1"/>
  <c r="SDQ64" i="1"/>
  <c r="SDR64" i="1"/>
  <c r="SDS64" i="1"/>
  <c r="SDT64" i="1"/>
  <c r="SDU64" i="1"/>
  <c r="SDV64" i="1"/>
  <c r="SDW64" i="1"/>
  <c r="SDX64" i="1"/>
  <c r="SDY64" i="1"/>
  <c r="SDZ64" i="1"/>
  <c r="SEA64" i="1"/>
  <c r="SEB64" i="1"/>
  <c r="SEC64" i="1"/>
  <c r="SED64" i="1"/>
  <c r="SEE64" i="1"/>
  <c r="SEF64" i="1"/>
  <c r="SEG64" i="1"/>
  <c r="SEH64" i="1"/>
  <c r="SEI64" i="1"/>
  <c r="SEJ64" i="1"/>
  <c r="SEK64" i="1"/>
  <c r="SEL64" i="1"/>
  <c r="SEM64" i="1"/>
  <c r="SEN64" i="1"/>
  <c r="SEO64" i="1"/>
  <c r="SEP64" i="1"/>
  <c r="SEQ64" i="1"/>
  <c r="SER64" i="1"/>
  <c r="SES64" i="1"/>
  <c r="SET64" i="1"/>
  <c r="SEU64" i="1"/>
  <c r="SEV64" i="1"/>
  <c r="SEW64" i="1"/>
  <c r="SEX64" i="1"/>
  <c r="SEY64" i="1"/>
  <c r="SEZ64" i="1"/>
  <c r="SFA64" i="1"/>
  <c r="SFB64" i="1"/>
  <c r="SFC64" i="1"/>
  <c r="SFD64" i="1"/>
  <c r="SFE64" i="1"/>
  <c r="SFF64" i="1"/>
  <c r="SFG64" i="1"/>
  <c r="SFH64" i="1"/>
  <c r="SFI64" i="1"/>
  <c r="SFJ64" i="1"/>
  <c r="SFK64" i="1"/>
  <c r="SFL64" i="1"/>
  <c r="SFM64" i="1"/>
  <c r="SFN64" i="1"/>
  <c r="SFO64" i="1"/>
  <c r="SFP64" i="1"/>
  <c r="SFQ64" i="1"/>
  <c r="SFR64" i="1"/>
  <c r="SFS64" i="1"/>
  <c r="SFT64" i="1"/>
  <c r="SFU64" i="1"/>
  <c r="SFV64" i="1"/>
  <c r="SFW64" i="1"/>
  <c r="SFX64" i="1"/>
  <c r="SFY64" i="1"/>
  <c r="SFZ64" i="1"/>
  <c r="SGA64" i="1"/>
  <c r="SGB64" i="1"/>
  <c r="SGC64" i="1"/>
  <c r="SGD64" i="1"/>
  <c r="SGE64" i="1"/>
  <c r="SGF64" i="1"/>
  <c r="SGG64" i="1"/>
  <c r="SGH64" i="1"/>
  <c r="SGI64" i="1"/>
  <c r="SGJ64" i="1"/>
  <c r="SGK64" i="1"/>
  <c r="SGL64" i="1"/>
  <c r="SGM64" i="1"/>
  <c r="SGN64" i="1"/>
  <c r="SGO64" i="1"/>
  <c r="SGP64" i="1"/>
  <c r="SGQ64" i="1"/>
  <c r="SGR64" i="1"/>
  <c r="SGS64" i="1"/>
  <c r="SGT64" i="1"/>
  <c r="SGU64" i="1"/>
  <c r="SGV64" i="1"/>
  <c r="SGW64" i="1"/>
  <c r="SGX64" i="1"/>
  <c r="SGY64" i="1"/>
  <c r="SGZ64" i="1"/>
  <c r="SHA64" i="1"/>
  <c r="SHB64" i="1"/>
  <c r="SHC64" i="1"/>
  <c r="SHD64" i="1"/>
  <c r="SHE64" i="1"/>
  <c r="SHF64" i="1"/>
  <c r="SHG64" i="1"/>
  <c r="SHH64" i="1"/>
  <c r="SHI64" i="1"/>
  <c r="SHJ64" i="1"/>
  <c r="SHK64" i="1"/>
  <c r="SHL64" i="1"/>
  <c r="SHM64" i="1"/>
  <c r="SHN64" i="1"/>
  <c r="SHO64" i="1"/>
  <c r="SHP64" i="1"/>
  <c r="SHQ64" i="1"/>
  <c r="SHR64" i="1"/>
  <c r="SHS64" i="1"/>
  <c r="SHT64" i="1"/>
  <c r="SHU64" i="1"/>
  <c r="SHV64" i="1"/>
  <c r="SHW64" i="1"/>
  <c r="SHX64" i="1"/>
  <c r="SHY64" i="1"/>
  <c r="SHZ64" i="1"/>
  <c r="SIA64" i="1"/>
  <c r="SIB64" i="1"/>
  <c r="SIC64" i="1"/>
  <c r="SID64" i="1"/>
  <c r="SIE64" i="1"/>
  <c r="SIF64" i="1"/>
  <c r="SIG64" i="1"/>
  <c r="SIH64" i="1"/>
  <c r="SII64" i="1"/>
  <c r="SIJ64" i="1"/>
  <c r="SIK64" i="1"/>
  <c r="SIL64" i="1"/>
  <c r="SIM64" i="1"/>
  <c r="SIN64" i="1"/>
  <c r="SIO64" i="1"/>
  <c r="SIP64" i="1"/>
  <c r="SIQ64" i="1"/>
  <c r="SIR64" i="1"/>
  <c r="SIS64" i="1"/>
  <c r="SIT64" i="1"/>
  <c r="SIU64" i="1"/>
  <c r="SIV64" i="1"/>
  <c r="SIW64" i="1"/>
  <c r="SIX64" i="1"/>
  <c r="SIY64" i="1"/>
  <c r="SIZ64" i="1"/>
  <c r="SJA64" i="1"/>
  <c r="SJB64" i="1"/>
  <c r="SJC64" i="1"/>
  <c r="SJD64" i="1"/>
  <c r="SJE64" i="1"/>
  <c r="SJF64" i="1"/>
  <c r="SJG64" i="1"/>
  <c r="SJH64" i="1"/>
  <c r="SJI64" i="1"/>
  <c r="SJJ64" i="1"/>
  <c r="SJK64" i="1"/>
  <c r="SJL64" i="1"/>
  <c r="SJM64" i="1"/>
  <c r="SJN64" i="1"/>
  <c r="SJO64" i="1"/>
  <c r="SJP64" i="1"/>
  <c r="SJQ64" i="1"/>
  <c r="SJR64" i="1"/>
  <c r="SJS64" i="1"/>
  <c r="SJT64" i="1"/>
  <c r="SJU64" i="1"/>
  <c r="SJV64" i="1"/>
  <c r="SJW64" i="1"/>
  <c r="SJX64" i="1"/>
  <c r="SJY64" i="1"/>
  <c r="SJZ64" i="1"/>
  <c r="SKA64" i="1"/>
  <c r="SKB64" i="1"/>
  <c r="SKC64" i="1"/>
  <c r="SKD64" i="1"/>
  <c r="SKE64" i="1"/>
  <c r="SKF64" i="1"/>
  <c r="SKG64" i="1"/>
  <c r="SKH64" i="1"/>
  <c r="SKI64" i="1"/>
  <c r="SKJ64" i="1"/>
  <c r="SKK64" i="1"/>
  <c r="SKL64" i="1"/>
  <c r="SKM64" i="1"/>
  <c r="SKN64" i="1"/>
  <c r="SKO64" i="1"/>
  <c r="SKP64" i="1"/>
  <c r="SKQ64" i="1"/>
  <c r="SKR64" i="1"/>
  <c r="SKS64" i="1"/>
  <c r="SKT64" i="1"/>
  <c r="SKU64" i="1"/>
  <c r="SKV64" i="1"/>
  <c r="SKW64" i="1"/>
  <c r="SKX64" i="1"/>
  <c r="SKY64" i="1"/>
  <c r="SKZ64" i="1"/>
  <c r="SLA64" i="1"/>
  <c r="SLB64" i="1"/>
  <c r="SLC64" i="1"/>
  <c r="SLD64" i="1"/>
  <c r="SLE64" i="1"/>
  <c r="SLF64" i="1"/>
  <c r="SLG64" i="1"/>
  <c r="SLH64" i="1"/>
  <c r="SLI64" i="1"/>
  <c r="SLJ64" i="1"/>
  <c r="SLK64" i="1"/>
  <c r="SLL64" i="1"/>
  <c r="SLM64" i="1"/>
  <c r="SLN64" i="1"/>
  <c r="SLO64" i="1"/>
  <c r="SLP64" i="1"/>
  <c r="SLQ64" i="1"/>
  <c r="SLR64" i="1"/>
  <c r="SLS64" i="1"/>
  <c r="SLT64" i="1"/>
  <c r="SLU64" i="1"/>
  <c r="SLV64" i="1"/>
  <c r="SLW64" i="1"/>
  <c r="SLX64" i="1"/>
  <c r="SLY64" i="1"/>
  <c r="SLZ64" i="1"/>
  <c r="SMA64" i="1"/>
  <c r="SMB64" i="1"/>
  <c r="SMC64" i="1"/>
  <c r="SMD64" i="1"/>
  <c r="SME64" i="1"/>
  <c r="SMF64" i="1"/>
  <c r="SMG64" i="1"/>
  <c r="SMH64" i="1"/>
  <c r="SMI64" i="1"/>
  <c r="SMJ64" i="1"/>
  <c r="SMK64" i="1"/>
  <c r="SML64" i="1"/>
  <c r="SMM64" i="1"/>
  <c r="SMN64" i="1"/>
  <c r="SMO64" i="1"/>
  <c r="SMP64" i="1"/>
  <c r="SMQ64" i="1"/>
  <c r="SMR64" i="1"/>
  <c r="SMS64" i="1"/>
  <c r="SMT64" i="1"/>
  <c r="SMU64" i="1"/>
  <c r="SMV64" i="1"/>
  <c r="SMW64" i="1"/>
  <c r="SMX64" i="1"/>
  <c r="SMY64" i="1"/>
  <c r="SMZ64" i="1"/>
  <c r="SNA64" i="1"/>
  <c r="SNB64" i="1"/>
  <c r="SNC64" i="1"/>
  <c r="SND64" i="1"/>
  <c r="SNE64" i="1"/>
  <c r="SNF64" i="1"/>
  <c r="SNG64" i="1"/>
  <c r="SNH64" i="1"/>
  <c r="SNI64" i="1"/>
  <c r="SNJ64" i="1"/>
  <c r="SNK64" i="1"/>
  <c r="SNL64" i="1"/>
  <c r="SNM64" i="1"/>
  <c r="SNN64" i="1"/>
  <c r="SNO64" i="1"/>
  <c r="SNP64" i="1"/>
  <c r="SNQ64" i="1"/>
  <c r="SNR64" i="1"/>
  <c r="SNS64" i="1"/>
  <c r="SNT64" i="1"/>
  <c r="SNU64" i="1"/>
  <c r="SNV64" i="1"/>
  <c r="SNW64" i="1"/>
  <c r="SNX64" i="1"/>
  <c r="SNY64" i="1"/>
  <c r="SNZ64" i="1"/>
  <c r="SOA64" i="1"/>
  <c r="SOB64" i="1"/>
  <c r="SOC64" i="1"/>
  <c r="SOD64" i="1"/>
  <c r="SOE64" i="1"/>
  <c r="SOF64" i="1"/>
  <c r="SOG64" i="1"/>
  <c r="SOH64" i="1"/>
  <c r="SOI64" i="1"/>
  <c r="SOJ64" i="1"/>
  <c r="SOK64" i="1"/>
  <c r="SOL64" i="1"/>
  <c r="SOM64" i="1"/>
  <c r="SON64" i="1"/>
  <c r="SOO64" i="1"/>
  <c r="SOP64" i="1"/>
  <c r="SOQ64" i="1"/>
  <c r="SOR64" i="1"/>
  <c r="SOS64" i="1"/>
  <c r="SOT64" i="1"/>
  <c r="SOU64" i="1"/>
  <c r="SOV64" i="1"/>
  <c r="SOW64" i="1"/>
  <c r="SOX64" i="1"/>
  <c r="SOY64" i="1"/>
  <c r="SOZ64" i="1"/>
  <c r="SPA64" i="1"/>
  <c r="SPB64" i="1"/>
  <c r="SPC64" i="1"/>
  <c r="SPD64" i="1"/>
  <c r="SPE64" i="1"/>
  <c r="SPF64" i="1"/>
  <c r="SPG64" i="1"/>
  <c r="SPH64" i="1"/>
  <c r="SPI64" i="1"/>
  <c r="SPJ64" i="1"/>
  <c r="SPK64" i="1"/>
  <c r="SPL64" i="1"/>
  <c r="SPM64" i="1"/>
  <c r="SPN64" i="1"/>
  <c r="SPO64" i="1"/>
  <c r="SPP64" i="1"/>
  <c r="SPQ64" i="1"/>
  <c r="SPR64" i="1"/>
  <c r="SPS64" i="1"/>
  <c r="SPT64" i="1"/>
  <c r="SPU64" i="1"/>
  <c r="SPV64" i="1"/>
  <c r="SPW64" i="1"/>
  <c r="SPX64" i="1"/>
  <c r="SPY64" i="1"/>
  <c r="SPZ64" i="1"/>
  <c r="SQA64" i="1"/>
  <c r="SQB64" i="1"/>
  <c r="SQC64" i="1"/>
  <c r="SQD64" i="1"/>
  <c r="SQE64" i="1"/>
  <c r="SQF64" i="1"/>
  <c r="SQG64" i="1"/>
  <c r="SQH64" i="1"/>
  <c r="SQI64" i="1"/>
  <c r="SQJ64" i="1"/>
  <c r="SQK64" i="1"/>
  <c r="SQL64" i="1"/>
  <c r="SQM64" i="1"/>
  <c r="SQN64" i="1"/>
  <c r="SQO64" i="1"/>
  <c r="SQP64" i="1"/>
  <c r="SQQ64" i="1"/>
  <c r="SQR64" i="1"/>
  <c r="SQS64" i="1"/>
  <c r="SQT64" i="1"/>
  <c r="SQU64" i="1"/>
  <c r="SQV64" i="1"/>
  <c r="SQW64" i="1"/>
  <c r="SQX64" i="1"/>
  <c r="SQY64" i="1"/>
  <c r="SQZ64" i="1"/>
  <c r="SRA64" i="1"/>
  <c r="SRB64" i="1"/>
  <c r="SRC64" i="1"/>
  <c r="SRD64" i="1"/>
  <c r="SRE64" i="1"/>
  <c r="SRF64" i="1"/>
  <c r="SRG64" i="1"/>
  <c r="SRH64" i="1"/>
  <c r="SRI64" i="1"/>
  <c r="SRJ64" i="1"/>
  <c r="SRK64" i="1"/>
  <c r="SRL64" i="1"/>
  <c r="SRM64" i="1"/>
  <c r="SRN64" i="1"/>
  <c r="SRO64" i="1"/>
  <c r="SRP64" i="1"/>
  <c r="SRQ64" i="1"/>
  <c r="SRR64" i="1"/>
  <c r="SRS64" i="1"/>
  <c r="SRT64" i="1"/>
  <c r="SRU64" i="1"/>
  <c r="SRV64" i="1"/>
  <c r="SRW64" i="1"/>
  <c r="SRX64" i="1"/>
  <c r="SRY64" i="1"/>
  <c r="SRZ64" i="1"/>
  <c r="SSA64" i="1"/>
  <c r="SSB64" i="1"/>
  <c r="SSC64" i="1"/>
  <c r="SSD64" i="1"/>
  <c r="SSE64" i="1"/>
  <c r="SSF64" i="1"/>
  <c r="SSG64" i="1"/>
  <c r="SSH64" i="1"/>
  <c r="SSI64" i="1"/>
  <c r="SSJ64" i="1"/>
  <c r="SSK64" i="1"/>
  <c r="SSL64" i="1"/>
  <c r="SSM64" i="1"/>
  <c r="SSN64" i="1"/>
  <c r="SSO64" i="1"/>
  <c r="SSP64" i="1"/>
  <c r="SSQ64" i="1"/>
  <c r="SSR64" i="1"/>
  <c r="SSS64" i="1"/>
  <c r="SST64" i="1"/>
  <c r="SSU64" i="1"/>
  <c r="SSV64" i="1"/>
  <c r="SSW64" i="1"/>
  <c r="SSX64" i="1"/>
  <c r="SSY64" i="1"/>
  <c r="SSZ64" i="1"/>
  <c r="STA64" i="1"/>
  <c r="STB64" i="1"/>
  <c r="STC64" i="1"/>
  <c r="STD64" i="1"/>
  <c r="STE64" i="1"/>
  <c r="STF64" i="1"/>
  <c r="STG64" i="1"/>
  <c r="STH64" i="1"/>
  <c r="STI64" i="1"/>
  <c r="STJ64" i="1"/>
  <c r="STK64" i="1"/>
  <c r="STL64" i="1"/>
  <c r="STM64" i="1"/>
  <c r="STN64" i="1"/>
  <c r="STO64" i="1"/>
  <c r="STP64" i="1"/>
  <c r="STQ64" i="1"/>
  <c r="STR64" i="1"/>
  <c r="STS64" i="1"/>
  <c r="STT64" i="1"/>
  <c r="STU64" i="1"/>
  <c r="STV64" i="1"/>
  <c r="STW64" i="1"/>
  <c r="STX64" i="1"/>
  <c r="STY64" i="1"/>
  <c r="STZ64" i="1"/>
  <c r="SUA64" i="1"/>
  <c r="SUB64" i="1"/>
  <c r="SUC64" i="1"/>
  <c r="SUD64" i="1"/>
  <c r="SUE64" i="1"/>
  <c r="SUF64" i="1"/>
  <c r="SUG64" i="1"/>
  <c r="SUH64" i="1"/>
  <c r="SUI64" i="1"/>
  <c r="SUJ64" i="1"/>
  <c r="SUK64" i="1"/>
  <c r="SUL64" i="1"/>
  <c r="SUM64" i="1"/>
  <c r="SUN64" i="1"/>
  <c r="SUO64" i="1"/>
  <c r="SUP64" i="1"/>
  <c r="SUQ64" i="1"/>
  <c r="SUR64" i="1"/>
  <c r="SUS64" i="1"/>
  <c r="SUT64" i="1"/>
  <c r="SUU64" i="1"/>
  <c r="SUV64" i="1"/>
  <c r="SUW64" i="1"/>
  <c r="SUX64" i="1"/>
  <c r="SUY64" i="1"/>
  <c r="SUZ64" i="1"/>
  <c r="SVA64" i="1"/>
  <c r="SVB64" i="1"/>
  <c r="SVC64" i="1"/>
  <c r="SVD64" i="1"/>
  <c r="SVE64" i="1"/>
  <c r="SVF64" i="1"/>
  <c r="SVG64" i="1"/>
  <c r="SVH64" i="1"/>
  <c r="SVI64" i="1"/>
  <c r="SVJ64" i="1"/>
  <c r="SVK64" i="1"/>
  <c r="SVL64" i="1"/>
  <c r="SVM64" i="1"/>
  <c r="SVN64" i="1"/>
  <c r="SVO64" i="1"/>
  <c r="SVP64" i="1"/>
  <c r="SVQ64" i="1"/>
  <c r="SVR64" i="1"/>
  <c r="SVS64" i="1"/>
  <c r="SVT64" i="1"/>
  <c r="SVU64" i="1"/>
  <c r="SVV64" i="1"/>
  <c r="SVW64" i="1"/>
  <c r="SVX64" i="1"/>
  <c r="SVY64" i="1"/>
  <c r="SVZ64" i="1"/>
  <c r="SWA64" i="1"/>
  <c r="SWB64" i="1"/>
  <c r="SWC64" i="1"/>
  <c r="SWD64" i="1"/>
  <c r="SWE64" i="1"/>
  <c r="SWF64" i="1"/>
  <c r="SWG64" i="1"/>
  <c r="SWH64" i="1"/>
  <c r="SWI64" i="1"/>
  <c r="SWJ64" i="1"/>
  <c r="SWK64" i="1"/>
  <c r="SWL64" i="1"/>
  <c r="SWM64" i="1"/>
  <c r="SWN64" i="1"/>
  <c r="SWO64" i="1"/>
  <c r="SWP64" i="1"/>
  <c r="SWQ64" i="1"/>
  <c r="SWR64" i="1"/>
  <c r="SWS64" i="1"/>
  <c r="SWT64" i="1"/>
  <c r="SWU64" i="1"/>
  <c r="SWV64" i="1"/>
  <c r="SWW64" i="1"/>
  <c r="SWX64" i="1"/>
  <c r="SWY64" i="1"/>
  <c r="SWZ64" i="1"/>
  <c r="SXA64" i="1"/>
  <c r="SXB64" i="1"/>
  <c r="SXC64" i="1"/>
  <c r="SXD64" i="1"/>
  <c r="SXE64" i="1"/>
  <c r="SXF64" i="1"/>
  <c r="SXG64" i="1"/>
  <c r="SXH64" i="1"/>
  <c r="SXI64" i="1"/>
  <c r="SXJ64" i="1"/>
  <c r="SXK64" i="1"/>
  <c r="SXL64" i="1"/>
  <c r="SXM64" i="1"/>
  <c r="SXN64" i="1"/>
  <c r="SXO64" i="1"/>
  <c r="SXP64" i="1"/>
  <c r="SXQ64" i="1"/>
  <c r="SXR64" i="1"/>
  <c r="SXS64" i="1"/>
  <c r="SXT64" i="1"/>
  <c r="SXU64" i="1"/>
  <c r="SXV64" i="1"/>
  <c r="SXW64" i="1"/>
  <c r="SXX64" i="1"/>
  <c r="SXY64" i="1"/>
  <c r="SXZ64" i="1"/>
  <c r="SYA64" i="1"/>
  <c r="SYB64" i="1"/>
  <c r="SYC64" i="1"/>
  <c r="SYD64" i="1"/>
  <c r="SYE64" i="1"/>
  <c r="SYF64" i="1"/>
  <c r="SYG64" i="1"/>
  <c r="SYH64" i="1"/>
  <c r="SYI64" i="1"/>
  <c r="SYJ64" i="1"/>
  <c r="SYK64" i="1"/>
  <c r="SYL64" i="1"/>
  <c r="SYM64" i="1"/>
  <c r="SYN64" i="1"/>
  <c r="SYO64" i="1"/>
  <c r="SYP64" i="1"/>
  <c r="SYQ64" i="1"/>
  <c r="SYR64" i="1"/>
  <c r="SYS64" i="1"/>
  <c r="SYT64" i="1"/>
  <c r="SYU64" i="1"/>
  <c r="SYV64" i="1"/>
  <c r="SYW64" i="1"/>
  <c r="SYX64" i="1"/>
  <c r="SYY64" i="1"/>
  <c r="SYZ64" i="1"/>
  <c r="SZA64" i="1"/>
  <c r="SZB64" i="1"/>
  <c r="SZC64" i="1"/>
  <c r="SZD64" i="1"/>
  <c r="SZE64" i="1"/>
  <c r="SZF64" i="1"/>
  <c r="SZG64" i="1"/>
  <c r="SZH64" i="1"/>
  <c r="SZI64" i="1"/>
  <c r="SZJ64" i="1"/>
  <c r="SZK64" i="1"/>
  <c r="SZL64" i="1"/>
  <c r="SZM64" i="1"/>
  <c r="SZN64" i="1"/>
  <c r="SZO64" i="1"/>
  <c r="SZP64" i="1"/>
  <c r="SZQ64" i="1"/>
  <c r="SZR64" i="1"/>
  <c r="SZS64" i="1"/>
  <c r="SZT64" i="1"/>
  <c r="SZU64" i="1"/>
  <c r="SZV64" i="1"/>
  <c r="SZW64" i="1"/>
  <c r="SZX64" i="1"/>
  <c r="SZY64" i="1"/>
  <c r="SZZ64" i="1"/>
  <c r="TAA64" i="1"/>
  <c r="TAB64" i="1"/>
  <c r="TAC64" i="1"/>
  <c r="TAD64" i="1"/>
  <c r="TAE64" i="1"/>
  <c r="TAF64" i="1"/>
  <c r="TAG64" i="1"/>
  <c r="TAH64" i="1"/>
  <c r="TAI64" i="1"/>
  <c r="TAJ64" i="1"/>
  <c r="TAK64" i="1"/>
  <c r="TAL64" i="1"/>
  <c r="TAM64" i="1"/>
  <c r="TAN64" i="1"/>
  <c r="TAO64" i="1"/>
  <c r="TAP64" i="1"/>
  <c r="TAQ64" i="1"/>
  <c r="TAR64" i="1"/>
  <c r="TAS64" i="1"/>
  <c r="TAT64" i="1"/>
  <c r="TAU64" i="1"/>
  <c r="TAV64" i="1"/>
  <c r="TAW64" i="1"/>
  <c r="TAX64" i="1"/>
  <c r="TAY64" i="1"/>
  <c r="TAZ64" i="1"/>
  <c r="TBA64" i="1"/>
  <c r="TBB64" i="1"/>
  <c r="TBC64" i="1"/>
  <c r="TBD64" i="1"/>
  <c r="TBE64" i="1"/>
  <c r="TBF64" i="1"/>
  <c r="TBG64" i="1"/>
  <c r="TBH64" i="1"/>
  <c r="TBI64" i="1"/>
  <c r="TBJ64" i="1"/>
  <c r="TBK64" i="1"/>
  <c r="TBL64" i="1"/>
  <c r="TBM64" i="1"/>
  <c r="TBN64" i="1"/>
  <c r="TBO64" i="1"/>
  <c r="TBP64" i="1"/>
  <c r="TBQ64" i="1"/>
  <c r="TBR64" i="1"/>
  <c r="TBS64" i="1"/>
  <c r="TBT64" i="1"/>
  <c r="TBU64" i="1"/>
  <c r="TBV64" i="1"/>
  <c r="TBW64" i="1"/>
  <c r="TBX64" i="1"/>
  <c r="TBY64" i="1"/>
  <c r="TBZ64" i="1"/>
  <c r="TCA64" i="1"/>
  <c r="TCB64" i="1"/>
  <c r="TCC64" i="1"/>
  <c r="TCD64" i="1"/>
  <c r="TCE64" i="1"/>
  <c r="TCF64" i="1"/>
  <c r="TCG64" i="1"/>
  <c r="TCH64" i="1"/>
  <c r="TCI64" i="1"/>
  <c r="TCJ64" i="1"/>
  <c r="TCK64" i="1"/>
  <c r="TCL64" i="1"/>
  <c r="TCM64" i="1"/>
  <c r="TCN64" i="1"/>
  <c r="TCO64" i="1"/>
  <c r="TCP64" i="1"/>
  <c r="TCQ64" i="1"/>
  <c r="TCR64" i="1"/>
  <c r="TCS64" i="1"/>
  <c r="TCT64" i="1"/>
  <c r="TCU64" i="1"/>
  <c r="TCV64" i="1"/>
  <c r="TCW64" i="1"/>
  <c r="TCX64" i="1"/>
  <c r="TCY64" i="1"/>
  <c r="TCZ64" i="1"/>
  <c r="TDA64" i="1"/>
  <c r="TDB64" i="1"/>
  <c r="TDC64" i="1"/>
  <c r="TDD64" i="1"/>
  <c r="TDE64" i="1"/>
  <c r="TDF64" i="1"/>
  <c r="TDG64" i="1"/>
  <c r="TDH64" i="1"/>
  <c r="TDI64" i="1"/>
  <c r="TDJ64" i="1"/>
  <c r="TDK64" i="1"/>
  <c r="TDL64" i="1"/>
  <c r="TDM64" i="1"/>
  <c r="TDN64" i="1"/>
  <c r="TDO64" i="1"/>
  <c r="TDP64" i="1"/>
  <c r="TDQ64" i="1"/>
  <c r="TDR64" i="1"/>
  <c r="TDS64" i="1"/>
  <c r="TDT64" i="1"/>
  <c r="TDU64" i="1"/>
  <c r="TDV64" i="1"/>
  <c r="TDW64" i="1"/>
  <c r="TDX64" i="1"/>
  <c r="TDY64" i="1"/>
  <c r="TDZ64" i="1"/>
  <c r="TEA64" i="1"/>
  <c r="TEB64" i="1"/>
  <c r="TEC64" i="1"/>
  <c r="TED64" i="1"/>
  <c r="TEE64" i="1"/>
  <c r="TEF64" i="1"/>
  <c r="TEG64" i="1"/>
  <c r="TEH64" i="1"/>
  <c r="TEI64" i="1"/>
  <c r="TEJ64" i="1"/>
  <c r="TEK64" i="1"/>
  <c r="TEL64" i="1"/>
  <c r="TEM64" i="1"/>
  <c r="TEN64" i="1"/>
  <c r="TEO64" i="1"/>
  <c r="TEP64" i="1"/>
  <c r="TEQ64" i="1"/>
  <c r="TER64" i="1"/>
  <c r="TES64" i="1"/>
  <c r="TET64" i="1"/>
  <c r="TEU64" i="1"/>
  <c r="TEV64" i="1"/>
  <c r="TEW64" i="1"/>
  <c r="TEX64" i="1"/>
  <c r="TEY64" i="1"/>
  <c r="TEZ64" i="1"/>
  <c r="TFA64" i="1"/>
  <c r="TFB64" i="1"/>
  <c r="TFC64" i="1"/>
  <c r="TFD64" i="1"/>
  <c r="TFE64" i="1"/>
  <c r="TFF64" i="1"/>
  <c r="TFG64" i="1"/>
  <c r="TFH64" i="1"/>
  <c r="TFI64" i="1"/>
  <c r="TFJ64" i="1"/>
  <c r="TFK64" i="1"/>
  <c r="TFL64" i="1"/>
  <c r="TFM64" i="1"/>
  <c r="TFN64" i="1"/>
  <c r="TFO64" i="1"/>
  <c r="TFP64" i="1"/>
  <c r="TFQ64" i="1"/>
  <c r="TFR64" i="1"/>
  <c r="TFS64" i="1"/>
  <c r="TFT64" i="1"/>
  <c r="TFU64" i="1"/>
  <c r="TFV64" i="1"/>
  <c r="TFW64" i="1"/>
  <c r="TFX64" i="1"/>
  <c r="TFY64" i="1"/>
  <c r="TFZ64" i="1"/>
  <c r="TGA64" i="1"/>
  <c r="TGB64" i="1"/>
  <c r="TGC64" i="1"/>
  <c r="TGD64" i="1"/>
  <c r="TGE64" i="1"/>
  <c r="TGF64" i="1"/>
  <c r="TGG64" i="1"/>
  <c r="TGH64" i="1"/>
  <c r="TGI64" i="1"/>
  <c r="TGJ64" i="1"/>
  <c r="TGK64" i="1"/>
  <c r="TGL64" i="1"/>
  <c r="TGM64" i="1"/>
  <c r="TGN64" i="1"/>
  <c r="TGO64" i="1"/>
  <c r="TGP64" i="1"/>
  <c r="TGQ64" i="1"/>
  <c r="TGR64" i="1"/>
  <c r="TGS64" i="1"/>
  <c r="TGT64" i="1"/>
  <c r="TGU64" i="1"/>
  <c r="TGV64" i="1"/>
  <c r="TGW64" i="1"/>
  <c r="TGX64" i="1"/>
  <c r="TGY64" i="1"/>
  <c r="TGZ64" i="1"/>
  <c r="THA64" i="1"/>
  <c r="THB64" i="1"/>
  <c r="THC64" i="1"/>
  <c r="THD64" i="1"/>
  <c r="THE64" i="1"/>
  <c r="THF64" i="1"/>
  <c r="THG64" i="1"/>
  <c r="THH64" i="1"/>
  <c r="THI64" i="1"/>
  <c r="THJ64" i="1"/>
  <c r="THK64" i="1"/>
  <c r="THL64" i="1"/>
  <c r="THM64" i="1"/>
  <c r="THN64" i="1"/>
  <c r="THO64" i="1"/>
  <c r="THP64" i="1"/>
  <c r="THQ64" i="1"/>
  <c r="THR64" i="1"/>
  <c r="THS64" i="1"/>
  <c r="THT64" i="1"/>
  <c r="THU64" i="1"/>
  <c r="THV64" i="1"/>
  <c r="THW64" i="1"/>
  <c r="THX64" i="1"/>
  <c r="THY64" i="1"/>
  <c r="THZ64" i="1"/>
  <c r="TIA64" i="1"/>
  <c r="TIB64" i="1"/>
  <c r="TIC64" i="1"/>
  <c r="TID64" i="1"/>
  <c r="TIE64" i="1"/>
  <c r="TIF64" i="1"/>
  <c r="TIG64" i="1"/>
  <c r="TIH64" i="1"/>
  <c r="TII64" i="1"/>
  <c r="TIJ64" i="1"/>
  <c r="TIK64" i="1"/>
  <c r="TIL64" i="1"/>
  <c r="TIM64" i="1"/>
  <c r="TIN64" i="1"/>
  <c r="TIO64" i="1"/>
  <c r="TIP64" i="1"/>
  <c r="TIQ64" i="1"/>
  <c r="TIR64" i="1"/>
  <c r="TIS64" i="1"/>
  <c r="TIT64" i="1"/>
  <c r="TIU64" i="1"/>
  <c r="TIV64" i="1"/>
  <c r="TIW64" i="1"/>
  <c r="TIX64" i="1"/>
  <c r="TIY64" i="1"/>
  <c r="TIZ64" i="1"/>
  <c r="TJA64" i="1"/>
  <c r="TJB64" i="1"/>
  <c r="TJC64" i="1"/>
  <c r="TJD64" i="1"/>
  <c r="TJE64" i="1"/>
  <c r="TJF64" i="1"/>
  <c r="TJG64" i="1"/>
  <c r="TJH64" i="1"/>
  <c r="TJI64" i="1"/>
  <c r="TJJ64" i="1"/>
  <c r="TJK64" i="1"/>
  <c r="TJL64" i="1"/>
  <c r="TJM64" i="1"/>
  <c r="TJN64" i="1"/>
  <c r="TJO64" i="1"/>
  <c r="TJP64" i="1"/>
  <c r="TJQ64" i="1"/>
  <c r="TJR64" i="1"/>
  <c r="TJS64" i="1"/>
  <c r="TJT64" i="1"/>
  <c r="TJU64" i="1"/>
  <c r="TJV64" i="1"/>
  <c r="TJW64" i="1"/>
  <c r="TJX64" i="1"/>
  <c r="TJY64" i="1"/>
  <c r="TJZ64" i="1"/>
  <c r="TKA64" i="1"/>
  <c r="TKB64" i="1"/>
  <c r="TKC64" i="1"/>
  <c r="TKD64" i="1"/>
  <c r="TKE64" i="1"/>
  <c r="TKF64" i="1"/>
  <c r="TKG64" i="1"/>
  <c r="TKH64" i="1"/>
  <c r="TKI64" i="1"/>
  <c r="TKJ64" i="1"/>
  <c r="TKK64" i="1"/>
  <c r="TKL64" i="1"/>
  <c r="TKM64" i="1"/>
  <c r="TKN64" i="1"/>
  <c r="TKO64" i="1"/>
  <c r="TKP64" i="1"/>
  <c r="TKQ64" i="1"/>
  <c r="TKR64" i="1"/>
  <c r="TKS64" i="1"/>
  <c r="TKT64" i="1"/>
  <c r="TKU64" i="1"/>
  <c r="TKV64" i="1"/>
  <c r="TKW64" i="1"/>
  <c r="TKX64" i="1"/>
  <c r="TKY64" i="1"/>
  <c r="TKZ64" i="1"/>
  <c r="TLA64" i="1"/>
  <c r="TLB64" i="1"/>
  <c r="TLC64" i="1"/>
  <c r="TLD64" i="1"/>
  <c r="TLE64" i="1"/>
  <c r="TLF64" i="1"/>
  <c r="TLG64" i="1"/>
  <c r="TLH64" i="1"/>
  <c r="TLI64" i="1"/>
  <c r="TLJ64" i="1"/>
  <c r="TLK64" i="1"/>
  <c r="TLL64" i="1"/>
  <c r="TLM64" i="1"/>
  <c r="TLN64" i="1"/>
  <c r="TLO64" i="1"/>
  <c r="TLP64" i="1"/>
  <c r="TLQ64" i="1"/>
  <c r="TLR64" i="1"/>
  <c r="TLS64" i="1"/>
  <c r="TLT64" i="1"/>
  <c r="TLU64" i="1"/>
  <c r="TLV64" i="1"/>
  <c r="TLW64" i="1"/>
  <c r="TLX64" i="1"/>
  <c r="TLY64" i="1"/>
  <c r="TLZ64" i="1"/>
  <c r="TMA64" i="1"/>
  <c r="TMB64" i="1"/>
  <c r="TMC64" i="1"/>
  <c r="TMD64" i="1"/>
  <c r="TME64" i="1"/>
  <c r="TMF64" i="1"/>
  <c r="TMG64" i="1"/>
  <c r="TMH64" i="1"/>
  <c r="TMI64" i="1"/>
  <c r="TMJ64" i="1"/>
  <c r="TMK64" i="1"/>
  <c r="TML64" i="1"/>
  <c r="TMM64" i="1"/>
  <c r="TMN64" i="1"/>
  <c r="TMO64" i="1"/>
  <c r="TMP64" i="1"/>
  <c r="TMQ64" i="1"/>
  <c r="TMR64" i="1"/>
  <c r="TMS64" i="1"/>
  <c r="TMT64" i="1"/>
  <c r="TMU64" i="1"/>
  <c r="TMV64" i="1"/>
  <c r="TMW64" i="1"/>
  <c r="TMX64" i="1"/>
  <c r="TMY64" i="1"/>
  <c r="TMZ64" i="1"/>
  <c r="TNA64" i="1"/>
  <c r="TNB64" i="1"/>
  <c r="TNC64" i="1"/>
  <c r="TND64" i="1"/>
  <c r="TNE64" i="1"/>
  <c r="TNF64" i="1"/>
  <c r="TNG64" i="1"/>
  <c r="TNH64" i="1"/>
  <c r="TNI64" i="1"/>
  <c r="TNJ64" i="1"/>
  <c r="TNK64" i="1"/>
  <c r="TNL64" i="1"/>
  <c r="TNM64" i="1"/>
  <c r="TNN64" i="1"/>
  <c r="TNO64" i="1"/>
  <c r="TNP64" i="1"/>
  <c r="TNQ64" i="1"/>
  <c r="TNR64" i="1"/>
  <c r="TNS64" i="1"/>
  <c r="TNT64" i="1"/>
  <c r="TNU64" i="1"/>
  <c r="TNV64" i="1"/>
  <c r="TNW64" i="1"/>
  <c r="TNX64" i="1"/>
  <c r="TNY64" i="1"/>
  <c r="TNZ64" i="1"/>
  <c r="TOA64" i="1"/>
  <c r="TOB64" i="1"/>
  <c r="TOC64" i="1"/>
  <c r="TOD64" i="1"/>
  <c r="TOE64" i="1"/>
  <c r="TOF64" i="1"/>
  <c r="TOG64" i="1"/>
  <c r="TOH64" i="1"/>
  <c r="TOI64" i="1"/>
  <c r="TOJ64" i="1"/>
  <c r="TOK64" i="1"/>
  <c r="TOL64" i="1"/>
  <c r="TOM64" i="1"/>
  <c r="TON64" i="1"/>
  <c r="TOO64" i="1"/>
  <c r="TOP64" i="1"/>
  <c r="TOQ64" i="1"/>
  <c r="TOR64" i="1"/>
  <c r="TOS64" i="1"/>
  <c r="TOT64" i="1"/>
  <c r="TOU64" i="1"/>
  <c r="TOV64" i="1"/>
  <c r="TOW64" i="1"/>
  <c r="TOX64" i="1"/>
  <c r="TOY64" i="1"/>
  <c r="TOZ64" i="1"/>
  <c r="TPA64" i="1"/>
  <c r="TPB64" i="1"/>
  <c r="TPC64" i="1"/>
  <c r="TPD64" i="1"/>
  <c r="TPE64" i="1"/>
  <c r="TPF64" i="1"/>
  <c r="TPG64" i="1"/>
  <c r="TPH64" i="1"/>
  <c r="TPI64" i="1"/>
  <c r="TPJ64" i="1"/>
  <c r="TPK64" i="1"/>
  <c r="TPL64" i="1"/>
  <c r="TPM64" i="1"/>
  <c r="TPN64" i="1"/>
  <c r="TPO64" i="1"/>
  <c r="TPP64" i="1"/>
  <c r="TPQ64" i="1"/>
  <c r="TPR64" i="1"/>
  <c r="TPS64" i="1"/>
  <c r="TPT64" i="1"/>
  <c r="TPU64" i="1"/>
  <c r="TPV64" i="1"/>
  <c r="TPW64" i="1"/>
  <c r="TPX64" i="1"/>
  <c r="TPY64" i="1"/>
  <c r="TPZ64" i="1"/>
  <c r="TQA64" i="1"/>
  <c r="TQB64" i="1"/>
  <c r="TQC64" i="1"/>
  <c r="TQD64" i="1"/>
  <c r="TQE64" i="1"/>
  <c r="TQF64" i="1"/>
  <c r="TQG64" i="1"/>
  <c r="TQH64" i="1"/>
  <c r="TQI64" i="1"/>
  <c r="TQJ64" i="1"/>
  <c r="TQK64" i="1"/>
  <c r="TQL64" i="1"/>
  <c r="TQM64" i="1"/>
  <c r="TQN64" i="1"/>
  <c r="TQO64" i="1"/>
  <c r="TQP64" i="1"/>
  <c r="TQQ64" i="1"/>
  <c r="TQR64" i="1"/>
  <c r="TQS64" i="1"/>
  <c r="TQT64" i="1"/>
  <c r="TQU64" i="1"/>
  <c r="TQV64" i="1"/>
  <c r="TQW64" i="1"/>
  <c r="TQX64" i="1"/>
  <c r="TQY64" i="1"/>
  <c r="TQZ64" i="1"/>
  <c r="TRA64" i="1"/>
  <c r="TRB64" i="1"/>
  <c r="TRC64" i="1"/>
  <c r="TRD64" i="1"/>
  <c r="TRE64" i="1"/>
  <c r="TRF64" i="1"/>
  <c r="TRG64" i="1"/>
  <c r="TRH64" i="1"/>
  <c r="TRI64" i="1"/>
  <c r="TRJ64" i="1"/>
  <c r="TRK64" i="1"/>
  <c r="TRL64" i="1"/>
  <c r="TRM64" i="1"/>
  <c r="TRN64" i="1"/>
  <c r="TRO64" i="1"/>
  <c r="TRP64" i="1"/>
  <c r="TRQ64" i="1"/>
  <c r="TRR64" i="1"/>
  <c r="TRS64" i="1"/>
  <c r="TRT64" i="1"/>
  <c r="TRU64" i="1"/>
  <c r="TRV64" i="1"/>
  <c r="TRW64" i="1"/>
  <c r="TRX64" i="1"/>
  <c r="TRY64" i="1"/>
  <c r="TRZ64" i="1"/>
  <c r="TSA64" i="1"/>
  <c r="TSB64" i="1"/>
  <c r="TSC64" i="1"/>
  <c r="TSD64" i="1"/>
  <c r="TSE64" i="1"/>
  <c r="TSF64" i="1"/>
  <c r="TSG64" i="1"/>
  <c r="TSH64" i="1"/>
  <c r="TSI64" i="1"/>
  <c r="TSJ64" i="1"/>
  <c r="TSK64" i="1"/>
  <c r="TSL64" i="1"/>
  <c r="TSM64" i="1"/>
  <c r="TSN64" i="1"/>
  <c r="TSO64" i="1"/>
  <c r="TSP64" i="1"/>
  <c r="TSQ64" i="1"/>
  <c r="TSR64" i="1"/>
  <c r="TSS64" i="1"/>
  <c r="TST64" i="1"/>
  <c r="TSU64" i="1"/>
  <c r="TSV64" i="1"/>
  <c r="TSW64" i="1"/>
  <c r="TSX64" i="1"/>
  <c r="TSY64" i="1"/>
  <c r="TSZ64" i="1"/>
  <c r="TTA64" i="1"/>
  <c r="TTB64" i="1"/>
  <c r="TTC64" i="1"/>
  <c r="TTD64" i="1"/>
  <c r="TTE64" i="1"/>
  <c r="TTF64" i="1"/>
  <c r="TTG64" i="1"/>
  <c r="TTH64" i="1"/>
  <c r="TTI64" i="1"/>
  <c r="TTJ64" i="1"/>
  <c r="TTK64" i="1"/>
  <c r="TTL64" i="1"/>
  <c r="TTM64" i="1"/>
  <c r="TTN64" i="1"/>
  <c r="TTO64" i="1"/>
  <c r="TTP64" i="1"/>
  <c r="TTQ64" i="1"/>
  <c r="TTR64" i="1"/>
  <c r="TTS64" i="1"/>
  <c r="TTT64" i="1"/>
  <c r="TTU64" i="1"/>
  <c r="TTV64" i="1"/>
  <c r="TTW64" i="1"/>
  <c r="TTX64" i="1"/>
  <c r="TTY64" i="1"/>
  <c r="TTZ64" i="1"/>
  <c r="TUA64" i="1"/>
  <c r="TUB64" i="1"/>
  <c r="TUC64" i="1"/>
  <c r="TUD64" i="1"/>
  <c r="TUE64" i="1"/>
  <c r="TUF64" i="1"/>
  <c r="TUG64" i="1"/>
  <c r="TUH64" i="1"/>
  <c r="TUI64" i="1"/>
  <c r="TUJ64" i="1"/>
  <c r="TUK64" i="1"/>
  <c r="TUL64" i="1"/>
  <c r="TUM64" i="1"/>
  <c r="TUN64" i="1"/>
  <c r="TUO64" i="1"/>
  <c r="TUP64" i="1"/>
  <c r="TUQ64" i="1"/>
  <c r="TUR64" i="1"/>
  <c r="TUS64" i="1"/>
  <c r="TUT64" i="1"/>
  <c r="TUU64" i="1"/>
  <c r="TUV64" i="1"/>
  <c r="TUW64" i="1"/>
  <c r="TUX64" i="1"/>
  <c r="TUY64" i="1"/>
  <c r="TUZ64" i="1"/>
  <c r="TVA64" i="1"/>
  <c r="TVB64" i="1"/>
  <c r="TVC64" i="1"/>
  <c r="TVD64" i="1"/>
  <c r="TVE64" i="1"/>
  <c r="TVF64" i="1"/>
  <c r="TVG64" i="1"/>
  <c r="TVH64" i="1"/>
  <c r="TVI64" i="1"/>
  <c r="TVJ64" i="1"/>
  <c r="TVK64" i="1"/>
  <c r="TVL64" i="1"/>
  <c r="TVM64" i="1"/>
  <c r="TVN64" i="1"/>
  <c r="TVO64" i="1"/>
  <c r="TVP64" i="1"/>
  <c r="TVQ64" i="1"/>
  <c r="TVR64" i="1"/>
  <c r="TVS64" i="1"/>
  <c r="TVT64" i="1"/>
  <c r="TVU64" i="1"/>
  <c r="TVV64" i="1"/>
  <c r="TVW64" i="1"/>
  <c r="TVX64" i="1"/>
  <c r="TVY64" i="1"/>
  <c r="TVZ64" i="1"/>
  <c r="TWA64" i="1"/>
  <c r="TWB64" i="1"/>
  <c r="TWC64" i="1"/>
  <c r="TWD64" i="1"/>
  <c r="TWE64" i="1"/>
  <c r="TWF64" i="1"/>
  <c r="TWG64" i="1"/>
  <c r="TWH64" i="1"/>
  <c r="TWI64" i="1"/>
  <c r="TWJ64" i="1"/>
  <c r="TWK64" i="1"/>
  <c r="TWL64" i="1"/>
  <c r="TWM64" i="1"/>
  <c r="TWN64" i="1"/>
  <c r="TWO64" i="1"/>
  <c r="TWP64" i="1"/>
  <c r="TWQ64" i="1"/>
  <c r="TWR64" i="1"/>
  <c r="TWS64" i="1"/>
  <c r="TWT64" i="1"/>
  <c r="TWU64" i="1"/>
  <c r="TWV64" i="1"/>
  <c r="TWW64" i="1"/>
  <c r="TWX64" i="1"/>
  <c r="TWY64" i="1"/>
  <c r="TWZ64" i="1"/>
  <c r="TXA64" i="1"/>
  <c r="TXB64" i="1"/>
  <c r="TXC64" i="1"/>
  <c r="TXD64" i="1"/>
  <c r="TXE64" i="1"/>
  <c r="TXF64" i="1"/>
  <c r="TXG64" i="1"/>
  <c r="TXH64" i="1"/>
  <c r="TXI64" i="1"/>
  <c r="TXJ64" i="1"/>
  <c r="TXK64" i="1"/>
  <c r="TXL64" i="1"/>
  <c r="TXM64" i="1"/>
  <c r="TXN64" i="1"/>
  <c r="TXO64" i="1"/>
  <c r="TXP64" i="1"/>
  <c r="TXQ64" i="1"/>
  <c r="TXR64" i="1"/>
  <c r="TXS64" i="1"/>
  <c r="TXT64" i="1"/>
  <c r="TXU64" i="1"/>
  <c r="TXV64" i="1"/>
  <c r="TXW64" i="1"/>
  <c r="TXX64" i="1"/>
  <c r="TXY64" i="1"/>
  <c r="TXZ64" i="1"/>
  <c r="TYA64" i="1"/>
  <c r="TYB64" i="1"/>
  <c r="TYC64" i="1"/>
  <c r="TYD64" i="1"/>
  <c r="TYE64" i="1"/>
  <c r="TYF64" i="1"/>
  <c r="TYG64" i="1"/>
  <c r="TYH64" i="1"/>
  <c r="TYI64" i="1"/>
  <c r="TYJ64" i="1"/>
  <c r="TYK64" i="1"/>
  <c r="TYL64" i="1"/>
  <c r="TYM64" i="1"/>
  <c r="TYN64" i="1"/>
  <c r="TYO64" i="1"/>
  <c r="TYP64" i="1"/>
  <c r="TYQ64" i="1"/>
  <c r="TYR64" i="1"/>
  <c r="TYS64" i="1"/>
  <c r="TYT64" i="1"/>
  <c r="TYU64" i="1"/>
  <c r="TYV64" i="1"/>
  <c r="TYW64" i="1"/>
  <c r="TYX64" i="1"/>
  <c r="TYY64" i="1"/>
  <c r="TYZ64" i="1"/>
  <c r="TZA64" i="1"/>
  <c r="TZB64" i="1"/>
  <c r="TZC64" i="1"/>
  <c r="TZD64" i="1"/>
  <c r="TZE64" i="1"/>
  <c r="TZF64" i="1"/>
  <c r="TZG64" i="1"/>
  <c r="TZH64" i="1"/>
  <c r="TZI64" i="1"/>
  <c r="TZJ64" i="1"/>
  <c r="TZK64" i="1"/>
  <c r="TZL64" i="1"/>
  <c r="TZM64" i="1"/>
  <c r="TZN64" i="1"/>
  <c r="TZO64" i="1"/>
  <c r="TZP64" i="1"/>
  <c r="TZQ64" i="1"/>
  <c r="TZR64" i="1"/>
  <c r="TZS64" i="1"/>
  <c r="TZT64" i="1"/>
  <c r="TZU64" i="1"/>
  <c r="TZV64" i="1"/>
  <c r="TZW64" i="1"/>
  <c r="TZX64" i="1"/>
  <c r="TZY64" i="1"/>
  <c r="TZZ64" i="1"/>
  <c r="UAA64" i="1"/>
  <c r="UAB64" i="1"/>
  <c r="UAC64" i="1"/>
  <c r="UAD64" i="1"/>
  <c r="UAE64" i="1"/>
  <c r="UAF64" i="1"/>
  <c r="UAG64" i="1"/>
  <c r="UAH64" i="1"/>
  <c r="UAI64" i="1"/>
  <c r="UAJ64" i="1"/>
  <c r="UAK64" i="1"/>
  <c r="UAL64" i="1"/>
  <c r="UAM64" i="1"/>
  <c r="UAN64" i="1"/>
  <c r="UAO64" i="1"/>
  <c r="UAP64" i="1"/>
  <c r="UAQ64" i="1"/>
  <c r="UAR64" i="1"/>
  <c r="UAS64" i="1"/>
  <c r="UAT64" i="1"/>
  <c r="UAU64" i="1"/>
  <c r="UAV64" i="1"/>
  <c r="UAW64" i="1"/>
  <c r="UAX64" i="1"/>
  <c r="UAY64" i="1"/>
  <c r="UAZ64" i="1"/>
  <c r="UBA64" i="1"/>
  <c r="UBB64" i="1"/>
  <c r="UBC64" i="1"/>
  <c r="UBD64" i="1"/>
  <c r="UBE64" i="1"/>
  <c r="UBF64" i="1"/>
  <c r="UBG64" i="1"/>
  <c r="UBH64" i="1"/>
  <c r="UBI64" i="1"/>
  <c r="UBJ64" i="1"/>
  <c r="UBK64" i="1"/>
  <c r="UBL64" i="1"/>
  <c r="UBM64" i="1"/>
  <c r="UBN64" i="1"/>
  <c r="UBO64" i="1"/>
  <c r="UBP64" i="1"/>
  <c r="UBQ64" i="1"/>
  <c r="UBR64" i="1"/>
  <c r="UBS64" i="1"/>
  <c r="UBT64" i="1"/>
  <c r="UBU64" i="1"/>
  <c r="UBV64" i="1"/>
  <c r="UBW64" i="1"/>
  <c r="UBX64" i="1"/>
  <c r="UBY64" i="1"/>
  <c r="UBZ64" i="1"/>
  <c r="UCA64" i="1"/>
  <c r="UCB64" i="1"/>
  <c r="UCC64" i="1"/>
  <c r="UCD64" i="1"/>
  <c r="UCE64" i="1"/>
  <c r="UCF64" i="1"/>
  <c r="UCG64" i="1"/>
  <c r="UCH64" i="1"/>
  <c r="UCI64" i="1"/>
  <c r="UCJ64" i="1"/>
  <c r="UCK64" i="1"/>
  <c r="UCL64" i="1"/>
  <c r="UCM64" i="1"/>
  <c r="UCN64" i="1"/>
  <c r="UCO64" i="1"/>
  <c r="UCP64" i="1"/>
  <c r="UCQ64" i="1"/>
  <c r="UCR64" i="1"/>
  <c r="UCS64" i="1"/>
  <c r="UCT64" i="1"/>
  <c r="UCU64" i="1"/>
  <c r="UCV64" i="1"/>
  <c r="UCW64" i="1"/>
  <c r="UCX64" i="1"/>
  <c r="UCY64" i="1"/>
  <c r="UCZ64" i="1"/>
  <c r="UDA64" i="1"/>
  <c r="UDB64" i="1"/>
  <c r="UDC64" i="1"/>
  <c r="UDD64" i="1"/>
  <c r="UDE64" i="1"/>
  <c r="UDF64" i="1"/>
  <c r="UDG64" i="1"/>
  <c r="UDH64" i="1"/>
  <c r="UDI64" i="1"/>
  <c r="UDJ64" i="1"/>
  <c r="UDK64" i="1"/>
  <c r="UDL64" i="1"/>
  <c r="UDM64" i="1"/>
  <c r="UDN64" i="1"/>
  <c r="UDO64" i="1"/>
  <c r="UDP64" i="1"/>
  <c r="UDQ64" i="1"/>
  <c r="UDR64" i="1"/>
  <c r="UDS64" i="1"/>
  <c r="UDT64" i="1"/>
  <c r="UDU64" i="1"/>
  <c r="UDV64" i="1"/>
  <c r="UDW64" i="1"/>
  <c r="UDX64" i="1"/>
  <c r="UDY64" i="1"/>
  <c r="UDZ64" i="1"/>
  <c r="UEA64" i="1"/>
  <c r="UEB64" i="1"/>
  <c r="UEC64" i="1"/>
  <c r="UED64" i="1"/>
  <c r="UEE64" i="1"/>
  <c r="UEF64" i="1"/>
  <c r="UEG64" i="1"/>
  <c r="UEH64" i="1"/>
  <c r="UEI64" i="1"/>
  <c r="UEJ64" i="1"/>
  <c r="UEK64" i="1"/>
  <c r="UEL64" i="1"/>
  <c r="UEM64" i="1"/>
  <c r="UEN64" i="1"/>
  <c r="UEO64" i="1"/>
  <c r="UEP64" i="1"/>
  <c r="UEQ64" i="1"/>
  <c r="UER64" i="1"/>
  <c r="UES64" i="1"/>
  <c r="UET64" i="1"/>
  <c r="UEU64" i="1"/>
  <c r="UEV64" i="1"/>
  <c r="UEW64" i="1"/>
  <c r="UEX64" i="1"/>
  <c r="UEY64" i="1"/>
  <c r="UEZ64" i="1"/>
  <c r="UFA64" i="1"/>
  <c r="UFB64" i="1"/>
  <c r="UFC64" i="1"/>
  <c r="UFD64" i="1"/>
  <c r="UFE64" i="1"/>
  <c r="UFF64" i="1"/>
  <c r="UFG64" i="1"/>
  <c r="UFH64" i="1"/>
  <c r="UFI64" i="1"/>
  <c r="UFJ64" i="1"/>
  <c r="UFK64" i="1"/>
  <c r="UFL64" i="1"/>
  <c r="UFM64" i="1"/>
  <c r="UFN64" i="1"/>
  <c r="UFO64" i="1"/>
  <c r="UFP64" i="1"/>
  <c r="UFQ64" i="1"/>
  <c r="UFR64" i="1"/>
  <c r="UFS64" i="1"/>
  <c r="UFT64" i="1"/>
  <c r="UFU64" i="1"/>
  <c r="UFV64" i="1"/>
  <c r="UFW64" i="1"/>
  <c r="UFX64" i="1"/>
  <c r="UFY64" i="1"/>
  <c r="UFZ64" i="1"/>
  <c r="UGA64" i="1"/>
  <c r="UGB64" i="1"/>
  <c r="UGC64" i="1"/>
  <c r="UGD64" i="1"/>
  <c r="UGE64" i="1"/>
  <c r="UGF64" i="1"/>
  <c r="UGG64" i="1"/>
  <c r="UGH64" i="1"/>
  <c r="UGI64" i="1"/>
  <c r="UGJ64" i="1"/>
  <c r="UGK64" i="1"/>
  <c r="UGL64" i="1"/>
  <c r="UGM64" i="1"/>
  <c r="UGN64" i="1"/>
  <c r="UGO64" i="1"/>
  <c r="UGP64" i="1"/>
  <c r="UGQ64" i="1"/>
  <c r="UGR64" i="1"/>
  <c r="UGS64" i="1"/>
  <c r="UGT64" i="1"/>
  <c r="UGU64" i="1"/>
  <c r="UGV64" i="1"/>
  <c r="UGW64" i="1"/>
  <c r="UGX64" i="1"/>
  <c r="UGY64" i="1"/>
  <c r="UGZ64" i="1"/>
  <c r="UHA64" i="1"/>
  <c r="UHB64" i="1"/>
  <c r="UHC64" i="1"/>
  <c r="UHD64" i="1"/>
  <c r="UHE64" i="1"/>
  <c r="UHF64" i="1"/>
  <c r="UHG64" i="1"/>
  <c r="UHH64" i="1"/>
  <c r="UHI64" i="1"/>
  <c r="UHJ64" i="1"/>
  <c r="UHK64" i="1"/>
  <c r="UHL64" i="1"/>
  <c r="UHM64" i="1"/>
  <c r="UHN64" i="1"/>
  <c r="UHO64" i="1"/>
  <c r="UHP64" i="1"/>
  <c r="UHQ64" i="1"/>
  <c r="UHR64" i="1"/>
  <c r="UHS64" i="1"/>
  <c r="UHT64" i="1"/>
  <c r="UHU64" i="1"/>
  <c r="UHV64" i="1"/>
  <c r="UHW64" i="1"/>
  <c r="UHX64" i="1"/>
  <c r="UHY64" i="1"/>
  <c r="UHZ64" i="1"/>
  <c r="UIA64" i="1"/>
  <c r="UIB64" i="1"/>
  <c r="UIC64" i="1"/>
  <c r="UID64" i="1"/>
  <c r="UIE64" i="1"/>
  <c r="UIF64" i="1"/>
  <c r="UIG64" i="1"/>
  <c r="UIH64" i="1"/>
  <c r="UII64" i="1"/>
  <c r="UIJ64" i="1"/>
  <c r="UIK64" i="1"/>
  <c r="UIL64" i="1"/>
  <c r="UIM64" i="1"/>
  <c r="UIN64" i="1"/>
  <c r="UIO64" i="1"/>
  <c r="UIP64" i="1"/>
  <c r="UIQ64" i="1"/>
  <c r="UIR64" i="1"/>
  <c r="UIS64" i="1"/>
  <c r="UIT64" i="1"/>
  <c r="UIU64" i="1"/>
  <c r="UIV64" i="1"/>
  <c r="UIW64" i="1"/>
  <c r="UIX64" i="1"/>
  <c r="UIY64" i="1"/>
  <c r="UIZ64" i="1"/>
  <c r="UJA64" i="1"/>
  <c r="UJB64" i="1"/>
  <c r="UJC64" i="1"/>
  <c r="UJD64" i="1"/>
  <c r="UJE64" i="1"/>
  <c r="UJF64" i="1"/>
  <c r="UJG64" i="1"/>
  <c r="UJH64" i="1"/>
  <c r="UJI64" i="1"/>
  <c r="UJJ64" i="1"/>
  <c r="UJK64" i="1"/>
  <c r="UJL64" i="1"/>
  <c r="UJM64" i="1"/>
  <c r="UJN64" i="1"/>
  <c r="UJO64" i="1"/>
  <c r="UJP64" i="1"/>
  <c r="UJQ64" i="1"/>
  <c r="UJR64" i="1"/>
  <c r="UJS64" i="1"/>
  <c r="UJT64" i="1"/>
  <c r="UJU64" i="1"/>
  <c r="UJV64" i="1"/>
  <c r="UJW64" i="1"/>
  <c r="UJX64" i="1"/>
  <c r="UJY64" i="1"/>
  <c r="UJZ64" i="1"/>
  <c r="UKA64" i="1"/>
  <c r="UKB64" i="1"/>
  <c r="UKC64" i="1"/>
  <c r="UKD64" i="1"/>
  <c r="UKE64" i="1"/>
  <c r="UKF64" i="1"/>
  <c r="UKG64" i="1"/>
  <c r="UKH64" i="1"/>
  <c r="UKI64" i="1"/>
  <c r="UKJ64" i="1"/>
  <c r="UKK64" i="1"/>
  <c r="UKL64" i="1"/>
  <c r="UKM64" i="1"/>
  <c r="UKN64" i="1"/>
  <c r="UKO64" i="1"/>
  <c r="UKP64" i="1"/>
  <c r="UKQ64" i="1"/>
  <c r="UKR64" i="1"/>
  <c r="UKS64" i="1"/>
  <c r="UKT64" i="1"/>
  <c r="UKU64" i="1"/>
  <c r="UKV64" i="1"/>
  <c r="UKW64" i="1"/>
  <c r="UKX64" i="1"/>
  <c r="UKY64" i="1"/>
  <c r="UKZ64" i="1"/>
  <c r="ULA64" i="1"/>
  <c r="ULB64" i="1"/>
  <c r="ULC64" i="1"/>
  <c r="ULD64" i="1"/>
  <c r="ULE64" i="1"/>
  <c r="ULF64" i="1"/>
  <c r="ULG64" i="1"/>
  <c r="ULH64" i="1"/>
  <c r="ULI64" i="1"/>
  <c r="ULJ64" i="1"/>
  <c r="ULK64" i="1"/>
  <c r="ULL64" i="1"/>
  <c r="ULM64" i="1"/>
  <c r="ULN64" i="1"/>
  <c r="ULO64" i="1"/>
  <c r="ULP64" i="1"/>
  <c r="ULQ64" i="1"/>
  <c r="ULR64" i="1"/>
  <c r="ULS64" i="1"/>
  <c r="ULT64" i="1"/>
  <c r="ULU64" i="1"/>
  <c r="ULV64" i="1"/>
  <c r="ULW64" i="1"/>
  <c r="ULX64" i="1"/>
  <c r="ULY64" i="1"/>
  <c r="ULZ64" i="1"/>
  <c r="UMA64" i="1"/>
  <c r="UMB64" i="1"/>
  <c r="UMC64" i="1"/>
  <c r="UMD64" i="1"/>
  <c r="UME64" i="1"/>
  <c r="UMF64" i="1"/>
  <c r="UMG64" i="1"/>
  <c r="UMH64" i="1"/>
  <c r="UMI64" i="1"/>
  <c r="UMJ64" i="1"/>
  <c r="UMK64" i="1"/>
  <c r="UML64" i="1"/>
  <c r="UMM64" i="1"/>
  <c r="UMN64" i="1"/>
  <c r="UMO64" i="1"/>
  <c r="UMP64" i="1"/>
  <c r="UMQ64" i="1"/>
  <c r="UMR64" i="1"/>
  <c r="UMS64" i="1"/>
  <c r="UMT64" i="1"/>
  <c r="UMU64" i="1"/>
  <c r="UMV64" i="1"/>
  <c r="UMW64" i="1"/>
  <c r="UMX64" i="1"/>
  <c r="UMY64" i="1"/>
  <c r="UMZ64" i="1"/>
  <c r="UNA64" i="1"/>
  <c r="UNB64" i="1"/>
  <c r="UNC64" i="1"/>
  <c r="UND64" i="1"/>
  <c r="UNE64" i="1"/>
  <c r="UNF64" i="1"/>
  <c r="UNG64" i="1"/>
  <c r="UNH64" i="1"/>
  <c r="UNI64" i="1"/>
  <c r="UNJ64" i="1"/>
  <c r="UNK64" i="1"/>
  <c r="UNL64" i="1"/>
  <c r="UNM64" i="1"/>
  <c r="UNN64" i="1"/>
  <c r="UNO64" i="1"/>
  <c r="UNP64" i="1"/>
  <c r="UNQ64" i="1"/>
  <c r="UNR64" i="1"/>
  <c r="UNS64" i="1"/>
  <c r="UNT64" i="1"/>
  <c r="UNU64" i="1"/>
  <c r="UNV64" i="1"/>
  <c r="UNW64" i="1"/>
  <c r="UNX64" i="1"/>
  <c r="UNY64" i="1"/>
  <c r="UNZ64" i="1"/>
  <c r="UOA64" i="1"/>
  <c r="UOB64" i="1"/>
  <c r="UOC64" i="1"/>
  <c r="UOD64" i="1"/>
  <c r="UOE64" i="1"/>
  <c r="UOF64" i="1"/>
  <c r="UOG64" i="1"/>
  <c r="UOH64" i="1"/>
  <c r="UOI64" i="1"/>
  <c r="UOJ64" i="1"/>
  <c r="UOK64" i="1"/>
  <c r="UOL64" i="1"/>
  <c r="UOM64" i="1"/>
  <c r="UON64" i="1"/>
  <c r="UOO64" i="1"/>
  <c r="UOP64" i="1"/>
  <c r="UOQ64" i="1"/>
  <c r="UOR64" i="1"/>
  <c r="UOS64" i="1"/>
  <c r="UOT64" i="1"/>
  <c r="UOU64" i="1"/>
  <c r="UOV64" i="1"/>
  <c r="UOW64" i="1"/>
  <c r="UOX64" i="1"/>
  <c r="UOY64" i="1"/>
  <c r="UOZ64" i="1"/>
  <c r="UPA64" i="1"/>
  <c r="UPB64" i="1"/>
  <c r="UPC64" i="1"/>
  <c r="UPD64" i="1"/>
  <c r="UPE64" i="1"/>
  <c r="UPF64" i="1"/>
  <c r="UPG64" i="1"/>
  <c r="UPH64" i="1"/>
  <c r="UPI64" i="1"/>
  <c r="UPJ64" i="1"/>
  <c r="UPK64" i="1"/>
  <c r="UPL64" i="1"/>
  <c r="UPM64" i="1"/>
  <c r="UPN64" i="1"/>
  <c r="UPO64" i="1"/>
  <c r="UPP64" i="1"/>
  <c r="UPQ64" i="1"/>
  <c r="UPR64" i="1"/>
  <c r="UPS64" i="1"/>
  <c r="UPT64" i="1"/>
  <c r="UPU64" i="1"/>
  <c r="UPV64" i="1"/>
  <c r="UPW64" i="1"/>
  <c r="UPX64" i="1"/>
  <c r="UPY64" i="1"/>
  <c r="UPZ64" i="1"/>
  <c r="UQA64" i="1"/>
  <c r="UQB64" i="1"/>
  <c r="UQC64" i="1"/>
  <c r="UQD64" i="1"/>
  <c r="UQE64" i="1"/>
  <c r="UQF64" i="1"/>
  <c r="UQG64" i="1"/>
  <c r="UQH64" i="1"/>
  <c r="UQI64" i="1"/>
  <c r="UQJ64" i="1"/>
  <c r="UQK64" i="1"/>
  <c r="UQL64" i="1"/>
  <c r="UQM64" i="1"/>
  <c r="UQN64" i="1"/>
  <c r="UQO64" i="1"/>
  <c r="UQP64" i="1"/>
  <c r="UQQ64" i="1"/>
  <c r="UQR64" i="1"/>
  <c r="UQS64" i="1"/>
  <c r="UQT64" i="1"/>
  <c r="UQU64" i="1"/>
  <c r="UQV64" i="1"/>
  <c r="UQW64" i="1"/>
  <c r="UQX64" i="1"/>
  <c r="UQY64" i="1"/>
  <c r="UQZ64" i="1"/>
  <c r="URA64" i="1"/>
  <c r="URB64" i="1"/>
  <c r="URC64" i="1"/>
  <c r="URD64" i="1"/>
  <c r="URE64" i="1"/>
  <c r="URF64" i="1"/>
  <c r="URG64" i="1"/>
  <c r="URH64" i="1"/>
  <c r="URI64" i="1"/>
  <c r="URJ64" i="1"/>
  <c r="URK64" i="1"/>
  <c r="URL64" i="1"/>
  <c r="URM64" i="1"/>
  <c r="URN64" i="1"/>
  <c r="URO64" i="1"/>
  <c r="URP64" i="1"/>
  <c r="URQ64" i="1"/>
  <c r="URR64" i="1"/>
  <c r="URS64" i="1"/>
  <c r="URT64" i="1"/>
  <c r="URU64" i="1"/>
  <c r="URV64" i="1"/>
  <c r="URW64" i="1"/>
  <c r="URX64" i="1"/>
  <c r="URY64" i="1"/>
  <c r="URZ64" i="1"/>
  <c r="USA64" i="1"/>
  <c r="USB64" i="1"/>
  <c r="USC64" i="1"/>
  <c r="USD64" i="1"/>
  <c r="USE64" i="1"/>
  <c r="USF64" i="1"/>
  <c r="USG64" i="1"/>
  <c r="USH64" i="1"/>
  <c r="USI64" i="1"/>
  <c r="USJ64" i="1"/>
  <c r="USK64" i="1"/>
  <c r="USL64" i="1"/>
  <c r="USM64" i="1"/>
  <c r="USN64" i="1"/>
  <c r="USO64" i="1"/>
  <c r="USP64" i="1"/>
  <c r="USQ64" i="1"/>
  <c r="USR64" i="1"/>
  <c r="USS64" i="1"/>
  <c r="UST64" i="1"/>
  <c r="USU64" i="1"/>
  <c r="USV64" i="1"/>
  <c r="USW64" i="1"/>
  <c r="USX64" i="1"/>
  <c r="USY64" i="1"/>
  <c r="USZ64" i="1"/>
  <c r="UTA64" i="1"/>
  <c r="UTB64" i="1"/>
  <c r="UTC64" i="1"/>
  <c r="UTD64" i="1"/>
  <c r="UTE64" i="1"/>
  <c r="UTF64" i="1"/>
  <c r="UTG64" i="1"/>
  <c r="UTH64" i="1"/>
  <c r="UTI64" i="1"/>
  <c r="UTJ64" i="1"/>
  <c r="UTK64" i="1"/>
  <c r="UTL64" i="1"/>
  <c r="UTM64" i="1"/>
  <c r="UTN64" i="1"/>
  <c r="UTO64" i="1"/>
  <c r="UTP64" i="1"/>
  <c r="UTQ64" i="1"/>
  <c r="UTR64" i="1"/>
  <c r="UTS64" i="1"/>
  <c r="UTT64" i="1"/>
  <c r="UTU64" i="1"/>
  <c r="UTV64" i="1"/>
  <c r="UTW64" i="1"/>
  <c r="UTX64" i="1"/>
  <c r="UTY64" i="1"/>
  <c r="UTZ64" i="1"/>
  <c r="UUA64" i="1"/>
  <c r="UUB64" i="1"/>
  <c r="UUC64" i="1"/>
  <c r="UUD64" i="1"/>
  <c r="UUE64" i="1"/>
  <c r="UUF64" i="1"/>
  <c r="UUG64" i="1"/>
  <c r="UUH64" i="1"/>
  <c r="UUI64" i="1"/>
  <c r="UUJ64" i="1"/>
  <c r="UUK64" i="1"/>
  <c r="UUL64" i="1"/>
  <c r="UUM64" i="1"/>
  <c r="UUN64" i="1"/>
  <c r="UUO64" i="1"/>
  <c r="UUP64" i="1"/>
  <c r="UUQ64" i="1"/>
  <c r="UUR64" i="1"/>
  <c r="UUS64" i="1"/>
  <c r="UUT64" i="1"/>
  <c r="UUU64" i="1"/>
  <c r="UUV64" i="1"/>
  <c r="UUW64" i="1"/>
  <c r="UUX64" i="1"/>
  <c r="UUY64" i="1"/>
  <c r="UUZ64" i="1"/>
  <c r="UVA64" i="1"/>
  <c r="UVB64" i="1"/>
  <c r="UVC64" i="1"/>
  <c r="UVD64" i="1"/>
  <c r="UVE64" i="1"/>
  <c r="UVF64" i="1"/>
  <c r="UVG64" i="1"/>
  <c r="UVH64" i="1"/>
  <c r="UVI64" i="1"/>
  <c r="UVJ64" i="1"/>
  <c r="UVK64" i="1"/>
  <c r="UVL64" i="1"/>
  <c r="UVM64" i="1"/>
  <c r="UVN64" i="1"/>
  <c r="UVO64" i="1"/>
  <c r="UVP64" i="1"/>
  <c r="UVQ64" i="1"/>
  <c r="UVR64" i="1"/>
  <c r="UVS64" i="1"/>
  <c r="UVT64" i="1"/>
  <c r="UVU64" i="1"/>
  <c r="UVV64" i="1"/>
  <c r="UVW64" i="1"/>
  <c r="UVX64" i="1"/>
  <c r="UVY64" i="1"/>
  <c r="UVZ64" i="1"/>
  <c r="UWA64" i="1"/>
  <c r="UWB64" i="1"/>
  <c r="UWC64" i="1"/>
  <c r="UWD64" i="1"/>
  <c r="UWE64" i="1"/>
  <c r="UWF64" i="1"/>
  <c r="UWG64" i="1"/>
  <c r="UWH64" i="1"/>
  <c r="UWI64" i="1"/>
  <c r="UWJ64" i="1"/>
  <c r="UWK64" i="1"/>
  <c r="UWL64" i="1"/>
  <c r="UWM64" i="1"/>
  <c r="UWN64" i="1"/>
  <c r="UWO64" i="1"/>
  <c r="UWP64" i="1"/>
  <c r="UWQ64" i="1"/>
  <c r="UWR64" i="1"/>
  <c r="UWS64" i="1"/>
  <c r="UWT64" i="1"/>
  <c r="UWU64" i="1"/>
  <c r="UWV64" i="1"/>
  <c r="UWW64" i="1"/>
  <c r="UWX64" i="1"/>
  <c r="UWY64" i="1"/>
  <c r="UWZ64" i="1"/>
  <c r="UXA64" i="1"/>
  <c r="UXB64" i="1"/>
  <c r="UXC64" i="1"/>
  <c r="UXD64" i="1"/>
  <c r="UXE64" i="1"/>
  <c r="UXF64" i="1"/>
  <c r="UXG64" i="1"/>
  <c r="UXH64" i="1"/>
  <c r="UXI64" i="1"/>
  <c r="UXJ64" i="1"/>
  <c r="UXK64" i="1"/>
  <c r="UXL64" i="1"/>
  <c r="UXM64" i="1"/>
  <c r="UXN64" i="1"/>
  <c r="UXO64" i="1"/>
  <c r="UXP64" i="1"/>
  <c r="UXQ64" i="1"/>
  <c r="UXR64" i="1"/>
  <c r="UXS64" i="1"/>
  <c r="UXT64" i="1"/>
  <c r="UXU64" i="1"/>
  <c r="UXV64" i="1"/>
  <c r="UXW64" i="1"/>
  <c r="UXX64" i="1"/>
  <c r="UXY64" i="1"/>
  <c r="UXZ64" i="1"/>
  <c r="UYA64" i="1"/>
  <c r="UYB64" i="1"/>
  <c r="UYC64" i="1"/>
  <c r="UYD64" i="1"/>
  <c r="UYE64" i="1"/>
  <c r="UYF64" i="1"/>
  <c r="UYG64" i="1"/>
  <c r="UYH64" i="1"/>
  <c r="UYI64" i="1"/>
  <c r="UYJ64" i="1"/>
  <c r="UYK64" i="1"/>
  <c r="UYL64" i="1"/>
  <c r="UYM64" i="1"/>
  <c r="UYN64" i="1"/>
  <c r="UYO64" i="1"/>
  <c r="UYP64" i="1"/>
  <c r="UYQ64" i="1"/>
  <c r="UYR64" i="1"/>
  <c r="UYS64" i="1"/>
  <c r="UYT64" i="1"/>
  <c r="UYU64" i="1"/>
  <c r="UYV64" i="1"/>
  <c r="UYW64" i="1"/>
  <c r="UYX64" i="1"/>
  <c r="UYY64" i="1"/>
  <c r="UYZ64" i="1"/>
  <c r="UZA64" i="1"/>
  <c r="UZB64" i="1"/>
  <c r="UZC64" i="1"/>
  <c r="UZD64" i="1"/>
  <c r="UZE64" i="1"/>
  <c r="UZF64" i="1"/>
  <c r="UZG64" i="1"/>
  <c r="UZH64" i="1"/>
  <c r="UZI64" i="1"/>
  <c r="UZJ64" i="1"/>
  <c r="UZK64" i="1"/>
  <c r="UZL64" i="1"/>
  <c r="UZM64" i="1"/>
  <c r="UZN64" i="1"/>
  <c r="UZO64" i="1"/>
  <c r="UZP64" i="1"/>
  <c r="UZQ64" i="1"/>
  <c r="UZR64" i="1"/>
  <c r="UZS64" i="1"/>
  <c r="UZT64" i="1"/>
  <c r="UZU64" i="1"/>
  <c r="UZV64" i="1"/>
  <c r="UZW64" i="1"/>
  <c r="UZX64" i="1"/>
  <c r="UZY64" i="1"/>
  <c r="UZZ64" i="1"/>
  <c r="VAA64" i="1"/>
  <c r="VAB64" i="1"/>
  <c r="VAC64" i="1"/>
  <c r="VAD64" i="1"/>
  <c r="VAE64" i="1"/>
  <c r="VAF64" i="1"/>
  <c r="VAG64" i="1"/>
  <c r="VAH64" i="1"/>
  <c r="VAI64" i="1"/>
  <c r="VAJ64" i="1"/>
  <c r="VAK64" i="1"/>
  <c r="VAL64" i="1"/>
  <c r="VAM64" i="1"/>
  <c r="VAN64" i="1"/>
  <c r="VAO64" i="1"/>
  <c r="VAP64" i="1"/>
  <c r="VAQ64" i="1"/>
  <c r="VAR64" i="1"/>
  <c r="VAS64" i="1"/>
  <c r="VAT64" i="1"/>
  <c r="VAU64" i="1"/>
  <c r="VAV64" i="1"/>
  <c r="VAW64" i="1"/>
  <c r="VAX64" i="1"/>
  <c r="VAY64" i="1"/>
  <c r="VAZ64" i="1"/>
  <c r="VBA64" i="1"/>
  <c r="VBB64" i="1"/>
  <c r="VBC64" i="1"/>
  <c r="VBD64" i="1"/>
  <c r="VBE64" i="1"/>
  <c r="VBF64" i="1"/>
  <c r="VBG64" i="1"/>
  <c r="VBH64" i="1"/>
  <c r="VBI64" i="1"/>
  <c r="VBJ64" i="1"/>
  <c r="VBK64" i="1"/>
  <c r="VBL64" i="1"/>
  <c r="VBM64" i="1"/>
  <c r="VBN64" i="1"/>
  <c r="VBO64" i="1"/>
  <c r="VBP64" i="1"/>
  <c r="VBQ64" i="1"/>
  <c r="VBR64" i="1"/>
  <c r="VBS64" i="1"/>
  <c r="VBT64" i="1"/>
  <c r="VBU64" i="1"/>
  <c r="VBV64" i="1"/>
  <c r="VBW64" i="1"/>
  <c r="VBX64" i="1"/>
  <c r="VBY64" i="1"/>
  <c r="VBZ64" i="1"/>
  <c r="VCA64" i="1"/>
  <c r="VCB64" i="1"/>
  <c r="VCC64" i="1"/>
  <c r="VCD64" i="1"/>
  <c r="VCE64" i="1"/>
  <c r="VCF64" i="1"/>
  <c r="VCG64" i="1"/>
  <c r="VCH64" i="1"/>
  <c r="VCI64" i="1"/>
  <c r="VCJ64" i="1"/>
  <c r="VCK64" i="1"/>
  <c r="VCL64" i="1"/>
  <c r="VCM64" i="1"/>
  <c r="VCN64" i="1"/>
  <c r="VCO64" i="1"/>
  <c r="VCP64" i="1"/>
  <c r="VCQ64" i="1"/>
  <c r="VCR64" i="1"/>
  <c r="VCS64" i="1"/>
  <c r="VCT64" i="1"/>
  <c r="VCU64" i="1"/>
  <c r="VCV64" i="1"/>
  <c r="VCW64" i="1"/>
  <c r="VCX64" i="1"/>
  <c r="VCY64" i="1"/>
  <c r="VCZ64" i="1"/>
  <c r="VDA64" i="1"/>
  <c r="VDB64" i="1"/>
  <c r="VDC64" i="1"/>
  <c r="VDD64" i="1"/>
  <c r="VDE64" i="1"/>
  <c r="VDF64" i="1"/>
  <c r="VDG64" i="1"/>
  <c r="VDH64" i="1"/>
  <c r="VDI64" i="1"/>
  <c r="VDJ64" i="1"/>
  <c r="VDK64" i="1"/>
  <c r="VDL64" i="1"/>
  <c r="VDM64" i="1"/>
  <c r="VDN64" i="1"/>
  <c r="VDO64" i="1"/>
  <c r="VDP64" i="1"/>
  <c r="VDQ64" i="1"/>
  <c r="VDR64" i="1"/>
  <c r="VDS64" i="1"/>
  <c r="VDT64" i="1"/>
  <c r="VDU64" i="1"/>
  <c r="VDV64" i="1"/>
  <c r="VDW64" i="1"/>
  <c r="VDX64" i="1"/>
  <c r="VDY64" i="1"/>
  <c r="VDZ64" i="1"/>
  <c r="VEA64" i="1"/>
  <c r="VEB64" i="1"/>
  <c r="VEC64" i="1"/>
  <c r="VED64" i="1"/>
  <c r="VEE64" i="1"/>
  <c r="VEF64" i="1"/>
  <c r="VEG64" i="1"/>
  <c r="VEH64" i="1"/>
  <c r="VEI64" i="1"/>
  <c r="VEJ64" i="1"/>
  <c r="VEK64" i="1"/>
  <c r="VEL64" i="1"/>
  <c r="VEM64" i="1"/>
  <c r="VEN64" i="1"/>
  <c r="VEO64" i="1"/>
  <c r="VEP64" i="1"/>
  <c r="VEQ64" i="1"/>
  <c r="VER64" i="1"/>
  <c r="VES64" i="1"/>
  <c r="VET64" i="1"/>
  <c r="VEU64" i="1"/>
  <c r="VEV64" i="1"/>
  <c r="VEW64" i="1"/>
  <c r="VEX64" i="1"/>
  <c r="VEY64" i="1"/>
  <c r="VEZ64" i="1"/>
  <c r="VFA64" i="1"/>
  <c r="VFB64" i="1"/>
  <c r="VFC64" i="1"/>
  <c r="VFD64" i="1"/>
  <c r="VFE64" i="1"/>
  <c r="VFF64" i="1"/>
  <c r="VFG64" i="1"/>
  <c r="VFH64" i="1"/>
  <c r="VFI64" i="1"/>
  <c r="VFJ64" i="1"/>
  <c r="VFK64" i="1"/>
  <c r="VFL64" i="1"/>
  <c r="VFM64" i="1"/>
  <c r="VFN64" i="1"/>
  <c r="VFO64" i="1"/>
  <c r="VFP64" i="1"/>
  <c r="VFQ64" i="1"/>
  <c r="VFR64" i="1"/>
  <c r="VFS64" i="1"/>
  <c r="VFT64" i="1"/>
  <c r="VFU64" i="1"/>
  <c r="VFV64" i="1"/>
  <c r="VFW64" i="1"/>
  <c r="VFX64" i="1"/>
  <c r="VFY64" i="1"/>
  <c r="VFZ64" i="1"/>
  <c r="VGA64" i="1"/>
  <c r="VGB64" i="1"/>
  <c r="VGC64" i="1"/>
  <c r="VGD64" i="1"/>
  <c r="VGE64" i="1"/>
  <c r="VGF64" i="1"/>
  <c r="VGG64" i="1"/>
  <c r="VGH64" i="1"/>
  <c r="VGI64" i="1"/>
  <c r="VGJ64" i="1"/>
  <c r="VGK64" i="1"/>
  <c r="VGL64" i="1"/>
  <c r="VGM64" i="1"/>
  <c r="VGN64" i="1"/>
  <c r="VGO64" i="1"/>
  <c r="VGP64" i="1"/>
  <c r="VGQ64" i="1"/>
  <c r="VGR64" i="1"/>
  <c r="VGS64" i="1"/>
  <c r="VGT64" i="1"/>
  <c r="VGU64" i="1"/>
  <c r="VGV64" i="1"/>
  <c r="VGW64" i="1"/>
  <c r="VGX64" i="1"/>
  <c r="VGY64" i="1"/>
  <c r="VGZ64" i="1"/>
  <c r="VHA64" i="1"/>
  <c r="VHB64" i="1"/>
  <c r="VHC64" i="1"/>
  <c r="VHD64" i="1"/>
  <c r="VHE64" i="1"/>
  <c r="VHF64" i="1"/>
  <c r="VHG64" i="1"/>
  <c r="VHH64" i="1"/>
  <c r="VHI64" i="1"/>
  <c r="VHJ64" i="1"/>
  <c r="VHK64" i="1"/>
  <c r="VHL64" i="1"/>
  <c r="VHM64" i="1"/>
  <c r="VHN64" i="1"/>
  <c r="VHO64" i="1"/>
  <c r="VHP64" i="1"/>
  <c r="VHQ64" i="1"/>
  <c r="VHR64" i="1"/>
  <c r="VHS64" i="1"/>
  <c r="VHT64" i="1"/>
  <c r="VHU64" i="1"/>
  <c r="VHV64" i="1"/>
  <c r="VHW64" i="1"/>
  <c r="VHX64" i="1"/>
  <c r="VHY64" i="1"/>
  <c r="VHZ64" i="1"/>
  <c r="VIA64" i="1"/>
  <c r="VIB64" i="1"/>
  <c r="VIC64" i="1"/>
  <c r="VID64" i="1"/>
  <c r="VIE64" i="1"/>
  <c r="VIF64" i="1"/>
  <c r="VIG64" i="1"/>
  <c r="VIH64" i="1"/>
  <c r="VII64" i="1"/>
  <c r="VIJ64" i="1"/>
  <c r="VIK64" i="1"/>
  <c r="VIL64" i="1"/>
  <c r="VIM64" i="1"/>
  <c r="VIN64" i="1"/>
  <c r="VIO64" i="1"/>
  <c r="VIP64" i="1"/>
  <c r="VIQ64" i="1"/>
  <c r="VIR64" i="1"/>
  <c r="VIS64" i="1"/>
  <c r="VIT64" i="1"/>
  <c r="VIU64" i="1"/>
  <c r="VIV64" i="1"/>
  <c r="VIW64" i="1"/>
  <c r="VIX64" i="1"/>
  <c r="VIY64" i="1"/>
  <c r="VIZ64" i="1"/>
  <c r="VJA64" i="1"/>
  <c r="VJB64" i="1"/>
  <c r="VJC64" i="1"/>
  <c r="VJD64" i="1"/>
  <c r="VJE64" i="1"/>
  <c r="VJF64" i="1"/>
  <c r="VJG64" i="1"/>
  <c r="VJH64" i="1"/>
  <c r="VJI64" i="1"/>
  <c r="VJJ64" i="1"/>
  <c r="VJK64" i="1"/>
  <c r="VJL64" i="1"/>
  <c r="VJM64" i="1"/>
  <c r="VJN64" i="1"/>
  <c r="VJO64" i="1"/>
  <c r="VJP64" i="1"/>
  <c r="VJQ64" i="1"/>
  <c r="VJR64" i="1"/>
  <c r="VJS64" i="1"/>
  <c r="VJT64" i="1"/>
  <c r="VJU64" i="1"/>
  <c r="VJV64" i="1"/>
  <c r="VJW64" i="1"/>
  <c r="VJX64" i="1"/>
  <c r="VJY64" i="1"/>
  <c r="VJZ64" i="1"/>
  <c r="VKA64" i="1"/>
  <c r="VKB64" i="1"/>
  <c r="VKC64" i="1"/>
  <c r="VKD64" i="1"/>
  <c r="VKE64" i="1"/>
  <c r="VKF64" i="1"/>
  <c r="VKG64" i="1"/>
  <c r="VKH64" i="1"/>
  <c r="VKI64" i="1"/>
  <c r="VKJ64" i="1"/>
  <c r="VKK64" i="1"/>
  <c r="VKL64" i="1"/>
  <c r="VKM64" i="1"/>
  <c r="VKN64" i="1"/>
  <c r="VKO64" i="1"/>
  <c r="VKP64" i="1"/>
  <c r="VKQ64" i="1"/>
  <c r="VKR64" i="1"/>
  <c r="VKS64" i="1"/>
  <c r="VKT64" i="1"/>
  <c r="VKU64" i="1"/>
  <c r="VKV64" i="1"/>
  <c r="VKW64" i="1"/>
  <c r="VKX64" i="1"/>
  <c r="VKY64" i="1"/>
  <c r="VKZ64" i="1"/>
  <c r="VLA64" i="1"/>
  <c r="VLB64" i="1"/>
  <c r="VLC64" i="1"/>
  <c r="VLD64" i="1"/>
  <c r="VLE64" i="1"/>
  <c r="VLF64" i="1"/>
  <c r="VLG64" i="1"/>
  <c r="VLH64" i="1"/>
  <c r="VLI64" i="1"/>
  <c r="VLJ64" i="1"/>
  <c r="VLK64" i="1"/>
  <c r="VLL64" i="1"/>
  <c r="VLM64" i="1"/>
  <c r="VLN64" i="1"/>
  <c r="VLO64" i="1"/>
  <c r="VLP64" i="1"/>
  <c r="VLQ64" i="1"/>
  <c r="VLR64" i="1"/>
  <c r="VLS64" i="1"/>
  <c r="VLT64" i="1"/>
  <c r="VLU64" i="1"/>
  <c r="VLV64" i="1"/>
  <c r="VLW64" i="1"/>
  <c r="VLX64" i="1"/>
  <c r="VLY64" i="1"/>
  <c r="VLZ64" i="1"/>
  <c r="VMA64" i="1"/>
  <c r="VMB64" i="1"/>
  <c r="VMC64" i="1"/>
  <c r="VMD64" i="1"/>
  <c r="VME64" i="1"/>
  <c r="VMF64" i="1"/>
  <c r="VMG64" i="1"/>
  <c r="VMH64" i="1"/>
  <c r="VMI64" i="1"/>
  <c r="VMJ64" i="1"/>
  <c r="VMK64" i="1"/>
  <c r="VML64" i="1"/>
  <c r="VMM64" i="1"/>
  <c r="VMN64" i="1"/>
  <c r="VMO64" i="1"/>
  <c r="VMP64" i="1"/>
  <c r="VMQ64" i="1"/>
  <c r="VMR64" i="1"/>
  <c r="VMS64" i="1"/>
  <c r="VMT64" i="1"/>
  <c r="VMU64" i="1"/>
  <c r="VMV64" i="1"/>
  <c r="VMW64" i="1"/>
  <c r="VMX64" i="1"/>
  <c r="VMY64" i="1"/>
  <c r="VMZ64" i="1"/>
  <c r="VNA64" i="1"/>
  <c r="VNB64" i="1"/>
  <c r="VNC64" i="1"/>
  <c r="VND64" i="1"/>
  <c r="VNE64" i="1"/>
  <c r="VNF64" i="1"/>
  <c r="VNG64" i="1"/>
  <c r="VNH64" i="1"/>
  <c r="VNI64" i="1"/>
  <c r="VNJ64" i="1"/>
  <c r="VNK64" i="1"/>
  <c r="VNL64" i="1"/>
  <c r="VNM64" i="1"/>
  <c r="VNN64" i="1"/>
  <c r="VNO64" i="1"/>
  <c r="VNP64" i="1"/>
  <c r="VNQ64" i="1"/>
  <c r="VNR64" i="1"/>
  <c r="VNS64" i="1"/>
  <c r="VNT64" i="1"/>
  <c r="VNU64" i="1"/>
  <c r="VNV64" i="1"/>
  <c r="VNW64" i="1"/>
  <c r="VNX64" i="1"/>
  <c r="VNY64" i="1"/>
  <c r="VNZ64" i="1"/>
  <c r="VOA64" i="1"/>
  <c r="VOB64" i="1"/>
  <c r="VOC64" i="1"/>
  <c r="VOD64" i="1"/>
  <c r="VOE64" i="1"/>
  <c r="VOF64" i="1"/>
  <c r="VOG64" i="1"/>
  <c r="VOH64" i="1"/>
  <c r="VOI64" i="1"/>
  <c r="VOJ64" i="1"/>
  <c r="VOK64" i="1"/>
  <c r="VOL64" i="1"/>
  <c r="VOM64" i="1"/>
  <c r="VON64" i="1"/>
  <c r="VOO64" i="1"/>
  <c r="VOP64" i="1"/>
  <c r="VOQ64" i="1"/>
  <c r="VOR64" i="1"/>
  <c r="VOS64" i="1"/>
  <c r="VOT64" i="1"/>
  <c r="VOU64" i="1"/>
  <c r="VOV64" i="1"/>
  <c r="VOW64" i="1"/>
  <c r="VOX64" i="1"/>
  <c r="VOY64" i="1"/>
  <c r="VOZ64" i="1"/>
  <c r="VPA64" i="1"/>
  <c r="VPB64" i="1"/>
  <c r="VPC64" i="1"/>
  <c r="VPD64" i="1"/>
  <c r="VPE64" i="1"/>
  <c r="VPF64" i="1"/>
  <c r="VPG64" i="1"/>
  <c r="VPH64" i="1"/>
  <c r="VPI64" i="1"/>
  <c r="VPJ64" i="1"/>
  <c r="VPK64" i="1"/>
  <c r="VPL64" i="1"/>
  <c r="VPM64" i="1"/>
  <c r="VPN64" i="1"/>
  <c r="VPO64" i="1"/>
  <c r="VPP64" i="1"/>
  <c r="VPQ64" i="1"/>
  <c r="VPR64" i="1"/>
  <c r="VPS64" i="1"/>
  <c r="VPT64" i="1"/>
  <c r="VPU64" i="1"/>
  <c r="VPV64" i="1"/>
  <c r="VPW64" i="1"/>
  <c r="VPX64" i="1"/>
  <c r="VPY64" i="1"/>
  <c r="VPZ64" i="1"/>
  <c r="VQA64" i="1"/>
  <c r="VQB64" i="1"/>
  <c r="VQC64" i="1"/>
  <c r="VQD64" i="1"/>
  <c r="VQE64" i="1"/>
  <c r="VQF64" i="1"/>
  <c r="VQG64" i="1"/>
  <c r="VQH64" i="1"/>
  <c r="VQI64" i="1"/>
  <c r="VQJ64" i="1"/>
  <c r="VQK64" i="1"/>
  <c r="VQL64" i="1"/>
  <c r="VQM64" i="1"/>
  <c r="VQN64" i="1"/>
  <c r="VQO64" i="1"/>
  <c r="VQP64" i="1"/>
  <c r="VQQ64" i="1"/>
  <c r="VQR64" i="1"/>
  <c r="VQS64" i="1"/>
  <c r="VQT64" i="1"/>
  <c r="VQU64" i="1"/>
  <c r="VQV64" i="1"/>
  <c r="VQW64" i="1"/>
  <c r="VQX64" i="1"/>
  <c r="VQY64" i="1"/>
  <c r="VQZ64" i="1"/>
  <c r="VRA64" i="1"/>
  <c r="VRB64" i="1"/>
  <c r="VRC64" i="1"/>
  <c r="VRD64" i="1"/>
  <c r="VRE64" i="1"/>
  <c r="VRF64" i="1"/>
  <c r="VRG64" i="1"/>
  <c r="VRH64" i="1"/>
  <c r="VRI64" i="1"/>
  <c r="VRJ64" i="1"/>
  <c r="VRK64" i="1"/>
  <c r="VRL64" i="1"/>
  <c r="VRM64" i="1"/>
  <c r="VRN64" i="1"/>
  <c r="VRO64" i="1"/>
  <c r="VRP64" i="1"/>
  <c r="VRQ64" i="1"/>
  <c r="VRR64" i="1"/>
  <c r="VRS64" i="1"/>
  <c r="VRT64" i="1"/>
  <c r="VRU64" i="1"/>
  <c r="VRV64" i="1"/>
  <c r="VRW64" i="1"/>
  <c r="VRX64" i="1"/>
  <c r="VRY64" i="1"/>
  <c r="VRZ64" i="1"/>
  <c r="VSA64" i="1"/>
  <c r="VSB64" i="1"/>
  <c r="VSC64" i="1"/>
  <c r="VSD64" i="1"/>
  <c r="VSE64" i="1"/>
  <c r="VSF64" i="1"/>
  <c r="VSG64" i="1"/>
  <c r="VSH64" i="1"/>
  <c r="VSI64" i="1"/>
  <c r="VSJ64" i="1"/>
  <c r="VSK64" i="1"/>
  <c r="VSL64" i="1"/>
  <c r="VSM64" i="1"/>
  <c r="VSN64" i="1"/>
  <c r="VSO64" i="1"/>
  <c r="VSP64" i="1"/>
  <c r="VSQ64" i="1"/>
  <c r="VSR64" i="1"/>
  <c r="VSS64" i="1"/>
  <c r="VST64" i="1"/>
  <c r="VSU64" i="1"/>
  <c r="VSV64" i="1"/>
  <c r="VSW64" i="1"/>
  <c r="VSX64" i="1"/>
  <c r="VSY64" i="1"/>
  <c r="VSZ64" i="1"/>
  <c r="VTA64" i="1"/>
  <c r="VTB64" i="1"/>
  <c r="VTC64" i="1"/>
  <c r="VTD64" i="1"/>
  <c r="VTE64" i="1"/>
  <c r="VTF64" i="1"/>
  <c r="VTG64" i="1"/>
  <c r="VTH64" i="1"/>
  <c r="VTI64" i="1"/>
  <c r="VTJ64" i="1"/>
  <c r="VTK64" i="1"/>
  <c r="VTL64" i="1"/>
  <c r="VTM64" i="1"/>
  <c r="VTN64" i="1"/>
  <c r="VTO64" i="1"/>
  <c r="VTP64" i="1"/>
  <c r="VTQ64" i="1"/>
  <c r="VTR64" i="1"/>
  <c r="VTS64" i="1"/>
  <c r="VTT64" i="1"/>
  <c r="VTU64" i="1"/>
  <c r="VTV64" i="1"/>
  <c r="VTW64" i="1"/>
  <c r="VTX64" i="1"/>
  <c r="VTY64" i="1"/>
  <c r="VTZ64" i="1"/>
  <c r="VUA64" i="1"/>
  <c r="VUB64" i="1"/>
  <c r="VUC64" i="1"/>
  <c r="VUD64" i="1"/>
  <c r="VUE64" i="1"/>
  <c r="VUF64" i="1"/>
  <c r="VUG64" i="1"/>
  <c r="VUH64" i="1"/>
  <c r="VUI64" i="1"/>
  <c r="VUJ64" i="1"/>
  <c r="VUK64" i="1"/>
  <c r="VUL64" i="1"/>
  <c r="VUM64" i="1"/>
  <c r="VUN64" i="1"/>
  <c r="VUO64" i="1"/>
  <c r="VUP64" i="1"/>
  <c r="VUQ64" i="1"/>
  <c r="VUR64" i="1"/>
  <c r="VUS64" i="1"/>
  <c r="VUT64" i="1"/>
  <c r="VUU64" i="1"/>
  <c r="VUV64" i="1"/>
  <c r="VUW64" i="1"/>
  <c r="VUX64" i="1"/>
  <c r="VUY64" i="1"/>
  <c r="VUZ64" i="1"/>
  <c r="VVA64" i="1"/>
  <c r="VVB64" i="1"/>
  <c r="VVC64" i="1"/>
  <c r="VVD64" i="1"/>
  <c r="VVE64" i="1"/>
  <c r="VVF64" i="1"/>
  <c r="VVG64" i="1"/>
  <c r="VVH64" i="1"/>
  <c r="VVI64" i="1"/>
  <c r="VVJ64" i="1"/>
  <c r="VVK64" i="1"/>
  <c r="VVL64" i="1"/>
  <c r="VVM64" i="1"/>
  <c r="VVN64" i="1"/>
  <c r="VVO64" i="1"/>
  <c r="VVP64" i="1"/>
  <c r="VVQ64" i="1"/>
  <c r="VVR64" i="1"/>
  <c r="VVS64" i="1"/>
  <c r="VVT64" i="1"/>
  <c r="VVU64" i="1"/>
  <c r="VVV64" i="1"/>
  <c r="VVW64" i="1"/>
  <c r="VVX64" i="1"/>
  <c r="VVY64" i="1"/>
  <c r="VVZ64" i="1"/>
  <c r="VWA64" i="1"/>
  <c r="VWB64" i="1"/>
  <c r="VWC64" i="1"/>
  <c r="VWD64" i="1"/>
  <c r="VWE64" i="1"/>
  <c r="VWF64" i="1"/>
  <c r="VWG64" i="1"/>
  <c r="VWH64" i="1"/>
  <c r="VWI64" i="1"/>
  <c r="VWJ64" i="1"/>
  <c r="VWK64" i="1"/>
  <c r="VWL64" i="1"/>
  <c r="VWM64" i="1"/>
  <c r="VWN64" i="1"/>
  <c r="VWO64" i="1"/>
  <c r="VWP64" i="1"/>
  <c r="VWQ64" i="1"/>
  <c r="VWR64" i="1"/>
  <c r="VWS64" i="1"/>
  <c r="VWT64" i="1"/>
  <c r="VWU64" i="1"/>
  <c r="VWV64" i="1"/>
  <c r="VWW64" i="1"/>
  <c r="VWX64" i="1"/>
  <c r="VWY64" i="1"/>
  <c r="VWZ64" i="1"/>
  <c r="VXA64" i="1"/>
  <c r="VXB64" i="1"/>
  <c r="VXC64" i="1"/>
  <c r="VXD64" i="1"/>
  <c r="VXE64" i="1"/>
  <c r="VXF64" i="1"/>
  <c r="VXG64" i="1"/>
  <c r="VXH64" i="1"/>
  <c r="VXI64" i="1"/>
  <c r="VXJ64" i="1"/>
  <c r="VXK64" i="1"/>
  <c r="VXL64" i="1"/>
  <c r="VXM64" i="1"/>
  <c r="VXN64" i="1"/>
  <c r="VXO64" i="1"/>
  <c r="VXP64" i="1"/>
  <c r="VXQ64" i="1"/>
  <c r="VXR64" i="1"/>
  <c r="VXS64" i="1"/>
  <c r="VXT64" i="1"/>
  <c r="VXU64" i="1"/>
  <c r="VXV64" i="1"/>
  <c r="VXW64" i="1"/>
  <c r="VXX64" i="1"/>
  <c r="VXY64" i="1"/>
  <c r="VXZ64" i="1"/>
  <c r="VYA64" i="1"/>
  <c r="VYB64" i="1"/>
  <c r="VYC64" i="1"/>
  <c r="VYD64" i="1"/>
  <c r="VYE64" i="1"/>
  <c r="VYF64" i="1"/>
  <c r="VYG64" i="1"/>
  <c r="VYH64" i="1"/>
  <c r="VYI64" i="1"/>
  <c r="VYJ64" i="1"/>
  <c r="VYK64" i="1"/>
  <c r="VYL64" i="1"/>
  <c r="VYM64" i="1"/>
  <c r="VYN64" i="1"/>
  <c r="VYO64" i="1"/>
  <c r="VYP64" i="1"/>
  <c r="VYQ64" i="1"/>
  <c r="VYR64" i="1"/>
  <c r="VYS64" i="1"/>
  <c r="VYT64" i="1"/>
  <c r="VYU64" i="1"/>
  <c r="VYV64" i="1"/>
  <c r="VYW64" i="1"/>
  <c r="VYX64" i="1"/>
  <c r="VYY64" i="1"/>
  <c r="VYZ64" i="1"/>
  <c r="VZA64" i="1"/>
  <c r="VZB64" i="1"/>
  <c r="VZC64" i="1"/>
  <c r="VZD64" i="1"/>
  <c r="VZE64" i="1"/>
  <c r="VZF64" i="1"/>
  <c r="VZG64" i="1"/>
  <c r="VZH64" i="1"/>
  <c r="VZI64" i="1"/>
  <c r="VZJ64" i="1"/>
  <c r="VZK64" i="1"/>
  <c r="VZL64" i="1"/>
  <c r="VZM64" i="1"/>
  <c r="VZN64" i="1"/>
  <c r="VZO64" i="1"/>
  <c r="VZP64" i="1"/>
  <c r="VZQ64" i="1"/>
  <c r="VZR64" i="1"/>
  <c r="VZS64" i="1"/>
  <c r="VZT64" i="1"/>
  <c r="VZU64" i="1"/>
  <c r="VZV64" i="1"/>
  <c r="VZW64" i="1"/>
  <c r="VZX64" i="1"/>
  <c r="VZY64" i="1"/>
  <c r="VZZ64" i="1"/>
  <c r="WAA64" i="1"/>
  <c r="WAB64" i="1"/>
  <c r="WAC64" i="1"/>
  <c r="WAD64" i="1"/>
  <c r="WAE64" i="1"/>
  <c r="WAF64" i="1"/>
  <c r="WAG64" i="1"/>
  <c r="WAH64" i="1"/>
  <c r="WAI64" i="1"/>
  <c r="WAJ64" i="1"/>
  <c r="WAK64" i="1"/>
  <c r="WAL64" i="1"/>
  <c r="WAM64" i="1"/>
  <c r="WAN64" i="1"/>
  <c r="WAO64" i="1"/>
  <c r="WAP64" i="1"/>
  <c r="WAQ64" i="1"/>
  <c r="WAR64" i="1"/>
  <c r="WAS64" i="1"/>
  <c r="WAT64" i="1"/>
  <c r="WAU64" i="1"/>
  <c r="WAV64" i="1"/>
  <c r="WAW64" i="1"/>
  <c r="WAX64" i="1"/>
  <c r="WAY64" i="1"/>
  <c r="WAZ64" i="1"/>
  <c r="WBA64" i="1"/>
  <c r="WBB64" i="1"/>
  <c r="WBC64" i="1"/>
  <c r="WBD64" i="1"/>
  <c r="WBE64" i="1"/>
  <c r="WBF64" i="1"/>
  <c r="WBG64" i="1"/>
  <c r="WBH64" i="1"/>
  <c r="WBI64" i="1"/>
  <c r="WBJ64" i="1"/>
  <c r="WBK64" i="1"/>
  <c r="WBL64" i="1"/>
  <c r="WBM64" i="1"/>
  <c r="WBN64" i="1"/>
  <c r="WBO64" i="1"/>
  <c r="WBP64" i="1"/>
  <c r="WBQ64" i="1"/>
  <c r="WBR64" i="1"/>
  <c r="WBS64" i="1"/>
  <c r="WBT64" i="1"/>
  <c r="WBU64" i="1"/>
  <c r="WBV64" i="1"/>
  <c r="WBW64" i="1"/>
  <c r="WBX64" i="1"/>
  <c r="WBY64" i="1"/>
  <c r="WBZ64" i="1"/>
  <c r="WCA64" i="1"/>
  <c r="WCB64" i="1"/>
  <c r="WCC64" i="1"/>
  <c r="WCD64" i="1"/>
  <c r="WCE64" i="1"/>
  <c r="WCF64" i="1"/>
  <c r="WCG64" i="1"/>
  <c r="WCH64" i="1"/>
  <c r="WCI64" i="1"/>
  <c r="WCJ64" i="1"/>
  <c r="WCK64" i="1"/>
  <c r="WCL64" i="1"/>
  <c r="WCM64" i="1"/>
  <c r="WCN64" i="1"/>
  <c r="WCO64" i="1"/>
  <c r="WCP64" i="1"/>
  <c r="WCQ64" i="1"/>
  <c r="WCR64" i="1"/>
  <c r="WCS64" i="1"/>
  <c r="WCT64" i="1"/>
  <c r="WCU64" i="1"/>
  <c r="WCV64" i="1"/>
  <c r="WCW64" i="1"/>
  <c r="WCX64" i="1"/>
  <c r="WCY64" i="1"/>
  <c r="WCZ64" i="1"/>
  <c r="WDA64" i="1"/>
  <c r="WDB64" i="1"/>
  <c r="WDC64" i="1"/>
  <c r="WDD64" i="1"/>
  <c r="WDE64" i="1"/>
  <c r="WDF64" i="1"/>
  <c r="WDG64" i="1"/>
  <c r="WDH64" i="1"/>
  <c r="WDI64" i="1"/>
  <c r="WDJ64" i="1"/>
  <c r="WDK64" i="1"/>
  <c r="WDL64" i="1"/>
  <c r="WDM64" i="1"/>
  <c r="WDN64" i="1"/>
  <c r="WDO64" i="1"/>
  <c r="WDP64" i="1"/>
  <c r="WDQ64" i="1"/>
  <c r="WDR64" i="1"/>
  <c r="WDS64" i="1"/>
  <c r="WDT64" i="1"/>
  <c r="WDU64" i="1"/>
  <c r="WDV64" i="1"/>
  <c r="WDW64" i="1"/>
  <c r="WDX64" i="1"/>
  <c r="WDY64" i="1"/>
  <c r="WDZ64" i="1"/>
  <c r="WEA64" i="1"/>
  <c r="WEB64" i="1"/>
  <c r="WEC64" i="1"/>
  <c r="WED64" i="1"/>
  <c r="WEE64" i="1"/>
  <c r="WEF64" i="1"/>
  <c r="WEG64" i="1"/>
  <c r="WEH64" i="1"/>
  <c r="WEI64" i="1"/>
  <c r="WEJ64" i="1"/>
  <c r="WEK64" i="1"/>
  <c r="WEL64" i="1"/>
  <c r="WEM64" i="1"/>
  <c r="WEN64" i="1"/>
  <c r="WEO64" i="1"/>
  <c r="WEP64" i="1"/>
  <c r="WEQ64" i="1"/>
  <c r="WER64" i="1"/>
  <c r="WES64" i="1"/>
  <c r="WET64" i="1"/>
  <c r="WEU64" i="1"/>
  <c r="WEV64" i="1"/>
  <c r="WEW64" i="1"/>
  <c r="WEX64" i="1"/>
  <c r="WEY64" i="1"/>
  <c r="WEZ64" i="1"/>
  <c r="WFA64" i="1"/>
  <c r="WFB64" i="1"/>
  <c r="WFC64" i="1"/>
  <c r="WFD64" i="1"/>
  <c r="WFE64" i="1"/>
  <c r="WFF64" i="1"/>
  <c r="WFG64" i="1"/>
  <c r="WFH64" i="1"/>
  <c r="WFI64" i="1"/>
  <c r="WFJ64" i="1"/>
  <c r="WFK64" i="1"/>
  <c r="WFL64" i="1"/>
  <c r="WFM64" i="1"/>
  <c r="WFN64" i="1"/>
  <c r="WFO64" i="1"/>
  <c r="WFP64" i="1"/>
  <c r="WFQ64" i="1"/>
  <c r="WFR64" i="1"/>
  <c r="WFS64" i="1"/>
  <c r="WFT64" i="1"/>
  <c r="WFU64" i="1"/>
  <c r="WFV64" i="1"/>
  <c r="WFW64" i="1"/>
  <c r="WFX64" i="1"/>
  <c r="WFY64" i="1"/>
  <c r="WFZ64" i="1"/>
  <c r="WGA64" i="1"/>
  <c r="WGB64" i="1"/>
  <c r="WGC64" i="1"/>
  <c r="WGD64" i="1"/>
  <c r="WGE64" i="1"/>
  <c r="WGF64" i="1"/>
  <c r="WGG64" i="1"/>
  <c r="WGH64" i="1"/>
  <c r="WGI64" i="1"/>
  <c r="WGJ64" i="1"/>
  <c r="WGK64" i="1"/>
  <c r="WGL64" i="1"/>
  <c r="WGM64" i="1"/>
  <c r="WGN64" i="1"/>
  <c r="WGO64" i="1"/>
  <c r="WGP64" i="1"/>
  <c r="WGQ64" i="1"/>
  <c r="WGR64" i="1"/>
  <c r="WGS64" i="1"/>
  <c r="WGT64" i="1"/>
  <c r="WGU64" i="1"/>
  <c r="WGV64" i="1"/>
  <c r="WGW64" i="1"/>
  <c r="WGX64" i="1"/>
  <c r="WGY64" i="1"/>
  <c r="WGZ64" i="1"/>
  <c r="WHA64" i="1"/>
  <c r="WHB64" i="1"/>
  <c r="WHC64" i="1"/>
  <c r="WHD64" i="1"/>
  <c r="WHE64" i="1"/>
  <c r="WHF64" i="1"/>
  <c r="WHG64" i="1"/>
  <c r="WHH64" i="1"/>
  <c r="WHI64" i="1"/>
  <c r="WHJ64" i="1"/>
  <c r="WHK64" i="1"/>
  <c r="WHL64" i="1"/>
  <c r="WHM64" i="1"/>
  <c r="WHN64" i="1"/>
  <c r="WHO64" i="1"/>
  <c r="WHP64" i="1"/>
  <c r="WHQ64" i="1"/>
  <c r="WHR64" i="1"/>
  <c r="WHS64" i="1"/>
  <c r="WHT64" i="1"/>
  <c r="WHU64" i="1"/>
  <c r="WHV64" i="1"/>
  <c r="WHW64" i="1"/>
  <c r="WHX64" i="1"/>
  <c r="WHY64" i="1"/>
  <c r="WHZ64" i="1"/>
  <c r="WIA64" i="1"/>
  <c r="WIB64" i="1"/>
  <c r="WIC64" i="1"/>
  <c r="WID64" i="1"/>
  <c r="WIE64" i="1"/>
  <c r="WIF64" i="1"/>
  <c r="WIG64" i="1"/>
  <c r="WIH64" i="1"/>
  <c r="WII64" i="1"/>
  <c r="WIJ64" i="1"/>
  <c r="WIK64" i="1"/>
  <c r="WIL64" i="1"/>
  <c r="WIM64" i="1"/>
  <c r="WIN64" i="1"/>
  <c r="WIO64" i="1"/>
  <c r="WIP64" i="1"/>
  <c r="WIQ64" i="1"/>
  <c r="WIR64" i="1"/>
  <c r="WIS64" i="1"/>
  <c r="WIT64" i="1"/>
  <c r="WIU64" i="1"/>
  <c r="WIV64" i="1"/>
  <c r="WIW64" i="1"/>
  <c r="WIX64" i="1"/>
  <c r="WIY64" i="1"/>
  <c r="WIZ64" i="1"/>
  <c r="WJA64" i="1"/>
  <c r="WJB64" i="1"/>
  <c r="WJC64" i="1"/>
  <c r="WJD64" i="1"/>
  <c r="WJE64" i="1"/>
  <c r="WJF64" i="1"/>
  <c r="WJG64" i="1"/>
  <c r="WJH64" i="1"/>
  <c r="WJI64" i="1"/>
  <c r="WJJ64" i="1"/>
  <c r="WJK64" i="1"/>
  <c r="WJL64" i="1"/>
  <c r="WJM64" i="1"/>
  <c r="WJN64" i="1"/>
  <c r="WJO64" i="1"/>
  <c r="WJP64" i="1"/>
  <c r="WJQ64" i="1"/>
  <c r="WJR64" i="1"/>
  <c r="WJS64" i="1"/>
  <c r="WJT64" i="1"/>
  <c r="WJU64" i="1"/>
  <c r="WJV64" i="1"/>
  <c r="WJW64" i="1"/>
  <c r="WJX64" i="1"/>
  <c r="WJY64" i="1"/>
  <c r="WJZ64" i="1"/>
  <c r="WKA64" i="1"/>
  <c r="WKB64" i="1"/>
  <c r="WKC64" i="1"/>
  <c r="WKD64" i="1"/>
  <c r="WKE64" i="1"/>
  <c r="WKF64" i="1"/>
  <c r="WKG64" i="1"/>
  <c r="WKH64" i="1"/>
  <c r="WKI64" i="1"/>
  <c r="WKJ64" i="1"/>
  <c r="WKK64" i="1"/>
  <c r="WKL64" i="1"/>
  <c r="WKM64" i="1"/>
  <c r="WKN64" i="1"/>
  <c r="WKO64" i="1"/>
  <c r="WKP64" i="1"/>
  <c r="WKQ64" i="1"/>
  <c r="WKR64" i="1"/>
  <c r="WKS64" i="1"/>
  <c r="WKT64" i="1"/>
  <c r="WKU64" i="1"/>
  <c r="WKV64" i="1"/>
  <c r="WKW64" i="1"/>
  <c r="WKX64" i="1"/>
  <c r="WKY64" i="1"/>
  <c r="WKZ64" i="1"/>
  <c r="WLA64" i="1"/>
  <c r="WLB64" i="1"/>
  <c r="WLC64" i="1"/>
  <c r="WLD64" i="1"/>
  <c r="WLE64" i="1"/>
  <c r="WLF64" i="1"/>
  <c r="WLG64" i="1"/>
  <c r="WLH64" i="1"/>
  <c r="WLI64" i="1"/>
  <c r="WLJ64" i="1"/>
  <c r="WLK64" i="1"/>
  <c r="WLL64" i="1"/>
  <c r="WLM64" i="1"/>
  <c r="WLN64" i="1"/>
  <c r="WLO64" i="1"/>
  <c r="WLP64" i="1"/>
  <c r="WLQ64" i="1"/>
  <c r="WLR64" i="1"/>
  <c r="WLS64" i="1"/>
  <c r="WLT64" i="1"/>
  <c r="WLU64" i="1"/>
  <c r="WLV64" i="1"/>
  <c r="WLW64" i="1"/>
  <c r="WLX64" i="1"/>
  <c r="WLY64" i="1"/>
  <c r="WLZ64" i="1"/>
  <c r="WMA64" i="1"/>
  <c r="WMB64" i="1"/>
  <c r="WMC64" i="1"/>
  <c r="WMD64" i="1"/>
  <c r="WME64" i="1"/>
  <c r="WMF64" i="1"/>
  <c r="WMG64" i="1"/>
  <c r="WMH64" i="1"/>
  <c r="WMI64" i="1"/>
  <c r="WMJ64" i="1"/>
  <c r="WMK64" i="1"/>
  <c r="WML64" i="1"/>
  <c r="WMM64" i="1"/>
  <c r="WMN64" i="1"/>
  <c r="WMO64" i="1"/>
  <c r="WMP64" i="1"/>
  <c r="WMQ64" i="1"/>
  <c r="WMR64" i="1"/>
  <c r="WMS64" i="1"/>
  <c r="WMT64" i="1"/>
  <c r="WMU64" i="1"/>
  <c r="WMV64" i="1"/>
  <c r="WMW64" i="1"/>
  <c r="WMX64" i="1"/>
  <c r="WMY64" i="1"/>
  <c r="WMZ64" i="1"/>
  <c r="WNA64" i="1"/>
  <c r="WNB64" i="1"/>
  <c r="WNC64" i="1"/>
  <c r="WND64" i="1"/>
  <c r="WNE64" i="1"/>
  <c r="WNF64" i="1"/>
  <c r="WNG64" i="1"/>
  <c r="WNH64" i="1"/>
  <c r="WNI64" i="1"/>
  <c r="WNJ64" i="1"/>
  <c r="WNK64" i="1"/>
  <c r="WNL64" i="1"/>
  <c r="WNM64" i="1"/>
  <c r="WNN64" i="1"/>
  <c r="WNO64" i="1"/>
  <c r="WNP64" i="1"/>
  <c r="WNQ64" i="1"/>
  <c r="WNR64" i="1"/>
  <c r="WNS64" i="1"/>
  <c r="WNT64" i="1"/>
  <c r="WNU64" i="1"/>
  <c r="WNV64" i="1"/>
  <c r="WNW64" i="1"/>
  <c r="WNX64" i="1"/>
  <c r="WNY64" i="1"/>
  <c r="WNZ64" i="1"/>
  <c r="WOA64" i="1"/>
  <c r="WOB64" i="1"/>
  <c r="WOC64" i="1"/>
  <c r="WOD64" i="1"/>
  <c r="WOE64" i="1"/>
  <c r="WOF64" i="1"/>
  <c r="WOG64" i="1"/>
  <c r="WOH64" i="1"/>
  <c r="WOI64" i="1"/>
  <c r="WOJ64" i="1"/>
  <c r="WOK64" i="1"/>
  <c r="WOL64" i="1"/>
  <c r="WOM64" i="1"/>
  <c r="WON64" i="1"/>
  <c r="WOO64" i="1"/>
  <c r="WOP64" i="1"/>
  <c r="WOQ64" i="1"/>
  <c r="WOR64" i="1"/>
  <c r="WOS64" i="1"/>
  <c r="WOT64" i="1"/>
  <c r="WOU64" i="1"/>
  <c r="WOV64" i="1"/>
  <c r="WOW64" i="1"/>
  <c r="WOX64" i="1"/>
  <c r="WOY64" i="1"/>
  <c r="WOZ64" i="1"/>
  <c r="WPA64" i="1"/>
  <c r="WPB64" i="1"/>
  <c r="WPC64" i="1"/>
  <c r="WPD64" i="1"/>
  <c r="WPE64" i="1"/>
  <c r="WPF64" i="1"/>
  <c r="WPG64" i="1"/>
  <c r="WPH64" i="1"/>
  <c r="WPI64" i="1"/>
  <c r="WPJ64" i="1"/>
  <c r="WPK64" i="1"/>
  <c r="WPL64" i="1"/>
  <c r="WPM64" i="1"/>
  <c r="WPN64" i="1"/>
  <c r="WPO64" i="1"/>
  <c r="WPP64" i="1"/>
  <c r="WPQ64" i="1"/>
  <c r="WPR64" i="1"/>
  <c r="WPS64" i="1"/>
  <c r="WPT64" i="1"/>
  <c r="WPU64" i="1"/>
  <c r="WPV64" i="1"/>
  <c r="WPW64" i="1"/>
  <c r="WPX64" i="1"/>
  <c r="WPY64" i="1"/>
  <c r="WPZ64" i="1"/>
  <c r="WQA64" i="1"/>
  <c r="WQB64" i="1"/>
  <c r="WQC64" i="1"/>
  <c r="WQD64" i="1"/>
  <c r="WQE64" i="1"/>
  <c r="WQF64" i="1"/>
  <c r="WQG64" i="1"/>
  <c r="WQH64" i="1"/>
  <c r="WQI64" i="1"/>
  <c r="WQJ64" i="1"/>
  <c r="WQK64" i="1"/>
  <c r="WQL64" i="1"/>
  <c r="WQM64" i="1"/>
  <c r="WQN64" i="1"/>
  <c r="WQO64" i="1"/>
  <c r="WQP64" i="1"/>
  <c r="WQQ64" i="1"/>
  <c r="WQR64" i="1"/>
  <c r="WQS64" i="1"/>
  <c r="WQT64" i="1"/>
  <c r="WQU64" i="1"/>
  <c r="WQV64" i="1"/>
  <c r="WQW64" i="1"/>
  <c r="WQX64" i="1"/>
  <c r="WQY64" i="1"/>
  <c r="WQZ64" i="1"/>
  <c r="WRA64" i="1"/>
  <c r="WRB64" i="1"/>
  <c r="WRC64" i="1"/>
  <c r="WRD64" i="1"/>
  <c r="WRE64" i="1"/>
  <c r="WRF64" i="1"/>
  <c r="WRG64" i="1"/>
  <c r="WRH64" i="1"/>
  <c r="WRI64" i="1"/>
  <c r="WRJ64" i="1"/>
  <c r="WRK64" i="1"/>
  <c r="WRL64" i="1"/>
  <c r="WRM64" i="1"/>
  <c r="WRN64" i="1"/>
  <c r="WRO64" i="1"/>
  <c r="WRP64" i="1"/>
  <c r="WRQ64" i="1"/>
  <c r="WRR64" i="1"/>
  <c r="WRS64" i="1"/>
  <c r="WRT64" i="1"/>
  <c r="WRU64" i="1"/>
  <c r="WRV64" i="1"/>
  <c r="WRW64" i="1"/>
  <c r="WRX64" i="1"/>
  <c r="WRY64" i="1"/>
  <c r="WRZ64" i="1"/>
  <c r="WSA64" i="1"/>
  <c r="WSB64" i="1"/>
  <c r="WSC64" i="1"/>
  <c r="WSD64" i="1"/>
  <c r="WSE64" i="1"/>
  <c r="WSF64" i="1"/>
  <c r="WSG64" i="1"/>
  <c r="WSH64" i="1"/>
  <c r="WSI64" i="1"/>
  <c r="WSJ64" i="1"/>
  <c r="WSK64" i="1"/>
  <c r="WSL64" i="1"/>
  <c r="WSM64" i="1"/>
  <c r="WSN64" i="1"/>
  <c r="WSO64" i="1"/>
  <c r="WSP64" i="1"/>
  <c r="WSQ64" i="1"/>
  <c r="WSR64" i="1"/>
  <c r="WSS64" i="1"/>
  <c r="WST64" i="1"/>
  <c r="WSU64" i="1"/>
  <c r="WSV64" i="1"/>
  <c r="WSW64" i="1"/>
  <c r="WSX64" i="1"/>
  <c r="WSY64" i="1"/>
  <c r="WSZ64" i="1"/>
  <c r="WTA64" i="1"/>
  <c r="WTB64" i="1"/>
  <c r="WTC64" i="1"/>
  <c r="WTD64" i="1"/>
  <c r="WTE64" i="1"/>
  <c r="WTF64" i="1"/>
  <c r="WTG64" i="1"/>
  <c r="WTH64" i="1"/>
  <c r="WTI64" i="1"/>
  <c r="WTJ64" i="1"/>
  <c r="WTK64" i="1"/>
  <c r="WTL64" i="1"/>
  <c r="WTM64" i="1"/>
  <c r="WTN64" i="1"/>
  <c r="WTO64" i="1"/>
  <c r="WTP64" i="1"/>
  <c r="WTQ64" i="1"/>
  <c r="WTR64" i="1"/>
  <c r="WTS64" i="1"/>
  <c r="WTT64" i="1"/>
  <c r="WTU64" i="1"/>
  <c r="WTV64" i="1"/>
  <c r="WTW64" i="1"/>
  <c r="WTX64" i="1"/>
  <c r="WTY64" i="1"/>
  <c r="WTZ64" i="1"/>
  <c r="WUA64" i="1"/>
  <c r="WUB64" i="1"/>
  <c r="WUC64" i="1"/>
  <c r="WUD64" i="1"/>
  <c r="WUE64" i="1"/>
  <c r="WUF64" i="1"/>
  <c r="WUG64" i="1"/>
  <c r="WUH64" i="1"/>
  <c r="WUI64" i="1"/>
  <c r="WUJ64" i="1"/>
  <c r="WUK64" i="1"/>
  <c r="WUL64" i="1"/>
  <c r="WUM64" i="1"/>
  <c r="WUN64" i="1"/>
  <c r="WUO64" i="1"/>
  <c r="WUP64" i="1"/>
  <c r="WUQ64" i="1"/>
  <c r="WUR64" i="1"/>
  <c r="WUS64" i="1"/>
  <c r="WUT64" i="1"/>
  <c r="WUU64" i="1"/>
  <c r="WUV64" i="1"/>
  <c r="WUW64" i="1"/>
  <c r="WUX64" i="1"/>
  <c r="WUY64" i="1"/>
  <c r="WUZ64" i="1"/>
  <c r="WVA64" i="1"/>
  <c r="WVB64" i="1"/>
  <c r="WVC64" i="1"/>
  <c r="WVD64" i="1"/>
  <c r="WVE64" i="1"/>
  <c r="WVF64" i="1"/>
  <c r="WVG64" i="1"/>
  <c r="WVH64" i="1"/>
  <c r="WVI64" i="1"/>
  <c r="WVJ64" i="1"/>
  <c r="WVK64" i="1"/>
  <c r="WVL64" i="1"/>
  <c r="WVM64" i="1"/>
  <c r="WVN64" i="1"/>
  <c r="WVO64" i="1"/>
  <c r="WVP64" i="1"/>
  <c r="WVQ64" i="1"/>
  <c r="WVR64" i="1"/>
  <c r="WVS64" i="1"/>
  <c r="WVT64" i="1"/>
  <c r="WVU64" i="1"/>
  <c r="WVV64" i="1"/>
  <c r="WVW64" i="1"/>
  <c r="WVX64" i="1"/>
  <c r="WVY64" i="1"/>
  <c r="WVZ64" i="1"/>
  <c r="WWA64" i="1"/>
  <c r="WWB64" i="1"/>
  <c r="WWC64" i="1"/>
  <c r="WWD64" i="1"/>
  <c r="WWE64" i="1"/>
  <c r="WWF64" i="1"/>
  <c r="WWG64" i="1"/>
  <c r="WWH64" i="1"/>
  <c r="WWI64" i="1"/>
  <c r="WWJ64" i="1"/>
  <c r="WWK64" i="1"/>
  <c r="WWL64" i="1"/>
  <c r="WWM64" i="1"/>
  <c r="WWN64" i="1"/>
  <c r="WWO64" i="1"/>
  <c r="WWP64" i="1"/>
  <c r="WWQ64" i="1"/>
  <c r="WWR64" i="1"/>
  <c r="WWS64" i="1"/>
  <c r="WWT64" i="1"/>
  <c r="WWU64" i="1"/>
  <c r="WWV64" i="1"/>
  <c r="WWW64" i="1"/>
  <c r="WWX64" i="1"/>
  <c r="WWY64" i="1"/>
  <c r="WWZ64" i="1"/>
  <c r="WXA64" i="1"/>
  <c r="WXB64" i="1"/>
  <c r="WXC64" i="1"/>
  <c r="WXD64" i="1"/>
  <c r="WXE64" i="1"/>
  <c r="WXF64" i="1"/>
  <c r="WXG64" i="1"/>
  <c r="WXH64" i="1"/>
  <c r="WXI64" i="1"/>
  <c r="WXJ64" i="1"/>
  <c r="WXK64" i="1"/>
  <c r="WXL64" i="1"/>
  <c r="WXM64" i="1"/>
  <c r="WXN64" i="1"/>
  <c r="WXO64" i="1"/>
  <c r="WXP64" i="1"/>
  <c r="WXQ64" i="1"/>
  <c r="WXR64" i="1"/>
  <c r="WXS64" i="1"/>
  <c r="WXT64" i="1"/>
  <c r="WXU64" i="1"/>
  <c r="WXV64" i="1"/>
  <c r="WXW64" i="1"/>
  <c r="WXX64" i="1"/>
  <c r="WXY64" i="1"/>
  <c r="WXZ64" i="1"/>
  <c r="WYA64" i="1"/>
  <c r="WYB64" i="1"/>
  <c r="WYC64" i="1"/>
  <c r="WYD64" i="1"/>
  <c r="WYE64" i="1"/>
  <c r="WYF64" i="1"/>
  <c r="WYG64" i="1"/>
  <c r="WYH64" i="1"/>
  <c r="WYI64" i="1"/>
  <c r="WYJ64" i="1"/>
  <c r="WYK64" i="1"/>
  <c r="WYL64" i="1"/>
  <c r="WYM64" i="1"/>
  <c r="WYN64" i="1"/>
  <c r="WYO64" i="1"/>
  <c r="WYP64" i="1"/>
  <c r="WYQ64" i="1"/>
  <c r="WYR64" i="1"/>
  <c r="WYS64" i="1"/>
  <c r="WYT64" i="1"/>
  <c r="WYU64" i="1"/>
  <c r="WYV64" i="1"/>
  <c r="WYW64" i="1"/>
  <c r="WYX64" i="1"/>
  <c r="WYY64" i="1"/>
  <c r="WYZ64" i="1"/>
  <c r="WZA64" i="1"/>
  <c r="WZB64" i="1"/>
  <c r="WZC64" i="1"/>
  <c r="WZD64" i="1"/>
  <c r="WZE64" i="1"/>
  <c r="WZF64" i="1"/>
  <c r="WZG64" i="1"/>
  <c r="WZH64" i="1"/>
  <c r="WZI64" i="1"/>
  <c r="WZJ64" i="1"/>
  <c r="WZK64" i="1"/>
  <c r="WZL64" i="1"/>
  <c r="WZM64" i="1"/>
  <c r="WZN64" i="1"/>
  <c r="WZO64" i="1"/>
  <c r="WZP64" i="1"/>
  <c r="WZQ64" i="1"/>
  <c r="WZR64" i="1"/>
  <c r="WZS64" i="1"/>
  <c r="WZT64" i="1"/>
  <c r="WZU64" i="1"/>
  <c r="WZV64" i="1"/>
  <c r="WZW64" i="1"/>
  <c r="WZX64" i="1"/>
  <c r="WZY64" i="1"/>
  <c r="WZZ64" i="1"/>
  <c r="XAA64" i="1"/>
  <c r="XAB64" i="1"/>
  <c r="XAC64" i="1"/>
  <c r="XAD64" i="1"/>
  <c r="XAE64" i="1"/>
  <c r="XAF64" i="1"/>
  <c r="XAG64" i="1"/>
  <c r="XAH64" i="1"/>
  <c r="XAI64" i="1"/>
  <c r="XAJ64" i="1"/>
  <c r="XAK64" i="1"/>
  <c r="XAL64" i="1"/>
  <c r="XAM64" i="1"/>
  <c r="XAN64" i="1"/>
  <c r="XAO64" i="1"/>
  <c r="XAP64" i="1"/>
  <c r="XAQ64" i="1"/>
  <c r="XAR64" i="1"/>
  <c r="XAS64" i="1"/>
  <c r="XAT64" i="1"/>
  <c r="XAU64" i="1"/>
  <c r="XAV64" i="1"/>
  <c r="XAW64" i="1"/>
  <c r="XAX64" i="1"/>
  <c r="XAY64" i="1"/>
  <c r="XAZ64" i="1"/>
  <c r="XBA64" i="1"/>
  <c r="XBB64" i="1"/>
  <c r="XBC64" i="1"/>
  <c r="XBD64" i="1"/>
  <c r="XBE64" i="1"/>
  <c r="XBF64" i="1"/>
  <c r="XBG64" i="1"/>
  <c r="XBH64" i="1"/>
  <c r="XBI64" i="1"/>
  <c r="XBJ64" i="1"/>
  <c r="XBK64" i="1"/>
  <c r="XBL64" i="1"/>
  <c r="XBM64" i="1"/>
  <c r="XBN64" i="1"/>
  <c r="XBO64" i="1"/>
  <c r="XBP64" i="1"/>
  <c r="XBQ64" i="1"/>
  <c r="XBR64" i="1"/>
  <c r="XBS64" i="1"/>
  <c r="XBT64" i="1"/>
  <c r="XBU64" i="1"/>
  <c r="XBV64" i="1"/>
  <c r="XBW64" i="1"/>
  <c r="XBX64" i="1"/>
  <c r="XBY64" i="1"/>
  <c r="XBZ64" i="1"/>
  <c r="XCA64" i="1"/>
  <c r="XCB64" i="1"/>
  <c r="XCC64" i="1"/>
  <c r="XCD64" i="1"/>
  <c r="XCE64" i="1"/>
  <c r="XCF64" i="1"/>
  <c r="XCG64" i="1"/>
  <c r="XCH64" i="1"/>
  <c r="XCI64" i="1"/>
  <c r="XCJ64" i="1"/>
  <c r="XCK64" i="1"/>
  <c r="XCL64" i="1"/>
  <c r="XCM64" i="1"/>
  <c r="XCN64" i="1"/>
  <c r="XCO64" i="1"/>
  <c r="XCP64" i="1"/>
  <c r="XCQ64" i="1"/>
  <c r="XCR64" i="1"/>
  <c r="XCS64" i="1"/>
  <c r="XCT64" i="1"/>
  <c r="XCU64" i="1"/>
  <c r="XCV64" i="1"/>
  <c r="XCW64" i="1"/>
  <c r="XCX64" i="1"/>
  <c r="XCY64" i="1"/>
  <c r="XCZ64" i="1"/>
  <c r="XDA64" i="1"/>
  <c r="XDB64" i="1"/>
  <c r="XDC64" i="1"/>
  <c r="XDD64" i="1"/>
  <c r="XDE64" i="1"/>
  <c r="XDF64" i="1"/>
  <c r="XDG64" i="1"/>
  <c r="XDH64" i="1"/>
  <c r="XDI64" i="1"/>
  <c r="XDJ64" i="1"/>
  <c r="XDK64" i="1"/>
  <c r="XDL64" i="1"/>
  <c r="XDM64" i="1"/>
  <c r="XDN64" i="1"/>
  <c r="XDO64" i="1"/>
  <c r="XDP64" i="1"/>
  <c r="XDQ64" i="1"/>
  <c r="XDR64" i="1"/>
  <c r="XDS64" i="1"/>
  <c r="XDT64" i="1"/>
  <c r="XDU64" i="1"/>
  <c r="XDV64" i="1"/>
  <c r="XDW64" i="1"/>
  <c r="XDX64" i="1"/>
  <c r="XDY64" i="1"/>
  <c r="XDZ64" i="1"/>
  <c r="XEA64" i="1"/>
  <c r="XEB64" i="1"/>
  <c r="XEC64" i="1"/>
  <c r="XED64" i="1"/>
  <c r="XEE64" i="1"/>
  <c r="XEF64" i="1"/>
  <c r="XEG64" i="1"/>
  <c r="XEH64" i="1"/>
  <c r="XEI64" i="1"/>
  <c r="XEJ64" i="1"/>
  <c r="XEK64" i="1"/>
  <c r="XEL64" i="1"/>
  <c r="XEM64" i="1"/>
  <c r="XEN64" i="1"/>
  <c r="XEO64" i="1"/>
  <c r="XEP64" i="1"/>
  <c r="XEQ64" i="1"/>
  <c r="XER64" i="1"/>
  <c r="XES64" i="1"/>
  <c r="XET64" i="1"/>
  <c r="XEU64" i="1"/>
  <c r="XEV64" i="1"/>
  <c r="XEW64" i="1"/>
  <c r="XEX64" i="1"/>
  <c r="XEY64" i="1"/>
  <c r="XEZ64" i="1"/>
  <c r="XFA64" i="1"/>
  <c r="XFB64" i="1"/>
  <c r="XFC64" i="1"/>
  <c r="XFD64" i="1"/>
  <c r="F64" i="1"/>
  <c r="U57" i="1"/>
  <c r="J57" i="1"/>
  <c r="I57" i="1"/>
  <c r="U56" i="1"/>
  <c r="J56" i="1"/>
  <c r="I56" i="1"/>
  <c r="U55" i="1"/>
  <c r="I55" i="1"/>
  <c r="G57" i="1"/>
  <c r="G56" i="1"/>
  <c r="G55" i="1"/>
  <c r="M55" i="1" s="1"/>
  <c r="R57" i="1"/>
  <c r="R56" i="1"/>
  <c r="R55" i="1"/>
  <c r="J51" i="1"/>
  <c r="O10" i="2" s="1"/>
  <c r="I52" i="1"/>
  <c r="I53" i="1" s="1"/>
  <c r="G51" i="1"/>
  <c r="H10" i="2" s="1"/>
  <c r="F52" i="1"/>
  <c r="F53" i="1" s="1"/>
  <c r="C10" i="2" s="1"/>
  <c r="G52" i="1"/>
  <c r="G53" i="1" s="1"/>
  <c r="J52" i="1"/>
  <c r="J53" i="1" s="1"/>
  <c r="K10" i="2" s="1"/>
  <c r="R52" i="1"/>
  <c r="U52" i="1"/>
  <c r="G64" i="1" l="1"/>
  <c r="U64" i="1"/>
  <c r="J64" i="1"/>
  <c r="S23" i="9"/>
  <c r="H60" i="1"/>
  <c r="R64" i="1"/>
  <c r="H64" i="1"/>
  <c r="I64" i="1"/>
  <c r="M63" i="1"/>
  <c r="N63" i="1" s="1"/>
  <c r="U23" i="9"/>
  <c r="K60" i="1"/>
  <c r="M60" i="1"/>
  <c r="M59" i="1"/>
  <c r="N59" i="1" s="1"/>
  <c r="K59" i="1"/>
  <c r="M61" i="1"/>
  <c r="M52" i="1"/>
  <c r="N52" i="1" s="1"/>
  <c r="K58" i="1"/>
  <c r="H59" i="1"/>
  <c r="M58" i="1"/>
  <c r="K56" i="1"/>
  <c r="M56" i="1"/>
  <c r="K57" i="1"/>
  <c r="K55" i="1"/>
  <c r="M57" i="1"/>
  <c r="S57" i="1" s="1"/>
  <c r="T57" i="1" s="1"/>
  <c r="H57" i="1"/>
  <c r="N55" i="1"/>
  <c r="S55" i="1"/>
  <c r="T55" i="1" s="1"/>
  <c r="H55" i="1"/>
  <c r="H56" i="1"/>
  <c r="H52" i="1"/>
  <c r="K52" i="1"/>
  <c r="M64" i="1" l="1"/>
  <c r="S63" i="1"/>
  <c r="T63" i="1" s="1"/>
  <c r="M53" i="1"/>
  <c r="R10" i="2" s="1"/>
  <c r="S10" i="2" s="1"/>
  <c r="S59" i="1"/>
  <c r="T59" i="1" s="1"/>
  <c r="K64" i="1"/>
  <c r="N56" i="1"/>
  <c r="N60" i="1"/>
  <c r="S60" i="1"/>
  <c r="T60" i="1" s="1"/>
  <c r="S61" i="1"/>
  <c r="T61" i="1" s="1"/>
  <c r="N61" i="1"/>
  <c r="S56" i="1"/>
  <c r="S52" i="1"/>
  <c r="S58" i="1"/>
  <c r="T58" i="1" s="1"/>
  <c r="N58" i="1"/>
  <c r="N57" i="1"/>
  <c r="S64" i="1" l="1"/>
  <c r="T56" i="1"/>
  <c r="T64" i="1" s="1"/>
  <c r="N64" i="1"/>
  <c r="S53" i="1"/>
  <c r="T52" i="1"/>
  <c r="J9" i="1" l="1"/>
  <c r="J4" i="1"/>
  <c r="J5" i="1"/>
  <c r="J6" i="1"/>
  <c r="J7" i="1"/>
  <c r="J8" i="1"/>
  <c r="J11" i="1" l="1"/>
  <c r="I31" i="1"/>
  <c r="F31" i="1"/>
  <c r="U10" i="9"/>
  <c r="U9" i="9"/>
  <c r="U8" i="9"/>
  <c r="U7" i="9"/>
  <c r="U6" i="9"/>
  <c r="U5" i="9"/>
  <c r="U4" i="9"/>
  <c r="S10" i="9"/>
  <c r="S9" i="9"/>
  <c r="S8" i="9"/>
  <c r="S7" i="9"/>
  <c r="S6" i="9"/>
  <c r="S5" i="9"/>
  <c r="S4" i="9"/>
  <c r="U11" i="9" l="1"/>
  <c r="S3" i="9"/>
  <c r="S11" i="9" s="1"/>
  <c r="L11" i="9"/>
  <c r="U33" i="1"/>
  <c r="I8" i="8"/>
  <c r="I7" i="8"/>
  <c r="I6" i="8"/>
  <c r="I5" i="8"/>
  <c r="I4" i="8"/>
  <c r="I3" i="8"/>
  <c r="I8" i="7"/>
  <c r="I7" i="7"/>
  <c r="I6" i="7"/>
  <c r="I5" i="7"/>
  <c r="I4" i="7"/>
  <c r="I3" i="7"/>
  <c r="I9" i="7" s="1"/>
  <c r="F3" i="7"/>
  <c r="I8" i="6"/>
  <c r="I7" i="6"/>
  <c r="I6" i="6"/>
  <c r="I5" i="6"/>
  <c r="I4" i="6"/>
  <c r="I3" i="6"/>
  <c r="F3" i="6"/>
  <c r="I8" i="5"/>
  <c r="I7" i="5"/>
  <c r="I6" i="5"/>
  <c r="I5" i="5"/>
  <c r="I4" i="5"/>
  <c r="I3" i="5"/>
  <c r="F3" i="5"/>
  <c r="T7" i="8"/>
  <c r="T6" i="8"/>
  <c r="T5" i="8"/>
  <c r="T4" i="8"/>
  <c r="T3" i="8"/>
  <c r="T7" i="7"/>
  <c r="T6" i="7"/>
  <c r="T5" i="7"/>
  <c r="T4" i="7"/>
  <c r="T3" i="7"/>
  <c r="T7" i="6"/>
  <c r="T6" i="6"/>
  <c r="T5" i="6"/>
  <c r="T4" i="6"/>
  <c r="T3" i="6"/>
  <c r="T7" i="5"/>
  <c r="T6" i="5"/>
  <c r="T5" i="5"/>
  <c r="T4" i="5"/>
  <c r="T3" i="5"/>
  <c r="T3" i="4"/>
  <c r="T7" i="4"/>
  <c r="T6" i="4"/>
  <c r="T5" i="4"/>
  <c r="T4" i="4"/>
  <c r="I8" i="4"/>
  <c r="I7" i="4"/>
  <c r="I6" i="4"/>
  <c r="I5" i="4"/>
  <c r="I3" i="4"/>
  <c r="I4" i="4"/>
  <c r="U51" i="1"/>
  <c r="U47" i="1"/>
  <c r="U46" i="1"/>
  <c r="U45" i="1"/>
  <c r="U44" i="1"/>
  <c r="U40" i="1"/>
  <c r="U39" i="1"/>
  <c r="U38" i="1"/>
  <c r="U37" i="1"/>
  <c r="U36" i="1"/>
  <c r="U35" i="1"/>
  <c r="U34" i="1"/>
  <c r="U32" i="1"/>
  <c r="U31" i="1"/>
  <c r="U30" i="1"/>
  <c r="U26" i="1"/>
  <c r="U25" i="1"/>
  <c r="U24" i="1"/>
  <c r="U23" i="1"/>
  <c r="U19" i="1"/>
  <c r="U18" i="1"/>
  <c r="U17" i="1"/>
  <c r="U16" i="1"/>
  <c r="U15" i="1"/>
  <c r="U14" i="1"/>
  <c r="U9" i="1"/>
  <c r="U8" i="1"/>
  <c r="U7" i="1"/>
  <c r="U6" i="1"/>
  <c r="U4" i="1"/>
  <c r="U5" i="1"/>
  <c r="O40" i="1"/>
  <c r="Q40" i="1" s="1"/>
  <c r="G40" i="1"/>
  <c r="F40" i="1"/>
  <c r="J40" i="1"/>
  <c r="I40" i="1"/>
  <c r="J31" i="1"/>
  <c r="I9" i="8" l="1"/>
  <c r="U11" i="1"/>
  <c r="U48" i="1"/>
  <c r="U20" i="1"/>
  <c r="U27" i="1"/>
  <c r="U41" i="1"/>
  <c r="T9" i="8"/>
  <c r="I9" i="6"/>
  <c r="I9" i="4"/>
  <c r="I9" i="5"/>
  <c r="K40" i="1"/>
  <c r="R40" i="1"/>
  <c r="M40" i="1"/>
  <c r="N40" i="1" s="1"/>
  <c r="H40" i="1"/>
  <c r="S40" i="1" l="1"/>
  <c r="T40" i="1" s="1"/>
  <c r="G31" i="1" l="1"/>
  <c r="M31" i="1" s="1"/>
  <c r="O12" i="2"/>
  <c r="J47" i="1"/>
  <c r="J46" i="1"/>
  <c r="J45" i="1"/>
  <c r="J44" i="1"/>
  <c r="J39" i="1"/>
  <c r="J38" i="1"/>
  <c r="J37" i="1"/>
  <c r="J36" i="1"/>
  <c r="J35" i="1"/>
  <c r="J34" i="1"/>
  <c r="J33" i="1"/>
  <c r="J32" i="1"/>
  <c r="J30" i="1"/>
  <c r="G32" i="1"/>
  <c r="J26" i="1"/>
  <c r="J25" i="1"/>
  <c r="J24" i="1"/>
  <c r="J23" i="1"/>
  <c r="J19" i="1"/>
  <c r="J18" i="1"/>
  <c r="J17" i="1"/>
  <c r="J16" i="1"/>
  <c r="J15" i="1"/>
  <c r="J14" i="1"/>
  <c r="L8" i="8"/>
  <c r="R8" i="8" s="1"/>
  <c r="S8" i="8" s="1"/>
  <c r="F7" i="8"/>
  <c r="L7" i="8" s="1"/>
  <c r="R7" i="8" s="1"/>
  <c r="S7" i="8" s="1"/>
  <c r="F6" i="8"/>
  <c r="L6" i="8" s="1"/>
  <c r="R6" i="8" s="1"/>
  <c r="S6" i="8" s="1"/>
  <c r="F5" i="8"/>
  <c r="L5" i="8" s="1"/>
  <c r="R5" i="8" s="1"/>
  <c r="S5" i="8" s="1"/>
  <c r="F4" i="8"/>
  <c r="L4" i="8" s="1"/>
  <c r="R4" i="8" s="1"/>
  <c r="S4" i="8" s="1"/>
  <c r="F3" i="8"/>
  <c r="Q9" i="8"/>
  <c r="Q9" i="5"/>
  <c r="Q9" i="6"/>
  <c r="Q9" i="7"/>
  <c r="L8" i="7"/>
  <c r="R8" i="7" s="1"/>
  <c r="S8" i="7" s="1"/>
  <c r="F7" i="7"/>
  <c r="L7" i="7" s="1"/>
  <c r="R7" i="7" s="1"/>
  <c r="S7" i="7" s="1"/>
  <c r="F6" i="7"/>
  <c r="L6" i="7" s="1"/>
  <c r="R6" i="7" s="1"/>
  <c r="S6" i="7" s="1"/>
  <c r="F5" i="7"/>
  <c r="L5" i="7" s="1"/>
  <c r="R5" i="7" s="1"/>
  <c r="S5" i="7" s="1"/>
  <c r="F4" i="7"/>
  <c r="L4" i="7" s="1"/>
  <c r="R4" i="7" s="1"/>
  <c r="S4" i="7" s="1"/>
  <c r="L8" i="6"/>
  <c r="R8" i="6" s="1"/>
  <c r="S8" i="6" s="1"/>
  <c r="F7" i="6"/>
  <c r="L7" i="6" s="1"/>
  <c r="R7" i="6" s="1"/>
  <c r="S7" i="6" s="1"/>
  <c r="F6" i="6"/>
  <c r="L6" i="6" s="1"/>
  <c r="R6" i="6" s="1"/>
  <c r="S6" i="6" s="1"/>
  <c r="F5" i="6"/>
  <c r="L5" i="6" s="1"/>
  <c r="R5" i="6" s="1"/>
  <c r="S5" i="6" s="1"/>
  <c r="F4" i="6"/>
  <c r="L4" i="6" s="1"/>
  <c r="R4" i="6" s="1"/>
  <c r="S4" i="6" s="1"/>
  <c r="J9" i="5"/>
  <c r="J8" i="5"/>
  <c r="G8" i="5"/>
  <c r="J7" i="5"/>
  <c r="F7" i="5"/>
  <c r="G7" i="5" s="1"/>
  <c r="J6" i="5"/>
  <c r="F6" i="5"/>
  <c r="G6" i="5" s="1"/>
  <c r="J5" i="5"/>
  <c r="F5" i="5"/>
  <c r="G5" i="5" s="1"/>
  <c r="J4" i="5"/>
  <c r="F4" i="5"/>
  <c r="G4" i="5" s="1"/>
  <c r="J3" i="5"/>
  <c r="Q9" i="4"/>
  <c r="J9" i="4"/>
  <c r="J8" i="4"/>
  <c r="G8" i="4"/>
  <c r="J7" i="4"/>
  <c r="F7" i="4"/>
  <c r="L7" i="4" s="1"/>
  <c r="M7" i="4" s="1"/>
  <c r="J6" i="4"/>
  <c r="F6" i="4"/>
  <c r="L6" i="4" s="1"/>
  <c r="M6" i="4" s="1"/>
  <c r="J5" i="4"/>
  <c r="F5" i="4"/>
  <c r="L5" i="4" s="1"/>
  <c r="M5" i="4" s="1"/>
  <c r="J4" i="4"/>
  <c r="F4" i="4"/>
  <c r="G4" i="4" s="1"/>
  <c r="T9" i="4"/>
  <c r="J3" i="4"/>
  <c r="F3" i="4"/>
  <c r="P53" i="1"/>
  <c r="L12" i="2"/>
  <c r="Y12" i="2"/>
  <c r="Z12" i="2"/>
  <c r="AB12" i="2"/>
  <c r="AC12" i="2"/>
  <c r="AD12" i="2"/>
  <c r="J27" i="1" l="1"/>
  <c r="J41" i="1"/>
  <c r="M32" i="1"/>
  <c r="L4" i="4"/>
  <c r="M4" i="4" s="1"/>
  <c r="L8" i="4"/>
  <c r="M8" i="4" s="1"/>
  <c r="L7" i="5"/>
  <c r="R7" i="5" s="1"/>
  <c r="S7" i="5" s="1"/>
  <c r="F9" i="4"/>
  <c r="G9" i="4" s="1"/>
  <c r="F9" i="7"/>
  <c r="G5" i="4"/>
  <c r="G6" i="4"/>
  <c r="F9" i="5"/>
  <c r="G9" i="5" s="1"/>
  <c r="F9" i="6"/>
  <c r="T9" i="5"/>
  <c r="L6" i="5"/>
  <c r="M6" i="5" s="1"/>
  <c r="T9" i="6"/>
  <c r="L3" i="5"/>
  <c r="T9" i="7"/>
  <c r="G3" i="4"/>
  <c r="G7" i="4"/>
  <c r="L5" i="5"/>
  <c r="R5" i="5" s="1"/>
  <c r="S5" i="5" s="1"/>
  <c r="L4" i="5"/>
  <c r="R4" i="5" s="1"/>
  <c r="S4" i="5" s="1"/>
  <c r="L8" i="5"/>
  <c r="L3" i="4"/>
  <c r="M3" i="4" s="1"/>
  <c r="F9" i="8"/>
  <c r="L3" i="8"/>
  <c r="L3" i="7"/>
  <c r="R3" i="7" s="1"/>
  <c r="S3" i="7" s="1"/>
  <c r="L3" i="6"/>
  <c r="R3" i="6" s="1"/>
  <c r="G3" i="5"/>
  <c r="R5" i="4"/>
  <c r="S5" i="4" s="1"/>
  <c r="R6" i="4"/>
  <c r="S6" i="4" s="1"/>
  <c r="R7" i="4"/>
  <c r="S7" i="4" s="1"/>
  <c r="L9" i="5" l="1"/>
  <c r="M9" i="5" s="1"/>
  <c r="M4" i="5"/>
  <c r="R4" i="4"/>
  <c r="S4" i="4" s="1"/>
  <c r="R8" i="4"/>
  <c r="S8" i="4" s="1"/>
  <c r="M7" i="5"/>
  <c r="R6" i="5"/>
  <c r="S6" i="5" s="1"/>
  <c r="R3" i="5"/>
  <c r="M3" i="5"/>
  <c r="S3" i="6"/>
  <c r="R9" i="6"/>
  <c r="S9" i="6" s="1"/>
  <c r="L9" i="4"/>
  <c r="M9" i="4" s="1"/>
  <c r="M5" i="5"/>
  <c r="M8" i="5"/>
  <c r="R8" i="5"/>
  <c r="S8" i="5" s="1"/>
  <c r="R3" i="4"/>
  <c r="R9" i="7"/>
  <c r="S9" i="7" s="1"/>
  <c r="L9" i="8"/>
  <c r="R3" i="8"/>
  <c r="L9" i="7"/>
  <c r="L9" i="6"/>
  <c r="R9" i="4" l="1"/>
  <c r="S9" i="4" s="1"/>
  <c r="S3" i="4"/>
  <c r="S3" i="5"/>
  <c r="R9" i="5"/>
  <c r="S9" i="5" s="1"/>
  <c r="S3" i="8"/>
  <c r="R9" i="8"/>
  <c r="S9" i="8" s="1"/>
  <c r="U53" i="1" l="1"/>
  <c r="W10" i="2" s="1"/>
  <c r="AK10" i="2" s="1"/>
  <c r="O51" i="1"/>
  <c r="O53" i="1" s="1"/>
  <c r="AA10" i="2" s="1"/>
  <c r="AA12" i="2" s="1"/>
  <c r="L51" i="1"/>
  <c r="R51" i="1" l="1"/>
  <c r="R53" i="1" s="1"/>
  <c r="AE10" i="2" s="1"/>
  <c r="AH12" i="2" s="1"/>
  <c r="T12" i="2"/>
  <c r="P48" i="1"/>
  <c r="J48" i="1"/>
  <c r="K9" i="2" s="1"/>
  <c r="O46" i="1"/>
  <c r="Q46" i="1" s="1"/>
  <c r="L46" i="1"/>
  <c r="D10" i="2" l="1"/>
  <c r="E10" i="2" s="1"/>
  <c r="M51" i="1"/>
  <c r="W9" i="2"/>
  <c r="AK9" i="2" s="1"/>
  <c r="R46" i="1"/>
  <c r="O45" i="1"/>
  <c r="Q45" i="1" s="1"/>
  <c r="L45" i="1"/>
  <c r="S51" i="1" l="1"/>
  <c r="T51" i="1" s="1"/>
  <c r="N51" i="1"/>
  <c r="U12" i="2"/>
  <c r="V12" i="2"/>
  <c r="H12" i="2"/>
  <c r="R45" i="1"/>
  <c r="O47" i="1"/>
  <c r="L47" i="1"/>
  <c r="AF10" i="2" l="1"/>
  <c r="AI12" i="2" s="1"/>
  <c r="R47" i="1"/>
  <c r="Q47" i="1"/>
  <c r="L44" i="1"/>
  <c r="O44" i="1"/>
  <c r="Q44" i="1" l="1"/>
  <c r="O48" i="1"/>
  <c r="X9" i="2" s="1"/>
  <c r="R44" i="1"/>
  <c r="L48" i="1"/>
  <c r="Q9" i="2" s="1"/>
  <c r="G47" i="1"/>
  <c r="M47" i="1" s="1"/>
  <c r="G46" i="1"/>
  <c r="M46" i="1" s="1"/>
  <c r="G45" i="1"/>
  <c r="M45" i="1" s="1"/>
  <c r="G44" i="1"/>
  <c r="P41" i="1"/>
  <c r="K8" i="2"/>
  <c r="S32" i="1"/>
  <c r="S31" i="1"/>
  <c r="O33" i="1"/>
  <c r="Q33" i="1" s="1"/>
  <c r="L33" i="1"/>
  <c r="O36" i="1"/>
  <c r="Q36" i="1" s="1"/>
  <c r="L36" i="1"/>
  <c r="M44" i="1" l="1"/>
  <c r="N44" i="1" s="1"/>
  <c r="G48" i="1"/>
  <c r="D9" i="2" s="1"/>
  <c r="W8" i="2"/>
  <c r="AK8" i="2" s="1"/>
  <c r="S47" i="1"/>
  <c r="T47" i="1" s="1"/>
  <c r="N47" i="1"/>
  <c r="R33" i="1"/>
  <c r="S46" i="1"/>
  <c r="T46" i="1" s="1"/>
  <c r="N46" i="1"/>
  <c r="S45" i="1"/>
  <c r="T45" i="1" s="1"/>
  <c r="N45" i="1"/>
  <c r="R36" i="1"/>
  <c r="R48" i="1"/>
  <c r="AE9" i="2" s="1"/>
  <c r="Q48" i="1"/>
  <c r="Q53" i="1"/>
  <c r="N53" i="1"/>
  <c r="O39" i="1"/>
  <c r="Q39" i="1" s="1"/>
  <c r="L39" i="1"/>
  <c r="S44" i="1" l="1"/>
  <c r="T44" i="1" s="1"/>
  <c r="M48" i="1"/>
  <c r="R9" i="2" s="1"/>
  <c r="S9" i="2" s="1"/>
  <c r="R39" i="1"/>
  <c r="T53" i="1"/>
  <c r="AG10" i="2" s="1"/>
  <c r="AJ12" i="2" s="1"/>
  <c r="I39" i="1"/>
  <c r="K39" i="1" s="1"/>
  <c r="F39" i="1"/>
  <c r="G39" i="1"/>
  <c r="M39" i="1" s="1"/>
  <c r="S39" i="1" s="1"/>
  <c r="S48" i="1" l="1"/>
  <c r="AF9" i="2" s="1"/>
  <c r="AG9" i="2" s="1"/>
  <c r="N48" i="1"/>
  <c r="N39" i="1"/>
  <c r="T39" i="1"/>
  <c r="H39" i="1"/>
  <c r="O38" i="1"/>
  <c r="Q38" i="1" s="1"/>
  <c r="L38" i="1"/>
  <c r="T48" i="1" l="1"/>
  <c r="R38" i="1"/>
  <c r="O31" i="1"/>
  <c r="Q31" i="1" s="1"/>
  <c r="L31" i="1"/>
  <c r="R31" i="1" l="1"/>
  <c r="T31" i="1" s="1"/>
  <c r="N31" i="1"/>
  <c r="O35" i="1"/>
  <c r="Q35" i="1" s="1"/>
  <c r="L35" i="1"/>
  <c r="R35" i="1" l="1"/>
  <c r="O37" i="1"/>
  <c r="Q37" i="1" s="1"/>
  <c r="L37" i="1"/>
  <c r="R37" i="1" l="1"/>
  <c r="O32" i="1"/>
  <c r="Q32" i="1" s="1"/>
  <c r="L32" i="1"/>
  <c r="O34" i="1"/>
  <c r="L34" i="1"/>
  <c r="N32" i="1" l="1"/>
  <c r="R32" i="1"/>
  <c r="T32" i="1" s="1"/>
  <c r="R34" i="1"/>
  <c r="L41" i="1"/>
  <c r="Q34" i="1"/>
  <c r="O41" i="1"/>
  <c r="O30" i="1"/>
  <c r="Q30" i="1" s="1"/>
  <c r="L30" i="1"/>
  <c r="Q8" i="2" l="1"/>
  <c r="Q41" i="1"/>
  <c r="X8" i="2"/>
  <c r="R41" i="1"/>
  <c r="R30" i="1"/>
  <c r="K36" i="1"/>
  <c r="K31" i="1"/>
  <c r="G38" i="1"/>
  <c r="M38" i="1" s="1"/>
  <c r="G37" i="1"/>
  <c r="M37" i="1" s="1"/>
  <c r="G36" i="1"/>
  <c r="G35" i="1"/>
  <c r="M35" i="1" s="1"/>
  <c r="G34" i="1"/>
  <c r="M34" i="1" s="1"/>
  <c r="G33" i="1"/>
  <c r="M33" i="1" s="1"/>
  <c r="H31" i="1"/>
  <c r="G30" i="1"/>
  <c r="I51" i="1"/>
  <c r="N10" i="2" s="1"/>
  <c r="F51" i="1"/>
  <c r="G10" i="2" s="1"/>
  <c r="I47" i="1"/>
  <c r="K47" i="1" s="1"/>
  <c r="I46" i="1"/>
  <c r="K46" i="1" s="1"/>
  <c r="I45" i="1"/>
  <c r="K45" i="1" s="1"/>
  <c r="I44" i="1"/>
  <c r="F46" i="1"/>
  <c r="H46" i="1" s="1"/>
  <c r="F47" i="1"/>
  <c r="H47" i="1" s="1"/>
  <c r="F45" i="1"/>
  <c r="H45" i="1" s="1"/>
  <c r="F44" i="1"/>
  <c r="I38" i="1"/>
  <c r="K38" i="1" s="1"/>
  <c r="I30" i="1"/>
  <c r="K30" i="1" s="1"/>
  <c r="I37" i="1"/>
  <c r="K37" i="1" s="1"/>
  <c r="I33" i="1"/>
  <c r="K33" i="1" s="1"/>
  <c r="I32" i="1"/>
  <c r="K32" i="1" s="1"/>
  <c r="I35" i="1"/>
  <c r="K35" i="1" s="1"/>
  <c r="I34" i="1"/>
  <c r="F32" i="1"/>
  <c r="H32" i="1" s="1"/>
  <c r="F38" i="1"/>
  <c r="F30" i="1"/>
  <c r="F37" i="1"/>
  <c r="F33" i="1"/>
  <c r="F35" i="1"/>
  <c r="F34" i="1"/>
  <c r="P27" i="1"/>
  <c r="K7" i="2"/>
  <c r="O26" i="1"/>
  <c r="Q26" i="1" s="1"/>
  <c r="L26" i="1"/>
  <c r="G41" i="1" l="1"/>
  <c r="M30" i="1"/>
  <c r="N30" i="1" s="1"/>
  <c r="S34" i="1"/>
  <c r="N34" i="1"/>
  <c r="S38" i="1"/>
  <c r="T38" i="1" s="1"/>
  <c r="N38" i="1"/>
  <c r="S33" i="1"/>
  <c r="T33" i="1" s="1"/>
  <c r="N33" i="1"/>
  <c r="S35" i="1"/>
  <c r="T35" i="1" s="1"/>
  <c r="N35" i="1"/>
  <c r="S37" i="1"/>
  <c r="T37" i="1" s="1"/>
  <c r="N37" i="1"/>
  <c r="H36" i="1"/>
  <c r="M36" i="1"/>
  <c r="W7" i="2"/>
  <c r="AK7" i="2" s="1"/>
  <c r="R26" i="1"/>
  <c r="K51" i="1"/>
  <c r="H51" i="1"/>
  <c r="AE8" i="2"/>
  <c r="H37" i="1"/>
  <c r="F41" i="1"/>
  <c r="C8" i="2" s="1"/>
  <c r="H30" i="1"/>
  <c r="H34" i="1"/>
  <c r="H38" i="1"/>
  <c r="F48" i="1"/>
  <c r="C9" i="2" s="1"/>
  <c r="E9" i="2" s="1"/>
  <c r="H44" i="1"/>
  <c r="I48" i="1"/>
  <c r="J9" i="2" s="1"/>
  <c r="K44" i="1"/>
  <c r="K34" i="1"/>
  <c r="I41" i="1"/>
  <c r="H33" i="1"/>
  <c r="H35" i="1"/>
  <c r="O25" i="1"/>
  <c r="Q25" i="1" s="1"/>
  <c r="L25" i="1"/>
  <c r="R25" i="1" l="1"/>
  <c r="S30" i="1"/>
  <c r="M41" i="1"/>
  <c r="S36" i="1"/>
  <c r="T36" i="1" s="1"/>
  <c r="N36" i="1"/>
  <c r="T34" i="1"/>
  <c r="H41" i="1"/>
  <c r="D8" i="2"/>
  <c r="E8" i="2" s="1"/>
  <c r="K41" i="1"/>
  <c r="J8" i="2"/>
  <c r="H53" i="1"/>
  <c r="H48" i="1"/>
  <c r="K48" i="1"/>
  <c r="O24" i="1"/>
  <c r="Q24" i="1" s="1"/>
  <c r="L24" i="1"/>
  <c r="S41" i="1" l="1"/>
  <c r="T41" i="1" s="1"/>
  <c r="T30" i="1"/>
  <c r="R8" i="2"/>
  <c r="S8" i="2" s="1"/>
  <c r="N41" i="1"/>
  <c r="G12" i="2"/>
  <c r="I12" i="2" s="1"/>
  <c r="I10" i="2"/>
  <c r="R24" i="1"/>
  <c r="O23" i="1"/>
  <c r="L23" i="1"/>
  <c r="AF8" i="2" l="1"/>
  <c r="AG8" i="2" s="1"/>
  <c r="R23" i="1"/>
  <c r="L27" i="1"/>
  <c r="O27" i="1"/>
  <c r="Q23" i="1"/>
  <c r="K26" i="1"/>
  <c r="I25" i="1"/>
  <c r="K25" i="1" s="1"/>
  <c r="I24" i="1"/>
  <c r="K24" i="1" s="1"/>
  <c r="I23" i="1"/>
  <c r="G26" i="1"/>
  <c r="G25" i="1"/>
  <c r="M25" i="1" s="1"/>
  <c r="G24" i="1"/>
  <c r="M24" i="1" s="1"/>
  <c r="G23" i="1"/>
  <c r="F25" i="1"/>
  <c r="F24" i="1"/>
  <c r="F23" i="1"/>
  <c r="P20" i="1"/>
  <c r="J20" i="1"/>
  <c r="O16" i="1"/>
  <c r="Q16" i="1" s="1"/>
  <c r="L16" i="1"/>
  <c r="J66" i="1" l="1"/>
  <c r="G27" i="1"/>
  <c r="D7" i="2" s="1"/>
  <c r="K6" i="2"/>
  <c r="M23" i="1"/>
  <c r="S23" i="1" s="1"/>
  <c r="S25" i="1"/>
  <c r="T25" i="1" s="1"/>
  <c r="N25" i="1"/>
  <c r="H26" i="1"/>
  <c r="M26" i="1"/>
  <c r="S24" i="1"/>
  <c r="T24" i="1" s="1"/>
  <c r="N24" i="1"/>
  <c r="H23" i="1"/>
  <c r="Q27" i="1"/>
  <c r="X7" i="2"/>
  <c r="Q7" i="2"/>
  <c r="W6" i="2"/>
  <c r="AK6" i="2" s="1"/>
  <c r="H24" i="1"/>
  <c r="I27" i="1"/>
  <c r="H25" i="1"/>
  <c r="R16" i="1"/>
  <c r="F27" i="1"/>
  <c r="C7" i="2" s="1"/>
  <c r="K23" i="1"/>
  <c r="R27" i="1"/>
  <c r="O15" i="1"/>
  <c r="Q15" i="1" s="1"/>
  <c r="T23" i="1" l="1"/>
  <c r="S27" i="1"/>
  <c r="N23" i="1"/>
  <c r="M27" i="1"/>
  <c r="R7" i="2" s="1"/>
  <c r="S7" i="2" s="1"/>
  <c r="S26" i="1"/>
  <c r="T26" i="1" s="1"/>
  <c r="N26" i="1"/>
  <c r="K27" i="1"/>
  <c r="J7" i="2"/>
  <c r="AE7" i="2"/>
  <c r="E7" i="2"/>
  <c r="H27" i="1"/>
  <c r="O14" i="1"/>
  <c r="N27" i="1" l="1"/>
  <c r="AF7" i="2"/>
  <c r="AG7" i="2" s="1"/>
  <c r="T27" i="1"/>
  <c r="Q14" i="1"/>
  <c r="L15" i="1"/>
  <c r="R15" i="1" l="1"/>
  <c r="L14" i="1"/>
  <c r="R14" i="1" l="1"/>
  <c r="G19" i="1"/>
  <c r="M19" i="1" s="1"/>
  <c r="S19" i="1" s="1"/>
  <c r="G18" i="1"/>
  <c r="M18" i="1" s="1"/>
  <c r="S18" i="1" s="1"/>
  <c r="G17" i="1"/>
  <c r="M17" i="1" s="1"/>
  <c r="S17" i="1" s="1"/>
  <c r="G16" i="1"/>
  <c r="M16" i="1" s="1"/>
  <c r="G15" i="1"/>
  <c r="M15" i="1" s="1"/>
  <c r="G14" i="1"/>
  <c r="I19" i="1"/>
  <c r="K19" i="1" s="1"/>
  <c r="L19" i="1" s="1"/>
  <c r="I18" i="1"/>
  <c r="K18" i="1" s="1"/>
  <c r="L18" i="1" s="1"/>
  <c r="I17" i="1"/>
  <c r="K17" i="1" s="1"/>
  <c r="L17" i="1" s="1"/>
  <c r="I16" i="1"/>
  <c r="K16" i="1" s="1"/>
  <c r="I15" i="1"/>
  <c r="K15" i="1" s="1"/>
  <c r="I14" i="1"/>
  <c r="K14" i="1" s="1"/>
  <c r="F19" i="1"/>
  <c r="F18" i="1"/>
  <c r="F17" i="1"/>
  <c r="F16" i="1"/>
  <c r="F15" i="1"/>
  <c r="F14" i="1"/>
  <c r="M14" i="1" l="1"/>
  <c r="N14" i="1" s="1"/>
  <c r="G20" i="1"/>
  <c r="D6" i="2" s="1"/>
  <c r="S15" i="1"/>
  <c r="T15" i="1" s="1"/>
  <c r="N15" i="1"/>
  <c r="S16" i="1"/>
  <c r="T16" i="1" s="1"/>
  <c r="N16" i="1"/>
  <c r="H17" i="1"/>
  <c r="H16" i="1"/>
  <c r="F20" i="1"/>
  <c r="C6" i="2" s="1"/>
  <c r="H18" i="1"/>
  <c r="H15" i="1"/>
  <c r="H19" i="1"/>
  <c r="N17" i="1"/>
  <c r="O17" i="1" s="1"/>
  <c r="L20" i="1"/>
  <c r="I20" i="1"/>
  <c r="H14" i="1"/>
  <c r="N19" i="1"/>
  <c r="O19" i="1" s="1"/>
  <c r="Q19" i="1" s="1"/>
  <c r="N18" i="1"/>
  <c r="O18" i="1" s="1"/>
  <c r="Q18" i="1" s="1"/>
  <c r="P11" i="1"/>
  <c r="P65" i="1" s="1"/>
  <c r="O9" i="1"/>
  <c r="Q9" i="1" s="1"/>
  <c r="L9" i="1"/>
  <c r="M20" i="1" l="1"/>
  <c r="R6" i="2" s="1"/>
  <c r="S14" i="1"/>
  <c r="T14" i="1" s="1"/>
  <c r="K5" i="2"/>
  <c r="K12" i="2" s="1"/>
  <c r="E6" i="2"/>
  <c r="K20" i="1"/>
  <c r="J6" i="2"/>
  <c r="H20" i="1"/>
  <c r="Q6" i="2"/>
  <c r="U65" i="1"/>
  <c r="R9" i="1"/>
  <c r="R18" i="1"/>
  <c r="T18" i="1" s="1"/>
  <c r="R19" i="1"/>
  <c r="T19" i="1" s="1"/>
  <c r="Q17" i="1"/>
  <c r="O20" i="1"/>
  <c r="R17" i="1"/>
  <c r="O8" i="1"/>
  <c r="Q8" i="1" s="1"/>
  <c r="L8" i="1"/>
  <c r="N20" i="1" l="1"/>
  <c r="S20" i="1"/>
  <c r="AF6" i="2" s="1"/>
  <c r="W5" i="2"/>
  <c r="Q20" i="1"/>
  <c r="X6" i="2"/>
  <c r="S6" i="2"/>
  <c r="T17" i="1"/>
  <c r="R20" i="1"/>
  <c r="R8" i="1"/>
  <c r="O7" i="1"/>
  <c r="Q7" i="1" s="1"/>
  <c r="L7" i="1"/>
  <c r="AK5" i="2" l="1"/>
  <c r="AK12" i="2" s="1"/>
  <c r="W12" i="2"/>
  <c r="T20" i="1"/>
  <c r="AE6" i="2"/>
  <c r="R7" i="1"/>
  <c r="O6" i="1"/>
  <c r="Q6" i="1" s="1"/>
  <c r="L6" i="1"/>
  <c r="AG6" i="2" l="1"/>
  <c r="R6" i="1"/>
  <c r="O5" i="1"/>
  <c r="Q5" i="1" s="1"/>
  <c r="L5" i="1"/>
  <c r="R5" i="1" l="1"/>
  <c r="O4" i="1"/>
  <c r="L4" i="1"/>
  <c r="L11" i="1" l="1"/>
  <c r="L65" i="1" s="1"/>
  <c r="R4" i="1"/>
  <c r="Q4" i="1"/>
  <c r="O11" i="1"/>
  <c r="O65" i="1" s="1"/>
  <c r="I9" i="1"/>
  <c r="K9" i="1" s="1"/>
  <c r="I8" i="1"/>
  <c r="I6" i="1"/>
  <c r="K6" i="1" s="1"/>
  <c r="I5" i="1"/>
  <c r="K5" i="1" s="1"/>
  <c r="I4" i="1"/>
  <c r="K4" i="1" s="1"/>
  <c r="F9" i="1"/>
  <c r="F8" i="1"/>
  <c r="F6" i="1"/>
  <c r="F5" i="1"/>
  <c r="F4" i="1"/>
  <c r="G9" i="1"/>
  <c r="M9" i="1" s="1"/>
  <c r="G8" i="1"/>
  <c r="M8" i="1" s="1"/>
  <c r="G6" i="1"/>
  <c r="G5" i="1"/>
  <c r="M5" i="1" l="1"/>
  <c r="S5" i="1" s="1"/>
  <c r="T5" i="1" s="1"/>
  <c r="G11" i="1"/>
  <c r="H4" i="1"/>
  <c r="M4" i="1"/>
  <c r="H6" i="1"/>
  <c r="M6" i="1"/>
  <c r="S8" i="1"/>
  <c r="T8" i="1" s="1"/>
  <c r="N8" i="1"/>
  <c r="S9" i="1"/>
  <c r="T9" i="1" s="1"/>
  <c r="N9" i="1"/>
  <c r="G7" i="1"/>
  <c r="M7" i="1" s="1"/>
  <c r="Q11" i="1"/>
  <c r="Q65" i="1" s="1"/>
  <c r="X5" i="2"/>
  <c r="X12" i="2" s="1"/>
  <c r="Q5" i="2"/>
  <c r="H5" i="1"/>
  <c r="H9" i="1"/>
  <c r="H8" i="1"/>
  <c r="F7" i="1"/>
  <c r="F11" i="1" s="1"/>
  <c r="F65" i="1" s="1"/>
  <c r="I7" i="1"/>
  <c r="K8" i="1"/>
  <c r="R11" i="1"/>
  <c r="M11" i="1" l="1"/>
  <c r="M65" i="1" s="1"/>
  <c r="G65" i="1"/>
  <c r="H65" i="1" s="1"/>
  <c r="G66" i="1"/>
  <c r="N5" i="1"/>
  <c r="S7" i="1"/>
  <c r="T7" i="1" s="1"/>
  <c r="N7" i="1"/>
  <c r="S4" i="1"/>
  <c r="N4" i="1"/>
  <c r="S6" i="1"/>
  <c r="T6" i="1" s="1"/>
  <c r="N6" i="1"/>
  <c r="H7" i="1"/>
  <c r="C5" i="2"/>
  <c r="C12" i="2" s="1"/>
  <c r="AE5" i="2"/>
  <c r="D5" i="2"/>
  <c r="Q12" i="2"/>
  <c r="H11" i="1"/>
  <c r="I11" i="1"/>
  <c r="I65" i="1" s="1"/>
  <c r="K7" i="1"/>
  <c r="S11" i="1" l="1"/>
  <c r="S65" i="1" s="1"/>
  <c r="S66" i="1"/>
  <c r="N65" i="1"/>
  <c r="M66" i="1"/>
  <c r="T4" i="1"/>
  <c r="R5" i="2"/>
  <c r="R12" i="2" s="1"/>
  <c r="N11" i="1"/>
  <c r="K11" i="1"/>
  <c r="J5" i="2"/>
  <c r="D12" i="2"/>
  <c r="E12" i="2" s="1"/>
  <c r="E5" i="2"/>
  <c r="AE12" i="2"/>
  <c r="T65" i="1" l="1"/>
  <c r="S12" i="2"/>
  <c r="S5" i="2"/>
  <c r="AF5" i="2"/>
  <c r="T11" i="1"/>
  <c r="AF12" i="2" l="1"/>
  <c r="AG5" i="2"/>
  <c r="AG12" i="2" s="1"/>
  <c r="J10" i="2"/>
  <c r="J12" i="2" s="1"/>
  <c r="P10" i="2"/>
  <c r="P12" i="2" s="1"/>
  <c r="K53" i="1"/>
  <c r="N12" i="2" l="1"/>
  <c r="J65" i="1" l="1"/>
  <c r="K65" i="1" s="1"/>
</calcChain>
</file>

<file path=xl/sharedStrings.xml><?xml version="1.0" encoding="utf-8"?>
<sst xmlns="http://schemas.openxmlformats.org/spreadsheetml/2006/main" count="1036" uniqueCount="148">
  <si>
    <t>VIEW 1 — INDIVIDUAL CONTRIBUTION   |   Booking (Revenue)   |   H1 &amp; Annual</t>
  </si>
  <si>
    <t>#</t>
  </si>
  <si>
    <t>Employee Name</t>
  </si>
  <si>
    <t>Division</t>
  </si>
  <si>
    <t>FY</t>
  </si>
  <si>
    <t>Type / Notes</t>
  </si>
  <si>
    <t>Q1 Quota
(₹ Cr)</t>
  </si>
  <si>
    <t>Q1 Actuals
(₹ Cr)</t>
  </si>
  <si>
    <t>Attainment %
(Q1)</t>
  </si>
  <si>
    <t>Q2 Quota
(₹ Cr)</t>
  </si>
  <si>
    <t>Q2 Actuals
(₹ Cr)</t>
  </si>
  <si>
    <t>Attainment %
(Q2)</t>
  </si>
  <si>
    <t>H1 Quota
(₹ Cr)</t>
  </si>
  <si>
    <t>H1 Actuals
(₹ Cr)</t>
  </si>
  <si>
    <t>Attainment %
(H1)</t>
  </si>
  <si>
    <t>H2 Quota
(₹ Cr)</t>
  </si>
  <si>
    <t>H2 Actuals
(₹ Cr)</t>
  </si>
  <si>
    <t>Attainment %
(H2)</t>
  </si>
  <si>
    <t>Annual Quota
(₹ Cr)</t>
  </si>
  <si>
    <t>Annual Actuals
(₹ Cr)</t>
  </si>
  <si>
    <t>Attainment %
(Annual)</t>
  </si>
  <si>
    <t># Deals
(Total)</t>
  </si>
  <si>
    <t>Led-By Deals
(count)</t>
  </si>
  <si>
    <t>Led-By Rev
(₹ Cr)</t>
  </si>
  <si>
    <t>Contributed
Deals (count)</t>
  </si>
  <si>
    <t>Contributed
Rev (₹ Cr)</t>
  </si>
  <si>
    <t>Rank
(Div.)</t>
  </si>
  <si>
    <t xml:space="preserve">  S1 Division</t>
  </si>
  <si>
    <t>Tasneem K</t>
  </si>
  <si>
    <t>S1</t>
  </si>
  <si>
    <t>FY 25-26</t>
  </si>
  <si>
    <t>IC</t>
  </si>
  <si>
    <t>Riya Bhatt</t>
  </si>
  <si>
    <t>Pratik Kadam</t>
  </si>
  <si>
    <t>Prashant Ddugu</t>
  </si>
  <si>
    <t>TL</t>
  </si>
  <si>
    <t>Chirag Palande</t>
  </si>
  <si>
    <t>Richa Tiwari</t>
  </si>
  <si>
    <t>IC Subtotal — S1</t>
  </si>
  <si>
    <t xml:space="preserve">  S2 Division</t>
  </si>
  <si>
    <t>Rohit Deshmukh</t>
  </si>
  <si>
    <t>S2</t>
  </si>
  <si>
    <t>Chetna Sharma</t>
  </si>
  <si>
    <t>Sankeerth Bhargav</t>
  </si>
  <si>
    <t>TBH (Varsha)</t>
  </si>
  <si>
    <t>TBH (Arpit)</t>
  </si>
  <si>
    <t>TBH (Dennis)</t>
  </si>
  <si>
    <t>IC Subtotal — S2</t>
  </si>
  <si>
    <t xml:space="preserve">  CB Division</t>
  </si>
  <si>
    <t>Prachi Mayekar</t>
  </si>
  <si>
    <t>CB</t>
  </si>
  <si>
    <t>FY 26-27</t>
  </si>
  <si>
    <t>Shilpa Kavde</t>
  </si>
  <si>
    <t>Vidula Chawan</t>
  </si>
  <si>
    <t>Jimesh Shah</t>
  </si>
  <si>
    <t>IC Subtotal — CB</t>
  </si>
  <si>
    <t xml:space="preserve">  GB Division</t>
  </si>
  <si>
    <t>Ashish Singh</t>
  </si>
  <si>
    <t>GB</t>
  </si>
  <si>
    <t>IC, Cloud</t>
  </si>
  <si>
    <t>Rima Kamalakar Ingle</t>
  </si>
  <si>
    <t>Ayushman Singh</t>
  </si>
  <si>
    <t>IC, Cyber security</t>
  </si>
  <si>
    <t>Shubhangi Srinivasan</t>
  </si>
  <si>
    <t>Atharva Karpe</t>
  </si>
  <si>
    <t>Jay Rushi</t>
  </si>
  <si>
    <t>Sana Rashid Bhatkar</t>
  </si>
  <si>
    <t>Bhumi Karelia</t>
  </si>
  <si>
    <t>Rizwana Khan</t>
  </si>
  <si>
    <t>Suvesh Malakar</t>
  </si>
  <si>
    <t>IC Subtotal — GB</t>
  </si>
  <si>
    <t xml:space="preserve">  South Division</t>
  </si>
  <si>
    <t>Abrar Memon</t>
  </si>
  <si>
    <t>South</t>
  </si>
  <si>
    <t>Sagar TR</t>
  </si>
  <si>
    <t>Shahbaz Khan</t>
  </si>
  <si>
    <t>Shaik Khadhar</t>
  </si>
  <si>
    <t>IC Subtotal — South</t>
  </si>
  <si>
    <t>Geo Expansion</t>
  </si>
  <si>
    <t>Hrushikesh Bagade</t>
  </si>
  <si>
    <t>GeoX</t>
  </si>
  <si>
    <t>Bottomline</t>
  </si>
  <si>
    <t>IC Subtotal — Geo X</t>
  </si>
  <si>
    <t>Level / Name</t>
  </si>
  <si>
    <t>Q1 — Revenue (₹ Cr)</t>
  </si>
  <si>
    <t>Q1 — Bottomline (₹ Cr)</t>
  </si>
  <si>
    <t>Q2 — Revenue (₹ Cr)</t>
  </si>
  <si>
    <t>Q2 — Bottomline (₹ Cr)</t>
  </si>
  <si>
    <t>H1 — Revenue (₹ Cr)</t>
  </si>
  <si>
    <t>H1 — Bottomline (₹ Cr)</t>
  </si>
  <si>
    <t>H1 # Deals</t>
  </si>
  <si>
    <t>H2 — Revenue (₹ Cr)</t>
  </si>
  <si>
    <t>H2 — Bottomline (₹ Cr)</t>
  </si>
  <si>
    <t>H2 # Deals</t>
  </si>
  <si>
    <t>Annual — Revenue (₹ Cr)</t>
  </si>
  <si>
    <t>Annual — Bottomline (₹ Cr)</t>
  </si>
  <si>
    <t>Ann # Deals</t>
  </si>
  <si>
    <t>Level</t>
  </si>
  <si>
    <t>Div.</t>
  </si>
  <si>
    <t>Quota</t>
  </si>
  <si>
    <t>Actuals</t>
  </si>
  <si>
    <t>Att%</t>
  </si>
  <si>
    <t>Count</t>
  </si>
  <si>
    <t>S1 Division Total</t>
  </si>
  <si>
    <t>S2 Division Total</t>
  </si>
  <si>
    <t>CB Division Total</t>
  </si>
  <si>
    <t>GB Division Total</t>
  </si>
  <si>
    <t>South Division Total</t>
  </si>
  <si>
    <t>Geo Expansion Division</t>
  </si>
  <si>
    <t>Geo X</t>
  </si>
  <si>
    <t>COMPANY TOTAL (Revenue IC, excl. GeoX BL)</t>
  </si>
  <si>
    <t>VIEW 5 — RTM CONTRIBUTION | DCG  |   Booking (Revenue)   |   H1 &amp; Annual</t>
  </si>
  <si>
    <t>RTM Name</t>
  </si>
  <si>
    <t>Attainment
 %
(Q1)</t>
  </si>
  <si>
    <t>Attainment 
%
(Q2)</t>
  </si>
  <si>
    <t>GeoX Division Total</t>
  </si>
  <si>
    <t>RTM Total</t>
  </si>
  <si>
    <t>-</t>
  </si>
  <si>
    <t>GRAND TOTAL — All IC (Revenue, excl. GeoX BL)</t>
  </si>
  <si>
    <t xml:space="preserve"> RTM Division Level</t>
  </si>
  <si>
    <t>Varunkumar Mishra</t>
  </si>
  <si>
    <t>VIEW 9 — RTM CONTRIBUTION | CLOUD |   Booking (Revenue)   |   H1 &amp; Annual</t>
  </si>
  <si>
    <t>Ajay Patodia</t>
  </si>
  <si>
    <t>Dipti  Karpe</t>
  </si>
  <si>
    <t>Ishwari Santosh Kadam</t>
  </si>
  <si>
    <t>Vineet Gadia</t>
  </si>
  <si>
    <t>Sanjeev Kohli</t>
  </si>
  <si>
    <t>Yogesh Bhatia</t>
  </si>
  <si>
    <t>Jitesh Rajput</t>
  </si>
  <si>
    <t>Rocky Braganza</t>
  </si>
  <si>
    <t xml:space="preserve">CSN </t>
  </si>
  <si>
    <t>DCG</t>
  </si>
  <si>
    <t>Cloud</t>
  </si>
  <si>
    <t>Head</t>
  </si>
  <si>
    <t>AVP</t>
  </si>
  <si>
    <t>VIEW 3 — SUMMARY OUTLOOK   |   BU Roll-up   |   Revenue + Bottomline (BL)   |   H1 &amp; Annual</t>
  </si>
  <si>
    <t>Others</t>
  </si>
  <si>
    <t>Yusufali Petiwala</t>
  </si>
  <si>
    <t>Self</t>
  </si>
  <si>
    <t>Topline</t>
  </si>
  <si>
    <t>IC Subtotal — Others</t>
  </si>
  <si>
    <t>Ishwari Kadam</t>
  </si>
  <si>
    <t>Darshana Patil</t>
  </si>
  <si>
    <t xml:space="preserve">VIEW 2 —LEADERSHIP   |   Booking (Revenue)   |   H1 &amp; Annual | Bottomline </t>
  </si>
  <si>
    <t>VIEW 2 —LEADERSHIP   |   Booking (Revenue)   |   H1 &amp; Annual | Topline</t>
  </si>
  <si>
    <t>Q2 # Deals</t>
  </si>
  <si>
    <t>Q1 # Deals</t>
  </si>
  <si>
    <t>Raj Matondkar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</si>
</sst>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7" x14ac:knownFonts="1">
    <font>
      <sz val="11"/>
      <color theme="1"/>
      <name val="Aptos Narrow"/>
      <family val="2"/>
      <scheme val="minor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1F3864"/>
      <name val="Arial"/>
      <family val="2"/>
    </font>
    <font>
      <b/>
      <sz val="10"/>
      <name val="Arial"/>
      <family val="2"/>
    </font>
    <font>
      <sz val="10"/>
      <color rgb="FF2E5FA3"/>
      <name val="Arial"/>
      <family val="2"/>
    </font>
    <font>
      <i/>
      <sz val="10"/>
      <color rgb="FF5A6272"/>
      <name val="Arial"/>
      <family val="2"/>
    </font>
    <font>
      <sz val="10"/>
      <color rgb="FF000000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FF"/>
      <name val="Arial"/>
      <family val="2"/>
    </font>
    <font>
      <b/>
      <sz val="10"/>
      <color theme="0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3"/>
        <bgColor rgb="FF1D787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F2F4F7"/>
      </patternFill>
    </fill>
    <fill>
      <patternFill patternType="solid">
        <fgColor rgb="FF1D7874"/>
        <bgColor rgb="FF008080"/>
      </patternFill>
    </fill>
    <fill>
      <patternFill patternType="solid">
        <fgColor rgb="FFB8860B"/>
        <bgColor rgb="FFFF99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E8ECF1"/>
      </patternFill>
    </fill>
    <fill>
      <patternFill patternType="solid">
        <fgColor theme="3" tint="9.9978637043366805E-2"/>
        <bgColor rgb="FF333333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9.9978637043366805E-2"/>
        <bgColor rgb="FFF2F4F7"/>
      </patternFill>
    </fill>
    <fill>
      <patternFill patternType="solid">
        <fgColor theme="3" tint="9.9978637043366805E-2"/>
        <bgColor rgb="FFD4EDEA"/>
      </patternFill>
    </fill>
  </fills>
  <borders count="18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medium">
        <color rgb="FF2E5FA3"/>
      </left>
      <right/>
      <top style="medium">
        <color rgb="FF2E5FA3"/>
      </top>
      <bottom style="medium">
        <color rgb="FF2E5FA3"/>
      </bottom>
      <diagonal/>
    </border>
    <border>
      <left style="thin">
        <color rgb="FFCBD0D8"/>
      </left>
      <right style="thin">
        <color rgb="FFCBD0D8"/>
      </right>
      <top style="thin">
        <color rgb="FFCBD0D8"/>
      </top>
      <bottom style="thin">
        <color rgb="FFCBD0D8"/>
      </bottom>
      <diagonal/>
    </border>
    <border>
      <left style="thin">
        <color rgb="FF2E5FA3"/>
      </left>
      <right style="thin">
        <color rgb="FF2E5FA3"/>
      </right>
      <top style="thin">
        <color rgb="FF2E5FA3"/>
      </top>
      <bottom style="thin">
        <color rgb="FF2E5FA3"/>
      </bottom>
      <diagonal/>
    </border>
    <border>
      <left style="thin">
        <color rgb="FF2E5FA3"/>
      </left>
      <right/>
      <top style="thin">
        <color rgb="FF1D7874"/>
      </top>
      <bottom style="thin">
        <color rgb="FF1D7874"/>
      </bottom>
      <diagonal/>
    </border>
    <border>
      <left/>
      <right/>
      <top style="thin">
        <color rgb="FF1D7874"/>
      </top>
      <bottom style="thin">
        <color rgb="FF1D7874"/>
      </bottom>
      <diagonal/>
    </border>
    <border>
      <left/>
      <right style="thin">
        <color rgb="FF1F3864"/>
      </right>
      <top style="thin">
        <color rgb="FF1D7874"/>
      </top>
      <bottom style="thin">
        <color rgb="FF1D7874"/>
      </bottom>
      <diagonal/>
    </border>
    <border>
      <left style="thin">
        <color rgb="FF2E5FA3"/>
      </left>
      <right/>
      <top style="thin">
        <color rgb="FF2E5FA3"/>
      </top>
      <bottom style="thin">
        <color rgb="FF2E5FA3"/>
      </bottom>
      <diagonal/>
    </border>
    <border>
      <left/>
      <right/>
      <top style="thin">
        <color rgb="FF2E5FA3"/>
      </top>
      <bottom style="thin">
        <color rgb="FF2E5FA3"/>
      </bottom>
      <diagonal/>
    </border>
    <border>
      <left/>
      <right style="thin">
        <color rgb="FF2E5FA3"/>
      </right>
      <top style="thin">
        <color rgb="FF2E5FA3"/>
      </top>
      <bottom style="thin">
        <color rgb="FF2E5FA3"/>
      </bottom>
      <diagonal/>
    </border>
    <border>
      <left style="thin">
        <color rgb="FF1D7874"/>
      </left>
      <right style="thin">
        <color rgb="FF1D7874"/>
      </right>
      <top style="thin">
        <color rgb="FF1D7874"/>
      </top>
      <bottom style="thin">
        <color rgb="FF1D7874"/>
      </bottom>
      <diagonal/>
    </border>
    <border>
      <left style="medium">
        <color rgb="FFB8860B"/>
      </left>
      <right/>
      <top/>
      <bottom/>
      <diagonal/>
    </border>
    <border>
      <left style="thin">
        <color rgb="FFCBD0D8"/>
      </left>
      <right style="thin">
        <color rgb="FFCBD0D8"/>
      </right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rgb="FF1F3864"/>
      </left>
      <right/>
      <top style="thin">
        <color rgb="FF1F3864"/>
      </top>
      <bottom style="thin">
        <color rgb="FF1F38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8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7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4" fillId="8" borderId="3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 vertical="center"/>
    </xf>
    <xf numFmtId="0" fontId="0" fillId="8" borderId="0" xfId="0" applyFill="1"/>
    <xf numFmtId="2" fontId="0" fillId="0" borderId="0" xfId="0" applyNumberFormat="1"/>
    <xf numFmtId="9" fontId="0" fillId="0" borderId="0" xfId="1" applyFont="1"/>
    <xf numFmtId="0" fontId="0" fillId="0" borderId="0" xfId="0" applyAlignment="1">
      <alignment horizontal="right"/>
    </xf>
    <xf numFmtId="0" fontId="0" fillId="8" borderId="0" xfId="0" applyFill="1" applyAlignment="1">
      <alignment horizontal="right"/>
    </xf>
    <xf numFmtId="4" fontId="0" fillId="0" borderId="0" xfId="0" applyNumberFormat="1"/>
    <xf numFmtId="4" fontId="9" fillId="0" borderId="3" xfId="0" applyNumberFormat="1" applyFont="1" applyBorder="1" applyAlignment="1">
      <alignment horizontal="right" vertical="center"/>
    </xf>
    <xf numFmtId="4" fontId="13" fillId="0" borderId="3" xfId="0" applyNumberFormat="1" applyFont="1" applyBorder="1" applyAlignment="1">
      <alignment horizontal="right" vertical="center"/>
    </xf>
    <xf numFmtId="9" fontId="0" fillId="0" borderId="0" xfId="1" applyFont="1" applyAlignment="1">
      <alignment horizontal="right"/>
    </xf>
    <xf numFmtId="4" fontId="0" fillId="0" borderId="0" xfId="0" applyNumberFormat="1" applyAlignment="1">
      <alignment horizontal="right"/>
    </xf>
    <xf numFmtId="4" fontId="9" fillId="9" borderId="3" xfId="0" applyNumberFormat="1" applyFont="1" applyFill="1" applyBorder="1" applyAlignment="1">
      <alignment horizontal="right" vertical="center"/>
    </xf>
    <xf numFmtId="4" fontId="13" fillId="8" borderId="3" xfId="0" applyNumberFormat="1" applyFont="1" applyFill="1" applyBorder="1" applyAlignment="1">
      <alignment horizontal="right" vertical="center"/>
    </xf>
    <xf numFmtId="9" fontId="0" fillId="8" borderId="0" xfId="1" applyFont="1" applyFill="1" applyAlignment="1">
      <alignment horizontal="right"/>
    </xf>
    <xf numFmtId="4" fontId="0" fillId="8" borderId="0" xfId="0" applyNumberFormat="1" applyFill="1" applyAlignment="1">
      <alignment horizontal="right"/>
    </xf>
    <xf numFmtId="9" fontId="0" fillId="0" borderId="0" xfId="1" applyFont="1" applyFill="1" applyAlignment="1">
      <alignment horizontal="right"/>
    </xf>
    <xf numFmtId="4" fontId="9" fillId="8" borderId="3" xfId="0" applyNumberFormat="1" applyFont="1" applyFill="1" applyBorder="1" applyAlignment="1">
      <alignment horizontal="right" vertical="center"/>
    </xf>
    <xf numFmtId="4" fontId="11" fillId="11" borderId="0" xfId="0" applyNumberFormat="1" applyFont="1" applyFill="1"/>
    <xf numFmtId="3" fontId="11" fillId="11" borderId="0" xfId="0" applyNumberFormat="1" applyFont="1" applyFill="1"/>
    <xf numFmtId="0" fontId="12" fillId="0" borderId="0" xfId="0" applyFont="1"/>
    <xf numFmtId="0" fontId="12" fillId="4" borderId="0" xfId="0" applyFont="1" applyFill="1"/>
    <xf numFmtId="4" fontId="12" fillId="4" borderId="0" xfId="0" applyNumberFormat="1" applyFont="1" applyFill="1" applyAlignment="1">
      <alignment horizontal="right"/>
    </xf>
    <xf numFmtId="9" fontId="12" fillId="4" borderId="0" xfId="1" applyFont="1" applyFill="1" applyAlignment="1">
      <alignment horizontal="right"/>
    </xf>
    <xf numFmtId="3" fontId="12" fillId="4" borderId="0" xfId="0" applyNumberFormat="1" applyFont="1" applyFill="1" applyAlignment="1">
      <alignment horizontal="right"/>
    </xf>
    <xf numFmtId="3" fontId="0" fillId="0" borderId="0" xfId="0" applyNumberFormat="1"/>
    <xf numFmtId="0" fontId="14" fillId="12" borderId="3" xfId="0" applyFont="1" applyFill="1" applyBorder="1" applyAlignment="1">
      <alignment horizontal="left" vertical="center"/>
    </xf>
    <xf numFmtId="0" fontId="11" fillId="11" borderId="0" xfId="0" applyFont="1" applyFill="1"/>
    <xf numFmtId="2" fontId="11" fillId="11" borderId="0" xfId="0" applyNumberFormat="1" applyFont="1" applyFill="1"/>
    <xf numFmtId="0" fontId="14" fillId="13" borderId="3" xfId="0" applyFont="1" applyFill="1" applyBorder="1" applyAlignment="1">
      <alignment horizontal="left" vertical="center"/>
    </xf>
    <xf numFmtId="9" fontId="11" fillId="11" borderId="0" xfId="1" applyFont="1" applyFill="1"/>
    <xf numFmtId="0" fontId="0" fillId="0" borderId="17" xfId="0" applyBorder="1"/>
    <xf numFmtId="0" fontId="2" fillId="2" borderId="17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2" fontId="0" fillId="0" borderId="17" xfId="0" applyNumberFormat="1" applyBorder="1"/>
    <xf numFmtId="164" fontId="0" fillId="0" borderId="17" xfId="0" applyNumberFormat="1" applyBorder="1"/>
    <xf numFmtId="0" fontId="0" fillId="0" borderId="17" xfId="0" applyBorder="1" applyAlignment="1">
      <alignment horizontal="right"/>
    </xf>
    <xf numFmtId="0" fontId="1" fillId="2" borderId="17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1" applyNumberFormat="1" applyFont="1"/>
    <xf numFmtId="0" fontId="11" fillId="11" borderId="0" xfId="1" applyNumberFormat="1" applyFont="1" applyFill="1"/>
    <xf numFmtId="9" fontId="2" fillId="2" borderId="1" xfId="1" applyFont="1" applyFill="1" applyBorder="1" applyAlignment="1">
      <alignment horizontal="center" vertical="center" wrapText="1"/>
    </xf>
    <xf numFmtId="9" fontId="11" fillId="11" borderId="0" xfId="1" applyFont="1" applyFill="1" applyAlignment="1">
      <alignment horizontal="right"/>
    </xf>
    <xf numFmtId="0" fontId="15" fillId="0" borderId="0" xfId="0" applyFont="1"/>
    <xf numFmtId="0" fontId="16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14" fillId="10" borderId="16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left" vertical="center"/>
    </xf>
    <xf numFmtId="0" fontId="3" fillId="7" borderId="0" xfId="0" applyFont="1" applyFill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9" Type="http://schemas.openxmlformats.org/officeDocument/2006/relationships/externalLink" Target="externalLinks/externalLink31.xml"/><Relationship Id="rId21" Type="http://schemas.openxmlformats.org/officeDocument/2006/relationships/externalLink" Target="externalLinks/externalLink13.xml"/><Relationship Id="rId34" Type="http://schemas.openxmlformats.org/officeDocument/2006/relationships/externalLink" Target="externalLinks/externalLink26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1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externalLink" Target="externalLinks/externalLink29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externalLink" Target="externalLinks/externalLink28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38" Type="http://schemas.openxmlformats.org/officeDocument/2006/relationships/externalLink" Target="externalLinks/externalLink30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Business%20Plan%20Final%20Ver%201.6.xlsx" TargetMode="External"/><Relationship Id="rId1" Type="http://schemas.openxmlformats.org/officeDocument/2006/relationships/externalLinkPath" Target="Business%20Plan%20Final%20Ver%201.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Opportunity%20Pipeline%20Q1.xlsx" TargetMode="External"/><Relationship Id="rId1" Type="http://schemas.openxmlformats.org/officeDocument/2006/relationships/externalLinkPath" Target="Opportunity%20Pipeline%20Q1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Opportunity%20Pipeline%20Q2.xlsx" TargetMode="External"/><Relationship Id="rId1" Type="http://schemas.openxmlformats.org/officeDocument/2006/relationships/externalLinkPath" Target="Opportunity%20Pipeline%20Q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Strategic%20-%201/Tasneem%20-%20Target%20Letter%20-%20FY%2026-27%20(H1%20%20H2)%20ver%201.1-%20Final..xlsx" TargetMode="External"/><Relationship Id="rId1" Type="http://schemas.openxmlformats.org/officeDocument/2006/relationships/externalLinkPath" Target="Strategic%20-%201/Tasneem%20-%20Target%20Letter%20-%20FY%2026-27%20(H1%20%20H2)%20ver%201.1-%20Final.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Strategic%20-%201/RIYA%20-%20Target%20Letter%20-%20FY%2026-27%20(H1%20%20H2)%20ver%201.1-%20Final..xlsx" TargetMode="External"/><Relationship Id="rId1" Type="http://schemas.openxmlformats.org/officeDocument/2006/relationships/externalLinkPath" Target="Strategic%20-%201/RIYA%20-%20Target%20Letter%20-%20FY%2026-27%20(H1%20%20H2)%20ver%201.1-%20Final.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Strategic%20-%201/Pratik-%20Target%20Letter%20-%20FY%2026-27%20(H1%20%20H2)%20ver%201.1-%20Final..xlsx" TargetMode="External"/><Relationship Id="rId1" Type="http://schemas.openxmlformats.org/officeDocument/2006/relationships/externalLinkPath" Target="Strategic%20-%201/Pratik-%20Target%20Letter%20-%20FY%2026-27%20(H1%20%20H2)%20ver%201.1-%20Final.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Strategic%20-%201/Prashant%20-%20Target%20Letter%20-%20FY%2026-27%20(H1%20%20H2)%20ver%201.1-%20Final.xlsx" TargetMode="External"/><Relationship Id="rId1" Type="http://schemas.openxmlformats.org/officeDocument/2006/relationships/externalLinkPath" Target="Strategic%20-%201/Prashant%20-%20Target%20Letter%20-%20FY%2026-27%20(H1%20%20H2)%20ver%201.1-%20Final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Strategic%20-%201/Chirag-%20Target%20Letter%20-%20FY%2026-27%20(H1%20%20H2)%20ver%201.1-%20Final.xlsx" TargetMode="External"/><Relationship Id="rId1" Type="http://schemas.openxmlformats.org/officeDocument/2006/relationships/externalLinkPath" Target="Strategic%20-%201/Chirag-%20Target%20Letter%20-%20FY%2026-27%20(H1%20%20H2)%20ver%201.1-%20Final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Strategic%20-%201/RICHA%20-%20Target%20Letter%20-%20FY%2026-27%20(H1%20%20H2)%20ver%201.1-%20Final..xlsx" TargetMode="External"/><Relationship Id="rId1" Type="http://schemas.openxmlformats.org/officeDocument/2006/relationships/externalLinkPath" Target="Strategic%20-%201/RICHA%20-%20Target%20Letter%20-%20FY%2026-27%20(H1%20%20H2)%20ver%201.1-%20Final.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Strategic%202/Rohit-%20Target%20Letter%20-%20FY%2026-27%20(H1%20%20H2)%20ver%201.1-%20Final..xlsx" TargetMode="External"/><Relationship Id="rId1" Type="http://schemas.openxmlformats.org/officeDocument/2006/relationships/externalLinkPath" Target="Strategic%202/Rohit-%20Target%20Letter%20-%20FY%2026-27%20(H1%20%20H2)%20ver%201.1-%20Final.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Strategic%202/Chetna-%20Target%20Letter%20-%20FY%2026-27%20(H1%20%20H2)%20ver%201.1-%20Final..xlsx" TargetMode="External"/><Relationship Id="rId1" Type="http://schemas.openxmlformats.org/officeDocument/2006/relationships/externalLinkPath" Target="Strategic%202/Chetna-%20Target%20Letter%20-%20FY%2026-27%20(H1%20%20H2)%20ver%201.1-%20Final.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Strategic%202/Sankeerth-%20Target%20Letter%20-%20FY%2026-27%20(H1%20%20H2)%20ver%201.1-%20Final..xlsx" TargetMode="External"/><Relationship Id="rId1" Type="http://schemas.openxmlformats.org/officeDocument/2006/relationships/externalLinkPath" Target="Strategic%202/Sankeerth-%20Target%20Letter%20-%20FY%2026-27%20(H1%20%20H2)%20ver%201.1-%20Final.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Commercial/Prachi-%20Commercial%20-%20Target%20Letter%20-%20FY%2026-27%20(H1%20%20H2)%20ver%202%20final.xlsx" TargetMode="External"/><Relationship Id="rId1" Type="http://schemas.openxmlformats.org/officeDocument/2006/relationships/externalLinkPath" Target="Commercial/Prachi-%20Commercial%20-%20Target%20Letter%20-%20FY%2026-27%20(H1%20%20H2)%20ver%202%20final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Commercial/Shilpa-%20Commercial%20-Target%20Letter%20-%20FY%2026-27%20(H1%20%20H2)%20ver%202-%20Final.xlsx" TargetMode="External"/><Relationship Id="rId1" Type="http://schemas.openxmlformats.org/officeDocument/2006/relationships/externalLinkPath" Target="Commercial/Shilpa-%20Commercial%20-Target%20Letter%20-%20FY%2026-27%20(H1%20%20H2)%20ver%202-%20Final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Commercial/Vidula%20-%20Commercial%20-Target%20Letter%20-%20FY%2026-27%20(H1%20%20H2)%20ver%202-%20Final.xlsx" TargetMode="External"/><Relationship Id="rId1" Type="http://schemas.openxmlformats.org/officeDocument/2006/relationships/externalLinkPath" Target="Commercial/Vidula%20-%20Commercial%20-Target%20Letter%20-%20FY%2026-27%20(H1%20%20H2)%20ver%202-%20Final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Commercial/Jimesh%20-%20Commercial%20-%20Target%20Letter%20-%20FY%2026-27%20(H1%20%20H2)%20ver%202%20Final.xlsx" TargetMode="External"/><Relationship Id="rId1" Type="http://schemas.openxmlformats.org/officeDocument/2006/relationships/externalLinkPath" Target="Commercial/Jimesh%20-%20Commercial%20-%20Target%20Letter%20-%20FY%2026-27%20(H1%20%20H2)%20ver%202%20Final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Growth%20Business/Ashish%20Singh-%20Growth-%20Target%20Letter%20-%20FY%2026-27%20(H1%20%20H2)%20ver%202%20final.xlsx" TargetMode="External"/><Relationship Id="rId1" Type="http://schemas.openxmlformats.org/officeDocument/2006/relationships/externalLinkPath" Target="Growth%20Business/Ashish%20Singh-%20Growth-%20Target%20Letter%20-%20FY%2026-27%20(H1%20%20H2)%20ver%202%20final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Growth%20Business/Rima%20Ingle-%20Growth-%20Target%20Letter%20-%20FY%2026-27%20(H1%20%20H2)%20ver%202%20final.xlsx" TargetMode="External"/><Relationship Id="rId1" Type="http://schemas.openxmlformats.org/officeDocument/2006/relationships/externalLinkPath" Target="Growth%20Business/Rima%20Ingle-%20Growth-%20Target%20Letter%20-%20FY%2026-27%20(H1%20%20H2)%20ver%202%20final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Growth%20Business/Ayushman%20-%20Growth-%20Target%20Letter%20-%20FY%2026-27%20(H1%20%20H2)%20ver%202%20final.xlsx" TargetMode="External"/><Relationship Id="rId1" Type="http://schemas.openxmlformats.org/officeDocument/2006/relationships/externalLinkPath" Target="Growth%20Business/Ayushman%20-%20Growth-%20Target%20Letter%20-%20FY%2026-27%20(H1%20%20H2)%20ver%202%20final.xlsx" TargetMode="External"/></Relationships>
</file>

<file path=xl/externalLinks/_rels/externalLink20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techpayai-my.sharepoint.com/personal/shiv_kumar_techpay_ai/Documents/Documents/Office%20Related/Galaxy%20Target%20Letter/Growth%20Business/Shubhangi%20Srinivasan%20-%20Growth-%20Target%20Letter%20-%20FY%2026-27%20(H1%20%20H2)%20ver%202%20final.xlsx" TargetMode="External"/><Relationship Id="rId2" Type="http://schemas.microsoft.com/office/2019/04/relationships/externalLinkLongPath" Target="Growth%20Business/Shubhangi%20Srinivasan%20-%20Growth-%20Target%20Letter%20-%20FY%2026-27%20(H1%20%20H2)%20ver%202%20final.xlsx?7F1AE0D9" TargetMode="External"/><Relationship Id="rId1" Type="http://schemas.openxmlformats.org/officeDocument/2006/relationships/externalLinkPath" Target="file:///\\7F1AE0D9\Shubhangi%20Srinivasan%20-%20Growth-%20Target%20Letter%20-%20FY%2026-27%20(H1%20%20H2)%20ver%202%20final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Growth%20Business/Atharva%20Karpe%20-%20Growth-%20Target%20Letter%20-%20FY%2026-27%20(H1%20%20H2)%20ver%202%20final.xlsx" TargetMode="External"/><Relationship Id="rId1" Type="http://schemas.openxmlformats.org/officeDocument/2006/relationships/externalLinkPath" Target="Growth%20Business/Atharva%20Karpe%20-%20Growth-%20Target%20Letter%20-%20FY%2026-27%20(H1%20%20H2)%20ver%202%20final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Growth%20Business/Jay%20Rushi-%20Growth-%20Target%20Letter%20-%20FY%2026-27%20(H1%20%20H2)%20ver%202%20final.xlsx" TargetMode="External"/><Relationship Id="rId1" Type="http://schemas.openxmlformats.org/officeDocument/2006/relationships/externalLinkPath" Target="Growth%20Business/Jay%20Rushi-%20Growth-%20Target%20Letter%20-%20FY%2026-27%20(H1%20%20H2)%20ver%202%20final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Growth%20Business/Sana%20Bhatkar-%20Growth-%20Target%20Letter%20-%20FY%2026-27%20(H1%20%20H2)%20ver%202%20final.xlsx" TargetMode="External"/><Relationship Id="rId1" Type="http://schemas.openxmlformats.org/officeDocument/2006/relationships/externalLinkPath" Target="Growth%20Business/Sana%20Bhatkar-%20Growth-%20Target%20Letter%20-%20FY%2026-27%20(H1%20%20H2)%20ver%202%20final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Growth%20Business/Bhumi%20Karelia-%20Growth-%20Target%20Letter%20-%20FY%2026-27%20(H1%20%20H2)%20ver%202%20final.xlsx" TargetMode="External"/><Relationship Id="rId1" Type="http://schemas.openxmlformats.org/officeDocument/2006/relationships/externalLinkPath" Target="Growth%20Business/Bhumi%20Karelia-%20Growth-%20Target%20Letter%20-%20FY%2026-27%20(H1%20%20H2)%20ver%202%20final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Growth%20Business/Rizwana%20Khan-%20Growth-%20Target%20Letter%20-%20FY%2026-27%20(H1%20%20H2)%20ver%202%20final.xlsx" TargetMode="External"/><Relationship Id="rId1" Type="http://schemas.openxmlformats.org/officeDocument/2006/relationships/externalLinkPath" Target="Growth%20Business/Rizwana%20Khan-%20Growth-%20Target%20Letter%20-%20FY%2026-27%20(H1%20%20H2)%20ver%202%20final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Growth%20Business/Suvesh%20Malkar-%20Growth-%20Target%20Letter%20-%20FY%2026-27%20(H1%20%20H2)%20ver%202%20final.xlsx" TargetMode="External"/><Relationship Id="rId1" Type="http://schemas.openxmlformats.org/officeDocument/2006/relationships/externalLinkPath" Target="Growth%20Business/Suvesh%20Malkar-%20Growth-%20Target%20Letter%20-%20FY%2026-27%20(H1%20%20H2)%20ver%202%20final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DCG-%20South%20Sales/Abrar%20Menon-%20South-Target%20Letter%20-%20FY%2026-27%20(H1%20%20H2)%20ver%202-%20Final.xlsx" TargetMode="External"/><Relationship Id="rId1" Type="http://schemas.openxmlformats.org/officeDocument/2006/relationships/externalLinkPath" Target="DCG-%20South%20Sales/Abrar%20Menon-%20South-Target%20Letter%20-%20FY%2026-27%20(H1%20%20H2)%20ver%202-%20Final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DCG-%20South%20Sales/Sagar%20TR-%20South-Target%20Letter%20-%20FY%2026-27%20(H1%20%20H2)%20ver%202-%20Final.xlsx" TargetMode="External"/><Relationship Id="rId1" Type="http://schemas.openxmlformats.org/officeDocument/2006/relationships/externalLinkPath" Target="DCG-%20South%20Sales/Sagar%20TR-%20South-Target%20Letter%20-%20FY%2026-27%20(H1%20%20H2)%20ver%202-%20Final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DCG-%20South%20Sales/Shahbaz%20Khan-%20South-Target%20Letter%20-%20FY%2026-27%20(H1%20%20H2)%20ver%202-%20Final.xlsx" TargetMode="External"/><Relationship Id="rId1" Type="http://schemas.openxmlformats.org/officeDocument/2006/relationships/externalLinkPath" Target="DCG-%20South%20Sales/Shahbaz%20Khan-%20South-Target%20Letter%20-%20FY%2026-27%20(H1%20%20H2)%20ver%202-%20Final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DCG-%20South%20Sales/S%20A%20Khadhar%20Basha-%20South-Target%20Letter%20-%20FY%2026-27%20(H1%20%20H2)%20ver%202-%20Final.xlsx" TargetMode="External"/><Relationship Id="rId1" Type="http://schemas.openxmlformats.org/officeDocument/2006/relationships/externalLinkPath" Target="DCG-%20South%20Sales/S%20A%20Khadhar%20Basha-%20South-Target%20Letter%20-%20FY%2026-27%20(H1%20%20H2)%20ver%202-%20Final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payai-my.sharepoint.com/personal/shiv_kumar_techpay_ai/Documents/Documents/Office%20Related/Galaxy%20Target%20Letter/GEO%20Expansion/Hrushikesh%20-GEO-%20Target%20Letter%20-%20FY%2026-27%20(H1%20%20H2)%20ver%201%20-%20Final.xlsx" TargetMode="External"/><Relationship Id="rId1" Type="http://schemas.openxmlformats.org/officeDocument/2006/relationships/externalLinkPath" Target="GEO%20Expansion/Hrushikesh%20-GEO-%20Target%20Letter%20-%20FY%2026-27%20(H1%20%20H2)%20ver%201%20-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CG"/>
      <sheetName val="CS"/>
      <sheetName val="PS"/>
      <sheetName val="S1 "/>
      <sheetName val="S2 "/>
      <sheetName val="CB "/>
      <sheetName val="GB "/>
      <sheetName val="South "/>
      <sheetName val="GeoX "/>
      <sheetName val="Sales Plan T&amp;C"/>
      <sheetName val="Marketing"/>
      <sheetName val="DC Service Packs "/>
      <sheetName val="NW Service Packs"/>
      <sheetName val="CySec Service Packs"/>
    </sheetNames>
    <sheetDataSet>
      <sheetData sheetId="0"/>
      <sheetData sheetId="1"/>
      <sheetData sheetId="2"/>
      <sheetData sheetId="3"/>
      <sheetData sheetId="4">
        <row r="6">
          <cell r="H6" t="str">
            <v>Quota Split  H1 (In Crs.)</v>
          </cell>
        </row>
        <row r="7">
          <cell r="H7" t="str">
            <v>Q1</v>
          </cell>
          <cell r="I7" t="str">
            <v>Q2</v>
          </cell>
        </row>
        <row r="8">
          <cell r="H8">
            <v>100</v>
          </cell>
          <cell r="I8">
            <v>112</v>
          </cell>
        </row>
        <row r="9">
          <cell r="H9">
            <v>5</v>
          </cell>
          <cell r="I9">
            <v>5.6000000000000005</v>
          </cell>
        </row>
        <row r="11">
          <cell r="H11" t="str">
            <v>Quota Split  H1 (In Crs.)</v>
          </cell>
        </row>
        <row r="12">
          <cell r="B12" t="str">
            <v>Acount Manager Name</v>
          </cell>
          <cell r="H12" t="str">
            <v>Q1</v>
          </cell>
          <cell r="I12" t="str">
            <v>Q2</v>
          </cell>
        </row>
        <row r="13">
          <cell r="B13" t="str">
            <v>Tasneem Khatri</v>
          </cell>
        </row>
        <row r="14">
          <cell r="B14" t="str">
            <v>Tasneem Khatri</v>
          </cell>
          <cell r="H14">
            <v>25</v>
          </cell>
          <cell r="I14">
            <v>64.5</v>
          </cell>
        </row>
        <row r="15">
          <cell r="B15" t="str">
            <v>Tasneem Khatri</v>
          </cell>
        </row>
        <row r="16">
          <cell r="B16" t="str">
            <v>Tasneem Khatri</v>
          </cell>
        </row>
        <row r="17">
          <cell r="B17" t="str">
            <v>Tasneem Khatri</v>
          </cell>
        </row>
        <row r="18">
          <cell r="B18" t="str">
            <v>Tasneem Khatri</v>
          </cell>
          <cell r="H18">
            <v>0.05</v>
          </cell>
          <cell r="I18">
            <v>0.75</v>
          </cell>
        </row>
        <row r="19">
          <cell r="B19" t="str">
            <v>Tasneem Khatri</v>
          </cell>
        </row>
        <row r="20">
          <cell r="B20" t="str">
            <v>Tasneem Khatri</v>
          </cell>
          <cell r="H20">
            <v>2.5000000000000001E-2</v>
          </cell>
          <cell r="I20">
            <v>2.5000000000000001E-2</v>
          </cell>
        </row>
        <row r="21">
          <cell r="B21" t="str">
            <v>Tasneem Khatri</v>
          </cell>
        </row>
        <row r="22">
          <cell r="B22" t="str">
            <v>Tasneem Khatri</v>
          </cell>
        </row>
        <row r="23">
          <cell r="B23" t="str">
            <v>Tasneem Khatri</v>
          </cell>
          <cell r="H23">
            <v>3.75</v>
          </cell>
          <cell r="I23">
            <v>3.75</v>
          </cell>
        </row>
        <row r="24">
          <cell r="B24" t="str">
            <v>Tasneem Khatri</v>
          </cell>
          <cell r="H24">
            <v>0</v>
          </cell>
          <cell r="I24">
            <v>5</v>
          </cell>
        </row>
        <row r="25">
          <cell r="B25" t="str">
            <v>Tasneem Khatri</v>
          </cell>
          <cell r="H25">
            <v>5</v>
          </cell>
          <cell r="I25">
            <v>5</v>
          </cell>
        </row>
        <row r="26">
          <cell r="B26" t="str">
            <v>Tasneem Khatri</v>
          </cell>
        </row>
        <row r="27">
          <cell r="B27" t="str">
            <v>Tasneem Khatri</v>
          </cell>
          <cell r="H27">
            <v>0</v>
          </cell>
          <cell r="I27">
            <v>2.5</v>
          </cell>
        </row>
        <row r="28">
          <cell r="B28" t="str">
            <v>Tasneem Khatri</v>
          </cell>
          <cell r="H28">
            <v>0</v>
          </cell>
          <cell r="I28">
            <v>6.5</v>
          </cell>
        </row>
        <row r="29">
          <cell r="B29" t="str">
            <v>Tasneem Khatri</v>
          </cell>
          <cell r="H29">
            <v>0</v>
          </cell>
          <cell r="I29">
            <v>1</v>
          </cell>
        </row>
        <row r="30">
          <cell r="B30" t="str">
            <v>Tasneem Khatri</v>
          </cell>
          <cell r="H30">
            <v>0</v>
          </cell>
          <cell r="I30">
            <v>2.5</v>
          </cell>
        </row>
        <row r="31">
          <cell r="B31" t="str">
            <v>Tasneem Khatri</v>
          </cell>
          <cell r="H31">
            <v>1.25</v>
          </cell>
          <cell r="I31">
            <v>1.25</v>
          </cell>
        </row>
        <row r="32">
          <cell r="B32" t="str">
            <v>Tasneem Khatri</v>
          </cell>
          <cell r="H32">
            <v>0</v>
          </cell>
          <cell r="I32">
            <v>2.5</v>
          </cell>
        </row>
        <row r="33">
          <cell r="B33" t="str">
            <v>Riya Roshyara</v>
          </cell>
          <cell r="H33">
            <v>0</v>
          </cell>
          <cell r="I33">
            <v>1</v>
          </cell>
        </row>
        <row r="34">
          <cell r="B34" t="str">
            <v>Riya Roshyara</v>
          </cell>
          <cell r="H34">
            <v>0</v>
          </cell>
          <cell r="I34">
            <v>0</v>
          </cell>
        </row>
        <row r="35">
          <cell r="B35" t="str">
            <v>Riya Roshyara</v>
          </cell>
          <cell r="H35">
            <v>10</v>
          </cell>
          <cell r="I35">
            <v>10</v>
          </cell>
        </row>
        <row r="36">
          <cell r="B36" t="str">
            <v>Riya Roshyara</v>
          </cell>
        </row>
        <row r="37">
          <cell r="B37" t="str">
            <v>Riya Roshyara</v>
          </cell>
          <cell r="I37">
            <v>2.5</v>
          </cell>
        </row>
        <row r="38">
          <cell r="B38" t="str">
            <v>Riya Roshyara</v>
          </cell>
          <cell r="I38">
            <v>1</v>
          </cell>
        </row>
        <row r="39">
          <cell r="B39" t="str">
            <v>Riya Roshyara</v>
          </cell>
          <cell r="I39">
            <v>1</v>
          </cell>
        </row>
        <row r="40">
          <cell r="B40" t="str">
            <v>Riya Roshyara</v>
          </cell>
          <cell r="I40">
            <v>1</v>
          </cell>
        </row>
        <row r="41">
          <cell r="B41" t="str">
            <v>Riya Roshyara</v>
          </cell>
          <cell r="I41">
            <v>1.5</v>
          </cell>
        </row>
        <row r="42">
          <cell r="B42" t="str">
            <v>Riya Roshyara</v>
          </cell>
          <cell r="H42">
            <v>10</v>
          </cell>
          <cell r="I42">
            <v>20</v>
          </cell>
        </row>
        <row r="43">
          <cell r="B43" t="str">
            <v>Chirag Palande</v>
          </cell>
          <cell r="H43">
            <v>1.25</v>
          </cell>
          <cell r="I43">
            <v>1.25</v>
          </cell>
        </row>
        <row r="44">
          <cell r="B44" t="str">
            <v>Chirag Palande</v>
          </cell>
          <cell r="H44">
            <v>0.25</v>
          </cell>
          <cell r="I44">
            <v>0.25</v>
          </cell>
        </row>
        <row r="45">
          <cell r="B45" t="str">
            <v>Chirag Palande</v>
          </cell>
          <cell r="H45">
            <v>10</v>
          </cell>
          <cell r="I45">
            <v>5</v>
          </cell>
        </row>
        <row r="46">
          <cell r="B46" t="str">
            <v>Chirag Palande</v>
          </cell>
          <cell r="H46">
            <v>1</v>
          </cell>
          <cell r="I46">
            <v>1</v>
          </cell>
        </row>
        <row r="47">
          <cell r="B47" t="str">
            <v>Chirag Palande</v>
          </cell>
        </row>
        <row r="48">
          <cell r="B48" t="str">
            <v>Chirag Palande</v>
          </cell>
        </row>
        <row r="49">
          <cell r="B49" t="str">
            <v>Chirag Palande</v>
          </cell>
        </row>
        <row r="50">
          <cell r="B50" t="str">
            <v>Chirag Palande</v>
          </cell>
        </row>
        <row r="51">
          <cell r="B51" t="str">
            <v>Chirag Palande</v>
          </cell>
        </row>
        <row r="52">
          <cell r="B52" t="str">
            <v>Chirag Palande</v>
          </cell>
        </row>
        <row r="53">
          <cell r="B53" t="str">
            <v>Chirag Palande</v>
          </cell>
        </row>
        <row r="54">
          <cell r="B54" t="str">
            <v>Chirag Palande</v>
          </cell>
        </row>
        <row r="55">
          <cell r="B55" t="str">
            <v>Chirag Palande</v>
          </cell>
        </row>
        <row r="56">
          <cell r="B56" t="str">
            <v>Chirag Palande</v>
          </cell>
        </row>
        <row r="57">
          <cell r="B57" t="str">
            <v>Chirag Palande</v>
          </cell>
        </row>
        <row r="58">
          <cell r="B58" t="str">
            <v>Chirag Palande</v>
          </cell>
        </row>
        <row r="59">
          <cell r="B59" t="str">
            <v>Chirag Palande</v>
          </cell>
        </row>
        <row r="60">
          <cell r="B60" t="str">
            <v>Chirag Palande</v>
          </cell>
        </row>
        <row r="61">
          <cell r="B61" t="str">
            <v>Chirag Palande</v>
          </cell>
        </row>
        <row r="62">
          <cell r="B62" t="str">
            <v>Chirag Palande</v>
          </cell>
        </row>
        <row r="63">
          <cell r="B63" t="str">
            <v>Chirag Palande</v>
          </cell>
        </row>
        <row r="64">
          <cell r="B64" t="str">
            <v>Chirag Palande</v>
          </cell>
        </row>
        <row r="65">
          <cell r="B65" t="str">
            <v>Chirag Palande</v>
          </cell>
          <cell r="H65">
            <v>0.25</v>
          </cell>
          <cell r="I65">
            <v>1.5</v>
          </cell>
        </row>
        <row r="66">
          <cell r="B66" t="str">
            <v>Chirag Palande</v>
          </cell>
          <cell r="H66">
            <v>0.25</v>
          </cell>
          <cell r="I66">
            <v>1</v>
          </cell>
        </row>
        <row r="67">
          <cell r="B67" t="str">
            <v>Chirag Palande</v>
          </cell>
        </row>
        <row r="68">
          <cell r="B68" t="str">
            <v>Chirag Palande</v>
          </cell>
        </row>
        <row r="69">
          <cell r="B69" t="str">
            <v>Chirag Palande</v>
          </cell>
        </row>
        <row r="70">
          <cell r="B70" t="str">
            <v>Chirag Palande</v>
          </cell>
        </row>
        <row r="71">
          <cell r="B71" t="str">
            <v>Chirag Palande</v>
          </cell>
        </row>
        <row r="72">
          <cell r="B72" t="str">
            <v>RICHA TIWARI</v>
          </cell>
        </row>
        <row r="73">
          <cell r="B73" t="str">
            <v>RICHA TIWARI</v>
          </cell>
        </row>
        <row r="74">
          <cell r="B74" t="str">
            <v>RICHA TIWARI</v>
          </cell>
          <cell r="I74">
            <v>0.5</v>
          </cell>
        </row>
        <row r="75">
          <cell r="B75" t="str">
            <v>RICHA TIWARI</v>
          </cell>
        </row>
        <row r="76">
          <cell r="B76" t="str">
            <v>RICHA TIWARI</v>
          </cell>
        </row>
        <row r="77">
          <cell r="B77" t="str">
            <v>RICHA TIWARI</v>
          </cell>
          <cell r="I77">
            <v>0.4</v>
          </cell>
        </row>
        <row r="78">
          <cell r="B78" t="str">
            <v>RICHA TIWARI</v>
          </cell>
          <cell r="I78">
            <v>0.5</v>
          </cell>
        </row>
        <row r="79">
          <cell r="B79" t="str">
            <v>RICHA TIWARI</v>
          </cell>
          <cell r="H79">
            <v>3</v>
          </cell>
        </row>
        <row r="80">
          <cell r="B80" t="str">
            <v>RICHA TIWARI</v>
          </cell>
          <cell r="I80">
            <v>0.5</v>
          </cell>
        </row>
        <row r="81">
          <cell r="B81" t="str">
            <v>RICHA TIWARI</v>
          </cell>
          <cell r="H81">
            <v>0.3</v>
          </cell>
          <cell r="I81">
            <v>0.5</v>
          </cell>
        </row>
        <row r="82">
          <cell r="B82" t="str">
            <v>RICHA TIWARI</v>
          </cell>
          <cell r="I82">
            <v>0.3</v>
          </cell>
        </row>
        <row r="83">
          <cell r="B83" t="str">
            <v>RICHA TIWARI</v>
          </cell>
          <cell r="H83">
            <v>0.5</v>
          </cell>
          <cell r="I83">
            <v>0.5</v>
          </cell>
        </row>
        <row r="84">
          <cell r="B84" t="str">
            <v>RICHA TIWARI</v>
          </cell>
          <cell r="H84">
            <v>2</v>
          </cell>
          <cell r="I84">
            <v>1</v>
          </cell>
        </row>
        <row r="85">
          <cell r="B85" t="str">
            <v>RICHA TIWARI</v>
          </cell>
          <cell r="I85">
            <v>0.25</v>
          </cell>
        </row>
        <row r="86">
          <cell r="B86" t="str">
            <v>RICHA TIWARI</v>
          </cell>
        </row>
        <row r="87">
          <cell r="B87" t="str">
            <v>RICHA TIWARI</v>
          </cell>
        </row>
        <row r="88">
          <cell r="B88" t="str">
            <v>RICHA TIWARI</v>
          </cell>
        </row>
        <row r="89">
          <cell r="B89" t="str">
            <v>RICHA TIWARI</v>
          </cell>
        </row>
        <row r="90">
          <cell r="B90" t="str">
            <v>RICHA TIWARI</v>
          </cell>
        </row>
        <row r="91">
          <cell r="B91" t="str">
            <v>RICHA TIWARI</v>
          </cell>
        </row>
        <row r="92">
          <cell r="B92" t="str">
            <v>RICHA TIWARI</v>
          </cell>
        </row>
        <row r="93">
          <cell r="B93" t="str">
            <v>RICHA TIWARI</v>
          </cell>
        </row>
        <row r="94">
          <cell r="B94" t="str">
            <v>RICHA TIWARI</v>
          </cell>
        </row>
        <row r="95">
          <cell r="B95" t="str">
            <v>RICHA TIWARI</v>
          </cell>
        </row>
        <row r="96">
          <cell r="B96" t="str">
            <v>RICHA TIWARI</v>
          </cell>
          <cell r="H96">
            <v>0.8</v>
          </cell>
          <cell r="I96">
            <v>3</v>
          </cell>
        </row>
        <row r="97">
          <cell r="B97" t="str">
            <v>RICHA TIWARI</v>
          </cell>
          <cell r="H97">
            <v>0.5</v>
          </cell>
          <cell r="I97">
            <v>2.5</v>
          </cell>
        </row>
        <row r="98">
          <cell r="B98" t="str">
            <v>RICHA TIWARI</v>
          </cell>
          <cell r="H98">
            <v>0.5</v>
          </cell>
          <cell r="I98">
            <v>3</v>
          </cell>
        </row>
        <row r="99">
          <cell r="B99" t="str">
            <v>RICHA TIWARI</v>
          </cell>
          <cell r="H99">
            <v>0.5</v>
          </cell>
          <cell r="I99">
            <v>0.7</v>
          </cell>
        </row>
        <row r="100">
          <cell r="B100" t="str">
            <v>RICHA TIWARI</v>
          </cell>
        </row>
        <row r="101">
          <cell r="B101" t="str">
            <v>RICHA TIWARI</v>
          </cell>
          <cell r="I101">
            <v>0.5</v>
          </cell>
        </row>
        <row r="102">
          <cell r="B102" t="str">
            <v>RICHA TIWARI</v>
          </cell>
          <cell r="I102">
            <v>0.5</v>
          </cell>
        </row>
        <row r="103">
          <cell r="B103" t="str">
            <v>RICHA TIWARI</v>
          </cell>
        </row>
        <row r="104">
          <cell r="B104" t="str">
            <v>RICHA TIWARI</v>
          </cell>
        </row>
        <row r="105">
          <cell r="B105" t="str">
            <v>RICHA TIWARI</v>
          </cell>
          <cell r="I105">
            <v>0.5</v>
          </cell>
        </row>
        <row r="106">
          <cell r="B106" t="str">
            <v>RICHA TIWARI</v>
          </cell>
          <cell r="H106">
            <v>0.1</v>
          </cell>
          <cell r="I106">
            <v>0.5</v>
          </cell>
        </row>
        <row r="107">
          <cell r="B107" t="str">
            <v>RICHA TIWARI</v>
          </cell>
          <cell r="I107">
            <v>0.1</v>
          </cell>
        </row>
        <row r="108">
          <cell r="B108" t="str">
            <v>RICHA TIWARI</v>
          </cell>
          <cell r="I108">
            <v>0.2</v>
          </cell>
        </row>
        <row r="109">
          <cell r="B109" t="str">
            <v>RICHA TIWARI</v>
          </cell>
          <cell r="I109">
            <v>0.5</v>
          </cell>
        </row>
        <row r="110">
          <cell r="B110" t="str">
            <v>RICHA TIWARI</v>
          </cell>
          <cell r="H110">
            <v>0.1</v>
          </cell>
          <cell r="I110">
            <v>0.5</v>
          </cell>
        </row>
        <row r="111">
          <cell r="B111" t="str">
            <v>TBH</v>
          </cell>
          <cell r="H111">
            <v>5</v>
          </cell>
          <cell r="I111">
            <v>0</v>
          </cell>
        </row>
        <row r="112">
          <cell r="B112" t="str">
            <v>TBH</v>
          </cell>
        </row>
        <row r="113">
          <cell r="B113" t="str">
            <v>TBH</v>
          </cell>
        </row>
        <row r="114">
          <cell r="B114" t="str">
            <v>TBH</v>
          </cell>
        </row>
        <row r="115">
          <cell r="B115" t="str">
            <v>TBH</v>
          </cell>
        </row>
        <row r="116">
          <cell r="B116" t="str">
            <v>TBH</v>
          </cell>
          <cell r="H116">
            <v>0</v>
          </cell>
          <cell r="I116">
            <v>2.5</v>
          </cell>
        </row>
        <row r="117">
          <cell r="B117" t="str">
            <v>TBH</v>
          </cell>
          <cell r="H117">
            <v>2.5</v>
          </cell>
          <cell r="I117">
            <v>2.5</v>
          </cell>
        </row>
        <row r="118">
          <cell r="B118" t="str">
            <v>Ishwari Kadam</v>
          </cell>
          <cell r="H118">
            <v>5</v>
          </cell>
          <cell r="I118">
            <v>20</v>
          </cell>
        </row>
        <row r="119">
          <cell r="B119" t="str">
            <v>Pratik Kadam</v>
          </cell>
          <cell r="H119">
            <v>3</v>
          </cell>
          <cell r="I119">
            <v>2</v>
          </cell>
        </row>
        <row r="120">
          <cell r="B120" t="str">
            <v>Prashant Ddugu</v>
          </cell>
        </row>
        <row r="121">
          <cell r="H121">
            <v>91.874999999999986</v>
          </cell>
          <cell r="I121">
            <v>187.22499999999999</v>
          </cell>
        </row>
        <row r="141">
          <cell r="H141" t="str">
            <v>Performance Based Incentives</v>
          </cell>
          <cell r="I141" t="str">
            <v>Total CTC</v>
          </cell>
        </row>
        <row r="142">
          <cell r="H142">
            <v>2560080</v>
          </cell>
          <cell r="I142">
            <v>6400206</v>
          </cell>
        </row>
        <row r="143">
          <cell r="H143">
            <v>990293</v>
          </cell>
          <cell r="I143">
            <v>2475737</v>
          </cell>
        </row>
        <row r="144">
          <cell r="H144">
            <v>1225900</v>
          </cell>
          <cell r="I144">
            <v>3064756</v>
          </cell>
        </row>
        <row r="145">
          <cell r="H145">
            <v>1035000</v>
          </cell>
          <cell r="I145">
            <v>2587500</v>
          </cell>
        </row>
        <row r="146">
          <cell r="H146">
            <v>1120000</v>
          </cell>
          <cell r="I146">
            <v>2800000</v>
          </cell>
        </row>
        <row r="147">
          <cell r="H147">
            <v>560004</v>
          </cell>
          <cell r="I147">
            <v>1400018</v>
          </cell>
        </row>
        <row r="148">
          <cell r="H148">
            <v>0</v>
          </cell>
          <cell r="I148">
            <v>632510</v>
          </cell>
        </row>
        <row r="149">
          <cell r="H149">
            <v>0</v>
          </cell>
          <cell r="I149">
            <v>481850</v>
          </cell>
        </row>
      </sheetData>
      <sheetData sheetId="5">
        <row r="6">
          <cell r="G6" t="str">
            <v>Quota Split  H1 (In Crs.)</v>
          </cell>
        </row>
        <row r="7">
          <cell r="G7" t="str">
            <v>Q1</v>
          </cell>
          <cell r="H7" t="str">
            <v>Q2</v>
          </cell>
        </row>
        <row r="8">
          <cell r="G8">
            <v>54.850000000000016</v>
          </cell>
          <cell r="H8">
            <v>84.149999999999991</v>
          </cell>
        </row>
        <row r="9">
          <cell r="G9">
            <v>3</v>
          </cell>
          <cell r="H9">
            <v>5</v>
          </cell>
        </row>
        <row r="11">
          <cell r="G11" t="str">
            <v>Quota Split  H1 (In Crs.)</v>
          </cell>
        </row>
        <row r="12">
          <cell r="B12" t="str">
            <v>Account Mangers</v>
          </cell>
          <cell r="G12" t="str">
            <v>Q1</v>
          </cell>
          <cell r="H12" t="str">
            <v>Q2</v>
          </cell>
        </row>
        <row r="13">
          <cell r="B13" t="str">
            <v>Rohit</v>
          </cell>
          <cell r="G13">
            <v>25</v>
          </cell>
          <cell r="H13">
            <v>50</v>
          </cell>
        </row>
        <row r="14">
          <cell r="B14" t="str">
            <v>Rohit</v>
          </cell>
          <cell r="G14">
            <v>4</v>
          </cell>
          <cell r="H14">
            <v>3</v>
          </cell>
        </row>
        <row r="15">
          <cell r="B15" t="str">
            <v>Chetna</v>
          </cell>
          <cell r="G15">
            <v>0.3</v>
          </cell>
          <cell r="H15">
            <v>0.7</v>
          </cell>
        </row>
        <row r="16">
          <cell r="B16" t="str">
            <v>Chetna</v>
          </cell>
          <cell r="G16">
            <v>0.6</v>
          </cell>
          <cell r="H16">
            <v>0.4</v>
          </cell>
        </row>
        <row r="17">
          <cell r="B17" t="str">
            <v>Chetna</v>
          </cell>
          <cell r="G17">
            <v>0.6</v>
          </cell>
          <cell r="H17">
            <v>0.4</v>
          </cell>
        </row>
        <row r="18">
          <cell r="B18" t="str">
            <v>Chetna</v>
          </cell>
          <cell r="G18">
            <v>1</v>
          </cell>
          <cell r="H18">
            <v>5</v>
          </cell>
        </row>
        <row r="19">
          <cell r="B19" t="str">
            <v>Chetna</v>
          </cell>
          <cell r="G19">
            <v>3</v>
          </cell>
          <cell r="H19">
            <v>2</v>
          </cell>
        </row>
        <row r="20">
          <cell r="B20" t="str">
            <v>Chetna</v>
          </cell>
          <cell r="G20">
            <v>1.5</v>
          </cell>
          <cell r="H20">
            <v>0.5</v>
          </cell>
        </row>
        <row r="21">
          <cell r="B21" t="str">
            <v>Chetna</v>
          </cell>
          <cell r="G21">
            <v>1</v>
          </cell>
          <cell r="H21">
            <v>1</v>
          </cell>
        </row>
        <row r="22">
          <cell r="B22" t="str">
            <v>Varsha</v>
          </cell>
          <cell r="G22">
            <v>0.5</v>
          </cell>
          <cell r="H22">
            <v>0.5</v>
          </cell>
        </row>
        <row r="23">
          <cell r="B23" t="str">
            <v>Varsha</v>
          </cell>
          <cell r="G23">
            <v>0.2</v>
          </cell>
          <cell r="H23">
            <v>0.2</v>
          </cell>
        </row>
        <row r="24">
          <cell r="B24" t="str">
            <v>Varsha</v>
          </cell>
          <cell r="G24">
            <v>0.5</v>
          </cell>
          <cell r="H24">
            <v>0.5</v>
          </cell>
        </row>
        <row r="25">
          <cell r="B25" t="str">
            <v>Varsha</v>
          </cell>
          <cell r="G25">
            <v>0.2</v>
          </cell>
          <cell r="H25">
            <v>0.8</v>
          </cell>
        </row>
        <row r="26">
          <cell r="B26" t="str">
            <v>varsha</v>
          </cell>
          <cell r="G26">
            <v>5</v>
          </cell>
          <cell r="H26">
            <v>5</v>
          </cell>
        </row>
        <row r="27">
          <cell r="B27" t="str">
            <v>Varsha</v>
          </cell>
          <cell r="G27">
            <v>0.2</v>
          </cell>
          <cell r="H27">
            <v>0.3</v>
          </cell>
        </row>
        <row r="28">
          <cell r="B28" t="str">
            <v>Varsha</v>
          </cell>
          <cell r="G28">
            <v>0.1</v>
          </cell>
          <cell r="H28">
            <v>0.1</v>
          </cell>
        </row>
        <row r="29">
          <cell r="B29" t="str">
            <v>Varsha</v>
          </cell>
          <cell r="G29">
            <v>0.2</v>
          </cell>
          <cell r="H29">
            <v>0.8</v>
          </cell>
        </row>
        <row r="30">
          <cell r="B30" t="str">
            <v>Varsha</v>
          </cell>
          <cell r="G30">
            <v>0.2</v>
          </cell>
          <cell r="H30">
            <v>0.8</v>
          </cell>
        </row>
        <row r="31">
          <cell r="B31" t="str">
            <v>Varsha</v>
          </cell>
          <cell r="G31">
            <v>0.2</v>
          </cell>
          <cell r="H31">
            <v>0.8</v>
          </cell>
        </row>
        <row r="32">
          <cell r="B32" t="str">
            <v>Arpit</v>
          </cell>
          <cell r="G32">
            <v>5</v>
          </cell>
          <cell r="H32">
            <v>5</v>
          </cell>
        </row>
        <row r="33">
          <cell r="B33" t="str">
            <v>Arpit</v>
          </cell>
          <cell r="G33">
            <v>0.5</v>
          </cell>
          <cell r="H33">
            <v>0.5</v>
          </cell>
        </row>
        <row r="34">
          <cell r="B34" t="str">
            <v>Arpit</v>
          </cell>
          <cell r="G34">
            <v>0.5</v>
          </cell>
          <cell r="H34">
            <v>0.5</v>
          </cell>
        </row>
        <row r="35">
          <cell r="B35" t="str">
            <v>Arpit</v>
          </cell>
          <cell r="G35">
            <v>0.25</v>
          </cell>
          <cell r="H35">
            <v>0.25</v>
          </cell>
        </row>
        <row r="36">
          <cell r="B36" t="str">
            <v>Arpit</v>
          </cell>
          <cell r="G36">
            <v>0.25</v>
          </cell>
          <cell r="H36">
            <v>0.25</v>
          </cell>
        </row>
        <row r="37">
          <cell r="B37" t="str">
            <v>Arpit</v>
          </cell>
          <cell r="G37">
            <v>0.25</v>
          </cell>
          <cell r="H37">
            <v>0.25</v>
          </cell>
        </row>
        <row r="38">
          <cell r="B38" t="str">
            <v>Dennis</v>
          </cell>
          <cell r="G38">
            <v>0.3</v>
          </cell>
          <cell r="H38">
            <v>0.7</v>
          </cell>
        </row>
        <row r="39">
          <cell r="B39" t="str">
            <v>Dennis</v>
          </cell>
          <cell r="G39">
            <v>0.2</v>
          </cell>
          <cell r="H39">
            <v>0.25</v>
          </cell>
        </row>
        <row r="40">
          <cell r="B40" t="str">
            <v>Dennis</v>
          </cell>
          <cell r="G40">
            <v>0.3</v>
          </cell>
          <cell r="H40">
            <v>0.7</v>
          </cell>
        </row>
        <row r="41">
          <cell r="B41" t="str">
            <v>Dennis</v>
          </cell>
          <cell r="G41">
            <v>0.25</v>
          </cell>
          <cell r="H41">
            <v>0.2</v>
          </cell>
        </row>
        <row r="42">
          <cell r="B42" t="str">
            <v>Sankeerth</v>
          </cell>
          <cell r="G42">
            <v>0.75</v>
          </cell>
          <cell r="H42">
            <v>0.75</v>
          </cell>
        </row>
        <row r="43">
          <cell r="B43" t="str">
            <v>Sankeerth</v>
          </cell>
          <cell r="G43">
            <v>0.75</v>
          </cell>
          <cell r="H43">
            <v>0.75</v>
          </cell>
        </row>
        <row r="44">
          <cell r="B44" t="str">
            <v>Sankeerth</v>
          </cell>
          <cell r="G44">
            <v>0.25</v>
          </cell>
          <cell r="H44">
            <v>0.25</v>
          </cell>
        </row>
        <row r="45">
          <cell r="B45" t="str">
            <v>Sankeerth</v>
          </cell>
          <cell r="G45">
            <v>1</v>
          </cell>
          <cell r="H45">
            <v>1</v>
          </cell>
        </row>
      </sheetData>
      <sheetData sheetId="6">
        <row r="2">
          <cell r="A2" t="str">
            <v>Sales Unit</v>
          </cell>
        </row>
        <row r="4">
          <cell r="A4" t="str">
            <v xml:space="preserve">Business Plan </v>
          </cell>
        </row>
        <row r="6">
          <cell r="A6" t="str">
            <v>Master Revenue &amp; Bottomline Objective</v>
          </cell>
        </row>
        <row r="7">
          <cell r="A7" t="str">
            <v>Sr.No.</v>
          </cell>
          <cell r="C7" t="str">
            <v>Amount (in Crores)</v>
          </cell>
          <cell r="D7" t="str">
            <v>MGMT Plan ( In Crores)</v>
          </cell>
        </row>
        <row r="8">
          <cell r="C8">
            <v>115</v>
          </cell>
          <cell r="D8">
            <v>115</v>
          </cell>
        </row>
        <row r="9">
          <cell r="C9">
            <v>6</v>
          </cell>
          <cell r="D9">
            <v>6</v>
          </cell>
        </row>
        <row r="11">
          <cell r="C11" t="str">
            <v>Quota Split  H1 (In Crs.)</v>
          </cell>
        </row>
        <row r="12">
          <cell r="A12" t="str">
            <v xml:space="preserve">AE </v>
          </cell>
          <cell r="C12" t="str">
            <v>Q1</v>
          </cell>
          <cell r="D12" t="str">
            <v>Q2</v>
          </cell>
        </row>
        <row r="13">
          <cell r="A13" t="str">
            <v>Darshana Patil</v>
          </cell>
          <cell r="C13">
            <v>3</v>
          </cell>
          <cell r="D13">
            <v>4</v>
          </cell>
        </row>
        <row r="14">
          <cell r="A14" t="str">
            <v>Prachi Mayekar</v>
          </cell>
          <cell r="C14">
            <v>7.5</v>
          </cell>
          <cell r="D14">
            <v>7.5</v>
          </cell>
        </row>
        <row r="15">
          <cell r="A15" t="str">
            <v>Shilpa Kavde</v>
          </cell>
          <cell r="C15">
            <v>5</v>
          </cell>
          <cell r="D15">
            <v>10</v>
          </cell>
        </row>
        <row r="16">
          <cell r="A16" t="str">
            <v>Jimesh Shah &amp; Team</v>
          </cell>
          <cell r="C16">
            <v>5</v>
          </cell>
          <cell r="D16">
            <v>10</v>
          </cell>
        </row>
        <row r="17">
          <cell r="A17" t="str">
            <v>Total</v>
          </cell>
          <cell r="C17">
            <v>20.5</v>
          </cell>
          <cell r="D17">
            <v>31.5</v>
          </cell>
        </row>
        <row r="19">
          <cell r="A19" t="str">
            <v>Jimesh &amp; Team</v>
          </cell>
          <cell r="C19" t="str">
            <v>Quota Split  H1 (In Crs.)</v>
          </cell>
        </row>
        <row r="20">
          <cell r="C20" t="str">
            <v>Q1</v>
          </cell>
          <cell r="D20" t="str">
            <v>Q2</v>
          </cell>
        </row>
        <row r="21">
          <cell r="A21" t="str">
            <v>Vidula Chavan</v>
          </cell>
          <cell r="C21">
            <v>1</v>
          </cell>
          <cell r="D21">
            <v>2</v>
          </cell>
        </row>
        <row r="22">
          <cell r="A22" t="str">
            <v>TBH</v>
          </cell>
          <cell r="C22">
            <v>1</v>
          </cell>
          <cell r="D22">
            <v>2</v>
          </cell>
        </row>
        <row r="25">
          <cell r="A25" t="str">
            <v>BU wise Plan</v>
          </cell>
        </row>
        <row r="26">
          <cell r="A26" t="str">
            <v>Sr.No</v>
          </cell>
          <cell r="C26" t="str">
            <v>Estimated Revenue in Crores</v>
          </cell>
        </row>
        <row r="27">
          <cell r="A27">
            <v>1</v>
          </cell>
          <cell r="C27">
            <v>40</v>
          </cell>
        </row>
        <row r="28">
          <cell r="A28">
            <v>2</v>
          </cell>
          <cell r="C28">
            <v>24</v>
          </cell>
        </row>
      </sheetData>
      <sheetData sheetId="7">
        <row r="2">
          <cell r="A2" t="str">
            <v>Sales Unit</v>
          </cell>
        </row>
        <row r="4">
          <cell r="A4" t="str">
            <v xml:space="preserve">Business Plan </v>
          </cell>
        </row>
        <row r="6">
          <cell r="A6" t="str">
            <v>Master Revenue &amp; Bottomline Objective</v>
          </cell>
        </row>
        <row r="7">
          <cell r="A7" t="str">
            <v>Sr.No.</v>
          </cell>
          <cell r="C7" t="str">
            <v>Amount (in Crores)</v>
          </cell>
          <cell r="D7" t="str">
            <v>Mgmt Plan in Crores</v>
          </cell>
        </row>
        <row r="8">
          <cell r="C8">
            <v>66</v>
          </cell>
          <cell r="D8">
            <v>50</v>
          </cell>
        </row>
        <row r="9">
          <cell r="C9">
            <v>2.9699999999999998</v>
          </cell>
          <cell r="D9">
            <v>2.25</v>
          </cell>
        </row>
        <row r="11">
          <cell r="A11" t="str">
            <v>H1</v>
          </cell>
        </row>
        <row r="13">
          <cell r="A13">
            <v>26</v>
          </cell>
        </row>
        <row r="15">
          <cell r="C15" t="str">
            <v>Quota Split  H1 (In Crs.)</v>
          </cell>
        </row>
        <row r="16">
          <cell r="C16" t="str">
            <v>Q1</v>
          </cell>
          <cell r="D16" t="str">
            <v>Q2</v>
          </cell>
        </row>
        <row r="17">
          <cell r="A17" t="str">
            <v>Atharva Kapre</v>
          </cell>
          <cell r="C17">
            <v>3</v>
          </cell>
          <cell r="D17">
            <v>1</v>
          </cell>
        </row>
        <row r="18">
          <cell r="A18" t="str">
            <v>Jay Rushi</v>
          </cell>
          <cell r="C18">
            <v>1</v>
          </cell>
          <cell r="D18">
            <v>2</v>
          </cell>
        </row>
        <row r="19">
          <cell r="A19" t="str">
            <v>TBH</v>
          </cell>
        </row>
        <row r="20">
          <cell r="A20" t="str">
            <v>TBH</v>
          </cell>
        </row>
        <row r="21">
          <cell r="A21" t="str">
            <v>Ayushaman</v>
          </cell>
          <cell r="C21">
            <v>1</v>
          </cell>
          <cell r="D21">
            <v>2</v>
          </cell>
        </row>
        <row r="22">
          <cell r="A22" t="str">
            <v>Shubhangi</v>
          </cell>
          <cell r="C22">
            <v>2</v>
          </cell>
          <cell r="D22">
            <v>3</v>
          </cell>
        </row>
        <row r="23">
          <cell r="A23" t="str">
            <v xml:space="preserve">Bhumi </v>
          </cell>
          <cell r="C23">
            <v>0.1</v>
          </cell>
          <cell r="D23">
            <v>0.5</v>
          </cell>
        </row>
        <row r="24">
          <cell r="A24" t="str">
            <v>Suyesh</v>
          </cell>
          <cell r="C24">
            <v>0.1</v>
          </cell>
          <cell r="D24">
            <v>0.5</v>
          </cell>
        </row>
        <row r="25">
          <cell r="A25" t="str">
            <v>ISR Lead</v>
          </cell>
        </row>
        <row r="26">
          <cell r="A26" t="str">
            <v>Ashish</v>
          </cell>
          <cell r="C26">
            <v>2</v>
          </cell>
          <cell r="D26">
            <v>3</v>
          </cell>
        </row>
        <row r="27">
          <cell r="A27" t="str">
            <v>Rizwana (ISR/OSR)</v>
          </cell>
          <cell r="C27">
            <v>0.5</v>
          </cell>
          <cell r="D27">
            <v>1</v>
          </cell>
        </row>
        <row r="28">
          <cell r="A28" t="str">
            <v>TBH</v>
          </cell>
        </row>
      </sheetData>
      <sheetData sheetId="8">
        <row r="3">
          <cell r="B3" t="str">
            <v>Sales Unit</v>
          </cell>
        </row>
        <row r="5">
          <cell r="B5" t="str">
            <v xml:space="preserve">Business Plan </v>
          </cell>
        </row>
        <row r="8">
          <cell r="B8" t="str">
            <v>Master Revenue &amp; Bottomline Objective</v>
          </cell>
        </row>
        <row r="9">
          <cell r="B9" t="str">
            <v>Sr.No.</v>
          </cell>
          <cell r="D9" t="str">
            <v>Amount (in Crores)</v>
          </cell>
          <cell r="E9" t="str">
            <v>Mgmt Plan in Crores</v>
          </cell>
        </row>
        <row r="10">
          <cell r="B10">
            <v>1</v>
          </cell>
          <cell r="D10">
            <v>35</v>
          </cell>
          <cell r="E10">
            <v>35</v>
          </cell>
        </row>
        <row r="11">
          <cell r="B11">
            <v>2</v>
          </cell>
          <cell r="D11">
            <v>2</v>
          </cell>
          <cell r="E11">
            <v>2</v>
          </cell>
        </row>
        <row r="14">
          <cell r="D14" t="str">
            <v>Quota Split  H1 (In Crs.)</v>
          </cell>
        </row>
        <row r="15">
          <cell r="B15" t="str">
            <v xml:space="preserve">Sales Person Name </v>
          </cell>
          <cell r="D15" t="str">
            <v>Q1</v>
          </cell>
          <cell r="E15" t="str">
            <v>Q2</v>
          </cell>
        </row>
        <row r="16">
          <cell r="B16" t="str">
            <v>Abrar Altaf Menon</v>
          </cell>
          <cell r="D16">
            <v>2</v>
          </cell>
          <cell r="E16">
            <v>2</v>
          </cell>
        </row>
        <row r="17">
          <cell r="B17" t="str">
            <v>Sagar TR</v>
          </cell>
          <cell r="D17">
            <v>2.5</v>
          </cell>
          <cell r="E17">
            <v>2.5</v>
          </cell>
        </row>
        <row r="18">
          <cell r="B18" t="str">
            <v>Shaikh Kadar</v>
          </cell>
          <cell r="D18">
            <v>3</v>
          </cell>
          <cell r="E18">
            <v>3</v>
          </cell>
        </row>
        <row r="19">
          <cell r="B19" t="str">
            <v>Shahbaz Khan</v>
          </cell>
          <cell r="D19">
            <v>3</v>
          </cell>
          <cell r="E19">
            <v>3</v>
          </cell>
        </row>
        <row r="20">
          <cell r="B20" t="str">
            <v xml:space="preserve">TBH - </v>
          </cell>
          <cell r="D20">
            <v>2</v>
          </cell>
          <cell r="E20">
            <v>2</v>
          </cell>
        </row>
        <row r="22">
          <cell r="B22" t="str">
            <v>Total</v>
          </cell>
          <cell r="D22">
            <v>12.5</v>
          </cell>
          <cell r="E22">
            <v>12.5</v>
          </cell>
        </row>
        <row r="25">
          <cell r="B25" t="str">
            <v>Sr.No</v>
          </cell>
          <cell r="D25" t="str">
            <v>Estimated Revenue in Crores</v>
          </cell>
          <cell r="E25" t="str">
            <v>Mgmt Plan in Crores</v>
          </cell>
        </row>
        <row r="26">
          <cell r="D26">
            <v>14</v>
          </cell>
          <cell r="E26">
            <v>14</v>
          </cell>
        </row>
        <row r="27">
          <cell r="D27">
            <v>1</v>
          </cell>
          <cell r="E27">
            <v>1</v>
          </cell>
        </row>
        <row r="28">
          <cell r="D28">
            <v>1</v>
          </cell>
          <cell r="E28">
            <v>1</v>
          </cell>
        </row>
      </sheetData>
      <sheetData sheetId="9">
        <row r="2">
          <cell r="A2" t="str">
            <v>Sales Unit</v>
          </cell>
        </row>
        <row r="4">
          <cell r="A4" t="str">
            <v xml:space="preserve">Business Plan </v>
          </cell>
        </row>
        <row r="6">
          <cell r="A6" t="str">
            <v>Master Revenue &amp; Bottomline Objective</v>
          </cell>
          <cell r="I6" t="str">
            <v>Quota Split H2 (In Crs.)</v>
          </cell>
        </row>
        <row r="7">
          <cell r="A7" t="str">
            <v>Sr.No.</v>
          </cell>
          <cell r="C7" t="str">
            <v>Amount (in Crores)</v>
          </cell>
          <cell r="D7" t="str">
            <v>MGMT Plan in Crores</v>
          </cell>
          <cell r="H7" t="str">
            <v>Q2</v>
          </cell>
          <cell r="I7" t="str">
            <v>Q3</v>
          </cell>
        </row>
        <row r="8">
          <cell r="A8" t="str">
            <v>Target</v>
          </cell>
          <cell r="C8">
            <v>45.5</v>
          </cell>
          <cell r="D8">
            <v>40</v>
          </cell>
          <cell r="H8">
            <v>10</v>
          </cell>
          <cell r="I8">
            <v>15</v>
          </cell>
        </row>
        <row r="9">
          <cell r="C9">
            <v>5</v>
          </cell>
          <cell r="D9">
            <v>4</v>
          </cell>
          <cell r="H9">
            <v>1.1499999999999999</v>
          </cell>
          <cell r="I9">
            <v>1.65</v>
          </cell>
        </row>
        <row r="12">
          <cell r="C12" t="str">
            <v>Quota Split  H1 (In Crs.)</v>
          </cell>
          <cell r="H12" t="str">
            <v>Quota Split  H1 (In Crs.)</v>
          </cell>
        </row>
        <row r="13">
          <cell r="A13" t="str">
            <v>Name</v>
          </cell>
          <cell r="C13" t="str">
            <v>Q1</v>
          </cell>
          <cell r="D13" t="str">
            <v>Q2</v>
          </cell>
          <cell r="H13" t="str">
            <v>Q1</v>
          </cell>
          <cell r="I13" t="str">
            <v>Q2</v>
          </cell>
        </row>
        <row r="14">
          <cell r="A14" t="str">
            <v>Sanjeev Kohli</v>
          </cell>
          <cell r="C14">
            <v>2.5</v>
          </cell>
          <cell r="D14">
            <v>5</v>
          </cell>
          <cell r="H14">
            <v>0.1</v>
          </cell>
          <cell r="I14">
            <v>0.5</v>
          </cell>
        </row>
        <row r="15">
          <cell r="A15" t="str">
            <v>Hrushikesh Bagade</v>
          </cell>
          <cell r="C15">
            <v>2.5</v>
          </cell>
          <cell r="D15">
            <v>5</v>
          </cell>
          <cell r="H15">
            <v>0.4</v>
          </cell>
          <cell r="I15">
            <v>0.65</v>
          </cell>
        </row>
        <row r="16">
          <cell r="A16" t="str">
            <v>TBH</v>
          </cell>
          <cell r="C16">
            <v>0.5</v>
          </cell>
          <cell r="D16">
            <v>3</v>
          </cell>
          <cell r="H16">
            <v>0</v>
          </cell>
          <cell r="I16">
            <v>0.2</v>
          </cell>
        </row>
        <row r="17">
          <cell r="A17" t="str">
            <v>Total</v>
          </cell>
          <cell r="C17">
            <v>5.5</v>
          </cell>
          <cell r="D17">
            <v>13</v>
          </cell>
          <cell r="H17">
            <v>0.5</v>
          </cell>
          <cell r="I17">
            <v>1.3499999999999999</v>
          </cell>
        </row>
        <row r="20">
          <cell r="A20" t="str">
            <v>Sr.No</v>
          </cell>
          <cell r="C20" t="str">
            <v>Estimated Revenue in Crores</v>
          </cell>
          <cell r="D20" t="str">
            <v>MGMT Plan in Crores</v>
          </cell>
        </row>
        <row r="21">
          <cell r="C21">
            <v>10</v>
          </cell>
          <cell r="D21">
            <v>8.791208791208792</v>
          </cell>
        </row>
        <row r="22">
          <cell r="C22">
            <v>20</v>
          </cell>
          <cell r="D22">
            <v>17.582417582417584</v>
          </cell>
        </row>
        <row r="23">
          <cell r="C23">
            <v>5</v>
          </cell>
          <cell r="D23">
            <v>4.395604395604396</v>
          </cell>
        </row>
        <row r="24">
          <cell r="C24">
            <v>2</v>
          </cell>
          <cell r="D24">
            <v>1.7582417582417584</v>
          </cell>
        </row>
        <row r="25">
          <cell r="C25">
            <v>0.5</v>
          </cell>
          <cell r="D25">
            <v>0.43956043956043961</v>
          </cell>
        </row>
        <row r="26">
          <cell r="C26">
            <v>8</v>
          </cell>
          <cell r="D26">
            <v>7.0329670329670337</v>
          </cell>
        </row>
        <row r="27">
          <cell r="C27">
            <v>45.5</v>
          </cell>
          <cell r="D27">
            <v>40.000000000000007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il1"/>
      <sheetName val="Sheet1"/>
      <sheetName val="Opportunity Pipeline"/>
    </sheetNames>
    <sheetDataSet>
      <sheetData sheetId="0"/>
      <sheetData sheetId="1"/>
      <sheetData sheetId="2">
        <row r="1">
          <cell r="F1" t="str">
            <v>Opportunity Led By</v>
          </cell>
          <cell r="K1" t="str">
            <v>Category</v>
          </cell>
          <cell r="O1" t="str">
            <v>Amount</v>
          </cell>
          <cell r="P1" t="str">
            <v>Estimated Bottomline</v>
          </cell>
          <cell r="Q1" t="str">
            <v>Actual Bottomline -</v>
          </cell>
          <cell r="Z1" t="str">
            <v>Division</v>
          </cell>
        </row>
        <row r="2">
          <cell r="F2" t="str">
            <v>Abrar Memon</v>
          </cell>
          <cell r="K2" t="str">
            <v>CSG (EndPoint)</v>
          </cell>
          <cell r="O2">
            <v>16380</v>
          </cell>
          <cell r="P2">
            <v>2550</v>
          </cell>
          <cell r="Q2">
            <v>2550</v>
          </cell>
          <cell r="Z2" t="str">
            <v>South</v>
          </cell>
        </row>
        <row r="3">
          <cell r="F3" t="str">
            <v>Abrar Memon</v>
          </cell>
          <cell r="K3" t="str">
            <v>CSG (EndPoint)</v>
          </cell>
          <cell r="O3">
            <v>4100</v>
          </cell>
          <cell r="P3">
            <v>550</v>
          </cell>
          <cell r="Q3">
            <v>550</v>
          </cell>
          <cell r="Z3" t="str">
            <v>South</v>
          </cell>
        </row>
        <row r="4">
          <cell r="F4" t="str">
            <v>Abrar Memon</v>
          </cell>
          <cell r="K4" t="str">
            <v>CSG (EndPoint)</v>
          </cell>
          <cell r="O4">
            <v>263090.89</v>
          </cell>
          <cell r="P4">
            <v>13090.89</v>
          </cell>
          <cell r="Q4">
            <v>0</v>
          </cell>
          <cell r="Z4" t="str">
            <v>South</v>
          </cell>
        </row>
        <row r="5">
          <cell r="F5" t="str">
            <v>Ajay Patodia</v>
          </cell>
          <cell r="K5" t="str">
            <v>Data Centre</v>
          </cell>
          <cell r="O5">
            <v>27839236</v>
          </cell>
          <cell r="P5">
            <v>100000</v>
          </cell>
          <cell r="Q5">
            <v>0</v>
          </cell>
          <cell r="Z5" t="str">
            <v>Others</v>
          </cell>
        </row>
        <row r="6">
          <cell r="F6" t="str">
            <v>Ajay Patodia</v>
          </cell>
          <cell r="K6" t="str">
            <v>Data Centre</v>
          </cell>
          <cell r="O6">
            <v>1555020</v>
          </cell>
          <cell r="P6">
            <v>125000</v>
          </cell>
          <cell r="Q6">
            <v>95020</v>
          </cell>
          <cell r="Z6" t="str">
            <v>Others</v>
          </cell>
        </row>
        <row r="7">
          <cell r="F7" t="str">
            <v>Ajay Patodia</v>
          </cell>
          <cell r="K7" t="str">
            <v>Data Centre</v>
          </cell>
          <cell r="O7">
            <v>450000</v>
          </cell>
          <cell r="P7">
            <v>45000</v>
          </cell>
          <cell r="Q7">
            <v>30000</v>
          </cell>
          <cell r="Z7" t="str">
            <v>Others</v>
          </cell>
        </row>
        <row r="8">
          <cell r="F8" t="str">
            <v>Ajay Patodia</v>
          </cell>
          <cell r="K8" t="str">
            <v>Data Centre</v>
          </cell>
          <cell r="O8">
            <v>3592913.74</v>
          </cell>
          <cell r="P8">
            <v>300000</v>
          </cell>
          <cell r="Q8">
            <v>232913.74</v>
          </cell>
          <cell r="Z8" t="str">
            <v>Others</v>
          </cell>
        </row>
        <row r="9">
          <cell r="F9" t="str">
            <v>Ajay Patodia</v>
          </cell>
          <cell r="K9" t="str">
            <v>Data Centre</v>
          </cell>
          <cell r="O9">
            <v>40741531.43</v>
          </cell>
          <cell r="P9">
            <v>500000</v>
          </cell>
          <cell r="Q9">
            <v>2741531.43</v>
          </cell>
          <cell r="Z9" t="str">
            <v>Others</v>
          </cell>
        </row>
        <row r="10">
          <cell r="F10" t="str">
            <v>Ajay Patodia</v>
          </cell>
          <cell r="K10" t="str">
            <v>Data Centre</v>
          </cell>
          <cell r="O10">
            <v>76000</v>
          </cell>
          <cell r="P10">
            <v>5000</v>
          </cell>
          <cell r="Q10">
            <v>5000</v>
          </cell>
          <cell r="Z10" t="str">
            <v>Others</v>
          </cell>
        </row>
        <row r="11">
          <cell r="F11" t="str">
            <v>Ajay Patodia</v>
          </cell>
          <cell r="K11" t="str">
            <v>Data Centre</v>
          </cell>
          <cell r="O11">
            <v>1272406.6599999999</v>
          </cell>
          <cell r="P11">
            <v>100000</v>
          </cell>
          <cell r="Q11">
            <v>83407</v>
          </cell>
          <cell r="Z11" t="str">
            <v>Others</v>
          </cell>
        </row>
        <row r="12">
          <cell r="F12" t="str">
            <v>Ajay Patodia</v>
          </cell>
          <cell r="K12" t="str">
            <v>Data Centre</v>
          </cell>
          <cell r="O12">
            <v>446200</v>
          </cell>
          <cell r="P12">
            <v>30000</v>
          </cell>
          <cell r="Q12">
            <v>26200</v>
          </cell>
          <cell r="Z12" t="str">
            <v>Others</v>
          </cell>
        </row>
        <row r="13">
          <cell r="F13" t="str">
            <v>Ajay Patodia</v>
          </cell>
          <cell r="K13" t="str">
            <v>Data Centre</v>
          </cell>
          <cell r="O13">
            <v>374193.55</v>
          </cell>
          <cell r="P13">
            <v>20000</v>
          </cell>
          <cell r="Q13">
            <v>21193.55</v>
          </cell>
          <cell r="Z13" t="str">
            <v>Others</v>
          </cell>
        </row>
        <row r="14">
          <cell r="F14" t="str">
            <v>Ajay Patodia</v>
          </cell>
          <cell r="K14" t="str">
            <v>Data Centre</v>
          </cell>
          <cell r="O14">
            <v>678597.96</v>
          </cell>
          <cell r="P14">
            <v>67859</v>
          </cell>
          <cell r="Q14">
            <v>41679.42</v>
          </cell>
          <cell r="Z14" t="str">
            <v>Others</v>
          </cell>
        </row>
        <row r="15">
          <cell r="F15" t="str">
            <v>Ajay Patodia</v>
          </cell>
          <cell r="K15" t="str">
            <v>Data Centre</v>
          </cell>
          <cell r="O15">
            <v>113278.2</v>
          </cell>
          <cell r="P15">
            <v>11327</v>
          </cell>
          <cell r="Q15">
            <v>6957.54</v>
          </cell>
          <cell r="Z15" t="str">
            <v>Others</v>
          </cell>
        </row>
        <row r="16">
          <cell r="F16" t="str">
            <v>Ajay Patodia</v>
          </cell>
          <cell r="K16" t="str">
            <v>Data Centre</v>
          </cell>
          <cell r="O16">
            <v>259894.56</v>
          </cell>
          <cell r="P16">
            <v>25989</v>
          </cell>
          <cell r="Q16">
            <v>15962.7</v>
          </cell>
          <cell r="Z16" t="str">
            <v>Others</v>
          </cell>
        </row>
        <row r="17">
          <cell r="F17" t="str">
            <v>Ajay Patodia</v>
          </cell>
          <cell r="K17" t="str">
            <v>Data Centre</v>
          </cell>
          <cell r="O17">
            <v>920221.56</v>
          </cell>
          <cell r="P17">
            <v>92022</v>
          </cell>
          <cell r="Q17">
            <v>56519.92</v>
          </cell>
          <cell r="Z17" t="str">
            <v>Others</v>
          </cell>
        </row>
        <row r="18">
          <cell r="F18" t="str">
            <v>Ajay Patodia</v>
          </cell>
          <cell r="K18" t="str">
            <v>Data Centre</v>
          </cell>
          <cell r="O18">
            <v>1026669.24</v>
          </cell>
          <cell r="P18">
            <v>102666</v>
          </cell>
          <cell r="Q18">
            <v>63057.919999999998</v>
          </cell>
          <cell r="Z18" t="str">
            <v>Others</v>
          </cell>
        </row>
        <row r="19">
          <cell r="F19" t="str">
            <v>Ajay Patodia</v>
          </cell>
          <cell r="K19" t="str">
            <v>Data Centre</v>
          </cell>
          <cell r="O19">
            <v>161595.72</v>
          </cell>
          <cell r="P19">
            <v>16159</v>
          </cell>
          <cell r="Q19">
            <v>9925.19</v>
          </cell>
          <cell r="Z19" t="str">
            <v>Others</v>
          </cell>
        </row>
        <row r="20">
          <cell r="F20" t="str">
            <v>Ajay Patodia</v>
          </cell>
          <cell r="K20" t="str">
            <v>Data Centre</v>
          </cell>
          <cell r="O20">
            <v>1514239.56</v>
          </cell>
          <cell r="P20">
            <v>151423</v>
          </cell>
          <cell r="Q20">
            <v>93004.44</v>
          </cell>
          <cell r="Z20" t="str">
            <v>Others</v>
          </cell>
        </row>
        <row r="21">
          <cell r="F21" t="str">
            <v>Ajay Patodia</v>
          </cell>
          <cell r="K21" t="str">
            <v>Data Centre</v>
          </cell>
          <cell r="O21">
            <v>259894.56</v>
          </cell>
          <cell r="P21">
            <v>25989</v>
          </cell>
          <cell r="Q21">
            <v>15962.7</v>
          </cell>
          <cell r="Z21" t="str">
            <v>Others</v>
          </cell>
        </row>
        <row r="22">
          <cell r="F22" t="str">
            <v>Ajay Patodia</v>
          </cell>
          <cell r="K22" t="str">
            <v>Data Centre</v>
          </cell>
          <cell r="O22">
            <v>259894.56</v>
          </cell>
          <cell r="P22">
            <v>25989</v>
          </cell>
          <cell r="Q22">
            <v>15962.7</v>
          </cell>
          <cell r="Z22" t="str">
            <v>Others</v>
          </cell>
        </row>
        <row r="23">
          <cell r="F23" t="str">
            <v>Ajay Patodia</v>
          </cell>
          <cell r="K23" t="str">
            <v>Data Centre</v>
          </cell>
          <cell r="O23">
            <v>321296.15999999997</v>
          </cell>
          <cell r="P23">
            <v>32129</v>
          </cell>
          <cell r="Q23">
            <v>19733.98</v>
          </cell>
          <cell r="Z23" t="str">
            <v>Others</v>
          </cell>
        </row>
        <row r="24">
          <cell r="F24" t="str">
            <v>Ajay Patodia</v>
          </cell>
          <cell r="K24" t="str">
            <v>Data Centre</v>
          </cell>
          <cell r="O24">
            <v>165424.44</v>
          </cell>
          <cell r="P24">
            <v>16542</v>
          </cell>
          <cell r="Q24">
            <v>10160.35</v>
          </cell>
          <cell r="Z24" t="str">
            <v>Others</v>
          </cell>
        </row>
        <row r="25">
          <cell r="F25" t="str">
            <v>Ajay Patodia</v>
          </cell>
          <cell r="K25" t="str">
            <v>Data Centre</v>
          </cell>
          <cell r="O25">
            <v>165424.44</v>
          </cell>
          <cell r="P25">
            <v>16542</v>
          </cell>
          <cell r="Q25">
            <v>10160.35</v>
          </cell>
          <cell r="Z25" t="str">
            <v>Others</v>
          </cell>
        </row>
        <row r="26">
          <cell r="F26" t="str">
            <v>Ajay Patodia</v>
          </cell>
          <cell r="K26" t="str">
            <v>Data Centre</v>
          </cell>
          <cell r="O26">
            <v>1715328.96</v>
          </cell>
          <cell r="P26">
            <v>171532</v>
          </cell>
          <cell r="Q26">
            <v>105355.33</v>
          </cell>
          <cell r="Z26" t="str">
            <v>Others</v>
          </cell>
        </row>
        <row r="27">
          <cell r="F27" t="str">
            <v>Ajay Patodia</v>
          </cell>
          <cell r="K27" t="str">
            <v>Data Centre</v>
          </cell>
          <cell r="O27">
            <v>977213.64</v>
          </cell>
          <cell r="P27">
            <v>97721</v>
          </cell>
          <cell r="Q27">
            <v>60020.36</v>
          </cell>
          <cell r="Z27" t="str">
            <v>Others</v>
          </cell>
        </row>
        <row r="28">
          <cell r="F28" t="str">
            <v>Ajay Patodia</v>
          </cell>
          <cell r="K28" t="str">
            <v>Data Centre</v>
          </cell>
          <cell r="O28">
            <v>5280824.88</v>
          </cell>
          <cell r="P28">
            <v>528082</v>
          </cell>
          <cell r="Q28">
            <v>324347.74</v>
          </cell>
          <cell r="Z28" t="str">
            <v>Others</v>
          </cell>
        </row>
        <row r="29">
          <cell r="F29" t="str">
            <v>Ajay Patodia</v>
          </cell>
          <cell r="K29" t="str">
            <v>Data Centre</v>
          </cell>
          <cell r="O29">
            <v>1629069.48</v>
          </cell>
          <cell r="P29">
            <v>162906</v>
          </cell>
          <cell r="Q29">
            <v>100057.28</v>
          </cell>
          <cell r="Z29" t="str">
            <v>Others</v>
          </cell>
        </row>
        <row r="30">
          <cell r="F30" t="str">
            <v>Ajay Patodia</v>
          </cell>
          <cell r="K30" t="str">
            <v>Data Centre</v>
          </cell>
          <cell r="O30">
            <v>1271186.44</v>
          </cell>
          <cell r="P30">
            <v>127118</v>
          </cell>
          <cell r="Q30">
            <v>1271186.44</v>
          </cell>
          <cell r="Z30" t="str">
            <v>Others</v>
          </cell>
        </row>
        <row r="31">
          <cell r="F31" t="str">
            <v>Ajay Patodia</v>
          </cell>
          <cell r="K31" t="str">
            <v>Data Centre</v>
          </cell>
          <cell r="O31">
            <v>464100</v>
          </cell>
          <cell r="P31">
            <v>25000</v>
          </cell>
          <cell r="Q31">
            <v>20000</v>
          </cell>
          <cell r="Z31" t="str">
            <v>Others</v>
          </cell>
        </row>
        <row r="32">
          <cell r="F32" t="str">
            <v>Ajay Patodia</v>
          </cell>
          <cell r="K32" t="str">
            <v>Data Centre</v>
          </cell>
          <cell r="O32">
            <v>928749.96</v>
          </cell>
          <cell r="P32">
            <v>92875</v>
          </cell>
          <cell r="Q32">
            <v>53749.96</v>
          </cell>
          <cell r="Z32" t="str">
            <v>Others</v>
          </cell>
        </row>
        <row r="33">
          <cell r="F33" t="str">
            <v>Abrar Memon</v>
          </cell>
          <cell r="K33" t="str">
            <v>Data Centre</v>
          </cell>
          <cell r="O33">
            <v>86000</v>
          </cell>
          <cell r="P33">
            <v>16000</v>
          </cell>
          <cell r="Q33">
            <v>16000</v>
          </cell>
          <cell r="Z33" t="str">
            <v>South</v>
          </cell>
        </row>
        <row r="34">
          <cell r="F34" t="str">
            <v>Chetna Sharma</v>
          </cell>
          <cell r="K34" t="str">
            <v>Data Centre</v>
          </cell>
          <cell r="O34">
            <v>5738727</v>
          </cell>
          <cell r="P34">
            <v>688915.46</v>
          </cell>
          <cell r="Q34">
            <v>1038915.38</v>
          </cell>
          <cell r="Z34" t="str">
            <v>S2</v>
          </cell>
        </row>
        <row r="35">
          <cell r="F35" t="str">
            <v>Chetna Sharma</v>
          </cell>
          <cell r="K35" t="str">
            <v>Data Centre</v>
          </cell>
          <cell r="O35">
            <v>13333340</v>
          </cell>
          <cell r="P35">
            <v>833336.25</v>
          </cell>
          <cell r="Q35">
            <v>333334.5</v>
          </cell>
          <cell r="Z35" t="str">
            <v>S2</v>
          </cell>
        </row>
        <row r="36">
          <cell r="F36" t="str">
            <v>Chetna Sharma</v>
          </cell>
          <cell r="K36" t="str">
            <v>Data Centre</v>
          </cell>
          <cell r="O36">
            <v>27000000</v>
          </cell>
          <cell r="P36">
            <v>300000</v>
          </cell>
          <cell r="Q36">
            <v>1620000</v>
          </cell>
          <cell r="Z36" t="str">
            <v>S2</v>
          </cell>
        </row>
        <row r="37">
          <cell r="F37" t="str">
            <v>Chirag Palande</v>
          </cell>
          <cell r="K37" t="str">
            <v>Data Centre</v>
          </cell>
          <cell r="O37">
            <v>475574</v>
          </cell>
          <cell r="P37">
            <v>47130</v>
          </cell>
          <cell r="Q37">
            <v>47130</v>
          </cell>
          <cell r="Z37" t="str">
            <v>S1</v>
          </cell>
        </row>
        <row r="38">
          <cell r="F38" t="str">
            <v>Darshana Patil</v>
          </cell>
          <cell r="K38" t="str">
            <v>Data Centre</v>
          </cell>
          <cell r="O38">
            <v>60566168</v>
          </cell>
          <cell r="P38">
            <v>6056616.7999999998</v>
          </cell>
          <cell r="Q38">
            <v>0</v>
          </cell>
          <cell r="Z38" t="str">
            <v>Others</v>
          </cell>
        </row>
        <row r="39">
          <cell r="F39" t="str">
            <v>Darshana Patil</v>
          </cell>
          <cell r="K39" t="str">
            <v>Data Centre</v>
          </cell>
          <cell r="O39">
            <v>523947.04</v>
          </cell>
          <cell r="P39">
            <v>30208.6</v>
          </cell>
          <cell r="Q39">
            <v>30208.6</v>
          </cell>
          <cell r="Z39" t="str">
            <v>Others</v>
          </cell>
        </row>
        <row r="40">
          <cell r="F40" t="str">
            <v>Darshana Patil</v>
          </cell>
          <cell r="K40" t="str">
            <v>Data Centre</v>
          </cell>
          <cell r="O40">
            <v>306000</v>
          </cell>
          <cell r="P40">
            <v>30346.63</v>
          </cell>
          <cell r="Q40">
            <v>30346.62</v>
          </cell>
          <cell r="Z40" t="str">
            <v>Others</v>
          </cell>
        </row>
        <row r="41">
          <cell r="F41" t="str">
            <v>Ishwari Kadam</v>
          </cell>
          <cell r="K41" t="str">
            <v>Data Centre</v>
          </cell>
          <cell r="O41">
            <v>59491500</v>
          </cell>
          <cell r="P41">
            <v>4193000</v>
          </cell>
          <cell r="Q41">
            <v>0</v>
          </cell>
          <cell r="Z41" t="str">
            <v>Others</v>
          </cell>
        </row>
        <row r="42">
          <cell r="F42" t="str">
            <v>Ishwari Kadam</v>
          </cell>
          <cell r="K42" t="str">
            <v>Data Centre</v>
          </cell>
          <cell r="O42">
            <v>1506000</v>
          </cell>
          <cell r="P42">
            <v>70000</v>
          </cell>
          <cell r="Q42">
            <v>49469</v>
          </cell>
          <cell r="Z42" t="str">
            <v>Others</v>
          </cell>
        </row>
        <row r="43">
          <cell r="F43" t="str">
            <v>Ishwari Kadam</v>
          </cell>
          <cell r="K43" t="str">
            <v>Data Centre</v>
          </cell>
          <cell r="O43">
            <v>55500</v>
          </cell>
          <cell r="P43">
            <v>10000</v>
          </cell>
          <cell r="Q43">
            <v>10500</v>
          </cell>
          <cell r="Z43" t="str">
            <v>Others</v>
          </cell>
        </row>
        <row r="44">
          <cell r="F44" t="str">
            <v>Ishwari Kadam</v>
          </cell>
          <cell r="K44" t="str">
            <v>Data Centre</v>
          </cell>
          <cell r="O44">
            <v>1616400</v>
          </cell>
          <cell r="P44">
            <v>440400</v>
          </cell>
          <cell r="Q44">
            <v>110100</v>
          </cell>
          <cell r="Z44" t="str">
            <v>Others</v>
          </cell>
        </row>
        <row r="45">
          <cell r="F45" t="str">
            <v>Prachi Mayekar</v>
          </cell>
          <cell r="K45" t="str">
            <v>Data Centre</v>
          </cell>
          <cell r="O45">
            <v>1890000</v>
          </cell>
          <cell r="P45">
            <v>50000</v>
          </cell>
          <cell r="Q45">
            <v>0</v>
          </cell>
          <cell r="Z45" t="str">
            <v>CB</v>
          </cell>
        </row>
        <row r="46">
          <cell r="F46" t="str">
            <v>Prachi Mayekar</v>
          </cell>
          <cell r="K46" t="str">
            <v>Data Centre</v>
          </cell>
          <cell r="O46">
            <v>78738048</v>
          </cell>
          <cell r="P46">
            <v>500000</v>
          </cell>
          <cell r="Q46">
            <v>5036349.4400000004</v>
          </cell>
          <cell r="Z46" t="str">
            <v>CB</v>
          </cell>
        </row>
        <row r="47">
          <cell r="F47" t="str">
            <v>Prachi Mayekar</v>
          </cell>
          <cell r="K47" t="str">
            <v>Data Centre</v>
          </cell>
          <cell r="O47">
            <v>630000</v>
          </cell>
          <cell r="P47">
            <v>50000</v>
          </cell>
          <cell r="Q47">
            <v>0</v>
          </cell>
          <cell r="Z47" t="str">
            <v>CB</v>
          </cell>
        </row>
        <row r="48">
          <cell r="F48" t="str">
            <v>Richa Tiwari</v>
          </cell>
          <cell r="K48" t="str">
            <v>Data Centre</v>
          </cell>
          <cell r="O48">
            <v>670400</v>
          </cell>
          <cell r="P48">
            <v>49823</v>
          </cell>
          <cell r="Q48">
            <v>49825</v>
          </cell>
          <cell r="Z48" t="str">
            <v>S1</v>
          </cell>
        </row>
        <row r="49">
          <cell r="F49" t="str">
            <v>Richa Tiwari</v>
          </cell>
          <cell r="K49" t="str">
            <v>Data Centre</v>
          </cell>
          <cell r="O49">
            <v>158000</v>
          </cell>
          <cell r="P49">
            <v>9114</v>
          </cell>
          <cell r="Q49">
            <v>19536.02</v>
          </cell>
          <cell r="Z49" t="str">
            <v>S1</v>
          </cell>
        </row>
        <row r="50">
          <cell r="F50" t="str">
            <v>Richa Tiwari</v>
          </cell>
          <cell r="K50" t="str">
            <v>Data Centre</v>
          </cell>
          <cell r="O50">
            <v>609000</v>
          </cell>
          <cell r="P50">
            <v>22310</v>
          </cell>
          <cell r="Q50">
            <v>0</v>
          </cell>
          <cell r="Z50" t="str">
            <v>S1</v>
          </cell>
        </row>
        <row r="51">
          <cell r="F51" t="str">
            <v>Richa Tiwari</v>
          </cell>
          <cell r="K51" t="str">
            <v>Data Centre</v>
          </cell>
          <cell r="O51">
            <v>350000</v>
          </cell>
          <cell r="P51">
            <v>10000</v>
          </cell>
          <cell r="Q51">
            <v>44400</v>
          </cell>
          <cell r="Z51" t="str">
            <v>S1</v>
          </cell>
        </row>
        <row r="52">
          <cell r="F52" t="str">
            <v>Richa Tiwari</v>
          </cell>
          <cell r="K52" t="str">
            <v>Data Centre</v>
          </cell>
          <cell r="O52">
            <v>276000</v>
          </cell>
          <cell r="P52">
            <v>20000</v>
          </cell>
          <cell r="Q52">
            <v>0</v>
          </cell>
          <cell r="Z52" t="str">
            <v>S1</v>
          </cell>
        </row>
        <row r="53">
          <cell r="F53" t="str">
            <v>Richa Tiwari</v>
          </cell>
          <cell r="K53" t="str">
            <v>Data Centre</v>
          </cell>
          <cell r="O53">
            <v>12700000</v>
          </cell>
          <cell r="P53">
            <v>588796</v>
          </cell>
          <cell r="Q53">
            <v>0</v>
          </cell>
          <cell r="Z53" t="str">
            <v>S1</v>
          </cell>
        </row>
        <row r="54">
          <cell r="F54" t="str">
            <v>Riya Bhatt</v>
          </cell>
          <cell r="K54" t="str">
            <v>Data Centre</v>
          </cell>
          <cell r="O54">
            <v>1550000</v>
          </cell>
          <cell r="P54">
            <v>183000</v>
          </cell>
          <cell r="Q54">
            <v>0</v>
          </cell>
          <cell r="Z54" t="str">
            <v>S1</v>
          </cell>
        </row>
        <row r="55">
          <cell r="F55" t="str">
            <v>Rohit Deshmukh</v>
          </cell>
          <cell r="K55" t="str">
            <v>Data Centre</v>
          </cell>
          <cell r="O55">
            <v>12000000</v>
          </cell>
          <cell r="P55">
            <v>1000000</v>
          </cell>
          <cell r="Q55">
            <v>1000000</v>
          </cell>
          <cell r="Z55" t="str">
            <v>S2</v>
          </cell>
        </row>
        <row r="56">
          <cell r="F56" t="str">
            <v>Sagar TR</v>
          </cell>
          <cell r="K56" t="str">
            <v>Data Centre</v>
          </cell>
          <cell r="O56">
            <v>590000</v>
          </cell>
          <cell r="P56">
            <v>44500</v>
          </cell>
          <cell r="Q56">
            <v>44500</v>
          </cell>
          <cell r="Z56" t="str">
            <v>South</v>
          </cell>
        </row>
        <row r="57">
          <cell r="F57" t="str">
            <v>Shahbaz Khan</v>
          </cell>
          <cell r="K57" t="str">
            <v>Data Centre</v>
          </cell>
          <cell r="O57">
            <v>30776945</v>
          </cell>
          <cell r="P57">
            <v>1376945</v>
          </cell>
          <cell r="Q57">
            <v>0</v>
          </cell>
          <cell r="Z57" t="str">
            <v>South</v>
          </cell>
        </row>
        <row r="58">
          <cell r="F58" t="str">
            <v>Shahbaz Khan</v>
          </cell>
          <cell r="K58" t="str">
            <v>Data Centre</v>
          </cell>
          <cell r="O58">
            <v>1200000</v>
          </cell>
          <cell r="P58">
            <v>45000</v>
          </cell>
          <cell r="Q58">
            <v>34000</v>
          </cell>
          <cell r="Z58" t="str">
            <v>South</v>
          </cell>
        </row>
        <row r="59">
          <cell r="F59" t="str">
            <v>Shaik Khadhar</v>
          </cell>
          <cell r="K59" t="str">
            <v>Data Centre</v>
          </cell>
          <cell r="O59">
            <v>22880915</v>
          </cell>
          <cell r="P59">
            <v>1000000</v>
          </cell>
          <cell r="Q59">
            <v>0</v>
          </cell>
          <cell r="Z59" t="str">
            <v>South</v>
          </cell>
        </row>
        <row r="60">
          <cell r="F60" t="str">
            <v>Tasneem K</v>
          </cell>
          <cell r="K60" t="str">
            <v>Data Centre</v>
          </cell>
          <cell r="O60">
            <v>95900000</v>
          </cell>
          <cell r="P60">
            <v>30000000</v>
          </cell>
          <cell r="Q60">
            <v>0</v>
          </cell>
          <cell r="Z60" t="str">
            <v>S1</v>
          </cell>
        </row>
        <row r="61">
          <cell r="F61" t="str">
            <v>Tasneem K</v>
          </cell>
          <cell r="K61" t="str">
            <v>Data Centre</v>
          </cell>
          <cell r="O61">
            <v>234518.79</v>
          </cell>
          <cell r="P61">
            <v>40000</v>
          </cell>
          <cell r="Q61">
            <v>40000</v>
          </cell>
          <cell r="Z61" t="str">
            <v>S1</v>
          </cell>
        </row>
        <row r="62">
          <cell r="F62" t="str">
            <v>Tasneem K</v>
          </cell>
          <cell r="K62" t="str">
            <v>Data Centre</v>
          </cell>
          <cell r="O62">
            <v>17472000</v>
          </cell>
          <cell r="P62">
            <v>4000000</v>
          </cell>
          <cell r="Q62">
            <v>0</v>
          </cell>
          <cell r="Z62" t="str">
            <v>S1</v>
          </cell>
        </row>
        <row r="63">
          <cell r="F63" t="str">
            <v>Varsha Ray</v>
          </cell>
          <cell r="K63" t="str">
            <v>Data Centre</v>
          </cell>
          <cell r="O63">
            <v>2264289.73</v>
          </cell>
          <cell r="P63">
            <v>167725.16</v>
          </cell>
          <cell r="Q63">
            <v>0</v>
          </cell>
          <cell r="Z63" t="str">
            <v>S2</v>
          </cell>
        </row>
        <row r="64">
          <cell r="F64" t="str">
            <v>Atharva Karpe</v>
          </cell>
          <cell r="K64" t="str">
            <v>Data Centre</v>
          </cell>
          <cell r="O64">
            <v>2210000</v>
          </cell>
          <cell r="P64">
            <v>100000</v>
          </cell>
          <cell r="Q64">
            <v>111688.62</v>
          </cell>
          <cell r="Z64" t="str">
            <v>GB</v>
          </cell>
        </row>
        <row r="65">
          <cell r="F65" t="str">
            <v>Jay Rushi</v>
          </cell>
          <cell r="K65" t="str">
            <v>CSG (EndPoint)</v>
          </cell>
          <cell r="O65">
            <v>3125000</v>
          </cell>
          <cell r="P65">
            <v>76987</v>
          </cell>
          <cell r="Q65">
            <v>8797.61</v>
          </cell>
          <cell r="Z65" t="str">
            <v>GB</v>
          </cell>
        </row>
        <row r="66">
          <cell r="F66" t="str">
            <v>Jay Rushi</v>
          </cell>
          <cell r="K66" t="str">
            <v>Data Centre</v>
          </cell>
          <cell r="O66">
            <v>228000</v>
          </cell>
          <cell r="P66">
            <v>30000</v>
          </cell>
          <cell r="Q66">
            <v>18000</v>
          </cell>
          <cell r="Z66" t="str">
            <v>GB</v>
          </cell>
        </row>
        <row r="67">
          <cell r="F67" t="str">
            <v>Shahbaz Khan</v>
          </cell>
          <cell r="K67" t="str">
            <v>CSG (EndPoint)</v>
          </cell>
          <cell r="O67">
            <v>1093500</v>
          </cell>
          <cell r="P67">
            <v>6000</v>
          </cell>
          <cell r="Q67">
            <v>6000</v>
          </cell>
          <cell r="Z67" t="str">
            <v>South</v>
          </cell>
        </row>
        <row r="68">
          <cell r="F68" t="str">
            <v>Shahbaz Khan</v>
          </cell>
          <cell r="K68" t="str">
            <v>CSG (EndPoint)</v>
          </cell>
          <cell r="O68">
            <v>713568</v>
          </cell>
          <cell r="P68">
            <v>9568</v>
          </cell>
          <cell r="Q68">
            <v>9568</v>
          </cell>
          <cell r="Z68" t="str">
            <v>South</v>
          </cell>
        </row>
        <row r="69">
          <cell r="F69" t="str">
            <v>Chetna Sharma</v>
          </cell>
          <cell r="K69" t="str">
            <v>CSG (EndPoint)</v>
          </cell>
          <cell r="O69">
            <v>72034</v>
          </cell>
          <cell r="P69">
            <v>0</v>
          </cell>
          <cell r="Q69">
            <v>0</v>
          </cell>
          <cell r="Z69" t="str">
            <v>S2</v>
          </cell>
        </row>
        <row r="70">
          <cell r="F70" t="str">
            <v>Darshana Patil</v>
          </cell>
          <cell r="K70" t="str">
            <v>CSG (EndPoint)</v>
          </cell>
          <cell r="O70">
            <v>5500</v>
          </cell>
          <cell r="P70">
            <v>1687.29</v>
          </cell>
          <cell r="Q70">
            <v>1687.29</v>
          </cell>
          <cell r="Z70" t="str">
            <v>Others</v>
          </cell>
        </row>
        <row r="71">
          <cell r="F71" t="str">
            <v>Darshana Patil</v>
          </cell>
          <cell r="K71" t="str">
            <v>CSG (EndPoint)</v>
          </cell>
          <cell r="O71">
            <v>28500</v>
          </cell>
          <cell r="P71">
            <v>1000</v>
          </cell>
          <cell r="Q71">
            <v>2440.9499999999998</v>
          </cell>
          <cell r="Z71" t="str">
            <v>Others</v>
          </cell>
        </row>
        <row r="72">
          <cell r="F72" t="str">
            <v>Darshana Patil</v>
          </cell>
          <cell r="K72" t="str">
            <v>CSG (EndPoint)</v>
          </cell>
          <cell r="O72">
            <v>135000</v>
          </cell>
          <cell r="P72">
            <v>16200</v>
          </cell>
          <cell r="Q72">
            <v>16200</v>
          </cell>
          <cell r="Z72" t="str">
            <v>Others</v>
          </cell>
        </row>
        <row r="73">
          <cell r="F73" t="str">
            <v>Darshana Patil</v>
          </cell>
          <cell r="K73" t="str">
            <v>CSG (EndPoint)</v>
          </cell>
          <cell r="O73">
            <v>3500</v>
          </cell>
          <cell r="P73">
            <v>500</v>
          </cell>
          <cell r="Q73">
            <v>500</v>
          </cell>
          <cell r="Z73" t="str">
            <v>Others</v>
          </cell>
        </row>
        <row r="74">
          <cell r="F74" t="str">
            <v>Darshana Patil</v>
          </cell>
          <cell r="K74" t="str">
            <v>CSG (EndPoint)</v>
          </cell>
          <cell r="O74">
            <v>108000</v>
          </cell>
          <cell r="P74">
            <v>18169.48</v>
          </cell>
          <cell r="Q74">
            <v>18169.48</v>
          </cell>
          <cell r="Z74" t="str">
            <v>Others</v>
          </cell>
        </row>
        <row r="75">
          <cell r="F75" t="str">
            <v>Darshana Patil</v>
          </cell>
          <cell r="K75" t="str">
            <v>CSG (EndPoint)</v>
          </cell>
          <cell r="O75">
            <v>3500</v>
          </cell>
          <cell r="P75">
            <v>500</v>
          </cell>
          <cell r="Q75">
            <v>1000</v>
          </cell>
          <cell r="Z75" t="str">
            <v>Others</v>
          </cell>
        </row>
        <row r="76">
          <cell r="F76" t="str">
            <v>Darshana Patil</v>
          </cell>
          <cell r="K76" t="str">
            <v>CSG (EndPoint)</v>
          </cell>
          <cell r="O76">
            <v>22500</v>
          </cell>
          <cell r="P76">
            <v>2600</v>
          </cell>
          <cell r="Q76">
            <v>3000</v>
          </cell>
          <cell r="Z76" t="str">
            <v>Others</v>
          </cell>
        </row>
        <row r="77">
          <cell r="F77" t="str">
            <v>Darshana Patil</v>
          </cell>
          <cell r="K77" t="str">
            <v>CSG (EndPoint)</v>
          </cell>
          <cell r="O77">
            <v>22500</v>
          </cell>
          <cell r="P77">
            <v>2600</v>
          </cell>
          <cell r="Q77">
            <v>3000</v>
          </cell>
          <cell r="Z77" t="str">
            <v>Others</v>
          </cell>
        </row>
        <row r="78">
          <cell r="F78" t="str">
            <v>Darshana Patil</v>
          </cell>
          <cell r="K78" t="str">
            <v>CSG (EndPoint)</v>
          </cell>
          <cell r="O78">
            <v>22500</v>
          </cell>
          <cell r="P78">
            <v>2600</v>
          </cell>
          <cell r="Q78">
            <v>3000</v>
          </cell>
          <cell r="Z78" t="str">
            <v>Others</v>
          </cell>
        </row>
        <row r="79">
          <cell r="F79" t="str">
            <v>Hrushikesh Bagade</v>
          </cell>
          <cell r="K79" t="str">
            <v>CSG (EndPoint)</v>
          </cell>
          <cell r="O79">
            <v>510249</v>
          </cell>
          <cell r="P79">
            <v>51867</v>
          </cell>
          <cell r="Q79">
            <v>0</v>
          </cell>
          <cell r="Z79" t="str">
            <v>Geo X</v>
          </cell>
        </row>
        <row r="80">
          <cell r="F80" t="str">
            <v>Hrushikesh Bagade</v>
          </cell>
          <cell r="K80" t="str">
            <v>CSG (EndPoint)</v>
          </cell>
          <cell r="O80">
            <v>1974336</v>
          </cell>
          <cell r="P80">
            <v>140336</v>
          </cell>
          <cell r="Q80">
            <v>140336</v>
          </cell>
          <cell r="Z80" t="str">
            <v>Geo X</v>
          </cell>
        </row>
        <row r="81">
          <cell r="F81" t="str">
            <v>Hrushikesh Bagade</v>
          </cell>
          <cell r="K81" t="str">
            <v>CSG (EndPoint)</v>
          </cell>
          <cell r="O81">
            <v>1974336</v>
          </cell>
          <cell r="P81">
            <v>140336</v>
          </cell>
          <cell r="Q81">
            <v>140336</v>
          </cell>
          <cell r="Z81" t="str">
            <v>Geo X</v>
          </cell>
        </row>
        <row r="82">
          <cell r="F82" t="str">
            <v>Hrushikesh Bagade</v>
          </cell>
          <cell r="K82" t="str">
            <v>CSG (EndPoint)</v>
          </cell>
          <cell r="O82">
            <v>166860</v>
          </cell>
          <cell r="P82">
            <v>20000</v>
          </cell>
          <cell r="Q82">
            <v>30546</v>
          </cell>
          <cell r="Z82" t="str">
            <v>Geo X</v>
          </cell>
        </row>
        <row r="83">
          <cell r="F83" t="str">
            <v>Ashish Singh</v>
          </cell>
          <cell r="K83" t="str">
            <v>Cloud</v>
          </cell>
          <cell r="O83">
            <v>5800000</v>
          </cell>
          <cell r="P83">
            <v>290000</v>
          </cell>
          <cell r="Q83">
            <v>308529.88</v>
          </cell>
          <cell r="Z83" t="str">
            <v>GB</v>
          </cell>
        </row>
        <row r="84">
          <cell r="F84" t="str">
            <v>Ashish Singh</v>
          </cell>
          <cell r="K84" t="str">
            <v>Cloud</v>
          </cell>
          <cell r="O84">
            <v>5073971</v>
          </cell>
          <cell r="P84">
            <v>456657</v>
          </cell>
          <cell r="Q84">
            <v>0</v>
          </cell>
          <cell r="Z84" t="str">
            <v>GB</v>
          </cell>
        </row>
        <row r="85">
          <cell r="F85" t="str">
            <v>Ashish Singh</v>
          </cell>
          <cell r="K85" t="str">
            <v>Professional Services</v>
          </cell>
          <cell r="O85">
            <v>291810</v>
          </cell>
          <cell r="P85">
            <v>20550</v>
          </cell>
          <cell r="Q85">
            <v>20550</v>
          </cell>
          <cell r="Z85" t="str">
            <v>GB</v>
          </cell>
        </row>
        <row r="86">
          <cell r="F86" t="str">
            <v>Ashish Singh</v>
          </cell>
          <cell r="K86" t="str">
            <v>Professional Services</v>
          </cell>
          <cell r="O86">
            <v>315000</v>
          </cell>
          <cell r="P86">
            <v>52500</v>
          </cell>
          <cell r="Q86">
            <v>52500</v>
          </cell>
          <cell r="Z86" t="str">
            <v>GB</v>
          </cell>
        </row>
        <row r="87">
          <cell r="F87" t="str">
            <v>Ashish Singh</v>
          </cell>
          <cell r="K87" t="str">
            <v>Professional Services</v>
          </cell>
          <cell r="O87">
            <v>3150</v>
          </cell>
          <cell r="P87">
            <v>630</v>
          </cell>
          <cell r="Q87">
            <v>630</v>
          </cell>
          <cell r="Z87" t="str">
            <v>GB</v>
          </cell>
        </row>
        <row r="88">
          <cell r="F88" t="str">
            <v>Ashish Singh</v>
          </cell>
          <cell r="K88" t="str">
            <v>Professional Services</v>
          </cell>
          <cell r="O88">
            <v>1486080</v>
          </cell>
          <cell r="P88">
            <v>297216</v>
          </cell>
          <cell r="Q88">
            <v>0</v>
          </cell>
          <cell r="Z88" t="str">
            <v>GB</v>
          </cell>
        </row>
        <row r="89">
          <cell r="F89" t="str">
            <v>Ashish Singh</v>
          </cell>
          <cell r="K89" t="str">
            <v>Professional Services</v>
          </cell>
          <cell r="O89">
            <v>51975</v>
          </cell>
          <cell r="P89">
            <v>6975</v>
          </cell>
          <cell r="Q89">
            <v>0</v>
          </cell>
          <cell r="Z89" t="str">
            <v>GB</v>
          </cell>
        </row>
        <row r="90">
          <cell r="F90" t="str">
            <v>Ashish Singh</v>
          </cell>
          <cell r="K90" t="str">
            <v>Professional Services</v>
          </cell>
          <cell r="O90">
            <v>360000</v>
          </cell>
          <cell r="P90">
            <v>60000</v>
          </cell>
          <cell r="Q90">
            <v>0</v>
          </cell>
          <cell r="Z90" t="str">
            <v>GB</v>
          </cell>
        </row>
        <row r="91">
          <cell r="F91" t="str">
            <v>Ashish Singh</v>
          </cell>
          <cell r="K91" t="str">
            <v>Professional Services</v>
          </cell>
          <cell r="O91">
            <v>76444.570000000007</v>
          </cell>
          <cell r="P91">
            <v>0</v>
          </cell>
          <cell r="Q91">
            <v>0</v>
          </cell>
          <cell r="Z91" t="str">
            <v>GB</v>
          </cell>
        </row>
        <row r="92">
          <cell r="F92" t="str">
            <v>Chetna Sharma</v>
          </cell>
          <cell r="K92" t="str">
            <v>Professional Services</v>
          </cell>
          <cell r="O92">
            <v>1600000</v>
          </cell>
          <cell r="P92">
            <v>635000</v>
          </cell>
          <cell r="Q92">
            <v>0</v>
          </cell>
          <cell r="Z92" t="str">
            <v>S2</v>
          </cell>
        </row>
        <row r="93">
          <cell r="F93" t="str">
            <v>Chetna Sharma</v>
          </cell>
          <cell r="K93" t="str">
            <v>Professional Services</v>
          </cell>
          <cell r="O93">
            <v>69441840</v>
          </cell>
          <cell r="P93">
            <v>13732121</v>
          </cell>
          <cell r="Q93">
            <v>0</v>
          </cell>
          <cell r="Z93" t="str">
            <v>S2</v>
          </cell>
        </row>
        <row r="94">
          <cell r="F94" t="str">
            <v>Hrushikesh Bagade</v>
          </cell>
          <cell r="K94" t="str">
            <v>Cloud</v>
          </cell>
          <cell r="O94">
            <v>1186225</v>
          </cell>
          <cell r="P94">
            <v>177918</v>
          </cell>
          <cell r="Q94">
            <v>177917.64</v>
          </cell>
          <cell r="Z94" t="str">
            <v>Geo X</v>
          </cell>
        </row>
        <row r="95">
          <cell r="F95" t="str">
            <v>Hrushikesh Bagade</v>
          </cell>
          <cell r="K95" t="str">
            <v>Professional Services</v>
          </cell>
          <cell r="O95">
            <v>2289230</v>
          </cell>
          <cell r="P95">
            <v>900000</v>
          </cell>
          <cell r="Q95">
            <v>839080</v>
          </cell>
          <cell r="Z95" t="str">
            <v>Geo X</v>
          </cell>
        </row>
        <row r="96">
          <cell r="F96" t="str">
            <v>Hrushikesh Bagade</v>
          </cell>
          <cell r="K96" t="str">
            <v>Professional Services</v>
          </cell>
          <cell r="O96">
            <v>929979</v>
          </cell>
          <cell r="P96">
            <v>369954</v>
          </cell>
          <cell r="Q96">
            <v>0</v>
          </cell>
          <cell r="Z96" t="str">
            <v>Geo X</v>
          </cell>
        </row>
        <row r="97">
          <cell r="F97" t="str">
            <v>Hrushikesh Bagade</v>
          </cell>
          <cell r="K97" t="str">
            <v>Professional Services</v>
          </cell>
          <cell r="O97">
            <v>929979</v>
          </cell>
          <cell r="P97">
            <v>369954</v>
          </cell>
          <cell r="Q97">
            <v>0</v>
          </cell>
          <cell r="Z97" t="str">
            <v>Geo X</v>
          </cell>
        </row>
        <row r="98">
          <cell r="F98" t="str">
            <v>Hrushikesh Bagade</v>
          </cell>
          <cell r="K98" t="str">
            <v>Professional Services</v>
          </cell>
          <cell r="O98">
            <v>929970</v>
          </cell>
          <cell r="P98">
            <v>369953.33</v>
          </cell>
          <cell r="Q98">
            <v>0</v>
          </cell>
          <cell r="Z98" t="str">
            <v>Geo X</v>
          </cell>
        </row>
        <row r="99">
          <cell r="F99" t="str">
            <v>Pratik Kadam</v>
          </cell>
          <cell r="K99" t="str">
            <v>Professional Services</v>
          </cell>
          <cell r="O99">
            <v>1319841</v>
          </cell>
          <cell r="P99">
            <v>519841</v>
          </cell>
          <cell r="Q99">
            <v>519841</v>
          </cell>
          <cell r="Z99" t="str">
            <v>S1</v>
          </cell>
        </row>
        <row r="100">
          <cell r="F100" t="str">
            <v>Richa Tiwari</v>
          </cell>
          <cell r="K100" t="str">
            <v>Professional Services</v>
          </cell>
          <cell r="O100">
            <v>1300000</v>
          </cell>
          <cell r="P100">
            <v>20000</v>
          </cell>
          <cell r="Q100">
            <v>307000</v>
          </cell>
          <cell r="Z100" t="str">
            <v>S1</v>
          </cell>
        </row>
        <row r="101">
          <cell r="F101" t="str">
            <v>Richa Tiwari</v>
          </cell>
          <cell r="K101" t="str">
            <v>Professional Services</v>
          </cell>
          <cell r="O101">
            <v>1260000</v>
          </cell>
          <cell r="P101">
            <v>1260000</v>
          </cell>
          <cell r="Q101">
            <v>209000</v>
          </cell>
          <cell r="Z101" t="str">
            <v>S1</v>
          </cell>
        </row>
        <row r="102">
          <cell r="F102" t="str">
            <v>Richa Tiwari</v>
          </cell>
          <cell r="K102" t="str">
            <v>Professional Services</v>
          </cell>
          <cell r="O102">
            <v>50000</v>
          </cell>
          <cell r="P102">
            <v>10000</v>
          </cell>
          <cell r="Q102">
            <v>20000</v>
          </cell>
          <cell r="Z102" t="str">
            <v>S1</v>
          </cell>
        </row>
        <row r="103">
          <cell r="F103" t="str">
            <v>Shilpa Kavde</v>
          </cell>
          <cell r="K103" t="str">
            <v>Cloud</v>
          </cell>
          <cell r="O103">
            <v>3278719.5</v>
          </cell>
          <cell r="P103">
            <v>10000</v>
          </cell>
          <cell r="Q103">
            <v>0</v>
          </cell>
          <cell r="Z103" t="str">
            <v>CB</v>
          </cell>
        </row>
        <row r="104">
          <cell r="F104" t="str">
            <v>Shilpa Kavde</v>
          </cell>
          <cell r="K104" t="str">
            <v>Cloud</v>
          </cell>
          <cell r="O104">
            <v>1902647.6</v>
          </cell>
          <cell r="P104">
            <v>10000</v>
          </cell>
          <cell r="Q104">
            <v>0</v>
          </cell>
          <cell r="Z104" t="str">
            <v>CB</v>
          </cell>
        </row>
        <row r="105">
          <cell r="F105" t="str">
            <v>Shilpa Kavde</v>
          </cell>
          <cell r="K105" t="str">
            <v>Cloud</v>
          </cell>
          <cell r="O105">
            <v>594203.80000000005</v>
          </cell>
          <cell r="P105">
            <v>10000</v>
          </cell>
          <cell r="Q105">
            <v>0</v>
          </cell>
          <cell r="Z105" t="str">
            <v>CB</v>
          </cell>
        </row>
        <row r="106">
          <cell r="F106" t="str">
            <v>Shilpa Kavde</v>
          </cell>
          <cell r="K106" t="str">
            <v>Cloud</v>
          </cell>
          <cell r="O106">
            <v>131648.9</v>
          </cell>
          <cell r="P106">
            <v>5000</v>
          </cell>
          <cell r="Q106">
            <v>0</v>
          </cell>
          <cell r="Z106" t="str">
            <v>CB</v>
          </cell>
        </row>
        <row r="107">
          <cell r="F107" t="str">
            <v>Shilpa Kavde</v>
          </cell>
          <cell r="K107" t="str">
            <v>Cloud</v>
          </cell>
          <cell r="O107">
            <v>151994.1</v>
          </cell>
          <cell r="P107">
            <v>5000</v>
          </cell>
          <cell r="Q107">
            <v>0</v>
          </cell>
          <cell r="Z107" t="str">
            <v>CB</v>
          </cell>
        </row>
        <row r="108">
          <cell r="F108" t="str">
            <v>Shilpa Kavde</v>
          </cell>
          <cell r="K108" t="str">
            <v>Cloud</v>
          </cell>
          <cell r="O108">
            <v>136249</v>
          </cell>
          <cell r="P108">
            <v>10000</v>
          </cell>
          <cell r="Q108">
            <v>0</v>
          </cell>
          <cell r="Z108" t="str">
            <v>CB</v>
          </cell>
        </row>
        <row r="109">
          <cell r="F109" t="str">
            <v>Shilpa Kavde</v>
          </cell>
          <cell r="K109" t="str">
            <v>Cloud</v>
          </cell>
          <cell r="O109">
            <v>911920</v>
          </cell>
          <cell r="P109">
            <v>10000</v>
          </cell>
          <cell r="Q109">
            <v>0</v>
          </cell>
          <cell r="Z109" t="str">
            <v>CB</v>
          </cell>
        </row>
        <row r="110">
          <cell r="F110" t="str">
            <v>Shilpa Kavde</v>
          </cell>
          <cell r="K110" t="str">
            <v>Cloud</v>
          </cell>
          <cell r="O110">
            <v>686566.7</v>
          </cell>
          <cell r="P110">
            <v>10000</v>
          </cell>
          <cell r="Q110">
            <v>0</v>
          </cell>
          <cell r="Z110" t="str">
            <v>CB</v>
          </cell>
        </row>
        <row r="111">
          <cell r="F111" t="str">
            <v>Shilpa Kavde</v>
          </cell>
          <cell r="K111" t="str">
            <v>Cloud</v>
          </cell>
          <cell r="O111">
            <v>39242.199999999997</v>
          </cell>
          <cell r="P111">
            <v>1000</v>
          </cell>
          <cell r="Q111">
            <v>0</v>
          </cell>
          <cell r="Z111" t="str">
            <v>CB</v>
          </cell>
        </row>
        <row r="112">
          <cell r="F112" t="str">
            <v>Shilpa Kavde</v>
          </cell>
          <cell r="K112" t="str">
            <v>Cloud</v>
          </cell>
          <cell r="O112">
            <v>2272068.6</v>
          </cell>
          <cell r="P112">
            <v>10000</v>
          </cell>
          <cell r="Q112">
            <v>0</v>
          </cell>
          <cell r="Z112" t="str">
            <v>CB</v>
          </cell>
        </row>
        <row r="113">
          <cell r="F113" t="str">
            <v>Shilpa Kavde</v>
          </cell>
          <cell r="K113" t="str">
            <v>Cloud</v>
          </cell>
          <cell r="O113">
            <v>194280.6</v>
          </cell>
          <cell r="P113">
            <v>10000</v>
          </cell>
          <cell r="Q113">
            <v>0</v>
          </cell>
          <cell r="Z113" t="str">
            <v>CB</v>
          </cell>
        </row>
        <row r="114">
          <cell r="F114" t="str">
            <v>Shilpa Kavde</v>
          </cell>
          <cell r="K114" t="str">
            <v>Cloud</v>
          </cell>
          <cell r="O114">
            <v>1214303.1000000001</v>
          </cell>
          <cell r="P114">
            <v>10000</v>
          </cell>
          <cell r="Q114">
            <v>0</v>
          </cell>
          <cell r="Z114" t="str">
            <v>CB</v>
          </cell>
        </row>
        <row r="115">
          <cell r="F115" t="str">
            <v>Shilpa Kavde</v>
          </cell>
          <cell r="K115" t="str">
            <v>Cloud</v>
          </cell>
          <cell r="O115">
            <v>602618.19999999995</v>
          </cell>
          <cell r="P115">
            <v>10000</v>
          </cell>
          <cell r="Q115">
            <v>0</v>
          </cell>
          <cell r="Z115" t="str">
            <v>CB</v>
          </cell>
        </row>
        <row r="116">
          <cell r="F116" t="str">
            <v>Shilpa Kavde</v>
          </cell>
          <cell r="K116" t="str">
            <v>Cloud</v>
          </cell>
          <cell r="O116">
            <v>671806.9</v>
          </cell>
          <cell r="P116">
            <v>10000</v>
          </cell>
          <cell r="Q116">
            <v>0</v>
          </cell>
          <cell r="Z116" t="str">
            <v>CB</v>
          </cell>
        </row>
        <row r="117">
          <cell r="F117" t="str">
            <v>Shilpa Kavde</v>
          </cell>
          <cell r="K117" t="str">
            <v>Cloud</v>
          </cell>
          <cell r="O117">
            <v>1205515.7</v>
          </cell>
          <cell r="P117">
            <v>10000</v>
          </cell>
          <cell r="Q117">
            <v>0</v>
          </cell>
          <cell r="Z117" t="str">
            <v>CB</v>
          </cell>
        </row>
        <row r="118">
          <cell r="F118" t="str">
            <v>Shilpa Kavde</v>
          </cell>
          <cell r="K118" t="str">
            <v>Cloud</v>
          </cell>
          <cell r="O118">
            <v>664902.9</v>
          </cell>
          <cell r="P118">
            <v>10000</v>
          </cell>
          <cell r="Q118">
            <v>0</v>
          </cell>
          <cell r="Z118" t="str">
            <v>CB</v>
          </cell>
        </row>
        <row r="119">
          <cell r="F119" t="str">
            <v>Shilpa Kavde</v>
          </cell>
          <cell r="K119" t="str">
            <v>Cloud</v>
          </cell>
          <cell r="O119">
            <v>730855.3</v>
          </cell>
          <cell r="P119">
            <v>10000</v>
          </cell>
          <cell r="Q119">
            <v>0</v>
          </cell>
          <cell r="Z119" t="str">
            <v>CB</v>
          </cell>
        </row>
        <row r="120">
          <cell r="F120" t="str">
            <v>Shilpa Kavde</v>
          </cell>
          <cell r="K120" t="str">
            <v>Cloud</v>
          </cell>
          <cell r="O120">
            <v>46908.9</v>
          </cell>
          <cell r="P120">
            <v>10000</v>
          </cell>
          <cell r="Q120">
            <v>0</v>
          </cell>
          <cell r="Z120" t="str">
            <v>CB</v>
          </cell>
        </row>
        <row r="121">
          <cell r="F121" t="str">
            <v>Shilpa Kavde</v>
          </cell>
          <cell r="K121" t="str">
            <v>Cloud</v>
          </cell>
          <cell r="O121">
            <v>60927.7</v>
          </cell>
          <cell r="P121">
            <v>1000</v>
          </cell>
          <cell r="Q121">
            <v>0</v>
          </cell>
          <cell r="Z121" t="str">
            <v>CB</v>
          </cell>
        </row>
        <row r="122">
          <cell r="F122" t="str">
            <v>Shilpa Kavde</v>
          </cell>
          <cell r="K122" t="str">
            <v>Cloud</v>
          </cell>
          <cell r="O122">
            <v>23073.9</v>
          </cell>
          <cell r="P122">
            <v>1000</v>
          </cell>
          <cell r="Q122">
            <v>0</v>
          </cell>
          <cell r="Z122" t="str">
            <v>CB</v>
          </cell>
        </row>
        <row r="123">
          <cell r="F123" t="str">
            <v>Tasneem K</v>
          </cell>
          <cell r="K123" t="str">
            <v>Professional Services</v>
          </cell>
          <cell r="O123">
            <v>5800000</v>
          </cell>
          <cell r="P123">
            <v>1500000</v>
          </cell>
          <cell r="Q123">
            <v>0</v>
          </cell>
          <cell r="Z123" t="str">
            <v>S1</v>
          </cell>
        </row>
        <row r="124">
          <cell r="F124" t="str">
            <v>Tasneem K</v>
          </cell>
          <cell r="K124" t="str">
            <v>Professional Services</v>
          </cell>
          <cell r="O124">
            <v>5799996</v>
          </cell>
          <cell r="P124">
            <v>100000</v>
          </cell>
          <cell r="Q124">
            <v>0</v>
          </cell>
          <cell r="Z124" t="str">
            <v>S1</v>
          </cell>
        </row>
        <row r="125">
          <cell r="F125" t="str">
            <v>Varsha Ray</v>
          </cell>
          <cell r="K125" t="str">
            <v>Professional Services</v>
          </cell>
          <cell r="O125">
            <v>300000</v>
          </cell>
          <cell r="P125">
            <v>150000</v>
          </cell>
          <cell r="Q125">
            <v>0</v>
          </cell>
          <cell r="Z125" t="str">
            <v>S2</v>
          </cell>
        </row>
        <row r="126">
          <cell r="F126" t="str">
            <v>Atharva Karpe</v>
          </cell>
          <cell r="K126" t="str">
            <v>Professional Services</v>
          </cell>
          <cell r="O126">
            <v>245000</v>
          </cell>
          <cell r="P126">
            <v>50000</v>
          </cell>
          <cell r="Q126">
            <v>0</v>
          </cell>
          <cell r="Z126" t="str">
            <v>GB</v>
          </cell>
        </row>
        <row r="127">
          <cell r="F127" t="str">
            <v>Prachi Mayekar</v>
          </cell>
          <cell r="K127" t="str">
            <v>CSG (EndPoint)</v>
          </cell>
          <cell r="O127">
            <v>138300</v>
          </cell>
          <cell r="P127">
            <v>10000</v>
          </cell>
          <cell r="Q127">
            <v>35397.480000000003</v>
          </cell>
          <cell r="Z127" t="str">
            <v>CB</v>
          </cell>
        </row>
        <row r="128">
          <cell r="F128" t="str">
            <v>Prachi Mayekar</v>
          </cell>
          <cell r="K128" t="str">
            <v>CSG (EndPoint)</v>
          </cell>
          <cell r="O128">
            <v>3500</v>
          </cell>
          <cell r="P128">
            <v>1200</v>
          </cell>
          <cell r="Q128">
            <v>1200</v>
          </cell>
          <cell r="Z128" t="str">
            <v>CB</v>
          </cell>
        </row>
        <row r="129">
          <cell r="F129" t="str">
            <v>Prachi Mayekar</v>
          </cell>
          <cell r="K129" t="str">
            <v>CSG (EndPoint)</v>
          </cell>
          <cell r="O129">
            <v>3800</v>
          </cell>
          <cell r="P129">
            <v>500</v>
          </cell>
          <cell r="Q129">
            <v>5000</v>
          </cell>
          <cell r="Z129" t="str">
            <v>CB</v>
          </cell>
        </row>
        <row r="130">
          <cell r="F130" t="str">
            <v>Prachi Mayekar</v>
          </cell>
          <cell r="K130" t="str">
            <v>CSG (EndPoint)</v>
          </cell>
          <cell r="O130">
            <v>72000</v>
          </cell>
          <cell r="P130">
            <v>2000</v>
          </cell>
          <cell r="Q130">
            <v>6350</v>
          </cell>
          <cell r="Z130" t="str">
            <v>CB</v>
          </cell>
        </row>
        <row r="131">
          <cell r="F131" t="str">
            <v>Richa Tiwari</v>
          </cell>
          <cell r="K131" t="str">
            <v>CSG (EndPoint)</v>
          </cell>
          <cell r="O131">
            <v>13172000</v>
          </cell>
          <cell r="P131">
            <v>904576</v>
          </cell>
          <cell r="Q131">
            <v>917600</v>
          </cell>
          <cell r="Z131" t="str">
            <v>S1</v>
          </cell>
        </row>
        <row r="132">
          <cell r="F132" t="str">
            <v>Richa Tiwari</v>
          </cell>
          <cell r="K132" t="str">
            <v>CSG (EndPoint)</v>
          </cell>
          <cell r="O132">
            <v>1141000</v>
          </cell>
          <cell r="P132">
            <v>50000</v>
          </cell>
          <cell r="Q132">
            <v>59507</v>
          </cell>
          <cell r="Z132" t="str">
            <v>S1</v>
          </cell>
        </row>
        <row r="133">
          <cell r="F133" t="str">
            <v>Pratik Kadam</v>
          </cell>
          <cell r="K133" t="str">
            <v>CSG (EndPoint)</v>
          </cell>
          <cell r="O133">
            <v>6300000</v>
          </cell>
          <cell r="P133">
            <v>750000</v>
          </cell>
          <cell r="Q133">
            <v>750000</v>
          </cell>
          <cell r="Z133" t="str">
            <v>S1</v>
          </cell>
        </row>
        <row r="134">
          <cell r="F134" t="str">
            <v>Pratik Kadam</v>
          </cell>
          <cell r="K134" t="str">
            <v>CSG (EndPoint)</v>
          </cell>
          <cell r="O134">
            <v>362142</v>
          </cell>
          <cell r="P134">
            <v>21142</v>
          </cell>
          <cell r="Q134">
            <v>21142.44</v>
          </cell>
          <cell r="Z134" t="str">
            <v>S1</v>
          </cell>
        </row>
        <row r="135">
          <cell r="F135" t="str">
            <v>Pratik Kadam</v>
          </cell>
          <cell r="K135" t="str">
            <v>CSG (EndPoint)</v>
          </cell>
          <cell r="O135">
            <v>168000</v>
          </cell>
          <cell r="P135">
            <v>17500</v>
          </cell>
          <cell r="Q135">
            <v>17500</v>
          </cell>
          <cell r="Z135" t="str">
            <v>S1</v>
          </cell>
        </row>
        <row r="136">
          <cell r="F136" t="str">
            <v>Pratik Kadam</v>
          </cell>
          <cell r="K136" t="str">
            <v>CSG (EndPoint)</v>
          </cell>
          <cell r="O136">
            <v>192000</v>
          </cell>
          <cell r="P136">
            <v>20000</v>
          </cell>
          <cell r="Q136">
            <v>20000</v>
          </cell>
          <cell r="Z136" t="str">
            <v>S1</v>
          </cell>
        </row>
        <row r="137">
          <cell r="F137" t="str">
            <v>Pratik Kadam</v>
          </cell>
          <cell r="K137" t="str">
            <v>CSG (EndPoint)</v>
          </cell>
          <cell r="O137">
            <v>192000</v>
          </cell>
          <cell r="P137">
            <v>20000</v>
          </cell>
          <cell r="Q137">
            <v>20000</v>
          </cell>
          <cell r="Z137" t="str">
            <v>S1</v>
          </cell>
        </row>
        <row r="138">
          <cell r="F138" t="str">
            <v>Pratik Kadam</v>
          </cell>
          <cell r="K138" t="str">
            <v>CSG (EndPoint)</v>
          </cell>
          <cell r="O138">
            <v>192000</v>
          </cell>
          <cell r="P138">
            <v>20000</v>
          </cell>
          <cell r="Q138">
            <v>20000</v>
          </cell>
          <cell r="Z138" t="str">
            <v>S1</v>
          </cell>
        </row>
        <row r="139">
          <cell r="F139" t="str">
            <v>Pratik Kadam</v>
          </cell>
          <cell r="K139" t="str">
            <v>CSG (EndPoint)</v>
          </cell>
          <cell r="O139">
            <v>192000</v>
          </cell>
          <cell r="P139">
            <v>20000</v>
          </cell>
          <cell r="Q139">
            <v>20000</v>
          </cell>
          <cell r="Z139" t="str">
            <v>S1</v>
          </cell>
        </row>
        <row r="140">
          <cell r="F140" t="str">
            <v>Pratik Kadam</v>
          </cell>
          <cell r="K140" t="str">
            <v>CSG (EndPoint)</v>
          </cell>
          <cell r="O140">
            <v>192000</v>
          </cell>
          <cell r="P140">
            <v>20000</v>
          </cell>
          <cell r="Q140">
            <v>20000</v>
          </cell>
          <cell r="Z140" t="str">
            <v>S1</v>
          </cell>
        </row>
        <row r="141">
          <cell r="F141" t="str">
            <v>Pratik Kadam</v>
          </cell>
          <cell r="K141" t="str">
            <v>CSG (EndPoint)</v>
          </cell>
          <cell r="O141">
            <v>120000</v>
          </cell>
          <cell r="P141">
            <v>12500</v>
          </cell>
          <cell r="Q141">
            <v>12500</v>
          </cell>
          <cell r="Z141" t="str">
            <v>S1</v>
          </cell>
        </row>
        <row r="142">
          <cell r="F142" t="str">
            <v>Pratik Kadam</v>
          </cell>
          <cell r="K142" t="str">
            <v>CSG (EndPoint)</v>
          </cell>
          <cell r="O142">
            <v>177000</v>
          </cell>
          <cell r="P142">
            <v>22000</v>
          </cell>
          <cell r="Q142">
            <v>22000</v>
          </cell>
          <cell r="Z142" t="str">
            <v>S1</v>
          </cell>
        </row>
        <row r="143">
          <cell r="F143" t="str">
            <v>Pratik Kadam</v>
          </cell>
          <cell r="K143" t="str">
            <v>CSG (EndPoint)</v>
          </cell>
          <cell r="O143">
            <v>192000</v>
          </cell>
          <cell r="P143">
            <v>20000</v>
          </cell>
          <cell r="Q143">
            <v>20000</v>
          </cell>
          <cell r="Z143" t="str">
            <v>S1</v>
          </cell>
        </row>
        <row r="144">
          <cell r="F144" t="str">
            <v>Pratik Kadam</v>
          </cell>
          <cell r="K144" t="str">
            <v>CSG (EndPoint)</v>
          </cell>
          <cell r="O144">
            <v>192000</v>
          </cell>
          <cell r="P144">
            <v>20000</v>
          </cell>
          <cell r="Q144">
            <v>20000</v>
          </cell>
          <cell r="Z144" t="str">
            <v>S1</v>
          </cell>
        </row>
        <row r="145">
          <cell r="F145" t="str">
            <v>Pratik Kadam</v>
          </cell>
          <cell r="K145" t="str">
            <v>CSG (EndPoint)</v>
          </cell>
          <cell r="O145">
            <v>192000</v>
          </cell>
          <cell r="P145">
            <v>20000</v>
          </cell>
          <cell r="Q145">
            <v>20000</v>
          </cell>
          <cell r="Z145" t="str">
            <v>S1</v>
          </cell>
        </row>
        <row r="146">
          <cell r="F146" t="str">
            <v>Pratik Kadam</v>
          </cell>
          <cell r="K146" t="str">
            <v>CSG (EndPoint)</v>
          </cell>
          <cell r="O146">
            <v>192000</v>
          </cell>
          <cell r="P146">
            <v>20000</v>
          </cell>
          <cell r="Q146">
            <v>20000</v>
          </cell>
          <cell r="Z146" t="str">
            <v>S1</v>
          </cell>
        </row>
        <row r="147">
          <cell r="F147" t="str">
            <v>Pratik Kadam</v>
          </cell>
          <cell r="K147" t="str">
            <v>CSG (EndPoint)</v>
          </cell>
          <cell r="O147">
            <v>192000</v>
          </cell>
          <cell r="P147">
            <v>20000</v>
          </cell>
          <cell r="Q147">
            <v>20000</v>
          </cell>
          <cell r="Z147" t="str">
            <v>S1</v>
          </cell>
        </row>
        <row r="148">
          <cell r="F148" t="str">
            <v>Pratik Kadam</v>
          </cell>
          <cell r="K148" t="str">
            <v>CSG (EndPoint)</v>
          </cell>
          <cell r="O148">
            <v>144000</v>
          </cell>
          <cell r="P148">
            <v>15000</v>
          </cell>
          <cell r="Q148">
            <v>15000</v>
          </cell>
          <cell r="Z148" t="str">
            <v>S1</v>
          </cell>
        </row>
        <row r="149">
          <cell r="F149" t="str">
            <v>Pratik Kadam</v>
          </cell>
          <cell r="K149" t="str">
            <v>CSG (EndPoint)</v>
          </cell>
          <cell r="O149">
            <v>144000</v>
          </cell>
          <cell r="P149">
            <v>15000</v>
          </cell>
          <cell r="Q149">
            <v>15000</v>
          </cell>
          <cell r="Z149" t="str">
            <v>S1</v>
          </cell>
        </row>
        <row r="150">
          <cell r="F150" t="str">
            <v>Pratik Kadam</v>
          </cell>
          <cell r="K150" t="str">
            <v>CSG (EndPoint)</v>
          </cell>
          <cell r="O150">
            <v>96000</v>
          </cell>
          <cell r="P150">
            <v>10000</v>
          </cell>
          <cell r="Q150">
            <v>10000</v>
          </cell>
          <cell r="Z150" t="str">
            <v>S1</v>
          </cell>
        </row>
        <row r="151">
          <cell r="F151" t="str">
            <v>Pratik Kadam</v>
          </cell>
          <cell r="K151" t="str">
            <v>CSG (EndPoint)</v>
          </cell>
          <cell r="O151">
            <v>96000</v>
          </cell>
          <cell r="P151">
            <v>10000</v>
          </cell>
          <cell r="Q151">
            <v>10000</v>
          </cell>
          <cell r="Z151" t="str">
            <v>S1</v>
          </cell>
        </row>
        <row r="152">
          <cell r="F152" t="str">
            <v>Pratik Kadam</v>
          </cell>
          <cell r="K152" t="str">
            <v>CSG (EndPoint)</v>
          </cell>
          <cell r="O152">
            <v>96000</v>
          </cell>
          <cell r="P152">
            <v>10000</v>
          </cell>
          <cell r="Q152">
            <v>10000</v>
          </cell>
          <cell r="Z152" t="str">
            <v>S1</v>
          </cell>
        </row>
        <row r="153">
          <cell r="F153" t="str">
            <v>Pratik Kadam</v>
          </cell>
          <cell r="K153" t="str">
            <v>CSG (EndPoint)</v>
          </cell>
          <cell r="O153">
            <v>192000</v>
          </cell>
          <cell r="P153">
            <v>20000</v>
          </cell>
          <cell r="Q153">
            <v>20000</v>
          </cell>
          <cell r="Z153" t="str">
            <v>S1</v>
          </cell>
        </row>
        <row r="154">
          <cell r="F154" t="str">
            <v>Pratik Kadam</v>
          </cell>
          <cell r="K154" t="str">
            <v>CSG (EndPoint)</v>
          </cell>
          <cell r="O154">
            <v>192000</v>
          </cell>
          <cell r="P154">
            <v>20000</v>
          </cell>
          <cell r="Q154">
            <v>20000</v>
          </cell>
          <cell r="Z154" t="str">
            <v>S1</v>
          </cell>
        </row>
        <row r="155">
          <cell r="F155" t="str">
            <v>Pratik Kadam</v>
          </cell>
          <cell r="K155" t="str">
            <v>CSG (EndPoint)</v>
          </cell>
          <cell r="O155">
            <v>192000</v>
          </cell>
          <cell r="P155">
            <v>20000</v>
          </cell>
          <cell r="Q155">
            <v>20000</v>
          </cell>
          <cell r="Z155" t="str">
            <v>S1</v>
          </cell>
        </row>
        <row r="156">
          <cell r="F156" t="str">
            <v>Pratik Kadam</v>
          </cell>
          <cell r="K156" t="str">
            <v>CSG (EndPoint)</v>
          </cell>
          <cell r="O156">
            <v>96000</v>
          </cell>
          <cell r="P156">
            <v>10000</v>
          </cell>
          <cell r="Q156">
            <v>10000</v>
          </cell>
          <cell r="Z156" t="str">
            <v>S1</v>
          </cell>
        </row>
        <row r="157">
          <cell r="F157" t="str">
            <v>Pratik Kadam</v>
          </cell>
          <cell r="K157" t="str">
            <v>CSG (EndPoint)</v>
          </cell>
          <cell r="O157">
            <v>120000</v>
          </cell>
          <cell r="P157">
            <v>12500</v>
          </cell>
          <cell r="Q157">
            <v>12500</v>
          </cell>
          <cell r="Z157" t="str">
            <v>S1</v>
          </cell>
        </row>
        <row r="158">
          <cell r="F158" t="str">
            <v>Pratik Kadam</v>
          </cell>
          <cell r="K158" t="str">
            <v>CSG (EndPoint)</v>
          </cell>
          <cell r="O158">
            <v>192000</v>
          </cell>
          <cell r="P158">
            <v>20000</v>
          </cell>
          <cell r="Q158">
            <v>20000</v>
          </cell>
          <cell r="Z158" t="str">
            <v>S1</v>
          </cell>
        </row>
        <row r="159">
          <cell r="F159" t="str">
            <v>Pratik Kadam</v>
          </cell>
          <cell r="K159" t="str">
            <v>CSG (EndPoint)</v>
          </cell>
          <cell r="O159">
            <v>192000</v>
          </cell>
          <cell r="P159">
            <v>20000</v>
          </cell>
          <cell r="Q159">
            <v>20000</v>
          </cell>
          <cell r="Z159" t="str">
            <v>S1</v>
          </cell>
        </row>
        <row r="160">
          <cell r="F160" t="str">
            <v>Pratik Kadam</v>
          </cell>
          <cell r="K160" t="str">
            <v>CSG (EndPoint)</v>
          </cell>
          <cell r="O160">
            <v>192000</v>
          </cell>
          <cell r="P160">
            <v>20000</v>
          </cell>
          <cell r="Q160">
            <v>20000</v>
          </cell>
          <cell r="Z160" t="str">
            <v>S1</v>
          </cell>
        </row>
        <row r="161">
          <cell r="F161" t="str">
            <v>Pratik Kadam</v>
          </cell>
          <cell r="K161" t="str">
            <v>CSG (EndPoint)</v>
          </cell>
          <cell r="O161">
            <v>192000</v>
          </cell>
          <cell r="P161">
            <v>20000</v>
          </cell>
          <cell r="Q161">
            <v>20000</v>
          </cell>
          <cell r="Z161" t="str">
            <v>S1</v>
          </cell>
        </row>
        <row r="162">
          <cell r="F162" t="str">
            <v>Pratik Kadam</v>
          </cell>
          <cell r="K162" t="str">
            <v>CSG (EndPoint)</v>
          </cell>
          <cell r="O162">
            <v>192000</v>
          </cell>
          <cell r="P162">
            <v>20000</v>
          </cell>
          <cell r="Q162">
            <v>20000</v>
          </cell>
          <cell r="Z162" t="str">
            <v>S1</v>
          </cell>
        </row>
        <row r="163">
          <cell r="F163" t="str">
            <v>Pratik Kadam</v>
          </cell>
          <cell r="K163" t="str">
            <v>CSG (EndPoint)</v>
          </cell>
          <cell r="O163">
            <v>11440.67</v>
          </cell>
          <cell r="P163">
            <v>3970</v>
          </cell>
          <cell r="Q163">
            <v>2626.05</v>
          </cell>
          <cell r="Z163" t="str">
            <v>S1</v>
          </cell>
        </row>
        <row r="164">
          <cell r="F164" t="str">
            <v>Pratik Kadam</v>
          </cell>
          <cell r="K164" t="str">
            <v>CSG (EndPoint)</v>
          </cell>
          <cell r="O164">
            <v>3813</v>
          </cell>
          <cell r="P164">
            <v>1323.55</v>
          </cell>
          <cell r="Q164">
            <v>875.35</v>
          </cell>
          <cell r="Z164" t="str">
            <v>S1</v>
          </cell>
        </row>
        <row r="165">
          <cell r="F165" t="str">
            <v>Pratik Kadam</v>
          </cell>
          <cell r="K165" t="str">
            <v>CSG (EndPoint)</v>
          </cell>
          <cell r="O165">
            <v>192000</v>
          </cell>
          <cell r="P165">
            <v>20000</v>
          </cell>
          <cell r="Q165">
            <v>20000</v>
          </cell>
          <cell r="Z165" t="str">
            <v>S1</v>
          </cell>
        </row>
        <row r="166">
          <cell r="F166" t="str">
            <v>Pratik Kadam</v>
          </cell>
          <cell r="K166" t="str">
            <v>CSG (EndPoint)</v>
          </cell>
          <cell r="O166">
            <v>155932</v>
          </cell>
          <cell r="P166">
            <v>7932</v>
          </cell>
          <cell r="Q166">
            <v>7932</v>
          </cell>
          <cell r="Z166" t="str">
            <v>S1</v>
          </cell>
        </row>
        <row r="167">
          <cell r="F167" t="str">
            <v>Pratik Kadam</v>
          </cell>
          <cell r="K167" t="str">
            <v>CSG (EndPoint)</v>
          </cell>
          <cell r="O167">
            <v>192000</v>
          </cell>
          <cell r="P167">
            <v>20000</v>
          </cell>
          <cell r="Q167">
            <v>20000</v>
          </cell>
          <cell r="Z167" t="str">
            <v>S1</v>
          </cell>
        </row>
        <row r="168">
          <cell r="F168" t="str">
            <v>Pratik Kadam</v>
          </cell>
          <cell r="K168" t="str">
            <v>CSG (EndPoint)</v>
          </cell>
          <cell r="O168">
            <v>79500</v>
          </cell>
          <cell r="P168">
            <v>15000</v>
          </cell>
          <cell r="Q168">
            <v>15000</v>
          </cell>
          <cell r="Z168" t="str">
            <v>S1</v>
          </cell>
        </row>
        <row r="169">
          <cell r="F169" t="str">
            <v>Richa Tiwari</v>
          </cell>
          <cell r="K169" t="str">
            <v>CSG (EndPoint)</v>
          </cell>
          <cell r="O169">
            <v>238000</v>
          </cell>
          <cell r="P169">
            <v>5200</v>
          </cell>
          <cell r="Q169">
            <v>5200</v>
          </cell>
          <cell r="Z169" t="str">
            <v>S1</v>
          </cell>
        </row>
        <row r="170">
          <cell r="F170" t="str">
            <v>Richa Tiwari</v>
          </cell>
          <cell r="K170" t="str">
            <v>CSG (EndPoint)</v>
          </cell>
          <cell r="O170">
            <v>12926</v>
          </cell>
          <cell r="P170">
            <v>1000</v>
          </cell>
          <cell r="Q170">
            <v>2898.04</v>
          </cell>
          <cell r="Z170" t="str">
            <v>S1</v>
          </cell>
        </row>
        <row r="171">
          <cell r="F171" t="str">
            <v>Richa Tiwari</v>
          </cell>
          <cell r="K171" t="str">
            <v>CSG (EndPoint)</v>
          </cell>
          <cell r="O171">
            <v>1089000</v>
          </cell>
          <cell r="P171">
            <v>51000</v>
          </cell>
          <cell r="Q171">
            <v>51000</v>
          </cell>
          <cell r="Z171" t="str">
            <v>S1</v>
          </cell>
        </row>
        <row r="172">
          <cell r="F172" t="str">
            <v>Richa Tiwari</v>
          </cell>
          <cell r="K172" t="str">
            <v>CSG (EndPoint)</v>
          </cell>
          <cell r="O172">
            <v>3570000</v>
          </cell>
          <cell r="P172">
            <v>78000</v>
          </cell>
          <cell r="Q172">
            <v>78000</v>
          </cell>
          <cell r="Z172" t="str">
            <v>S1</v>
          </cell>
        </row>
        <row r="173">
          <cell r="F173" t="str">
            <v>Richa Tiwari</v>
          </cell>
          <cell r="K173" t="str">
            <v>CSG (EndPoint)</v>
          </cell>
          <cell r="O173">
            <v>181050</v>
          </cell>
          <cell r="P173">
            <v>8500</v>
          </cell>
          <cell r="Q173">
            <v>8500</v>
          </cell>
          <cell r="Z173" t="str">
            <v>S1</v>
          </cell>
        </row>
        <row r="174">
          <cell r="F174" t="str">
            <v>Richa Tiwari</v>
          </cell>
          <cell r="K174" t="str">
            <v>CSG (EndPoint)</v>
          </cell>
          <cell r="O174">
            <v>419500</v>
          </cell>
          <cell r="P174">
            <v>13700</v>
          </cell>
          <cell r="Q174">
            <v>13700</v>
          </cell>
          <cell r="Z174" t="str">
            <v>S1</v>
          </cell>
        </row>
        <row r="175">
          <cell r="F175" t="str">
            <v>Richa Tiwari</v>
          </cell>
          <cell r="K175" t="str">
            <v>CSG (EndPoint)</v>
          </cell>
          <cell r="O175">
            <v>11067000</v>
          </cell>
          <cell r="P175">
            <v>241800</v>
          </cell>
          <cell r="Q175">
            <v>241800</v>
          </cell>
          <cell r="Z175" t="str">
            <v>S1</v>
          </cell>
        </row>
        <row r="176">
          <cell r="F176" t="str">
            <v>Richa Tiwari</v>
          </cell>
          <cell r="K176" t="str">
            <v>CSG (EndPoint)</v>
          </cell>
          <cell r="O176">
            <v>238000</v>
          </cell>
          <cell r="P176">
            <v>5200</v>
          </cell>
          <cell r="Q176">
            <v>5200</v>
          </cell>
          <cell r="Z176" t="str">
            <v>S1</v>
          </cell>
        </row>
        <row r="177">
          <cell r="F177" t="str">
            <v>Richa Tiwari</v>
          </cell>
          <cell r="K177" t="str">
            <v>CSG (EndPoint)</v>
          </cell>
          <cell r="O177">
            <v>2380000</v>
          </cell>
          <cell r="P177">
            <v>52000</v>
          </cell>
          <cell r="Q177">
            <v>52000</v>
          </cell>
          <cell r="Z177" t="str">
            <v>S1</v>
          </cell>
        </row>
        <row r="178">
          <cell r="F178" t="str">
            <v>Richa Tiwari</v>
          </cell>
          <cell r="K178" t="str">
            <v>CSG (EndPoint)</v>
          </cell>
          <cell r="O178">
            <v>201150</v>
          </cell>
          <cell r="P178">
            <v>2250</v>
          </cell>
          <cell r="Q178">
            <v>2250</v>
          </cell>
          <cell r="Z178" t="str">
            <v>S1</v>
          </cell>
        </row>
        <row r="179">
          <cell r="F179" t="str">
            <v>Richa Tiwari</v>
          </cell>
          <cell r="K179" t="str">
            <v>CSG (EndPoint)</v>
          </cell>
          <cell r="O179">
            <v>5843000</v>
          </cell>
          <cell r="P179">
            <v>145800</v>
          </cell>
          <cell r="Q179">
            <v>145800</v>
          </cell>
          <cell r="Z179" t="str">
            <v>S1</v>
          </cell>
        </row>
        <row r="180">
          <cell r="F180" t="str">
            <v>Richa Tiwari</v>
          </cell>
          <cell r="K180" t="str">
            <v>CSG (EndPoint)</v>
          </cell>
          <cell r="O180">
            <v>958000</v>
          </cell>
          <cell r="P180">
            <v>30000</v>
          </cell>
          <cell r="Q180">
            <v>30000</v>
          </cell>
          <cell r="Z180" t="str">
            <v>S1</v>
          </cell>
        </row>
        <row r="181">
          <cell r="F181" t="str">
            <v>Richa Tiwari</v>
          </cell>
          <cell r="K181" t="str">
            <v>CSG (EndPoint)</v>
          </cell>
          <cell r="O181">
            <v>11886500</v>
          </cell>
          <cell r="P181">
            <v>509100</v>
          </cell>
          <cell r="Q181">
            <v>509100</v>
          </cell>
          <cell r="Z181" t="str">
            <v>S1</v>
          </cell>
        </row>
        <row r="182">
          <cell r="F182" t="str">
            <v>Richa Tiwari</v>
          </cell>
          <cell r="K182" t="str">
            <v>CSG (EndPoint)</v>
          </cell>
          <cell r="O182">
            <v>1133500</v>
          </cell>
          <cell r="P182">
            <v>29300</v>
          </cell>
          <cell r="Q182">
            <v>29300</v>
          </cell>
          <cell r="Z182" t="str">
            <v>S1</v>
          </cell>
        </row>
        <row r="183">
          <cell r="F183" t="str">
            <v>Richa Tiwari</v>
          </cell>
          <cell r="K183" t="str">
            <v>CSG (EndPoint)</v>
          </cell>
          <cell r="O183">
            <v>119000</v>
          </cell>
          <cell r="P183">
            <v>2600</v>
          </cell>
          <cell r="Q183">
            <v>2600</v>
          </cell>
          <cell r="Z183" t="str">
            <v>S1</v>
          </cell>
        </row>
        <row r="184">
          <cell r="F184" t="str">
            <v>Richa Tiwari</v>
          </cell>
          <cell r="K184" t="str">
            <v>CSG (EndPoint)</v>
          </cell>
          <cell r="O184">
            <v>238000</v>
          </cell>
          <cell r="P184">
            <v>5200</v>
          </cell>
          <cell r="Q184">
            <v>5200</v>
          </cell>
          <cell r="Z184" t="str">
            <v>S1</v>
          </cell>
        </row>
        <row r="185">
          <cell r="F185" t="str">
            <v>Richa Tiwari</v>
          </cell>
          <cell r="K185" t="str">
            <v>CSG (EndPoint)</v>
          </cell>
          <cell r="O185">
            <v>119000</v>
          </cell>
          <cell r="P185">
            <v>2600</v>
          </cell>
          <cell r="Q185">
            <v>0</v>
          </cell>
          <cell r="Z185" t="str">
            <v>S1</v>
          </cell>
        </row>
        <row r="186">
          <cell r="F186" t="str">
            <v>Richa Tiwari</v>
          </cell>
          <cell r="K186" t="str">
            <v>CSG (EndPoint)</v>
          </cell>
          <cell r="O186">
            <v>119000</v>
          </cell>
          <cell r="P186">
            <v>2600</v>
          </cell>
          <cell r="Q186">
            <v>2600</v>
          </cell>
          <cell r="Z186" t="str">
            <v>S1</v>
          </cell>
        </row>
        <row r="187">
          <cell r="F187" t="str">
            <v>Richa Tiwari</v>
          </cell>
          <cell r="K187" t="str">
            <v>CSG (EndPoint)</v>
          </cell>
          <cell r="O187">
            <v>42130000</v>
          </cell>
          <cell r="P187">
            <v>999400</v>
          </cell>
          <cell r="Q187">
            <v>0</v>
          </cell>
          <cell r="Z187" t="str">
            <v>S1</v>
          </cell>
        </row>
        <row r="188">
          <cell r="F188" t="str">
            <v>Abrar Memon</v>
          </cell>
          <cell r="K188" t="str">
            <v>Cyber Security &amp; Networking</v>
          </cell>
          <cell r="O188">
            <v>21350</v>
          </cell>
          <cell r="P188">
            <v>2850</v>
          </cell>
          <cell r="Q188">
            <v>2850</v>
          </cell>
          <cell r="Z188" t="str">
            <v>South</v>
          </cell>
        </row>
        <row r="189">
          <cell r="F189" t="str">
            <v>Abrar Memon</v>
          </cell>
          <cell r="K189" t="str">
            <v>Cyber Security &amp; Networking</v>
          </cell>
          <cell r="O189">
            <v>23650</v>
          </cell>
          <cell r="P189">
            <v>2650</v>
          </cell>
          <cell r="Q189">
            <v>2650</v>
          </cell>
          <cell r="Z189" t="str">
            <v>South</v>
          </cell>
        </row>
        <row r="190">
          <cell r="F190" t="str">
            <v>Ayushman Singh</v>
          </cell>
          <cell r="K190" t="str">
            <v>Cyber Security &amp; Networking</v>
          </cell>
          <cell r="O190">
            <v>73129</v>
          </cell>
          <cell r="P190">
            <v>58000</v>
          </cell>
          <cell r="Q190">
            <v>58000</v>
          </cell>
          <cell r="Z190" t="str">
            <v>GB</v>
          </cell>
        </row>
        <row r="191">
          <cell r="F191" t="str">
            <v>Chetna Sharma</v>
          </cell>
          <cell r="K191" t="str">
            <v>Cyber Security &amp; Networking</v>
          </cell>
          <cell r="O191">
            <v>524744.72</v>
          </cell>
          <cell r="P191">
            <v>36916.720000000001</v>
          </cell>
          <cell r="Q191">
            <v>36177.03</v>
          </cell>
          <cell r="Z191" t="str">
            <v>S2</v>
          </cell>
        </row>
        <row r="192">
          <cell r="F192" t="str">
            <v>Darshana Patil</v>
          </cell>
          <cell r="K192" t="str">
            <v>Cyber Security &amp; Networking</v>
          </cell>
          <cell r="O192">
            <v>229000</v>
          </cell>
          <cell r="P192">
            <v>29000</v>
          </cell>
          <cell r="Q192">
            <v>19919.3</v>
          </cell>
          <cell r="Z192" t="str">
            <v>Others</v>
          </cell>
        </row>
        <row r="193">
          <cell r="F193" t="str">
            <v>Darshana Patil</v>
          </cell>
          <cell r="K193" t="str">
            <v>Cyber Security &amp; Networking</v>
          </cell>
          <cell r="O193">
            <v>99000</v>
          </cell>
          <cell r="P193">
            <v>8951.7999999999993</v>
          </cell>
          <cell r="Q193">
            <v>8951.7999999999993</v>
          </cell>
          <cell r="Z193" t="str">
            <v>Others</v>
          </cell>
        </row>
        <row r="194">
          <cell r="F194" t="str">
            <v>Chirag Palande</v>
          </cell>
          <cell r="K194" t="str">
            <v>Cyber Security &amp; Networking</v>
          </cell>
          <cell r="O194">
            <v>532500</v>
          </cell>
          <cell r="P194">
            <v>31920</v>
          </cell>
          <cell r="Q194">
            <v>31920</v>
          </cell>
          <cell r="Z194" t="str">
            <v>S1</v>
          </cell>
        </row>
        <row r="195">
          <cell r="F195" t="str">
            <v>Chirag Palande</v>
          </cell>
          <cell r="K195" t="str">
            <v>Cyber Security &amp; Networking</v>
          </cell>
          <cell r="O195">
            <v>278600</v>
          </cell>
          <cell r="P195">
            <v>0</v>
          </cell>
          <cell r="Q195">
            <v>0</v>
          </cell>
          <cell r="Z195" t="str">
            <v>S1</v>
          </cell>
        </row>
        <row r="196">
          <cell r="F196" t="str">
            <v>Tasneem K</v>
          </cell>
          <cell r="K196" t="str">
            <v>Cyber Security &amp; Networking</v>
          </cell>
          <cell r="O196">
            <v>999360</v>
          </cell>
          <cell r="P196">
            <v>110193</v>
          </cell>
          <cell r="Q196">
            <v>124360</v>
          </cell>
          <cell r="Z196" t="str">
            <v>S1</v>
          </cell>
        </row>
        <row r="197">
          <cell r="F197" t="str">
            <v>Varsha Ray</v>
          </cell>
          <cell r="K197" t="str">
            <v>Cyber Security &amp; Networking</v>
          </cell>
          <cell r="O197">
            <v>800000</v>
          </cell>
          <cell r="P197">
            <v>51183.25</v>
          </cell>
          <cell r="Q197">
            <v>51183.25</v>
          </cell>
          <cell r="Z197" t="str">
            <v>S2</v>
          </cell>
        </row>
        <row r="198">
          <cell r="F198" t="str">
            <v>Varsha Ray</v>
          </cell>
          <cell r="K198" t="str">
            <v>Cyber Security &amp; Networking</v>
          </cell>
          <cell r="O198">
            <v>7190400</v>
          </cell>
          <cell r="P198">
            <v>190400</v>
          </cell>
          <cell r="Q198">
            <v>190400</v>
          </cell>
          <cell r="Z198" t="str">
            <v>S2</v>
          </cell>
        </row>
        <row r="199">
          <cell r="F199" t="str">
            <v>Arpit Srivastava</v>
          </cell>
          <cell r="K199" t="str">
            <v>Cyber Security &amp; Networking</v>
          </cell>
          <cell r="O199">
            <v>26160</v>
          </cell>
          <cell r="P199">
            <v>2616</v>
          </cell>
          <cell r="Q199">
            <v>2616</v>
          </cell>
          <cell r="Z199" t="str">
            <v>S2</v>
          </cell>
        </row>
        <row r="200">
          <cell r="F200" t="str">
            <v>Arpit Srivastava</v>
          </cell>
          <cell r="K200" t="str">
            <v>Cyber Security &amp; Networking</v>
          </cell>
          <cell r="O200">
            <v>537798.32999999996</v>
          </cell>
          <cell r="P200">
            <v>53780</v>
          </cell>
          <cell r="Q200">
            <v>53780.33</v>
          </cell>
          <cell r="Z200" t="str">
            <v>S2</v>
          </cell>
        </row>
        <row r="201">
          <cell r="F201" t="str">
            <v>Richa Tiwari</v>
          </cell>
          <cell r="K201" t="str">
            <v>Cyber Security &amp; Networking</v>
          </cell>
          <cell r="O201">
            <v>4000000</v>
          </cell>
          <cell r="P201">
            <v>20000</v>
          </cell>
          <cell r="Q201">
            <v>81866.759999999995</v>
          </cell>
          <cell r="Z201" t="str">
            <v>S1</v>
          </cell>
        </row>
        <row r="202">
          <cell r="F202" t="str">
            <v>Richa Tiwari</v>
          </cell>
          <cell r="K202" t="str">
            <v>Cyber Security &amp; Networking</v>
          </cell>
          <cell r="O202">
            <v>10947764.92</v>
          </cell>
          <cell r="P202">
            <v>1041838</v>
          </cell>
          <cell r="Q202">
            <v>1383202.91</v>
          </cell>
          <cell r="Z202" t="str">
            <v>S1</v>
          </cell>
        </row>
        <row r="203">
          <cell r="F203" t="str">
            <v>Richa Tiwari</v>
          </cell>
          <cell r="K203" t="str">
            <v>Cyber Security &amp; Networking</v>
          </cell>
          <cell r="O203">
            <v>345000</v>
          </cell>
          <cell r="P203">
            <v>10000</v>
          </cell>
          <cell r="Q203">
            <v>0</v>
          </cell>
          <cell r="Z203" t="str">
            <v>S1</v>
          </cell>
        </row>
        <row r="204">
          <cell r="F204" t="str">
            <v>Richa Tiwari</v>
          </cell>
          <cell r="K204" t="str">
            <v>Cyber Security &amp; Networking</v>
          </cell>
          <cell r="O204">
            <v>25392000</v>
          </cell>
          <cell r="P204">
            <v>50000</v>
          </cell>
          <cell r="Q204">
            <v>0</v>
          </cell>
          <cell r="Z204" t="str">
            <v>S1</v>
          </cell>
        </row>
        <row r="205">
          <cell r="F205" t="str">
            <v>Richa Tiwari</v>
          </cell>
          <cell r="K205" t="str">
            <v>Cyber Security &amp; Networking</v>
          </cell>
          <cell r="O205">
            <v>7480583.8600000003</v>
          </cell>
          <cell r="P205">
            <v>80000</v>
          </cell>
          <cell r="Q205">
            <v>740608.86</v>
          </cell>
          <cell r="Z205" t="str">
            <v>S1</v>
          </cell>
        </row>
        <row r="206">
          <cell r="F206" t="str">
            <v>Richa Tiwari</v>
          </cell>
          <cell r="K206" t="str">
            <v>Cyber Security &amp; Networking</v>
          </cell>
          <cell r="O206">
            <v>3466333</v>
          </cell>
          <cell r="P206">
            <v>20000</v>
          </cell>
          <cell r="Q206">
            <v>0</v>
          </cell>
          <cell r="Z206" t="str">
            <v>S1</v>
          </cell>
        </row>
        <row r="207">
          <cell r="F207" t="str">
            <v>Richa Tiwari</v>
          </cell>
          <cell r="K207" t="str">
            <v>Cyber Security &amp; Networking</v>
          </cell>
          <cell r="O207">
            <v>8000000</v>
          </cell>
          <cell r="P207">
            <v>50000</v>
          </cell>
          <cell r="Q207">
            <v>0</v>
          </cell>
          <cell r="Z207" t="str">
            <v>S1</v>
          </cell>
        </row>
        <row r="208">
          <cell r="F208" t="str">
            <v>Richa Tiwari</v>
          </cell>
          <cell r="K208" t="str">
            <v>Cyber Security &amp; Networking</v>
          </cell>
          <cell r="O208">
            <v>295000</v>
          </cell>
          <cell r="P208">
            <v>63080</v>
          </cell>
          <cell r="Q208">
            <v>0</v>
          </cell>
          <cell r="Z208" t="str">
            <v>S1</v>
          </cell>
        </row>
        <row r="209">
          <cell r="F209" t="str">
            <v>Richa Tiwari</v>
          </cell>
          <cell r="K209" t="str">
            <v>Cyber Security &amp; Networking</v>
          </cell>
          <cell r="O209">
            <v>8440000</v>
          </cell>
          <cell r="P209">
            <v>50000</v>
          </cell>
          <cell r="Q209">
            <v>0</v>
          </cell>
          <cell r="Z209" t="str">
            <v>S1</v>
          </cell>
        </row>
        <row r="210">
          <cell r="F210" t="str">
            <v>Rohit Deshmukh</v>
          </cell>
          <cell r="K210" t="str">
            <v>Cyber Security &amp; Networking</v>
          </cell>
          <cell r="O210">
            <v>729877.5</v>
          </cell>
          <cell r="P210">
            <v>36493.879999999997</v>
          </cell>
          <cell r="Q210">
            <v>0</v>
          </cell>
          <cell r="Z210" t="str">
            <v>S2</v>
          </cell>
        </row>
        <row r="211">
          <cell r="F211" t="str">
            <v>Rohit Deshmukh</v>
          </cell>
          <cell r="K211" t="str">
            <v>Cyber Security &amp; Networking</v>
          </cell>
          <cell r="O211">
            <v>8000</v>
          </cell>
          <cell r="P211">
            <v>2000</v>
          </cell>
          <cell r="Q211">
            <v>2067.8000000000002</v>
          </cell>
          <cell r="Z211" t="str">
            <v>S2</v>
          </cell>
        </row>
        <row r="212">
          <cell r="F212" t="str">
            <v>Rohit Deshmukh</v>
          </cell>
          <cell r="K212" t="str">
            <v>Cyber Security &amp; Networking</v>
          </cell>
          <cell r="O212">
            <v>7508225</v>
          </cell>
          <cell r="P212">
            <v>1939883</v>
          </cell>
          <cell r="Q212">
            <v>1984058.13</v>
          </cell>
          <cell r="Z212" t="str">
            <v>S2</v>
          </cell>
        </row>
        <row r="213">
          <cell r="F213" t="str">
            <v>Rohit Deshmukh</v>
          </cell>
          <cell r="K213" t="str">
            <v>Cyber Security &amp; Networking</v>
          </cell>
          <cell r="O213">
            <v>825000</v>
          </cell>
          <cell r="P213">
            <v>182732.72</v>
          </cell>
          <cell r="Q213">
            <v>0</v>
          </cell>
          <cell r="Z213" t="str">
            <v>S2</v>
          </cell>
        </row>
        <row r="214">
          <cell r="F214" t="str">
            <v>Rohit Deshmukh</v>
          </cell>
          <cell r="K214" t="str">
            <v>Cyber Security &amp; Networking</v>
          </cell>
          <cell r="O214">
            <v>797750</v>
          </cell>
          <cell r="P214">
            <v>30000</v>
          </cell>
          <cell r="Q214">
            <v>0</v>
          </cell>
          <cell r="Z214" t="str">
            <v>S2</v>
          </cell>
        </row>
        <row r="215">
          <cell r="F215" t="str">
            <v>Rohit Deshmukh</v>
          </cell>
          <cell r="K215" t="str">
            <v>Cyber Security &amp; Networking</v>
          </cell>
          <cell r="O215">
            <v>198465</v>
          </cell>
          <cell r="P215">
            <v>10000</v>
          </cell>
          <cell r="Q215">
            <v>53541.31</v>
          </cell>
          <cell r="Z215" t="str">
            <v>S2</v>
          </cell>
        </row>
        <row r="216">
          <cell r="F216" t="str">
            <v>Rohit Deshmukh</v>
          </cell>
          <cell r="K216" t="str">
            <v>Cyber Security &amp; Networking</v>
          </cell>
          <cell r="O216">
            <v>163854</v>
          </cell>
          <cell r="P216">
            <v>5000</v>
          </cell>
          <cell r="Q216">
            <v>0</v>
          </cell>
          <cell r="Z216" t="str">
            <v>S2</v>
          </cell>
        </row>
        <row r="217">
          <cell r="F217" t="str">
            <v>Hrushikesh Bagade</v>
          </cell>
          <cell r="K217" t="str">
            <v>Cyber Security &amp; Networking</v>
          </cell>
          <cell r="O217">
            <v>287600</v>
          </cell>
          <cell r="P217">
            <v>170200</v>
          </cell>
          <cell r="Q217">
            <v>210200</v>
          </cell>
          <cell r="Z217" t="str">
            <v>Geo X</v>
          </cell>
        </row>
        <row r="218">
          <cell r="F218" t="str">
            <v>Hrushikesh Bagade</v>
          </cell>
          <cell r="K218" t="str">
            <v>Cyber Security &amp; Networking</v>
          </cell>
          <cell r="O218">
            <v>269272</v>
          </cell>
          <cell r="P218">
            <v>24234</v>
          </cell>
          <cell r="Q218">
            <v>24235</v>
          </cell>
          <cell r="Z218" t="str">
            <v>Geo X</v>
          </cell>
        </row>
        <row r="219">
          <cell r="F219" t="str">
            <v>Hrushikesh Bagade</v>
          </cell>
          <cell r="K219" t="str">
            <v>Cyber Security &amp; Networking</v>
          </cell>
          <cell r="O219">
            <v>2566178</v>
          </cell>
          <cell r="P219">
            <v>230953</v>
          </cell>
          <cell r="Q219">
            <v>230962</v>
          </cell>
          <cell r="Z219" t="str">
            <v>Geo X</v>
          </cell>
        </row>
        <row r="220">
          <cell r="F220" t="str">
            <v>Hrushikesh Bagade</v>
          </cell>
          <cell r="K220" t="str">
            <v>Cyber Security &amp; Networking</v>
          </cell>
          <cell r="O220">
            <v>1331348</v>
          </cell>
          <cell r="P220">
            <v>119821.3</v>
          </cell>
          <cell r="Q220">
            <v>119820.8</v>
          </cell>
          <cell r="Z220" t="str">
            <v>Geo X</v>
          </cell>
        </row>
        <row r="221">
          <cell r="F221" t="str">
            <v>Hrushikesh Bagade</v>
          </cell>
          <cell r="K221" t="str">
            <v>Cyber Security &amp; Networking</v>
          </cell>
          <cell r="O221">
            <v>9325000</v>
          </cell>
          <cell r="P221">
            <v>373000</v>
          </cell>
          <cell r="Q221">
            <v>277000</v>
          </cell>
          <cell r="Z221" t="str">
            <v>Geo X</v>
          </cell>
        </row>
        <row r="222">
          <cell r="F222" t="str">
            <v>Hrushikesh Bagade</v>
          </cell>
          <cell r="K222" t="str">
            <v>Cyber Security &amp; Networking</v>
          </cell>
          <cell r="O222">
            <v>1032784</v>
          </cell>
          <cell r="P222">
            <v>162184</v>
          </cell>
          <cell r="Q222">
            <v>0</v>
          </cell>
          <cell r="Z222" t="str">
            <v>Geo X</v>
          </cell>
        </row>
        <row r="223">
          <cell r="F223" t="str">
            <v>Ayushman Singh</v>
          </cell>
          <cell r="K223" t="str">
            <v>Cyber Security &amp; Networking</v>
          </cell>
          <cell r="O223">
            <v>168960</v>
          </cell>
          <cell r="P223">
            <v>15361</v>
          </cell>
          <cell r="Q223">
            <v>0</v>
          </cell>
          <cell r="Z223" t="str">
            <v>GB</v>
          </cell>
        </row>
        <row r="224">
          <cell r="F224" t="str">
            <v>Ayushman Singh</v>
          </cell>
          <cell r="K224" t="str">
            <v>Cyber Security &amp; Networking</v>
          </cell>
          <cell r="O224">
            <v>572000</v>
          </cell>
          <cell r="P224">
            <v>25623</v>
          </cell>
          <cell r="Q224">
            <v>0</v>
          </cell>
          <cell r="Z224" t="str">
            <v>GB</v>
          </cell>
        </row>
        <row r="225">
          <cell r="F225" t="str">
            <v>Hrushikesh Bagade</v>
          </cell>
          <cell r="K225" t="str">
            <v>Cyber Security &amp; Networking</v>
          </cell>
          <cell r="O225">
            <v>3029670</v>
          </cell>
          <cell r="P225">
            <v>673470</v>
          </cell>
          <cell r="Q225">
            <v>0</v>
          </cell>
          <cell r="Z225" t="str">
            <v>Geo X</v>
          </cell>
        </row>
        <row r="226">
          <cell r="F226" t="str">
            <v>Jimesh Shah</v>
          </cell>
          <cell r="K226" t="str">
            <v>Cyber Security &amp; Networking</v>
          </cell>
          <cell r="O226">
            <v>195272</v>
          </cell>
          <cell r="P226">
            <v>9300</v>
          </cell>
          <cell r="Q226">
            <v>0</v>
          </cell>
          <cell r="Z226" t="str">
            <v>Others</v>
          </cell>
        </row>
        <row r="227">
          <cell r="F227" t="str">
            <v>Prachi Mayekar</v>
          </cell>
          <cell r="K227" t="str">
            <v>Cyber Security &amp; Networking</v>
          </cell>
          <cell r="O227">
            <v>43400000</v>
          </cell>
          <cell r="P227">
            <v>100000</v>
          </cell>
          <cell r="Q227">
            <v>1043986.48</v>
          </cell>
          <cell r="Z227" t="str">
            <v>CB</v>
          </cell>
        </row>
        <row r="228">
          <cell r="F228" t="str">
            <v>Prachi Mayekar</v>
          </cell>
          <cell r="K228" t="str">
            <v>Cyber Security &amp; Networking</v>
          </cell>
          <cell r="O228">
            <v>2546045</v>
          </cell>
          <cell r="P228">
            <v>50000</v>
          </cell>
          <cell r="Q228">
            <v>232151</v>
          </cell>
          <cell r="Z228" t="str">
            <v>CB</v>
          </cell>
        </row>
        <row r="229">
          <cell r="F229" t="str">
            <v>Prachi Mayekar</v>
          </cell>
          <cell r="K229" t="str">
            <v>Cyber Security &amp; Networking</v>
          </cell>
          <cell r="O229">
            <v>1555151</v>
          </cell>
          <cell r="P229">
            <v>100000</v>
          </cell>
          <cell r="Q229">
            <v>153986</v>
          </cell>
          <cell r="Z229" t="str">
            <v>CB</v>
          </cell>
        </row>
        <row r="230">
          <cell r="F230" t="str">
            <v>Sanjeev Kohli</v>
          </cell>
          <cell r="K230" t="str">
            <v>Cyber Security &amp; Networking</v>
          </cell>
          <cell r="O230">
            <v>21966500</v>
          </cell>
          <cell r="P230">
            <v>200000</v>
          </cell>
          <cell r="Q230">
            <v>0</v>
          </cell>
          <cell r="Z230" t="str">
            <v>Others</v>
          </cell>
        </row>
        <row r="231">
          <cell r="F231" t="str">
            <v>Shubhangi Srinivasan</v>
          </cell>
          <cell r="K231" t="str">
            <v>Cyber Security &amp; Networking</v>
          </cell>
          <cell r="O231">
            <v>210216.41</v>
          </cell>
          <cell r="P231">
            <v>16247</v>
          </cell>
          <cell r="Q231">
            <v>10010.120000000001</v>
          </cell>
          <cell r="Z231" t="str">
            <v>GB</v>
          </cell>
        </row>
        <row r="232">
          <cell r="F232" t="str">
            <v>Shubhangi Srinivasan</v>
          </cell>
          <cell r="K232" t="str">
            <v>Cyber Security &amp; Networking</v>
          </cell>
          <cell r="O232">
            <v>7200000</v>
          </cell>
          <cell r="P232">
            <v>559999</v>
          </cell>
          <cell r="Q232">
            <v>559514.17000000004</v>
          </cell>
          <cell r="Z232" t="str">
            <v>GB</v>
          </cell>
        </row>
        <row r="233">
          <cell r="F233" t="str">
            <v>Richa Tiwari</v>
          </cell>
          <cell r="K233" t="str">
            <v>Cyber Security &amp; Networking</v>
          </cell>
          <cell r="O233">
            <v>6750000</v>
          </cell>
          <cell r="P233">
            <v>400000</v>
          </cell>
          <cell r="Q233">
            <v>399999.99</v>
          </cell>
          <cell r="Z233" t="str">
            <v>S1</v>
          </cell>
        </row>
        <row r="234">
          <cell r="F234" t="str">
            <v>Richa Tiwari</v>
          </cell>
          <cell r="K234" t="str">
            <v>Cyber Security &amp; Networking</v>
          </cell>
          <cell r="O234">
            <v>134100</v>
          </cell>
          <cell r="P234">
            <v>20000</v>
          </cell>
          <cell r="Q234">
            <v>0</v>
          </cell>
          <cell r="Z234" t="str">
            <v>S1</v>
          </cell>
        </row>
        <row r="235">
          <cell r="F235" t="str">
            <v>Riya Bhatt</v>
          </cell>
          <cell r="K235" t="str">
            <v>Cyber Security &amp; Networking</v>
          </cell>
          <cell r="O235">
            <v>4248000</v>
          </cell>
          <cell r="P235">
            <v>0</v>
          </cell>
          <cell r="Q235">
            <v>394800.05</v>
          </cell>
          <cell r="Z235" t="str">
            <v>S1</v>
          </cell>
        </row>
        <row r="236">
          <cell r="F236" t="str">
            <v>Sagar TR</v>
          </cell>
          <cell r="K236" t="str">
            <v>Cyber Security &amp; Networking</v>
          </cell>
          <cell r="O236">
            <v>230359</v>
          </cell>
          <cell r="P236">
            <v>21277</v>
          </cell>
          <cell r="Q236">
            <v>21979</v>
          </cell>
          <cell r="Z236" t="str">
            <v>South</v>
          </cell>
        </row>
        <row r="237">
          <cell r="F237" t="str">
            <v>Sagar TR</v>
          </cell>
          <cell r="K237" t="str">
            <v>Cyber Security &amp; Networking</v>
          </cell>
          <cell r="O237">
            <v>80955</v>
          </cell>
          <cell r="P237">
            <v>5415</v>
          </cell>
          <cell r="Q237">
            <v>5415</v>
          </cell>
          <cell r="Z237" t="str">
            <v>South</v>
          </cell>
        </row>
        <row r="238">
          <cell r="F238" t="str">
            <v>Sagar TR</v>
          </cell>
          <cell r="K238" t="str">
            <v>Cyber Security &amp; Networking</v>
          </cell>
          <cell r="O238">
            <v>29635</v>
          </cell>
          <cell r="P238">
            <v>6405</v>
          </cell>
          <cell r="Q238">
            <v>6405</v>
          </cell>
          <cell r="Z238" t="str">
            <v>South</v>
          </cell>
        </row>
        <row r="239">
          <cell r="F239" t="str">
            <v>Sagar TR</v>
          </cell>
          <cell r="K239" t="str">
            <v>Cyber Security &amp; Networking</v>
          </cell>
          <cell r="O239">
            <v>839290</v>
          </cell>
          <cell r="P239">
            <v>67750</v>
          </cell>
          <cell r="Q239">
            <v>67750</v>
          </cell>
          <cell r="Z239" t="str">
            <v>South</v>
          </cell>
        </row>
        <row r="240">
          <cell r="F240" t="str">
            <v>Sagar TR</v>
          </cell>
          <cell r="K240" t="str">
            <v>Cyber Security &amp; Networking</v>
          </cell>
          <cell r="O240">
            <v>11130</v>
          </cell>
          <cell r="P240">
            <v>810</v>
          </cell>
          <cell r="Q240">
            <v>810</v>
          </cell>
          <cell r="Z240" t="str">
            <v>South</v>
          </cell>
        </row>
        <row r="241">
          <cell r="F241" t="str">
            <v>Sagar TR</v>
          </cell>
          <cell r="K241" t="str">
            <v>Cyber Security &amp; Networking</v>
          </cell>
          <cell r="O241">
            <v>32000</v>
          </cell>
          <cell r="P241">
            <v>7000</v>
          </cell>
          <cell r="Q241">
            <v>7000</v>
          </cell>
          <cell r="Z241" t="str">
            <v>South</v>
          </cell>
        </row>
        <row r="242">
          <cell r="F242" t="str">
            <v>Sagar TR</v>
          </cell>
          <cell r="K242" t="str">
            <v>Cyber Security &amp; Networking</v>
          </cell>
          <cell r="O242">
            <v>31000</v>
          </cell>
          <cell r="P242">
            <v>4000</v>
          </cell>
          <cell r="Q242">
            <v>4000</v>
          </cell>
          <cell r="Z242" t="str">
            <v>South</v>
          </cell>
        </row>
        <row r="243">
          <cell r="F243" t="str">
            <v>Sagar TR</v>
          </cell>
          <cell r="K243" t="str">
            <v>Cyber Security &amp; Networking</v>
          </cell>
          <cell r="O243">
            <v>162000</v>
          </cell>
          <cell r="P243">
            <v>35536</v>
          </cell>
          <cell r="Q243">
            <v>35536</v>
          </cell>
          <cell r="Z243" t="str">
            <v>South</v>
          </cell>
        </row>
        <row r="244">
          <cell r="F244" t="str">
            <v>Sagar TR</v>
          </cell>
          <cell r="K244" t="str">
            <v>Cyber Security &amp; Networking</v>
          </cell>
          <cell r="O244">
            <v>147150</v>
          </cell>
          <cell r="P244">
            <v>28000</v>
          </cell>
          <cell r="Q244">
            <v>0</v>
          </cell>
          <cell r="Z244" t="str">
            <v>South</v>
          </cell>
        </row>
        <row r="245">
          <cell r="F245" t="str">
            <v>Shilpa Kavde</v>
          </cell>
          <cell r="K245" t="str">
            <v>Cyber Security &amp; Networking</v>
          </cell>
          <cell r="O245">
            <v>800000</v>
          </cell>
          <cell r="P245">
            <v>10000</v>
          </cell>
          <cell r="Q245">
            <v>64000</v>
          </cell>
          <cell r="Z245" t="str">
            <v>CB</v>
          </cell>
        </row>
        <row r="246">
          <cell r="F246" t="str">
            <v>Shilpa Kavde</v>
          </cell>
          <cell r="K246" t="str">
            <v>Cyber Security &amp; Networking</v>
          </cell>
          <cell r="O246">
            <v>10537500</v>
          </cell>
          <cell r="P246">
            <v>50000</v>
          </cell>
          <cell r="Q246">
            <v>1048500</v>
          </cell>
          <cell r="Z246" t="str">
            <v>CB</v>
          </cell>
        </row>
        <row r="247">
          <cell r="F247" t="str">
            <v>Shilpa Kavde</v>
          </cell>
          <cell r="K247" t="str">
            <v>Cyber Security &amp; Networking</v>
          </cell>
          <cell r="O247">
            <v>16500</v>
          </cell>
          <cell r="P247">
            <v>5000</v>
          </cell>
          <cell r="Q247">
            <v>0</v>
          </cell>
          <cell r="Z247" t="str">
            <v>CB</v>
          </cell>
        </row>
        <row r="248">
          <cell r="F248" t="str">
            <v>Shubhangi Srinivasan</v>
          </cell>
          <cell r="K248" t="str">
            <v>Cyber Security &amp; Networking</v>
          </cell>
          <cell r="O248">
            <v>659812.5</v>
          </cell>
          <cell r="P248">
            <v>52785</v>
          </cell>
          <cell r="Q248">
            <v>52785</v>
          </cell>
          <cell r="Z248" t="str">
            <v>GB</v>
          </cell>
        </row>
        <row r="249">
          <cell r="F249" t="str">
            <v>Shubhangi Srinivasan</v>
          </cell>
          <cell r="K249" t="str">
            <v>Cyber Security &amp; Networking</v>
          </cell>
          <cell r="O249">
            <v>840000</v>
          </cell>
          <cell r="P249">
            <v>42000</v>
          </cell>
          <cell r="Q249">
            <v>42000</v>
          </cell>
          <cell r="Z249" t="str">
            <v>GB</v>
          </cell>
        </row>
        <row r="250">
          <cell r="F250" t="str">
            <v>Shubhangi Srinivasan</v>
          </cell>
          <cell r="K250" t="str">
            <v>Cyber Security &amp; Networking</v>
          </cell>
          <cell r="O250">
            <v>659812.5</v>
          </cell>
          <cell r="P250">
            <v>52785</v>
          </cell>
          <cell r="Q250">
            <v>52784.5</v>
          </cell>
          <cell r="Z250" t="str">
            <v>GB</v>
          </cell>
        </row>
        <row r="251">
          <cell r="F251" t="str">
            <v>Shubhangi Srinivasan</v>
          </cell>
          <cell r="K251" t="str">
            <v>Cyber Security &amp; Networking</v>
          </cell>
          <cell r="O251">
            <v>501000</v>
          </cell>
          <cell r="P251">
            <v>25050</v>
          </cell>
          <cell r="Q251">
            <v>25050</v>
          </cell>
          <cell r="Z251" t="str">
            <v>GB</v>
          </cell>
        </row>
        <row r="252">
          <cell r="F252" t="str">
            <v>Shubhangi Srinivasan</v>
          </cell>
          <cell r="K252" t="str">
            <v>Cyber Security &amp; Networking</v>
          </cell>
          <cell r="O252">
            <v>286651</v>
          </cell>
          <cell r="P252">
            <v>39642.75</v>
          </cell>
          <cell r="Q252">
            <v>25006</v>
          </cell>
          <cell r="Z252" t="str">
            <v>GB</v>
          </cell>
        </row>
        <row r="253">
          <cell r="F253" t="str">
            <v>Shubhangi Srinivasan</v>
          </cell>
          <cell r="K253" t="str">
            <v>Cyber Security &amp; Networking</v>
          </cell>
          <cell r="O253">
            <v>9750</v>
          </cell>
          <cell r="P253">
            <v>10000</v>
          </cell>
          <cell r="Q253">
            <v>2405</v>
          </cell>
          <cell r="Z253" t="str">
            <v>GB</v>
          </cell>
        </row>
        <row r="254">
          <cell r="F254" t="str">
            <v>Shubhangi Srinivasan</v>
          </cell>
          <cell r="K254" t="str">
            <v>Cyber Security &amp; Networking</v>
          </cell>
          <cell r="O254">
            <v>371520</v>
          </cell>
          <cell r="P254">
            <v>269597.26</v>
          </cell>
          <cell r="Q254">
            <v>269147.26</v>
          </cell>
          <cell r="Z254" t="str">
            <v>GB</v>
          </cell>
        </row>
        <row r="255">
          <cell r="F255" t="str">
            <v>Shubhangi Srinivasan</v>
          </cell>
          <cell r="K255" t="str">
            <v>Cyber Security &amp; Networking</v>
          </cell>
          <cell r="O255">
            <v>600000</v>
          </cell>
          <cell r="P255">
            <v>411432</v>
          </cell>
          <cell r="Q255">
            <v>0</v>
          </cell>
          <cell r="Z255" t="str">
            <v>GB</v>
          </cell>
        </row>
        <row r="256">
          <cell r="F256" t="str">
            <v>Shubhangi Srinivasan</v>
          </cell>
          <cell r="K256" t="str">
            <v>Cyber Security &amp; Networking</v>
          </cell>
          <cell r="O256">
            <v>20617402</v>
          </cell>
          <cell r="P256">
            <v>1000870</v>
          </cell>
          <cell r="Q256">
            <v>0</v>
          </cell>
          <cell r="Z256" t="str">
            <v>GB</v>
          </cell>
        </row>
        <row r="257">
          <cell r="F257" t="str">
            <v>Shubhangi Srinivasan</v>
          </cell>
          <cell r="K257" t="str">
            <v>Cyber Security &amp; Networking</v>
          </cell>
          <cell r="O257">
            <v>2611609.2000000002</v>
          </cell>
          <cell r="P257">
            <v>110580</v>
          </cell>
          <cell r="Q257">
            <v>130605.2</v>
          </cell>
          <cell r="Z257" t="str">
            <v>GB</v>
          </cell>
        </row>
        <row r="258">
          <cell r="F258" t="str">
            <v>Shubhangi Srinivasan</v>
          </cell>
          <cell r="K258" t="str">
            <v>Cyber Security &amp; Networking</v>
          </cell>
          <cell r="O258">
            <v>20617402</v>
          </cell>
          <cell r="P258">
            <v>1000870</v>
          </cell>
          <cell r="Q258">
            <v>0</v>
          </cell>
          <cell r="Z258" t="str">
            <v>GB</v>
          </cell>
        </row>
        <row r="259">
          <cell r="F259" t="str">
            <v>Tasneem K</v>
          </cell>
          <cell r="K259" t="str">
            <v>Cyber Security &amp; Networking</v>
          </cell>
          <cell r="O259">
            <v>33000000</v>
          </cell>
          <cell r="P259">
            <v>10000000</v>
          </cell>
          <cell r="Q259">
            <v>9088502</v>
          </cell>
          <cell r="Z259" t="str">
            <v>S1</v>
          </cell>
        </row>
        <row r="260">
          <cell r="F260" t="str">
            <v>Jay Rushi</v>
          </cell>
          <cell r="K260" t="str">
            <v>Cyber Security &amp; Networking</v>
          </cell>
          <cell r="O260">
            <v>150000</v>
          </cell>
          <cell r="P260">
            <v>20000</v>
          </cell>
          <cell r="Q260">
            <v>24600</v>
          </cell>
          <cell r="Z260" t="str">
            <v>GB</v>
          </cell>
        </row>
        <row r="261">
          <cell r="F261" t="str">
            <v>Jay Rushi</v>
          </cell>
          <cell r="K261" t="str">
            <v>Cyber Security &amp; Networking</v>
          </cell>
          <cell r="O261">
            <v>127119</v>
          </cell>
          <cell r="P261">
            <v>10000</v>
          </cell>
          <cell r="Q261">
            <v>72744</v>
          </cell>
          <cell r="Z261" t="str">
            <v>GB</v>
          </cell>
        </row>
        <row r="262">
          <cell r="F262" t="str">
            <v>Jay Rushi</v>
          </cell>
          <cell r="K262" t="str">
            <v>Cyber Security &amp; Networking</v>
          </cell>
          <cell r="O262">
            <v>11000</v>
          </cell>
          <cell r="P262">
            <v>2500</v>
          </cell>
          <cell r="Q262">
            <v>0</v>
          </cell>
          <cell r="Z262" t="str">
            <v>GB</v>
          </cell>
        </row>
        <row r="263">
          <cell r="F263" t="str">
            <v>Jay Rushi</v>
          </cell>
          <cell r="K263" t="str">
            <v>Cyber Security &amp; Networking</v>
          </cell>
          <cell r="O263">
            <v>38395</v>
          </cell>
          <cell r="P263">
            <v>5145</v>
          </cell>
          <cell r="Q263">
            <v>5145</v>
          </cell>
          <cell r="Z263" t="str">
            <v>GB</v>
          </cell>
        </row>
        <row r="264">
          <cell r="F264" t="str">
            <v>Yusufali Petiwala</v>
          </cell>
          <cell r="K264" t="str">
            <v>Cyber Security &amp; Networking</v>
          </cell>
          <cell r="O264">
            <v>5000000</v>
          </cell>
          <cell r="P264">
            <v>250000</v>
          </cell>
          <cell r="Q264">
            <v>250000</v>
          </cell>
          <cell r="Z264" t="str">
            <v>Others</v>
          </cell>
        </row>
        <row r="265">
          <cell r="F265" t="str">
            <v>Rohit Deshmukh</v>
          </cell>
          <cell r="K265" t="str">
            <v>CSG (EndPoint)</v>
          </cell>
          <cell r="O265">
            <v>740000</v>
          </cell>
          <cell r="P265">
            <v>46000</v>
          </cell>
          <cell r="Q265">
            <v>57200</v>
          </cell>
          <cell r="Z265" t="str">
            <v>S2</v>
          </cell>
        </row>
        <row r="266">
          <cell r="F266" t="str">
            <v>Sagar TR</v>
          </cell>
          <cell r="K266" t="str">
            <v>CSG (EndPoint)</v>
          </cell>
          <cell r="O266">
            <v>30800</v>
          </cell>
          <cell r="P266">
            <v>0</v>
          </cell>
          <cell r="Q266">
            <v>0</v>
          </cell>
          <cell r="Z266" t="str">
            <v>South</v>
          </cell>
        </row>
        <row r="267">
          <cell r="F267" t="str">
            <v>Sagar TR</v>
          </cell>
          <cell r="K267" t="str">
            <v>CSG (EndPoint)</v>
          </cell>
          <cell r="O267">
            <v>128200</v>
          </cell>
          <cell r="P267">
            <v>10100</v>
          </cell>
          <cell r="Q267">
            <v>10100</v>
          </cell>
          <cell r="Z267" t="str">
            <v>South</v>
          </cell>
        </row>
        <row r="268">
          <cell r="F268" t="str">
            <v>Sagar TR</v>
          </cell>
          <cell r="K268" t="str">
            <v>CSG (EndPoint)</v>
          </cell>
          <cell r="O268">
            <v>147500</v>
          </cell>
          <cell r="P268">
            <v>10000</v>
          </cell>
          <cell r="Q268">
            <v>10000</v>
          </cell>
          <cell r="Z268" t="str">
            <v>South</v>
          </cell>
        </row>
        <row r="269">
          <cell r="F269" t="str">
            <v>Sagar TR</v>
          </cell>
          <cell r="K269" t="str">
            <v>CSG (EndPoint)</v>
          </cell>
          <cell r="O269">
            <v>128200</v>
          </cell>
          <cell r="P269">
            <v>10100</v>
          </cell>
          <cell r="Q269">
            <v>10100</v>
          </cell>
          <cell r="Z269" t="str">
            <v>South</v>
          </cell>
        </row>
        <row r="270">
          <cell r="F270" t="str">
            <v>Sagar TR</v>
          </cell>
          <cell r="K270" t="str">
            <v>CSG (EndPoint)</v>
          </cell>
          <cell r="O270">
            <v>6950</v>
          </cell>
          <cell r="P270">
            <v>700</v>
          </cell>
          <cell r="Q270">
            <v>700</v>
          </cell>
          <cell r="Z270" t="str">
            <v>South</v>
          </cell>
        </row>
        <row r="271">
          <cell r="F271" t="str">
            <v>Sagar TR</v>
          </cell>
          <cell r="K271" t="str">
            <v>CSG (EndPoint)</v>
          </cell>
          <cell r="O271">
            <v>1717500</v>
          </cell>
          <cell r="P271">
            <v>44375</v>
          </cell>
          <cell r="Q271">
            <v>44375</v>
          </cell>
          <cell r="Z271" t="str">
            <v>South</v>
          </cell>
        </row>
        <row r="272">
          <cell r="F272" t="str">
            <v>Sagar TR</v>
          </cell>
          <cell r="K272" t="str">
            <v>CSG (EndPoint)</v>
          </cell>
          <cell r="O272">
            <v>1717500</v>
          </cell>
          <cell r="P272">
            <v>44375</v>
          </cell>
          <cell r="Q272">
            <v>44375</v>
          </cell>
          <cell r="Z272" t="str">
            <v>South</v>
          </cell>
        </row>
        <row r="273">
          <cell r="F273" t="str">
            <v>Sagar TR</v>
          </cell>
          <cell r="K273" t="str">
            <v>CSG (EndPoint)</v>
          </cell>
          <cell r="O273">
            <v>70000</v>
          </cell>
          <cell r="P273">
            <v>8269.52</v>
          </cell>
          <cell r="Q273">
            <v>8400</v>
          </cell>
          <cell r="Z273" t="str">
            <v>South</v>
          </cell>
        </row>
        <row r="274">
          <cell r="F274" t="str">
            <v>Sagar TR</v>
          </cell>
          <cell r="K274" t="str">
            <v>CSG (EndPoint)</v>
          </cell>
          <cell r="O274">
            <v>230000</v>
          </cell>
          <cell r="P274">
            <v>15400</v>
          </cell>
          <cell r="Q274">
            <v>18600</v>
          </cell>
          <cell r="Z274" t="str">
            <v>South</v>
          </cell>
        </row>
        <row r="275">
          <cell r="F275" t="str">
            <v>Sagar TR</v>
          </cell>
          <cell r="K275" t="str">
            <v>CSG (EndPoint)</v>
          </cell>
          <cell r="O275">
            <v>317678</v>
          </cell>
          <cell r="P275">
            <v>28000</v>
          </cell>
          <cell r="Q275">
            <v>27200.04</v>
          </cell>
          <cell r="Z275" t="str">
            <v>South</v>
          </cell>
        </row>
        <row r="276">
          <cell r="F276" t="str">
            <v>Sagar TR</v>
          </cell>
          <cell r="K276" t="str">
            <v>CSG (EndPoint)</v>
          </cell>
          <cell r="O276">
            <v>101350</v>
          </cell>
          <cell r="P276">
            <v>3200</v>
          </cell>
          <cell r="Q276">
            <v>4300</v>
          </cell>
          <cell r="Z276" t="str">
            <v>South</v>
          </cell>
        </row>
        <row r="277">
          <cell r="F277" t="str">
            <v>Sagar TR</v>
          </cell>
          <cell r="K277" t="str">
            <v>CSG (EndPoint)</v>
          </cell>
          <cell r="O277">
            <v>336000</v>
          </cell>
          <cell r="P277">
            <v>13600</v>
          </cell>
          <cell r="Q277">
            <v>13600</v>
          </cell>
          <cell r="Z277" t="str">
            <v>South</v>
          </cell>
        </row>
        <row r="278">
          <cell r="F278" t="str">
            <v>Sagar TR</v>
          </cell>
          <cell r="K278" t="str">
            <v>CSG (EndPoint)</v>
          </cell>
          <cell r="O278">
            <v>84000</v>
          </cell>
          <cell r="P278">
            <v>3400</v>
          </cell>
          <cell r="Q278">
            <v>3400</v>
          </cell>
          <cell r="Z278" t="str">
            <v>South</v>
          </cell>
        </row>
        <row r="279">
          <cell r="F279" t="str">
            <v>Sagar TR</v>
          </cell>
          <cell r="K279" t="str">
            <v>CSG (EndPoint)</v>
          </cell>
          <cell r="O279">
            <v>46000</v>
          </cell>
          <cell r="P279">
            <v>16127.15</v>
          </cell>
          <cell r="Q279">
            <v>16127.1</v>
          </cell>
          <cell r="Z279" t="str">
            <v>South</v>
          </cell>
        </row>
        <row r="280">
          <cell r="F280" t="str">
            <v>Sagar TR</v>
          </cell>
          <cell r="K280" t="str">
            <v>CSG (EndPoint)</v>
          </cell>
          <cell r="O280">
            <v>36000</v>
          </cell>
          <cell r="P280">
            <v>7000</v>
          </cell>
          <cell r="Q280">
            <v>7000</v>
          </cell>
          <cell r="Z280" t="str">
            <v>South</v>
          </cell>
        </row>
        <row r="281">
          <cell r="F281" t="str">
            <v>Sagar TR</v>
          </cell>
          <cell r="K281" t="str">
            <v>CSG (EndPoint)</v>
          </cell>
          <cell r="O281">
            <v>36000</v>
          </cell>
          <cell r="P281">
            <v>3810</v>
          </cell>
          <cell r="Q281">
            <v>4290</v>
          </cell>
          <cell r="Z281" t="str">
            <v>South</v>
          </cell>
        </row>
        <row r="282">
          <cell r="F282" t="str">
            <v>Sagar TR</v>
          </cell>
          <cell r="K282" t="str">
            <v>CSG (EndPoint)</v>
          </cell>
          <cell r="O282">
            <v>321000</v>
          </cell>
          <cell r="P282">
            <v>12000</v>
          </cell>
          <cell r="Q282">
            <v>12000</v>
          </cell>
          <cell r="Z282" t="str">
            <v>South</v>
          </cell>
        </row>
        <row r="283">
          <cell r="F283" t="str">
            <v>Sagar TR</v>
          </cell>
          <cell r="K283" t="str">
            <v>CSG (EndPoint)</v>
          </cell>
          <cell r="O283">
            <v>2112000</v>
          </cell>
          <cell r="P283">
            <v>112000</v>
          </cell>
          <cell r="Q283">
            <v>112000</v>
          </cell>
          <cell r="Z283" t="str">
            <v>South</v>
          </cell>
        </row>
        <row r="284">
          <cell r="F284" t="str">
            <v>Sagar TR</v>
          </cell>
          <cell r="K284" t="str">
            <v>CSG (EndPoint)</v>
          </cell>
          <cell r="O284">
            <v>111300</v>
          </cell>
          <cell r="P284">
            <v>9850</v>
          </cell>
          <cell r="Q284">
            <v>10300</v>
          </cell>
          <cell r="Z284" t="str">
            <v>South</v>
          </cell>
        </row>
        <row r="285">
          <cell r="F285" t="str">
            <v>Sagar TR</v>
          </cell>
          <cell r="K285" t="str">
            <v>CSG (EndPoint)</v>
          </cell>
          <cell r="O285">
            <v>30000</v>
          </cell>
          <cell r="P285">
            <v>1000</v>
          </cell>
          <cell r="Q285">
            <v>1000</v>
          </cell>
          <cell r="Z285" t="str">
            <v>South</v>
          </cell>
        </row>
        <row r="286">
          <cell r="F286" t="str">
            <v>Sagar TR</v>
          </cell>
          <cell r="K286" t="str">
            <v>CSG (EndPoint)</v>
          </cell>
          <cell r="O286">
            <v>118800</v>
          </cell>
          <cell r="P286">
            <v>9000</v>
          </cell>
          <cell r="Q286">
            <v>9800</v>
          </cell>
          <cell r="Z286" t="str">
            <v>South</v>
          </cell>
        </row>
        <row r="287">
          <cell r="F287" t="str">
            <v>Sagar TR</v>
          </cell>
          <cell r="K287" t="str">
            <v>CSG (EndPoint)</v>
          </cell>
          <cell r="O287">
            <v>744000</v>
          </cell>
          <cell r="P287">
            <v>63000</v>
          </cell>
          <cell r="Q287">
            <v>63000</v>
          </cell>
          <cell r="Z287" t="str">
            <v>South</v>
          </cell>
        </row>
        <row r="288">
          <cell r="F288" t="str">
            <v>Sagar TR</v>
          </cell>
          <cell r="K288" t="str">
            <v>CSG (EndPoint)</v>
          </cell>
          <cell r="O288">
            <v>250000</v>
          </cell>
          <cell r="P288">
            <v>25000</v>
          </cell>
          <cell r="Q288">
            <v>37500</v>
          </cell>
          <cell r="Z288" t="str">
            <v>South</v>
          </cell>
        </row>
        <row r="289">
          <cell r="F289" t="str">
            <v>Sagar TR</v>
          </cell>
          <cell r="K289" t="str">
            <v>CSG (EndPoint)</v>
          </cell>
          <cell r="O289">
            <v>93250</v>
          </cell>
          <cell r="P289">
            <v>3750</v>
          </cell>
          <cell r="Q289">
            <v>3750</v>
          </cell>
          <cell r="Z289" t="str">
            <v>South</v>
          </cell>
        </row>
        <row r="290">
          <cell r="F290" t="str">
            <v>Jitesh Rajput</v>
          </cell>
          <cell r="K290" t="str">
            <v>Professional Services</v>
          </cell>
          <cell r="O290">
            <v>5250</v>
          </cell>
          <cell r="P290">
            <v>4000</v>
          </cell>
          <cell r="Q290">
            <v>4000</v>
          </cell>
          <cell r="Z290" t="str">
            <v>Others</v>
          </cell>
        </row>
        <row r="291">
          <cell r="F291" t="str">
            <v>Jitesh Rajput</v>
          </cell>
          <cell r="K291" t="str">
            <v>Professional Services</v>
          </cell>
          <cell r="O291">
            <v>5400</v>
          </cell>
          <cell r="P291">
            <v>4500</v>
          </cell>
          <cell r="Q291">
            <v>0</v>
          </cell>
          <cell r="Z291" t="str">
            <v>Others</v>
          </cell>
        </row>
        <row r="292">
          <cell r="F292" t="str">
            <v>Jitesh Rajput</v>
          </cell>
          <cell r="K292" t="str">
            <v>Professional Services</v>
          </cell>
          <cell r="O292">
            <v>4830</v>
          </cell>
          <cell r="P292">
            <v>4830</v>
          </cell>
          <cell r="Q292">
            <v>3905</v>
          </cell>
          <cell r="Z292" t="str">
            <v>Others</v>
          </cell>
        </row>
        <row r="293">
          <cell r="F293" t="str">
            <v>Jimesh Shah</v>
          </cell>
          <cell r="K293" t="str">
            <v>Cloud</v>
          </cell>
          <cell r="O293">
            <v>32000</v>
          </cell>
          <cell r="P293">
            <v>7000</v>
          </cell>
          <cell r="Q293">
            <v>7000</v>
          </cell>
          <cell r="Z293" t="str">
            <v>Others</v>
          </cell>
        </row>
        <row r="294">
          <cell r="F294" t="str">
            <v>Hrushikesh Bagade</v>
          </cell>
          <cell r="K294" t="str">
            <v>CSG (EndPoint)</v>
          </cell>
          <cell r="O294">
            <v>846144</v>
          </cell>
          <cell r="P294">
            <v>60144</v>
          </cell>
          <cell r="Q294">
            <v>60144</v>
          </cell>
          <cell r="Z294" t="str">
            <v>Geo X</v>
          </cell>
        </row>
        <row r="295">
          <cell r="F295" t="str">
            <v>Hrushikesh Bagade</v>
          </cell>
          <cell r="K295" t="str">
            <v>CSG (EndPoint)</v>
          </cell>
          <cell r="O295">
            <v>846144</v>
          </cell>
          <cell r="P295">
            <v>60144</v>
          </cell>
          <cell r="Q295">
            <v>60144</v>
          </cell>
          <cell r="Z295" t="str">
            <v>Geo X</v>
          </cell>
        </row>
        <row r="296">
          <cell r="F296" t="str">
            <v>Hrushikesh Bagade</v>
          </cell>
          <cell r="K296" t="str">
            <v>CSG (EndPoint)</v>
          </cell>
          <cell r="O296">
            <v>634608</v>
          </cell>
          <cell r="P296">
            <v>45108</v>
          </cell>
          <cell r="Q296">
            <v>45108</v>
          </cell>
          <cell r="Z296" t="str">
            <v>Geo X</v>
          </cell>
        </row>
        <row r="297">
          <cell r="F297" t="str">
            <v>Hrushikesh Bagade</v>
          </cell>
          <cell r="K297" t="str">
            <v>CSG (EndPoint)</v>
          </cell>
          <cell r="O297">
            <v>282048</v>
          </cell>
          <cell r="P297">
            <v>20048</v>
          </cell>
          <cell r="Q297">
            <v>20048</v>
          </cell>
          <cell r="Z297" t="str">
            <v>Geo X</v>
          </cell>
        </row>
        <row r="298">
          <cell r="F298" t="str">
            <v>Hrushikesh Bagade</v>
          </cell>
          <cell r="K298" t="str">
            <v>CSG (EndPoint)</v>
          </cell>
          <cell r="O298">
            <v>211536</v>
          </cell>
          <cell r="P298">
            <v>15036</v>
          </cell>
          <cell r="Q298">
            <v>15036</v>
          </cell>
          <cell r="Z298" t="str">
            <v>Geo X</v>
          </cell>
        </row>
        <row r="299">
          <cell r="F299" t="str">
            <v>Hrushikesh Bagade</v>
          </cell>
          <cell r="K299" t="str">
            <v>CSG (EndPoint)</v>
          </cell>
          <cell r="O299">
            <v>70512</v>
          </cell>
          <cell r="P299">
            <v>5012</v>
          </cell>
          <cell r="Q299">
            <v>5012</v>
          </cell>
          <cell r="Z299" t="str">
            <v>Geo X</v>
          </cell>
        </row>
        <row r="300">
          <cell r="F300" t="str">
            <v>Hrushikesh Bagade</v>
          </cell>
          <cell r="K300" t="str">
            <v>CSG (EndPoint)</v>
          </cell>
          <cell r="O300">
            <v>282048</v>
          </cell>
          <cell r="P300">
            <v>20048</v>
          </cell>
          <cell r="Q300">
            <v>20048</v>
          </cell>
          <cell r="Z300" t="str">
            <v>Geo X</v>
          </cell>
        </row>
        <row r="301">
          <cell r="F301" t="str">
            <v>Hrushikesh Bagade</v>
          </cell>
          <cell r="K301" t="str">
            <v>CSG (EndPoint)</v>
          </cell>
          <cell r="O301">
            <v>141024</v>
          </cell>
          <cell r="P301">
            <v>10024</v>
          </cell>
          <cell r="Q301">
            <v>10024</v>
          </cell>
          <cell r="Z301" t="str">
            <v>Geo X</v>
          </cell>
        </row>
        <row r="302">
          <cell r="F302" t="str">
            <v>Hrushikesh Bagade</v>
          </cell>
          <cell r="K302" t="str">
            <v>CSG (EndPoint)</v>
          </cell>
          <cell r="O302">
            <v>70512</v>
          </cell>
          <cell r="P302">
            <v>5012</v>
          </cell>
          <cell r="Q302">
            <v>5012</v>
          </cell>
          <cell r="Z302" t="str">
            <v>Geo X</v>
          </cell>
        </row>
        <row r="303">
          <cell r="F303" t="str">
            <v>Hrushikesh Bagade</v>
          </cell>
          <cell r="K303" t="str">
            <v>CSG (EndPoint)</v>
          </cell>
          <cell r="O303">
            <v>70512</v>
          </cell>
          <cell r="P303">
            <v>5012</v>
          </cell>
          <cell r="Q303">
            <v>5012</v>
          </cell>
          <cell r="Z303" t="str">
            <v>Geo X</v>
          </cell>
        </row>
        <row r="304">
          <cell r="F304" t="str">
            <v>Hrushikesh Bagade</v>
          </cell>
          <cell r="K304" t="str">
            <v>CSG (EndPoint)</v>
          </cell>
          <cell r="O304">
            <v>141024</v>
          </cell>
          <cell r="P304">
            <v>10024</v>
          </cell>
          <cell r="Q304">
            <v>10024</v>
          </cell>
          <cell r="Z304" t="str">
            <v>Geo X</v>
          </cell>
        </row>
        <row r="305">
          <cell r="F305" t="str">
            <v>Hrushikesh Bagade</v>
          </cell>
          <cell r="K305" t="str">
            <v>CSG (EndPoint)</v>
          </cell>
          <cell r="O305">
            <v>70512</v>
          </cell>
          <cell r="P305">
            <v>10024</v>
          </cell>
          <cell r="Q305">
            <v>5012</v>
          </cell>
          <cell r="Z305" t="str">
            <v>Geo X</v>
          </cell>
        </row>
        <row r="306">
          <cell r="F306" t="str">
            <v>Hrushikesh Bagade</v>
          </cell>
          <cell r="K306" t="str">
            <v>CSG (EndPoint)</v>
          </cell>
          <cell r="O306">
            <v>141024</v>
          </cell>
          <cell r="P306">
            <v>10024</v>
          </cell>
          <cell r="Q306">
            <v>10024</v>
          </cell>
          <cell r="Z306" t="str">
            <v>Geo X</v>
          </cell>
        </row>
        <row r="307">
          <cell r="F307" t="str">
            <v>Hrushikesh Bagade</v>
          </cell>
          <cell r="K307" t="str">
            <v>CSG (EndPoint)</v>
          </cell>
          <cell r="O307">
            <v>141024</v>
          </cell>
          <cell r="P307">
            <v>10024</v>
          </cell>
          <cell r="Q307">
            <v>10024</v>
          </cell>
          <cell r="Z307" t="str">
            <v>Geo X</v>
          </cell>
        </row>
        <row r="308">
          <cell r="F308" t="str">
            <v>Hrushikesh Bagade</v>
          </cell>
          <cell r="K308" t="str">
            <v>CSG (EndPoint)</v>
          </cell>
          <cell r="O308">
            <v>211536</v>
          </cell>
          <cell r="P308">
            <v>15036</v>
          </cell>
          <cell r="Q308">
            <v>15036</v>
          </cell>
          <cell r="Z308" t="str">
            <v>Geo X</v>
          </cell>
        </row>
        <row r="309">
          <cell r="F309" t="str">
            <v>Hrushikesh Bagade</v>
          </cell>
          <cell r="K309" t="str">
            <v>CSG (EndPoint)</v>
          </cell>
          <cell r="O309">
            <v>493584</v>
          </cell>
          <cell r="P309">
            <v>35084</v>
          </cell>
          <cell r="Q309">
            <v>35084</v>
          </cell>
          <cell r="Z309" t="str">
            <v>Geo X</v>
          </cell>
        </row>
        <row r="310">
          <cell r="F310" t="str">
            <v>Hrushikesh Bagade</v>
          </cell>
          <cell r="K310" t="str">
            <v>CSG (EndPoint)</v>
          </cell>
          <cell r="O310">
            <v>141024</v>
          </cell>
          <cell r="P310">
            <v>10024</v>
          </cell>
          <cell r="Q310">
            <v>10024</v>
          </cell>
          <cell r="Z310" t="str">
            <v>Geo X</v>
          </cell>
        </row>
        <row r="311">
          <cell r="F311" t="str">
            <v>Hrushikesh Bagade</v>
          </cell>
          <cell r="K311" t="str">
            <v>CSG (EndPoint)</v>
          </cell>
          <cell r="O311">
            <v>70512</v>
          </cell>
          <cell r="P311">
            <v>5012</v>
          </cell>
          <cell r="Q311">
            <v>5012</v>
          </cell>
          <cell r="Z311" t="str">
            <v>Geo X</v>
          </cell>
        </row>
        <row r="312">
          <cell r="F312" t="str">
            <v>Hrushikesh Bagade</v>
          </cell>
          <cell r="K312" t="str">
            <v>CSG (EndPoint)</v>
          </cell>
          <cell r="O312">
            <v>352560</v>
          </cell>
          <cell r="P312">
            <v>25060</v>
          </cell>
          <cell r="Q312">
            <v>25060</v>
          </cell>
          <cell r="Z312" t="str">
            <v>Geo X</v>
          </cell>
        </row>
        <row r="313">
          <cell r="F313" t="str">
            <v>Hrushikesh Bagade</v>
          </cell>
          <cell r="K313" t="str">
            <v>CSG (EndPoint)</v>
          </cell>
          <cell r="O313">
            <v>70512</v>
          </cell>
          <cell r="P313">
            <v>5012</v>
          </cell>
          <cell r="Q313">
            <v>5012</v>
          </cell>
          <cell r="Z313" t="str">
            <v>Geo X</v>
          </cell>
        </row>
        <row r="314">
          <cell r="F314" t="str">
            <v>Hrushikesh Bagade</v>
          </cell>
          <cell r="K314" t="str">
            <v>CSG (EndPoint)</v>
          </cell>
          <cell r="O314">
            <v>70512</v>
          </cell>
          <cell r="P314">
            <v>5012</v>
          </cell>
          <cell r="Q314">
            <v>5012</v>
          </cell>
          <cell r="Z314" t="str">
            <v>Geo X</v>
          </cell>
        </row>
        <row r="315">
          <cell r="F315" t="str">
            <v>Hrushikesh Bagade</v>
          </cell>
          <cell r="K315" t="str">
            <v>CSG (EndPoint)</v>
          </cell>
          <cell r="O315">
            <v>705120</v>
          </cell>
          <cell r="P315">
            <v>50120</v>
          </cell>
          <cell r="Q315">
            <v>50120</v>
          </cell>
          <cell r="Z315" t="str">
            <v>Geo X</v>
          </cell>
        </row>
        <row r="316">
          <cell r="F316" t="str">
            <v>Hrushikesh Bagade</v>
          </cell>
          <cell r="K316" t="str">
            <v>CSG (EndPoint)</v>
          </cell>
          <cell r="O316">
            <v>141024</v>
          </cell>
          <cell r="P316">
            <v>10024</v>
          </cell>
          <cell r="Q316">
            <v>10024</v>
          </cell>
          <cell r="Z316" t="str">
            <v>Geo X</v>
          </cell>
        </row>
        <row r="317">
          <cell r="F317" t="str">
            <v>Hrushikesh Bagade</v>
          </cell>
          <cell r="K317" t="str">
            <v>CSG (EndPoint)</v>
          </cell>
          <cell r="O317">
            <v>70512</v>
          </cell>
          <cell r="P317">
            <v>5012</v>
          </cell>
          <cell r="Q317">
            <v>5012</v>
          </cell>
          <cell r="Z317" t="str">
            <v>Geo X</v>
          </cell>
        </row>
        <row r="318">
          <cell r="F318" t="str">
            <v>Hrushikesh Bagade</v>
          </cell>
          <cell r="K318" t="str">
            <v>CSG (EndPoint)</v>
          </cell>
          <cell r="O318">
            <v>217500</v>
          </cell>
          <cell r="P318">
            <v>21000</v>
          </cell>
          <cell r="Q318">
            <v>21000</v>
          </cell>
          <cell r="Z318" t="str">
            <v>Geo X</v>
          </cell>
        </row>
        <row r="319">
          <cell r="F319" t="str">
            <v>Hrushikesh Bagade</v>
          </cell>
          <cell r="K319" t="str">
            <v>CSG (EndPoint)</v>
          </cell>
          <cell r="O319">
            <v>72500</v>
          </cell>
          <cell r="P319">
            <v>7000</v>
          </cell>
          <cell r="Q319">
            <v>7000</v>
          </cell>
          <cell r="Z319" t="str">
            <v>Geo X</v>
          </cell>
        </row>
        <row r="320">
          <cell r="F320" t="str">
            <v>Hrushikesh Bagade</v>
          </cell>
          <cell r="K320" t="str">
            <v>CSG (EndPoint)</v>
          </cell>
          <cell r="O320">
            <v>145000</v>
          </cell>
          <cell r="P320">
            <v>14000</v>
          </cell>
          <cell r="Q320">
            <v>14000</v>
          </cell>
          <cell r="Z320" t="str">
            <v>Geo X</v>
          </cell>
        </row>
        <row r="321">
          <cell r="F321" t="str">
            <v>Hrushikesh Bagade</v>
          </cell>
          <cell r="K321" t="str">
            <v>CSG (EndPoint)</v>
          </cell>
          <cell r="O321">
            <v>72500</v>
          </cell>
          <cell r="P321">
            <v>7000</v>
          </cell>
          <cell r="Q321">
            <v>7000</v>
          </cell>
          <cell r="Z321" t="str">
            <v>Geo X</v>
          </cell>
        </row>
        <row r="322">
          <cell r="F322" t="str">
            <v>Hrushikesh Bagade</v>
          </cell>
          <cell r="K322" t="str">
            <v>CSG (EndPoint)</v>
          </cell>
          <cell r="O322">
            <v>652500</v>
          </cell>
          <cell r="P322">
            <v>63000</v>
          </cell>
          <cell r="Q322">
            <v>63000</v>
          </cell>
          <cell r="Z322" t="str">
            <v>Geo X</v>
          </cell>
        </row>
        <row r="323">
          <cell r="F323" t="str">
            <v>Hrushikesh Bagade</v>
          </cell>
          <cell r="K323" t="str">
            <v>CSG (EndPoint)</v>
          </cell>
          <cell r="O323">
            <v>580000</v>
          </cell>
          <cell r="P323">
            <v>56000</v>
          </cell>
          <cell r="Q323">
            <v>56000</v>
          </cell>
          <cell r="Z323" t="str">
            <v>Geo X</v>
          </cell>
        </row>
        <row r="324">
          <cell r="F324" t="str">
            <v>Hrushikesh Bagade</v>
          </cell>
          <cell r="K324" t="str">
            <v>CSG (EndPoint)</v>
          </cell>
          <cell r="O324">
            <v>72500</v>
          </cell>
          <cell r="P324">
            <v>7000</v>
          </cell>
          <cell r="Q324">
            <v>7000</v>
          </cell>
          <cell r="Z324" t="str">
            <v>Geo X</v>
          </cell>
        </row>
        <row r="325">
          <cell r="F325" t="str">
            <v>Hrushikesh Bagade</v>
          </cell>
          <cell r="K325" t="str">
            <v>CSG (EndPoint)</v>
          </cell>
          <cell r="O325">
            <v>145000</v>
          </cell>
          <cell r="P325">
            <v>14000</v>
          </cell>
          <cell r="Q325">
            <v>14000</v>
          </cell>
          <cell r="Z325" t="str">
            <v>Geo X</v>
          </cell>
        </row>
        <row r="326">
          <cell r="F326" t="str">
            <v>Hrushikesh Bagade</v>
          </cell>
          <cell r="K326" t="str">
            <v>CSG (EndPoint)</v>
          </cell>
          <cell r="O326">
            <v>725000</v>
          </cell>
          <cell r="P326">
            <v>70000</v>
          </cell>
          <cell r="Q326">
            <v>70000</v>
          </cell>
          <cell r="Z326" t="str">
            <v>Geo X</v>
          </cell>
        </row>
        <row r="327">
          <cell r="F327" t="str">
            <v>Hrushikesh Bagade</v>
          </cell>
          <cell r="K327" t="str">
            <v>CSG (EndPoint)</v>
          </cell>
          <cell r="O327">
            <v>72500</v>
          </cell>
          <cell r="P327">
            <v>7000</v>
          </cell>
          <cell r="Q327">
            <v>7000</v>
          </cell>
          <cell r="Z327" t="str">
            <v>Geo X</v>
          </cell>
        </row>
        <row r="328">
          <cell r="F328" t="str">
            <v>Hrushikesh Bagade</v>
          </cell>
          <cell r="K328" t="str">
            <v>CSG (EndPoint)</v>
          </cell>
          <cell r="O328">
            <v>72500</v>
          </cell>
          <cell r="P328">
            <v>7000</v>
          </cell>
          <cell r="Q328">
            <v>7000</v>
          </cell>
          <cell r="Z328" t="str">
            <v>Geo X</v>
          </cell>
        </row>
        <row r="329">
          <cell r="F329" t="str">
            <v>Hrushikesh Bagade</v>
          </cell>
          <cell r="K329" t="str">
            <v>CSG (EndPoint)</v>
          </cell>
          <cell r="O329">
            <v>217500</v>
          </cell>
          <cell r="P329">
            <v>21000</v>
          </cell>
          <cell r="Q329">
            <v>0</v>
          </cell>
          <cell r="Z329" t="str">
            <v>Geo X</v>
          </cell>
        </row>
        <row r="330">
          <cell r="F330" t="str">
            <v>Hrushikesh Bagade</v>
          </cell>
          <cell r="K330" t="str">
            <v>CSG (EndPoint)</v>
          </cell>
          <cell r="O330">
            <v>72500</v>
          </cell>
          <cell r="P330">
            <v>7000</v>
          </cell>
          <cell r="Q330">
            <v>0</v>
          </cell>
          <cell r="Z330" t="str">
            <v>Geo X</v>
          </cell>
        </row>
        <row r="331">
          <cell r="F331" t="str">
            <v>Shilpa Kavde</v>
          </cell>
          <cell r="K331" t="str">
            <v>CSG (EndPoint)</v>
          </cell>
          <cell r="O331">
            <v>230000</v>
          </cell>
          <cell r="P331">
            <v>10000</v>
          </cell>
          <cell r="Q331">
            <v>7000</v>
          </cell>
          <cell r="Z331" t="str">
            <v>CB</v>
          </cell>
        </row>
        <row r="332">
          <cell r="F332" t="str">
            <v>Shilpa Kavde</v>
          </cell>
          <cell r="K332" t="str">
            <v>CSG (EndPoint)</v>
          </cell>
          <cell r="O332">
            <v>6000</v>
          </cell>
          <cell r="P332">
            <v>100</v>
          </cell>
          <cell r="Q332">
            <v>1000</v>
          </cell>
          <cell r="Z332" t="str">
            <v>CB</v>
          </cell>
        </row>
        <row r="333">
          <cell r="F333" t="str">
            <v>Shilpa Kavde</v>
          </cell>
          <cell r="K333" t="str">
            <v>CSG (EndPoint)</v>
          </cell>
          <cell r="O333">
            <v>847460</v>
          </cell>
          <cell r="P333">
            <v>100000</v>
          </cell>
          <cell r="Q333">
            <v>0</v>
          </cell>
          <cell r="Z333" t="str">
            <v>CB</v>
          </cell>
        </row>
        <row r="334">
          <cell r="F334" t="str">
            <v>Shilpa Kavde</v>
          </cell>
          <cell r="K334" t="str">
            <v>CSG (EndPoint)</v>
          </cell>
          <cell r="O334">
            <v>830800</v>
          </cell>
          <cell r="P334">
            <v>10000</v>
          </cell>
          <cell r="Q334">
            <v>63732.06</v>
          </cell>
          <cell r="Z334" t="str">
            <v>CB</v>
          </cell>
        </row>
        <row r="335">
          <cell r="F335" t="str">
            <v>Vidula Chawan</v>
          </cell>
          <cell r="K335" t="str">
            <v>CSG (EndPoint)</v>
          </cell>
          <cell r="O335">
            <v>7600</v>
          </cell>
          <cell r="P335">
            <v>1000</v>
          </cell>
          <cell r="Q335">
            <v>1244.07</v>
          </cell>
          <cell r="Z335" t="str">
            <v>CB</v>
          </cell>
        </row>
        <row r="336">
          <cell r="F336" t="str">
            <v>Sankeerth Bhargav</v>
          </cell>
          <cell r="K336" t="str">
            <v>CSG (EndPoint)</v>
          </cell>
          <cell r="O336">
            <v>261350</v>
          </cell>
          <cell r="P336">
            <v>13350</v>
          </cell>
          <cell r="Q336">
            <v>0</v>
          </cell>
          <cell r="Z336" t="str">
            <v>S2</v>
          </cell>
        </row>
        <row r="337">
          <cell r="F337" t="str">
            <v>Sankeerth Bhargav</v>
          </cell>
          <cell r="K337" t="str">
            <v>CSG (EndPoint)</v>
          </cell>
          <cell r="O337">
            <v>355850</v>
          </cell>
          <cell r="P337">
            <v>22550</v>
          </cell>
          <cell r="Q337">
            <v>22550</v>
          </cell>
          <cell r="Z337" t="str">
            <v>S2</v>
          </cell>
        </row>
        <row r="338">
          <cell r="F338" t="str">
            <v>Sankeerth Bhargav</v>
          </cell>
          <cell r="K338" t="str">
            <v>CSG (EndPoint)</v>
          </cell>
          <cell r="O338">
            <v>1548000</v>
          </cell>
          <cell r="P338">
            <v>360000</v>
          </cell>
          <cell r="Q338">
            <v>0</v>
          </cell>
          <cell r="Z338" t="str">
            <v>S2</v>
          </cell>
        </row>
        <row r="339">
          <cell r="F339" t="str">
            <v>Shahbaz Khan</v>
          </cell>
          <cell r="K339" t="str">
            <v>CSG (EndPoint)</v>
          </cell>
          <cell r="O339">
            <v>72542</v>
          </cell>
          <cell r="P339">
            <v>1567</v>
          </cell>
          <cell r="Q339">
            <v>1567.42</v>
          </cell>
          <cell r="Z339" t="str">
            <v>South</v>
          </cell>
        </row>
        <row r="340">
          <cell r="F340" t="str">
            <v>Shahbaz Khan</v>
          </cell>
          <cell r="K340" t="str">
            <v>CSG (EndPoint)</v>
          </cell>
          <cell r="O340">
            <v>180250</v>
          </cell>
          <cell r="P340">
            <v>5250</v>
          </cell>
          <cell r="Q340">
            <v>5250</v>
          </cell>
          <cell r="Z340" t="str">
            <v>South</v>
          </cell>
        </row>
        <row r="341">
          <cell r="F341" t="str">
            <v>Shahbaz Khan</v>
          </cell>
          <cell r="K341" t="str">
            <v>CSG (EndPoint)</v>
          </cell>
          <cell r="O341">
            <v>5180</v>
          </cell>
          <cell r="P341">
            <v>1380</v>
          </cell>
          <cell r="Q341">
            <v>1080</v>
          </cell>
          <cell r="Z341" t="str">
            <v>South</v>
          </cell>
        </row>
        <row r="342">
          <cell r="F342" t="str">
            <v>Shahbaz Khan</v>
          </cell>
          <cell r="K342" t="str">
            <v>CSG (EndPoint)</v>
          </cell>
          <cell r="O342">
            <v>163315</v>
          </cell>
          <cell r="P342">
            <v>7699.4</v>
          </cell>
          <cell r="Q342">
            <v>9093.4699999999993</v>
          </cell>
          <cell r="Z342" t="str">
            <v>South</v>
          </cell>
        </row>
        <row r="343">
          <cell r="F343" t="str">
            <v>Shahbaz Khan</v>
          </cell>
          <cell r="K343" t="str">
            <v>Cyber Security &amp; Networking</v>
          </cell>
          <cell r="O343">
            <v>961984</v>
          </cell>
          <cell r="P343">
            <v>47592</v>
          </cell>
          <cell r="Q343">
            <v>23600</v>
          </cell>
          <cell r="Z343" t="str">
            <v>South</v>
          </cell>
        </row>
        <row r="344">
          <cell r="F344" t="str">
            <v>Shahbaz Khan</v>
          </cell>
          <cell r="K344" t="str">
            <v>Cyber Security &amp; Networking</v>
          </cell>
          <cell r="O344">
            <v>961984</v>
          </cell>
          <cell r="P344">
            <v>47592</v>
          </cell>
          <cell r="Q344">
            <v>47592</v>
          </cell>
          <cell r="Z344" t="str">
            <v>South</v>
          </cell>
        </row>
        <row r="345">
          <cell r="F345" t="str">
            <v>Shahbaz Khan</v>
          </cell>
          <cell r="K345" t="str">
            <v>Cyber Security &amp; Networking</v>
          </cell>
          <cell r="O345">
            <v>961984</v>
          </cell>
          <cell r="P345">
            <v>47592</v>
          </cell>
          <cell r="Q345">
            <v>23600</v>
          </cell>
          <cell r="Z345" t="str">
            <v>South</v>
          </cell>
        </row>
        <row r="346">
          <cell r="F346" t="str">
            <v>Shahbaz Khan</v>
          </cell>
          <cell r="K346" t="str">
            <v>Cyber Security &amp; Networking</v>
          </cell>
          <cell r="O346">
            <v>961984</v>
          </cell>
          <cell r="P346">
            <v>47592</v>
          </cell>
          <cell r="Q346">
            <v>47592</v>
          </cell>
          <cell r="Z346" t="str">
            <v>South</v>
          </cell>
        </row>
        <row r="347">
          <cell r="F347" t="str">
            <v>Shaik Khadhar</v>
          </cell>
          <cell r="K347" t="str">
            <v>CSG (EndPoint)</v>
          </cell>
          <cell r="O347">
            <v>30480000</v>
          </cell>
          <cell r="P347">
            <v>850000</v>
          </cell>
          <cell r="Q347">
            <v>0</v>
          </cell>
          <cell r="Z347" t="str">
            <v>South</v>
          </cell>
        </row>
        <row r="348">
          <cell r="F348" t="str">
            <v>Shilpa Kavde</v>
          </cell>
          <cell r="K348" t="str">
            <v>CSG (EndPoint)</v>
          </cell>
          <cell r="O348">
            <v>230000</v>
          </cell>
          <cell r="P348">
            <v>15000</v>
          </cell>
          <cell r="Q348">
            <v>15000</v>
          </cell>
          <cell r="Z348" t="str">
            <v>CB</v>
          </cell>
        </row>
        <row r="349">
          <cell r="F349" t="str">
            <v>Pratik Kadam</v>
          </cell>
          <cell r="K349" t="str">
            <v>CSG (EndPoint)</v>
          </cell>
          <cell r="O349">
            <v>674901.69</v>
          </cell>
          <cell r="P349">
            <v>39401.69</v>
          </cell>
          <cell r="Q349">
            <v>39401.82</v>
          </cell>
          <cell r="Z349" t="str">
            <v>S1</v>
          </cell>
        </row>
        <row r="350">
          <cell r="F350" t="str">
            <v>Vidula Chawan</v>
          </cell>
          <cell r="K350" t="str">
            <v>CSG (EndPoint)</v>
          </cell>
          <cell r="O350">
            <v>22000</v>
          </cell>
          <cell r="P350">
            <v>1750</v>
          </cell>
          <cell r="Q350">
            <v>1750</v>
          </cell>
          <cell r="Z350" t="str">
            <v>CB</v>
          </cell>
        </row>
        <row r="351">
          <cell r="F351" t="str">
            <v>Vidula Chawan</v>
          </cell>
          <cell r="K351" t="str">
            <v>CSG (EndPoint)</v>
          </cell>
          <cell r="O351">
            <v>8800</v>
          </cell>
          <cell r="P351">
            <v>700</v>
          </cell>
          <cell r="Q351">
            <v>700</v>
          </cell>
          <cell r="Z351" t="str">
            <v>CB</v>
          </cell>
        </row>
        <row r="352">
          <cell r="F352" t="str">
            <v>Atharva Karpe</v>
          </cell>
          <cell r="K352" t="str">
            <v>CSG (EndPoint)</v>
          </cell>
          <cell r="O352">
            <v>25340000</v>
          </cell>
          <cell r="P352">
            <v>1778000</v>
          </cell>
          <cell r="Q352">
            <v>1884774.65</v>
          </cell>
          <cell r="Z352" t="str">
            <v>GB</v>
          </cell>
        </row>
        <row r="353">
          <cell r="F353" t="str">
            <v>Atharva Karpe</v>
          </cell>
          <cell r="K353" t="str">
            <v>CSG (EndPoint)</v>
          </cell>
          <cell r="O353">
            <v>2484368</v>
          </cell>
          <cell r="P353">
            <v>189000</v>
          </cell>
          <cell r="Q353">
            <v>274244</v>
          </cell>
          <cell r="Z353" t="str">
            <v>GB</v>
          </cell>
        </row>
        <row r="354">
          <cell r="F354" t="str">
            <v>Atharva Karpe</v>
          </cell>
          <cell r="K354" t="str">
            <v>CSG (EndPoint)</v>
          </cell>
          <cell r="O354">
            <v>66529</v>
          </cell>
          <cell r="P354">
            <v>1700</v>
          </cell>
          <cell r="Q354">
            <v>2206.9699999999998</v>
          </cell>
          <cell r="Z354" t="str">
            <v>GB</v>
          </cell>
        </row>
        <row r="355">
          <cell r="F355" t="str">
            <v>Atharva Karpe</v>
          </cell>
          <cell r="K355" t="str">
            <v>CSG (EndPoint)</v>
          </cell>
          <cell r="O355">
            <v>169500</v>
          </cell>
          <cell r="P355">
            <v>5848</v>
          </cell>
          <cell r="Q355">
            <v>5846.61</v>
          </cell>
          <cell r="Z355" t="str">
            <v>GB</v>
          </cell>
        </row>
        <row r="356">
          <cell r="F356" t="str">
            <v>Atharva Karpe</v>
          </cell>
          <cell r="K356" t="str">
            <v>CSG (EndPoint)</v>
          </cell>
          <cell r="O356">
            <v>225000</v>
          </cell>
          <cell r="P356">
            <v>8700</v>
          </cell>
          <cell r="Q356">
            <v>0</v>
          </cell>
          <cell r="Z356" t="str">
            <v>GB</v>
          </cell>
        </row>
        <row r="357">
          <cell r="F357" t="str">
            <v>Atharva Karpe</v>
          </cell>
          <cell r="K357" t="str">
            <v>CSG (EndPoint)</v>
          </cell>
          <cell r="O357">
            <v>5413000</v>
          </cell>
          <cell r="P357">
            <v>465100</v>
          </cell>
          <cell r="Q357">
            <v>562599.35</v>
          </cell>
          <cell r="Z357" t="str">
            <v>GB</v>
          </cell>
        </row>
        <row r="358">
          <cell r="F358" t="str">
            <v>Atharva Karpe</v>
          </cell>
          <cell r="K358" t="str">
            <v>CSG (EndPoint)</v>
          </cell>
          <cell r="O358">
            <v>10095000</v>
          </cell>
          <cell r="P358">
            <v>1000000</v>
          </cell>
          <cell r="Q358">
            <v>974576.49</v>
          </cell>
          <cell r="Z358" t="str">
            <v>GB</v>
          </cell>
        </row>
        <row r="359">
          <cell r="F359" t="str">
            <v>Atharva Karpe</v>
          </cell>
          <cell r="K359" t="str">
            <v>CSG (EndPoint)</v>
          </cell>
          <cell r="O359">
            <v>87500</v>
          </cell>
          <cell r="P359">
            <v>7077</v>
          </cell>
          <cell r="Q359">
            <v>7077</v>
          </cell>
          <cell r="Z359" t="str">
            <v>GB</v>
          </cell>
        </row>
        <row r="360">
          <cell r="F360" t="str">
            <v>Atharva Karpe</v>
          </cell>
          <cell r="K360" t="str">
            <v>CSG (EndPoint)</v>
          </cell>
          <cell r="O360">
            <v>60800</v>
          </cell>
          <cell r="P360">
            <v>1730</v>
          </cell>
          <cell r="Q360">
            <v>0</v>
          </cell>
          <cell r="Z360" t="str">
            <v>GB</v>
          </cell>
        </row>
        <row r="361">
          <cell r="F361" t="str">
            <v>Atharva Karpe</v>
          </cell>
          <cell r="K361" t="str">
            <v>CSG (EndPoint)</v>
          </cell>
          <cell r="O361">
            <v>18182000</v>
          </cell>
          <cell r="P361">
            <v>768136</v>
          </cell>
          <cell r="Q361">
            <v>808136</v>
          </cell>
          <cell r="Z361" t="str">
            <v>GB</v>
          </cell>
        </row>
        <row r="362">
          <cell r="F362" t="str">
            <v>Ayushman Singh</v>
          </cell>
          <cell r="K362" t="str">
            <v>CSG (EndPoint)</v>
          </cell>
          <cell r="O362">
            <v>2206500</v>
          </cell>
          <cell r="P362">
            <v>200000</v>
          </cell>
          <cell r="Q362">
            <v>79268.039999999994</v>
          </cell>
          <cell r="Z362" t="str">
            <v>GB</v>
          </cell>
        </row>
        <row r="363">
          <cell r="F363" t="str">
            <v>Jay Rushi</v>
          </cell>
          <cell r="K363" t="str">
            <v>CSG (EndPoint)</v>
          </cell>
          <cell r="O363">
            <v>24350</v>
          </cell>
          <cell r="P363">
            <v>1400</v>
          </cell>
          <cell r="Q363">
            <v>1631</v>
          </cell>
          <cell r="Z363" t="str">
            <v>GB</v>
          </cell>
        </row>
        <row r="364">
          <cell r="F364" t="str">
            <v>Jay Rushi</v>
          </cell>
          <cell r="K364" t="str">
            <v>CSG (EndPoint)</v>
          </cell>
          <cell r="O364">
            <v>91100</v>
          </cell>
          <cell r="P364">
            <v>8600</v>
          </cell>
          <cell r="Q364">
            <v>11461.86</v>
          </cell>
          <cell r="Z364" t="str">
            <v>GB</v>
          </cell>
        </row>
        <row r="365">
          <cell r="F365" t="str">
            <v>Jay Rushi</v>
          </cell>
          <cell r="K365" t="str">
            <v>CSG (EndPoint)</v>
          </cell>
          <cell r="O365">
            <v>3200000</v>
          </cell>
          <cell r="P365">
            <v>1000</v>
          </cell>
          <cell r="Q365">
            <v>138000</v>
          </cell>
          <cell r="Z365" t="str">
            <v>GB</v>
          </cell>
        </row>
        <row r="366">
          <cell r="F366" t="str">
            <v>Jay Rushi</v>
          </cell>
          <cell r="K366" t="str">
            <v>CSG (EndPoint)</v>
          </cell>
          <cell r="O366">
            <v>62250</v>
          </cell>
          <cell r="P366">
            <v>10400</v>
          </cell>
          <cell r="Q366">
            <v>11511.86</v>
          </cell>
          <cell r="Z366" t="str">
            <v>GB</v>
          </cell>
        </row>
        <row r="367">
          <cell r="F367" t="str">
            <v>Jay Rushi</v>
          </cell>
          <cell r="K367" t="str">
            <v>CSG (EndPoint)</v>
          </cell>
          <cell r="O367">
            <v>43720</v>
          </cell>
          <cell r="P367">
            <v>3820</v>
          </cell>
          <cell r="Q367">
            <v>4220</v>
          </cell>
          <cell r="Z367" t="str">
            <v>GB</v>
          </cell>
        </row>
        <row r="368">
          <cell r="F368" t="str">
            <v>Jay Rushi</v>
          </cell>
          <cell r="K368" t="str">
            <v>CSG (EndPoint)</v>
          </cell>
          <cell r="O368">
            <v>7800000</v>
          </cell>
          <cell r="P368">
            <v>100000</v>
          </cell>
          <cell r="Q368">
            <v>38925</v>
          </cell>
          <cell r="Z368" t="str">
            <v>GB</v>
          </cell>
        </row>
        <row r="369">
          <cell r="F369" t="str">
            <v>Yusufali Petiwala</v>
          </cell>
          <cell r="K369" t="str">
            <v>CSG (EndPoint)</v>
          </cell>
          <cell r="O369">
            <v>549855.07999999996</v>
          </cell>
          <cell r="P369">
            <v>23185.59</v>
          </cell>
          <cell r="Q369">
            <v>23185.59</v>
          </cell>
          <cell r="Z369" t="str">
            <v>Others</v>
          </cell>
        </row>
        <row r="370">
          <cell r="F370" t="str">
            <v>Yusufali Petiwala</v>
          </cell>
          <cell r="K370" t="str">
            <v>CSG (EndPoint)</v>
          </cell>
          <cell r="O370">
            <v>7850</v>
          </cell>
          <cell r="P370">
            <v>0</v>
          </cell>
          <cell r="Q370">
            <v>0</v>
          </cell>
          <cell r="Z370" t="str">
            <v>Others</v>
          </cell>
        </row>
        <row r="371">
          <cell r="F371" t="str">
            <v>Yusufali Petiwala</v>
          </cell>
          <cell r="K371" t="str">
            <v>CSG (EndPoint)</v>
          </cell>
          <cell r="O371">
            <v>1826670</v>
          </cell>
          <cell r="P371">
            <v>19000</v>
          </cell>
          <cell r="Q371">
            <v>19000</v>
          </cell>
          <cell r="Z371" t="str">
            <v>Others</v>
          </cell>
        </row>
        <row r="372">
          <cell r="F372" t="str">
            <v>Yusufali Petiwala</v>
          </cell>
          <cell r="K372" t="str">
            <v>CSG (EndPoint)</v>
          </cell>
          <cell r="O372">
            <v>19000</v>
          </cell>
          <cell r="P372">
            <v>4000</v>
          </cell>
          <cell r="Q372">
            <v>4000</v>
          </cell>
          <cell r="Z372" t="str">
            <v>Others</v>
          </cell>
        </row>
        <row r="373">
          <cell r="F373" t="str">
            <v>Yusufali Petiwala</v>
          </cell>
          <cell r="K373" t="str">
            <v>CSG (EndPoint)</v>
          </cell>
          <cell r="O373">
            <v>124500</v>
          </cell>
          <cell r="P373">
            <v>17000</v>
          </cell>
          <cell r="Q373">
            <v>17000</v>
          </cell>
          <cell r="Z373" t="str">
            <v>Others</v>
          </cell>
        </row>
        <row r="374">
          <cell r="F374" t="str">
            <v>Yusufali Petiwala</v>
          </cell>
          <cell r="K374" t="str">
            <v>CSG (EndPoint)</v>
          </cell>
          <cell r="O374">
            <v>100000</v>
          </cell>
          <cell r="P374">
            <v>3100</v>
          </cell>
          <cell r="Q374">
            <v>3100</v>
          </cell>
          <cell r="Z374" t="str">
            <v>Others</v>
          </cell>
        </row>
        <row r="375">
          <cell r="F375" t="str">
            <v>Yusufali Petiwala</v>
          </cell>
          <cell r="K375" t="str">
            <v>CSG (EndPoint)</v>
          </cell>
          <cell r="O375">
            <v>316800</v>
          </cell>
          <cell r="P375">
            <v>6768</v>
          </cell>
          <cell r="Q375">
            <v>6768</v>
          </cell>
          <cell r="Z375" t="str">
            <v>Others</v>
          </cell>
        </row>
        <row r="376">
          <cell r="F376" t="str">
            <v>Yusufali Petiwala</v>
          </cell>
          <cell r="K376" t="str">
            <v>CSG (EndPoint)</v>
          </cell>
          <cell r="O376">
            <v>220000</v>
          </cell>
          <cell r="P376">
            <v>4700</v>
          </cell>
          <cell r="Q376">
            <v>4700</v>
          </cell>
          <cell r="Z376" t="str">
            <v>Others</v>
          </cell>
        </row>
        <row r="377">
          <cell r="F377" t="str">
            <v>Yusufali Petiwala</v>
          </cell>
          <cell r="K377" t="str">
            <v>CSG (EndPoint)</v>
          </cell>
          <cell r="O377">
            <v>1504800</v>
          </cell>
          <cell r="P377">
            <v>32148</v>
          </cell>
          <cell r="Q377">
            <v>32148</v>
          </cell>
          <cell r="Z377" t="str">
            <v>Others</v>
          </cell>
        </row>
        <row r="378">
          <cell r="F378" t="str">
            <v>Yusufali Petiwala</v>
          </cell>
          <cell r="K378" t="str">
            <v>CSG (EndPoint)</v>
          </cell>
          <cell r="O378">
            <v>211200</v>
          </cell>
          <cell r="P378">
            <v>4512</v>
          </cell>
          <cell r="Q378">
            <v>4512</v>
          </cell>
          <cell r="Z378" t="str">
            <v>Others</v>
          </cell>
        </row>
        <row r="379">
          <cell r="F379" t="str">
            <v>Yusufali Petiwala</v>
          </cell>
          <cell r="K379" t="str">
            <v>CSG (EndPoint)</v>
          </cell>
          <cell r="O379">
            <v>2800</v>
          </cell>
          <cell r="P379">
            <v>1400</v>
          </cell>
          <cell r="Q379">
            <v>1400</v>
          </cell>
          <cell r="Z379" t="str">
            <v>Others</v>
          </cell>
        </row>
        <row r="380">
          <cell r="F380" t="str">
            <v>Yusufali Petiwala</v>
          </cell>
          <cell r="K380" t="str">
            <v>CSG (EndPoint)</v>
          </cell>
          <cell r="O380">
            <v>877000</v>
          </cell>
          <cell r="P380">
            <v>33431.89</v>
          </cell>
          <cell r="Q380">
            <v>33431.89</v>
          </cell>
          <cell r="Z380" t="str">
            <v>Others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Opportunity Pipeline "/>
    </sheetNames>
    <sheetDataSet>
      <sheetData sheetId="0"/>
      <sheetData sheetId="1">
        <row r="1">
          <cell r="F1" t="str">
            <v>Opportunity Led By</v>
          </cell>
          <cell r="K1" t="str">
            <v>Category</v>
          </cell>
          <cell r="O1" t="str">
            <v>Amount</v>
          </cell>
          <cell r="P1" t="str">
            <v>Estimated Bottomline</v>
          </cell>
          <cell r="Q1" t="str">
            <v>Actual Bottomline -</v>
          </cell>
          <cell r="Z1" t="str">
            <v>Division</v>
          </cell>
        </row>
        <row r="2">
          <cell r="F2" t="str">
            <v>Abrar Memon</v>
          </cell>
          <cell r="K2" t="str">
            <v>CSG (EndPoint)</v>
          </cell>
          <cell r="O2">
            <v>866000</v>
          </cell>
          <cell r="P2">
            <v>39500</v>
          </cell>
          <cell r="Q2">
            <v>39500</v>
          </cell>
          <cell r="Z2" t="str">
            <v>South</v>
          </cell>
        </row>
        <row r="3">
          <cell r="F3" t="str">
            <v>Abrar Memon</v>
          </cell>
          <cell r="K3" t="str">
            <v>CSG (EndPoint)</v>
          </cell>
          <cell r="O3">
            <v>1732000</v>
          </cell>
          <cell r="P3">
            <v>89000</v>
          </cell>
          <cell r="Q3">
            <v>89000</v>
          </cell>
          <cell r="Z3" t="str">
            <v>South</v>
          </cell>
        </row>
        <row r="4">
          <cell r="F4" t="str">
            <v>Abrar Memon</v>
          </cell>
          <cell r="K4" t="str">
            <v>CSG (EndPoint)</v>
          </cell>
          <cell r="O4">
            <v>2280000</v>
          </cell>
          <cell r="P4">
            <v>78000</v>
          </cell>
          <cell r="Q4">
            <v>78000</v>
          </cell>
          <cell r="Z4" t="str">
            <v>South</v>
          </cell>
        </row>
        <row r="5">
          <cell r="F5" t="str">
            <v>Ajay Patodia</v>
          </cell>
          <cell r="K5" t="str">
            <v>Data Centre</v>
          </cell>
          <cell r="O5">
            <v>682200</v>
          </cell>
          <cell r="P5">
            <v>40000</v>
          </cell>
          <cell r="Q5">
            <v>0</v>
          </cell>
          <cell r="Z5" t="str">
            <v>Others</v>
          </cell>
        </row>
        <row r="6">
          <cell r="F6" t="str">
            <v>Ajay Patodia</v>
          </cell>
          <cell r="K6" t="str">
            <v>Data Centre</v>
          </cell>
          <cell r="O6">
            <v>614500</v>
          </cell>
          <cell r="P6">
            <v>40000</v>
          </cell>
          <cell r="Q6">
            <v>39500</v>
          </cell>
          <cell r="Z6" t="str">
            <v>Others</v>
          </cell>
        </row>
        <row r="7">
          <cell r="F7" t="str">
            <v>Ajay Patodia</v>
          </cell>
          <cell r="K7" t="str">
            <v>Data Centre</v>
          </cell>
          <cell r="O7">
            <v>1375387</v>
          </cell>
          <cell r="P7">
            <v>200000</v>
          </cell>
          <cell r="Q7">
            <v>365007.57</v>
          </cell>
          <cell r="Z7" t="str">
            <v>Others</v>
          </cell>
        </row>
        <row r="8">
          <cell r="F8" t="str">
            <v>Ajay Patodia</v>
          </cell>
          <cell r="K8" t="str">
            <v>Data Centre</v>
          </cell>
          <cell r="O8">
            <v>21600000</v>
          </cell>
          <cell r="P8">
            <v>500000</v>
          </cell>
          <cell r="Q8">
            <v>258075.81</v>
          </cell>
          <cell r="Z8" t="str">
            <v>Others</v>
          </cell>
        </row>
        <row r="9">
          <cell r="F9" t="str">
            <v>Ajay Patodia</v>
          </cell>
          <cell r="K9" t="str">
            <v>Data Centre</v>
          </cell>
          <cell r="O9">
            <v>824613</v>
          </cell>
          <cell r="P9">
            <v>200000</v>
          </cell>
          <cell r="Q9">
            <v>218840.22</v>
          </cell>
          <cell r="Z9" t="str">
            <v>Others</v>
          </cell>
        </row>
        <row r="10">
          <cell r="F10" t="str">
            <v>Ajay Patodia</v>
          </cell>
          <cell r="K10" t="str">
            <v>Data Centre</v>
          </cell>
          <cell r="O10">
            <v>1429578.32</v>
          </cell>
          <cell r="P10">
            <v>100000</v>
          </cell>
          <cell r="Q10">
            <v>43917.67</v>
          </cell>
          <cell r="Z10" t="str">
            <v>Others</v>
          </cell>
        </row>
        <row r="11">
          <cell r="F11" t="str">
            <v>Ajay Patodia</v>
          </cell>
          <cell r="K11" t="str">
            <v>Data Centre</v>
          </cell>
          <cell r="O11">
            <v>510000</v>
          </cell>
          <cell r="P11">
            <v>50000</v>
          </cell>
          <cell r="Q11">
            <v>55683.360000000001</v>
          </cell>
          <cell r="Z11" t="str">
            <v>Others</v>
          </cell>
        </row>
        <row r="12">
          <cell r="F12" t="str">
            <v>Ajay Patodia</v>
          </cell>
          <cell r="K12" t="str">
            <v>Data Centre</v>
          </cell>
          <cell r="O12">
            <v>7526195.8799999999</v>
          </cell>
          <cell r="P12">
            <v>500000</v>
          </cell>
          <cell r="Q12">
            <v>0</v>
          </cell>
          <cell r="Z12" t="str">
            <v>Others</v>
          </cell>
        </row>
        <row r="13">
          <cell r="F13" t="str">
            <v>Ajay Patodia</v>
          </cell>
          <cell r="K13" t="str">
            <v>Data Centre</v>
          </cell>
          <cell r="O13">
            <v>214000000</v>
          </cell>
          <cell r="P13">
            <v>21400000</v>
          </cell>
          <cell r="Q13">
            <v>0</v>
          </cell>
          <cell r="Z13" t="str">
            <v>Others</v>
          </cell>
        </row>
        <row r="14">
          <cell r="F14" t="str">
            <v>Ajay Patodia</v>
          </cell>
          <cell r="K14" t="str">
            <v>Data Centre</v>
          </cell>
          <cell r="O14">
            <v>5100000</v>
          </cell>
          <cell r="P14">
            <v>0</v>
          </cell>
          <cell r="Q14">
            <v>0</v>
          </cell>
          <cell r="Z14" t="str">
            <v>Others</v>
          </cell>
        </row>
        <row r="15">
          <cell r="F15" t="str">
            <v>Chetna Sharma</v>
          </cell>
          <cell r="K15" t="str">
            <v>Data Centre</v>
          </cell>
          <cell r="O15">
            <v>189247.31</v>
          </cell>
          <cell r="P15">
            <v>17204</v>
          </cell>
          <cell r="Q15">
            <v>0</v>
          </cell>
          <cell r="Z15" t="str">
            <v>S2</v>
          </cell>
        </row>
        <row r="16">
          <cell r="F16" t="str">
            <v>Chirag Palande</v>
          </cell>
          <cell r="K16" t="str">
            <v>Data Centre</v>
          </cell>
          <cell r="O16">
            <v>33000000</v>
          </cell>
          <cell r="P16">
            <v>1796666</v>
          </cell>
          <cell r="Q16">
            <v>0</v>
          </cell>
          <cell r="Z16" t="str">
            <v>S1</v>
          </cell>
        </row>
        <row r="17">
          <cell r="F17" t="str">
            <v>Chirag Palande</v>
          </cell>
          <cell r="K17" t="str">
            <v>Data Centre</v>
          </cell>
          <cell r="O17">
            <v>33000000</v>
          </cell>
          <cell r="P17">
            <v>1796666</v>
          </cell>
          <cell r="Q17">
            <v>0</v>
          </cell>
          <cell r="Z17" t="str">
            <v>S1</v>
          </cell>
        </row>
        <row r="18">
          <cell r="F18" t="str">
            <v>Chirag Palande</v>
          </cell>
          <cell r="K18" t="str">
            <v>Data Centre</v>
          </cell>
          <cell r="O18">
            <v>33000000</v>
          </cell>
          <cell r="P18">
            <v>1796666</v>
          </cell>
          <cell r="Q18">
            <v>0</v>
          </cell>
          <cell r="Z18" t="str">
            <v>S1</v>
          </cell>
        </row>
        <row r="19">
          <cell r="F19" t="str">
            <v>Hrushikesh Bagade</v>
          </cell>
          <cell r="K19" t="str">
            <v>Data Centre</v>
          </cell>
          <cell r="O19">
            <v>2587458</v>
          </cell>
          <cell r="P19">
            <v>262128.2</v>
          </cell>
          <cell r="Q19">
            <v>0</v>
          </cell>
          <cell r="Z19" t="str">
            <v>GeoX</v>
          </cell>
        </row>
        <row r="20">
          <cell r="F20" t="str">
            <v>Hrushikesh Bagade</v>
          </cell>
          <cell r="K20" t="str">
            <v>Data Centre</v>
          </cell>
          <cell r="O20">
            <v>163750</v>
          </cell>
          <cell r="P20">
            <v>24000</v>
          </cell>
          <cell r="Q20">
            <v>29500</v>
          </cell>
          <cell r="Z20" t="str">
            <v>GeoX</v>
          </cell>
        </row>
        <row r="21">
          <cell r="F21" t="str">
            <v>Prachi Mayekar</v>
          </cell>
          <cell r="K21" t="str">
            <v>Data Centre</v>
          </cell>
          <cell r="O21">
            <v>14500000</v>
          </cell>
          <cell r="P21">
            <v>1200000</v>
          </cell>
          <cell r="Q21">
            <v>0</v>
          </cell>
          <cell r="Z21" t="str">
            <v>CB</v>
          </cell>
        </row>
        <row r="22">
          <cell r="F22" t="str">
            <v>Prachi Mayekar</v>
          </cell>
          <cell r="K22" t="str">
            <v>Data Centre</v>
          </cell>
          <cell r="O22">
            <v>2205000</v>
          </cell>
          <cell r="P22">
            <v>100000</v>
          </cell>
          <cell r="Q22">
            <v>496125</v>
          </cell>
          <cell r="Z22" t="str">
            <v>CB</v>
          </cell>
        </row>
        <row r="23">
          <cell r="F23" t="str">
            <v>Prachi Mayekar</v>
          </cell>
          <cell r="K23" t="str">
            <v>Data Centre</v>
          </cell>
          <cell r="O23">
            <v>1000000</v>
          </cell>
          <cell r="P23">
            <v>10000</v>
          </cell>
          <cell r="Q23">
            <v>100000</v>
          </cell>
          <cell r="Z23" t="str">
            <v>CB</v>
          </cell>
        </row>
        <row r="24">
          <cell r="F24" t="str">
            <v>Richa Tiwari</v>
          </cell>
          <cell r="K24" t="str">
            <v>Data Centre</v>
          </cell>
          <cell r="O24">
            <v>360752</v>
          </cell>
          <cell r="P24">
            <v>20000</v>
          </cell>
          <cell r="Q24">
            <v>0</v>
          </cell>
          <cell r="Z24" t="str">
            <v>S1</v>
          </cell>
        </row>
        <row r="25">
          <cell r="F25" t="str">
            <v>Richa Tiwari</v>
          </cell>
          <cell r="K25" t="str">
            <v>Data Centre</v>
          </cell>
          <cell r="O25">
            <v>600800</v>
          </cell>
          <cell r="P25">
            <v>26606.45</v>
          </cell>
          <cell r="Q25">
            <v>0</v>
          </cell>
          <cell r="Z25" t="str">
            <v>S1</v>
          </cell>
        </row>
        <row r="26">
          <cell r="F26" t="str">
            <v>Rima Ingle</v>
          </cell>
          <cell r="K26" t="str">
            <v>Data Centre</v>
          </cell>
          <cell r="O26">
            <v>117000000</v>
          </cell>
          <cell r="P26">
            <v>11700000</v>
          </cell>
          <cell r="Q26">
            <v>0</v>
          </cell>
          <cell r="Z26" t="str">
            <v>GB</v>
          </cell>
        </row>
        <row r="27">
          <cell r="F27" t="str">
            <v>Rohit Deshmukh</v>
          </cell>
          <cell r="K27" t="str">
            <v>Data Centre</v>
          </cell>
          <cell r="O27">
            <v>300000000</v>
          </cell>
          <cell r="P27">
            <v>24005444</v>
          </cell>
          <cell r="Q27">
            <v>6445062.0199999996</v>
          </cell>
          <cell r="Z27" t="str">
            <v>S2</v>
          </cell>
        </row>
        <row r="28">
          <cell r="F28" t="str">
            <v>Rohit Deshmukh</v>
          </cell>
          <cell r="K28" t="str">
            <v>Data Centre</v>
          </cell>
          <cell r="O28">
            <v>900000</v>
          </cell>
          <cell r="P28">
            <v>268000</v>
          </cell>
          <cell r="Q28">
            <v>268000</v>
          </cell>
          <cell r="Z28" t="str">
            <v>S2</v>
          </cell>
        </row>
        <row r="29">
          <cell r="F29" t="str">
            <v>Sagar TR</v>
          </cell>
          <cell r="K29" t="str">
            <v>CSG (EndPoint)</v>
          </cell>
          <cell r="O29">
            <v>362400</v>
          </cell>
          <cell r="P29">
            <v>60900</v>
          </cell>
          <cell r="Q29">
            <v>33400</v>
          </cell>
          <cell r="Z29" t="str">
            <v>South</v>
          </cell>
        </row>
        <row r="30">
          <cell r="F30" t="str">
            <v>Sagar TR</v>
          </cell>
          <cell r="K30" t="str">
            <v>Data Centre</v>
          </cell>
          <cell r="O30">
            <v>17247099.800000001</v>
          </cell>
          <cell r="P30">
            <v>2683699.7999999998</v>
          </cell>
          <cell r="Q30">
            <v>28599.68</v>
          </cell>
          <cell r="Z30" t="str">
            <v>South</v>
          </cell>
        </row>
        <row r="31">
          <cell r="F31" t="str">
            <v>Sagar TR</v>
          </cell>
          <cell r="K31" t="str">
            <v>Data Centre</v>
          </cell>
          <cell r="O31">
            <v>145000</v>
          </cell>
          <cell r="P31">
            <v>20000</v>
          </cell>
          <cell r="Q31">
            <v>12000</v>
          </cell>
          <cell r="Z31" t="str">
            <v>South</v>
          </cell>
        </row>
        <row r="32">
          <cell r="F32" t="str">
            <v>Sagar TR</v>
          </cell>
          <cell r="K32" t="str">
            <v>Data Centre</v>
          </cell>
          <cell r="O32">
            <v>631600</v>
          </cell>
          <cell r="P32">
            <v>7600</v>
          </cell>
          <cell r="Q32">
            <v>0</v>
          </cell>
          <cell r="Z32" t="str">
            <v>South</v>
          </cell>
        </row>
        <row r="33">
          <cell r="F33" t="str">
            <v>Sagar TR</v>
          </cell>
          <cell r="K33" t="str">
            <v>Data Centre</v>
          </cell>
          <cell r="O33">
            <v>1794000</v>
          </cell>
          <cell r="P33">
            <v>150000</v>
          </cell>
          <cell r="Q33">
            <v>24000</v>
          </cell>
          <cell r="Z33" t="str">
            <v>South</v>
          </cell>
        </row>
        <row r="34">
          <cell r="F34" t="str">
            <v>Sagar TR</v>
          </cell>
          <cell r="K34" t="str">
            <v>Data Centre</v>
          </cell>
          <cell r="O34">
            <v>2025000</v>
          </cell>
          <cell r="P34">
            <v>428000</v>
          </cell>
          <cell r="Q34">
            <v>428000</v>
          </cell>
          <cell r="Z34" t="str">
            <v>South</v>
          </cell>
        </row>
        <row r="35">
          <cell r="F35" t="str">
            <v>Sagar TR</v>
          </cell>
          <cell r="K35" t="str">
            <v>Data Centre</v>
          </cell>
          <cell r="O35">
            <v>81650</v>
          </cell>
          <cell r="P35">
            <v>5000</v>
          </cell>
          <cell r="Q35">
            <v>2175</v>
          </cell>
          <cell r="Z35" t="str">
            <v>South</v>
          </cell>
        </row>
        <row r="36">
          <cell r="F36" t="str">
            <v>Sagar TR</v>
          </cell>
          <cell r="K36" t="str">
            <v>Data Centre</v>
          </cell>
          <cell r="O36">
            <v>1070000</v>
          </cell>
          <cell r="P36">
            <v>100000</v>
          </cell>
          <cell r="Q36">
            <v>0</v>
          </cell>
          <cell r="Z36" t="str">
            <v>South</v>
          </cell>
        </row>
        <row r="37">
          <cell r="F37" t="str">
            <v>Sagar TR</v>
          </cell>
          <cell r="K37" t="str">
            <v>Data Centre</v>
          </cell>
          <cell r="O37">
            <v>1000000</v>
          </cell>
          <cell r="P37">
            <v>151822.87</v>
          </cell>
          <cell r="Q37">
            <v>0</v>
          </cell>
          <cell r="Z37" t="str">
            <v>South</v>
          </cell>
        </row>
        <row r="38">
          <cell r="F38" t="str">
            <v>Sanjeev Kohli</v>
          </cell>
          <cell r="K38" t="str">
            <v>Data Centre</v>
          </cell>
          <cell r="O38">
            <v>170056432</v>
          </cell>
          <cell r="P38">
            <v>7500000</v>
          </cell>
          <cell r="Q38">
            <v>2487523.67</v>
          </cell>
          <cell r="Z38" t="str">
            <v>Others</v>
          </cell>
        </row>
        <row r="39">
          <cell r="F39" t="str">
            <v>Sankeerth Bhargav</v>
          </cell>
          <cell r="K39" t="str">
            <v>Data Centre</v>
          </cell>
          <cell r="O39">
            <v>38348039</v>
          </cell>
          <cell r="P39">
            <v>2268547</v>
          </cell>
          <cell r="Q39">
            <v>0</v>
          </cell>
          <cell r="Z39" t="str">
            <v>S2</v>
          </cell>
        </row>
        <row r="40">
          <cell r="F40" t="str">
            <v>Shaik Khadhar</v>
          </cell>
          <cell r="K40" t="str">
            <v>Data Centre</v>
          </cell>
          <cell r="O40">
            <v>493600</v>
          </cell>
          <cell r="P40">
            <v>1500</v>
          </cell>
          <cell r="Q40">
            <v>0</v>
          </cell>
          <cell r="Z40" t="str">
            <v>South</v>
          </cell>
        </row>
        <row r="41">
          <cell r="F41" t="str">
            <v>Shilpa Kavde</v>
          </cell>
          <cell r="K41" t="str">
            <v>Data Centre</v>
          </cell>
          <cell r="O41">
            <v>155000</v>
          </cell>
          <cell r="P41">
            <v>10000</v>
          </cell>
          <cell r="Q41">
            <v>0</v>
          </cell>
          <cell r="Z41" t="str">
            <v>CB</v>
          </cell>
        </row>
        <row r="42">
          <cell r="F42" t="str">
            <v>Tasneem K</v>
          </cell>
          <cell r="K42" t="str">
            <v>Data Centre</v>
          </cell>
          <cell r="O42">
            <v>1091540.1299999999</v>
          </cell>
          <cell r="P42">
            <v>257844.13</v>
          </cell>
          <cell r="Q42">
            <v>0</v>
          </cell>
          <cell r="Z42" t="str">
            <v>S1</v>
          </cell>
        </row>
        <row r="43">
          <cell r="F43" t="str">
            <v>Tasneem K</v>
          </cell>
          <cell r="K43" t="str">
            <v>Data Centre</v>
          </cell>
          <cell r="O43">
            <v>555000</v>
          </cell>
          <cell r="P43">
            <v>50000</v>
          </cell>
          <cell r="Q43">
            <v>0</v>
          </cell>
          <cell r="Z43" t="str">
            <v>S1</v>
          </cell>
        </row>
        <row r="44">
          <cell r="F44" t="str">
            <v>Vidula Chawan</v>
          </cell>
          <cell r="K44" t="str">
            <v>Data Centre</v>
          </cell>
          <cell r="O44">
            <v>539346</v>
          </cell>
          <cell r="P44">
            <v>60000</v>
          </cell>
          <cell r="Q44">
            <v>0</v>
          </cell>
          <cell r="Z44" t="str">
            <v>CB</v>
          </cell>
        </row>
        <row r="45">
          <cell r="F45" t="str">
            <v>Jay Rushi</v>
          </cell>
          <cell r="K45" t="str">
            <v>Data Centre</v>
          </cell>
          <cell r="O45">
            <v>168810</v>
          </cell>
          <cell r="P45">
            <v>28810</v>
          </cell>
          <cell r="Q45">
            <v>28810</v>
          </cell>
          <cell r="Z45" t="str">
            <v>GB</v>
          </cell>
        </row>
        <row r="46">
          <cell r="F46" t="str">
            <v>Tasneem K</v>
          </cell>
          <cell r="K46" t="str">
            <v>CSG (EndPoint)</v>
          </cell>
          <cell r="O46">
            <v>275000</v>
          </cell>
          <cell r="P46">
            <v>40000</v>
          </cell>
          <cell r="Q46">
            <v>40100</v>
          </cell>
          <cell r="Z46" t="str">
            <v>S1</v>
          </cell>
        </row>
        <row r="47">
          <cell r="F47" t="str">
            <v>Tasneem K</v>
          </cell>
          <cell r="K47" t="str">
            <v>CSG (EndPoint)</v>
          </cell>
          <cell r="O47">
            <v>275000</v>
          </cell>
          <cell r="P47">
            <v>40000</v>
          </cell>
          <cell r="Q47">
            <v>40000</v>
          </cell>
          <cell r="Z47" t="str">
            <v>S1</v>
          </cell>
        </row>
        <row r="48">
          <cell r="F48" t="str">
            <v>Chetna Sharma</v>
          </cell>
          <cell r="K48" t="str">
            <v>CSG (EndPoint)</v>
          </cell>
          <cell r="O48">
            <v>6310392</v>
          </cell>
          <cell r="P48">
            <v>357192</v>
          </cell>
          <cell r="Q48">
            <v>400092</v>
          </cell>
          <cell r="Z48" t="str">
            <v>S2</v>
          </cell>
        </row>
        <row r="49">
          <cell r="F49" t="str">
            <v>Chirag Palande</v>
          </cell>
          <cell r="K49" t="str">
            <v>CSG (EndPoint)</v>
          </cell>
          <cell r="O49">
            <v>9601500</v>
          </cell>
          <cell r="P49">
            <v>476975</v>
          </cell>
          <cell r="Q49">
            <v>476975</v>
          </cell>
          <cell r="Z49" t="str">
            <v>S1</v>
          </cell>
        </row>
        <row r="50">
          <cell r="F50" t="str">
            <v>Chirag Palande</v>
          </cell>
          <cell r="K50" t="str">
            <v>CSG (EndPoint)</v>
          </cell>
          <cell r="O50">
            <v>199500</v>
          </cell>
          <cell r="P50">
            <v>7000</v>
          </cell>
          <cell r="Q50">
            <v>7576.53</v>
          </cell>
          <cell r="Z50" t="str">
            <v>S1</v>
          </cell>
        </row>
        <row r="51">
          <cell r="F51" t="str">
            <v>Jimesh Shah</v>
          </cell>
          <cell r="K51" t="str">
            <v>CSG (EndPoint)</v>
          </cell>
          <cell r="O51">
            <v>22400</v>
          </cell>
          <cell r="P51">
            <v>3200</v>
          </cell>
          <cell r="Q51">
            <v>3200</v>
          </cell>
          <cell r="Z51" t="str">
            <v>Others</v>
          </cell>
        </row>
        <row r="52">
          <cell r="F52" t="str">
            <v>Jimesh Shah</v>
          </cell>
          <cell r="K52" t="str">
            <v>CSG (EndPoint)</v>
          </cell>
          <cell r="O52">
            <v>32000</v>
          </cell>
          <cell r="P52">
            <v>1750</v>
          </cell>
          <cell r="Q52">
            <v>3000</v>
          </cell>
          <cell r="Z52" t="str">
            <v>Others</v>
          </cell>
        </row>
        <row r="53">
          <cell r="F53" t="str">
            <v>Jimesh Shah</v>
          </cell>
          <cell r="K53" t="str">
            <v>CSG (EndPoint)</v>
          </cell>
          <cell r="O53">
            <v>32000</v>
          </cell>
          <cell r="P53">
            <v>1750</v>
          </cell>
          <cell r="Q53">
            <v>3000</v>
          </cell>
          <cell r="Z53" t="str">
            <v>Others</v>
          </cell>
        </row>
        <row r="54">
          <cell r="F54" t="str">
            <v>Jimesh Shah</v>
          </cell>
          <cell r="K54" t="str">
            <v>CSG (EndPoint)</v>
          </cell>
          <cell r="O54">
            <v>32000</v>
          </cell>
          <cell r="P54">
            <v>2000</v>
          </cell>
          <cell r="Q54">
            <v>3000</v>
          </cell>
          <cell r="Z54" t="str">
            <v>Others</v>
          </cell>
        </row>
        <row r="55">
          <cell r="F55" t="str">
            <v>Jimesh Shah</v>
          </cell>
          <cell r="K55" t="str">
            <v>CSG (EndPoint)</v>
          </cell>
          <cell r="O55">
            <v>42000</v>
          </cell>
          <cell r="P55">
            <v>12000</v>
          </cell>
          <cell r="Q55">
            <v>0</v>
          </cell>
          <cell r="Z55" t="str">
            <v>Others</v>
          </cell>
        </row>
        <row r="56">
          <cell r="F56" t="str">
            <v>Ajay Patodia</v>
          </cell>
          <cell r="K56" t="str">
            <v>Professional Services</v>
          </cell>
          <cell r="O56">
            <v>4998498</v>
          </cell>
          <cell r="P56">
            <v>500000</v>
          </cell>
          <cell r="Q56">
            <v>1103671</v>
          </cell>
          <cell r="Z56" t="str">
            <v>Others</v>
          </cell>
        </row>
        <row r="57">
          <cell r="F57" t="str">
            <v>Ashish Singh</v>
          </cell>
          <cell r="K57" t="str">
            <v>Professional Services</v>
          </cell>
          <cell r="O57">
            <v>638000</v>
          </cell>
          <cell r="P57">
            <v>125000</v>
          </cell>
          <cell r="Q57">
            <v>125000</v>
          </cell>
          <cell r="Z57" t="str">
            <v>GB</v>
          </cell>
        </row>
        <row r="58">
          <cell r="F58" t="str">
            <v>Ashish Singh</v>
          </cell>
          <cell r="K58" t="str">
            <v>Professional Services</v>
          </cell>
          <cell r="O58">
            <v>13365</v>
          </cell>
          <cell r="P58">
            <v>9615</v>
          </cell>
          <cell r="Q58">
            <v>9615</v>
          </cell>
          <cell r="Z58" t="str">
            <v>GB</v>
          </cell>
        </row>
        <row r="59">
          <cell r="F59" t="str">
            <v>Ashish Singh</v>
          </cell>
          <cell r="K59" t="str">
            <v>Professional Services</v>
          </cell>
          <cell r="O59">
            <v>133665</v>
          </cell>
          <cell r="P59">
            <v>133665</v>
          </cell>
          <cell r="Q59">
            <v>0</v>
          </cell>
          <cell r="Z59" t="str">
            <v>GB</v>
          </cell>
        </row>
        <row r="60">
          <cell r="F60" t="str">
            <v>Chetna Sharma</v>
          </cell>
          <cell r="K60" t="str">
            <v>Professional Services</v>
          </cell>
          <cell r="O60">
            <v>4900000</v>
          </cell>
          <cell r="P60">
            <v>536360</v>
          </cell>
          <cell r="Q60">
            <v>536360</v>
          </cell>
          <cell r="Z60" t="str">
            <v>S2</v>
          </cell>
        </row>
        <row r="61">
          <cell r="F61" t="str">
            <v>Hrushikesh Bagade</v>
          </cell>
          <cell r="K61" t="str">
            <v>Professional Services</v>
          </cell>
          <cell r="O61">
            <v>169490</v>
          </cell>
          <cell r="P61">
            <v>141555</v>
          </cell>
          <cell r="Q61">
            <v>139490</v>
          </cell>
          <cell r="Z61" t="str">
            <v>GeoX</v>
          </cell>
        </row>
        <row r="62">
          <cell r="F62" t="str">
            <v>Hrushikesh Bagade</v>
          </cell>
          <cell r="K62" t="str">
            <v>Professional Services</v>
          </cell>
          <cell r="O62">
            <v>217800</v>
          </cell>
          <cell r="P62">
            <v>67800</v>
          </cell>
          <cell r="Q62">
            <v>67800</v>
          </cell>
          <cell r="Z62" t="str">
            <v>GeoX</v>
          </cell>
        </row>
        <row r="63">
          <cell r="F63" t="str">
            <v>Richa Tiwari</v>
          </cell>
          <cell r="K63" t="str">
            <v>Professional Services</v>
          </cell>
          <cell r="O63">
            <v>1040000</v>
          </cell>
          <cell r="P63">
            <v>50000</v>
          </cell>
          <cell r="Q63">
            <v>524000</v>
          </cell>
          <cell r="Z63" t="str">
            <v>S1</v>
          </cell>
        </row>
        <row r="64">
          <cell r="F64" t="str">
            <v>Rima Ingle</v>
          </cell>
          <cell r="K64" t="str">
            <v>Professional Services</v>
          </cell>
          <cell r="O64">
            <v>45000</v>
          </cell>
          <cell r="P64">
            <v>3450</v>
          </cell>
          <cell r="Q64">
            <v>3000</v>
          </cell>
          <cell r="Z64" t="str">
            <v>GB</v>
          </cell>
        </row>
        <row r="65">
          <cell r="F65" t="str">
            <v>Shilpa Kavde</v>
          </cell>
          <cell r="K65" t="str">
            <v>Cloud</v>
          </cell>
          <cell r="O65">
            <v>1105210</v>
          </cell>
          <cell r="P65">
            <v>10000</v>
          </cell>
          <cell r="Q65">
            <v>0</v>
          </cell>
          <cell r="Z65" t="str">
            <v>CB</v>
          </cell>
        </row>
        <row r="66">
          <cell r="F66" t="str">
            <v>Shilpa Kavde</v>
          </cell>
          <cell r="K66" t="str">
            <v>Cloud</v>
          </cell>
          <cell r="O66">
            <v>240000</v>
          </cell>
          <cell r="P66">
            <v>10000</v>
          </cell>
          <cell r="Q66">
            <v>0</v>
          </cell>
          <cell r="Z66" t="str">
            <v>CB</v>
          </cell>
        </row>
        <row r="67">
          <cell r="F67" t="str">
            <v>Prachi Mayekar</v>
          </cell>
          <cell r="K67" t="str">
            <v>CSG (EndPoint)</v>
          </cell>
          <cell r="O67">
            <v>5100000</v>
          </cell>
          <cell r="P67">
            <v>10000</v>
          </cell>
          <cell r="Q67">
            <v>0</v>
          </cell>
          <cell r="Z67" t="str">
            <v>CB</v>
          </cell>
        </row>
        <row r="68">
          <cell r="F68" t="str">
            <v>Prachi Mayekar</v>
          </cell>
          <cell r="K68" t="str">
            <v>CSG (EndPoint)</v>
          </cell>
          <cell r="O68">
            <v>850000</v>
          </cell>
          <cell r="P68">
            <v>10000</v>
          </cell>
          <cell r="Q68">
            <v>0</v>
          </cell>
          <cell r="Z68" t="str">
            <v>CB</v>
          </cell>
        </row>
        <row r="69">
          <cell r="F69" t="str">
            <v>Prachi Mayekar</v>
          </cell>
          <cell r="K69" t="str">
            <v>CSG (EndPoint)</v>
          </cell>
          <cell r="O69">
            <v>3400000</v>
          </cell>
          <cell r="P69">
            <v>10000</v>
          </cell>
          <cell r="Q69">
            <v>0</v>
          </cell>
          <cell r="Z69" t="str">
            <v>CB</v>
          </cell>
        </row>
        <row r="70">
          <cell r="F70" t="str">
            <v>Prachi Mayekar</v>
          </cell>
          <cell r="K70" t="str">
            <v>CSG (EndPoint)</v>
          </cell>
          <cell r="O70">
            <v>850000</v>
          </cell>
          <cell r="P70">
            <v>10000</v>
          </cell>
          <cell r="Q70">
            <v>0</v>
          </cell>
          <cell r="Z70" t="str">
            <v>CB</v>
          </cell>
        </row>
        <row r="71">
          <cell r="F71" t="str">
            <v>Prachi Mayekar</v>
          </cell>
          <cell r="K71" t="str">
            <v>CSG (EndPoint)</v>
          </cell>
          <cell r="O71">
            <v>850000</v>
          </cell>
          <cell r="P71">
            <v>10000</v>
          </cell>
          <cell r="Q71">
            <v>0</v>
          </cell>
          <cell r="Z71" t="str">
            <v>CB</v>
          </cell>
        </row>
        <row r="72">
          <cell r="F72" t="str">
            <v>Prachi Mayekar</v>
          </cell>
          <cell r="K72" t="str">
            <v>CSG (EndPoint)</v>
          </cell>
          <cell r="O72">
            <v>3825000</v>
          </cell>
          <cell r="P72">
            <v>10000</v>
          </cell>
          <cell r="Q72">
            <v>0</v>
          </cell>
          <cell r="Z72" t="str">
            <v>CB</v>
          </cell>
        </row>
        <row r="73">
          <cell r="F73" t="str">
            <v>Prachi Mayekar</v>
          </cell>
          <cell r="K73" t="str">
            <v>CSG (EndPoint)</v>
          </cell>
          <cell r="O73">
            <v>2040000</v>
          </cell>
          <cell r="P73">
            <v>10000</v>
          </cell>
          <cell r="Q73">
            <v>0</v>
          </cell>
          <cell r="Z73" t="str">
            <v>CB</v>
          </cell>
        </row>
        <row r="74">
          <cell r="F74" t="str">
            <v>Prachi Mayekar</v>
          </cell>
          <cell r="K74" t="str">
            <v>CSG (EndPoint)</v>
          </cell>
          <cell r="O74">
            <v>3060000</v>
          </cell>
          <cell r="P74">
            <v>10000</v>
          </cell>
          <cell r="Q74">
            <v>0</v>
          </cell>
          <cell r="Z74" t="str">
            <v>CB</v>
          </cell>
        </row>
        <row r="75">
          <cell r="F75" t="str">
            <v>Prachi Mayekar</v>
          </cell>
          <cell r="K75" t="str">
            <v>CSG (EndPoint)</v>
          </cell>
          <cell r="O75">
            <v>1700000</v>
          </cell>
          <cell r="P75">
            <v>10000</v>
          </cell>
          <cell r="Q75">
            <v>0</v>
          </cell>
          <cell r="Z75" t="str">
            <v>CB</v>
          </cell>
        </row>
        <row r="76">
          <cell r="F76" t="str">
            <v>Prachi Mayekar</v>
          </cell>
          <cell r="K76" t="str">
            <v>CSG (EndPoint)</v>
          </cell>
          <cell r="O76">
            <v>850000</v>
          </cell>
          <cell r="P76">
            <v>10000</v>
          </cell>
          <cell r="Q76">
            <v>0</v>
          </cell>
          <cell r="Z76" t="str">
            <v>CB</v>
          </cell>
        </row>
        <row r="77">
          <cell r="F77" t="str">
            <v>Prachi Mayekar</v>
          </cell>
          <cell r="K77" t="str">
            <v>CSG (EndPoint)</v>
          </cell>
          <cell r="O77">
            <v>2975000</v>
          </cell>
          <cell r="P77">
            <v>10000</v>
          </cell>
          <cell r="Q77">
            <v>0</v>
          </cell>
          <cell r="Z77" t="str">
            <v>CB</v>
          </cell>
        </row>
        <row r="78">
          <cell r="F78" t="str">
            <v>Prachi Mayekar</v>
          </cell>
          <cell r="K78" t="str">
            <v>CSG (EndPoint)</v>
          </cell>
          <cell r="O78">
            <v>1445000</v>
          </cell>
          <cell r="P78">
            <v>10000</v>
          </cell>
          <cell r="Q78">
            <v>0</v>
          </cell>
          <cell r="Z78" t="str">
            <v>CB</v>
          </cell>
        </row>
        <row r="79">
          <cell r="F79" t="str">
            <v>Prachi Mayekar</v>
          </cell>
          <cell r="K79" t="str">
            <v>CSG (EndPoint)</v>
          </cell>
          <cell r="O79">
            <v>2125000</v>
          </cell>
          <cell r="P79">
            <v>10000</v>
          </cell>
          <cell r="Q79">
            <v>0</v>
          </cell>
          <cell r="Z79" t="str">
            <v>CB</v>
          </cell>
        </row>
        <row r="80">
          <cell r="F80" t="str">
            <v>Prachi Mayekar</v>
          </cell>
          <cell r="K80" t="str">
            <v>CSG (EndPoint)</v>
          </cell>
          <cell r="O80">
            <v>5780000</v>
          </cell>
          <cell r="P80">
            <v>10000</v>
          </cell>
          <cell r="Q80">
            <v>0</v>
          </cell>
          <cell r="Z80" t="str">
            <v>CB</v>
          </cell>
        </row>
        <row r="81">
          <cell r="F81" t="str">
            <v>Prachi Mayekar</v>
          </cell>
          <cell r="K81" t="str">
            <v>CSG (EndPoint)</v>
          </cell>
          <cell r="O81">
            <v>4250000</v>
          </cell>
          <cell r="P81">
            <v>10000</v>
          </cell>
          <cell r="Q81">
            <v>0</v>
          </cell>
          <cell r="Z81" t="str">
            <v>CB</v>
          </cell>
        </row>
        <row r="82">
          <cell r="F82" t="str">
            <v>Prachi Mayekar</v>
          </cell>
          <cell r="K82" t="str">
            <v>CSG (EndPoint)</v>
          </cell>
          <cell r="O82">
            <v>3825000</v>
          </cell>
          <cell r="P82">
            <v>1000</v>
          </cell>
          <cell r="Q82">
            <v>0</v>
          </cell>
          <cell r="Z82" t="str">
            <v>CB</v>
          </cell>
        </row>
        <row r="83">
          <cell r="F83" t="str">
            <v>Prachi Mayekar</v>
          </cell>
          <cell r="K83" t="str">
            <v>CSG (EndPoint)</v>
          </cell>
          <cell r="O83">
            <v>1700000</v>
          </cell>
          <cell r="P83">
            <v>10000</v>
          </cell>
          <cell r="Q83">
            <v>0</v>
          </cell>
          <cell r="Z83" t="str">
            <v>CB</v>
          </cell>
        </row>
        <row r="84">
          <cell r="F84" t="str">
            <v>Prachi Mayekar</v>
          </cell>
          <cell r="K84" t="str">
            <v>CSG (EndPoint)</v>
          </cell>
          <cell r="O84">
            <v>5950000</v>
          </cell>
          <cell r="P84">
            <v>10000</v>
          </cell>
          <cell r="Q84">
            <v>0</v>
          </cell>
          <cell r="Z84" t="str">
            <v>CB</v>
          </cell>
        </row>
        <row r="85">
          <cell r="F85" t="str">
            <v>Prachi Mayekar</v>
          </cell>
          <cell r="K85" t="str">
            <v>CSG (EndPoint)</v>
          </cell>
          <cell r="O85">
            <v>1275000</v>
          </cell>
          <cell r="P85">
            <v>10000</v>
          </cell>
          <cell r="Q85">
            <v>0</v>
          </cell>
          <cell r="Z85" t="str">
            <v>CB</v>
          </cell>
        </row>
        <row r="86">
          <cell r="F86" t="str">
            <v>Prachi Mayekar</v>
          </cell>
          <cell r="K86" t="str">
            <v>CSG (EndPoint)</v>
          </cell>
          <cell r="O86">
            <v>4250000</v>
          </cell>
          <cell r="P86">
            <v>10000</v>
          </cell>
          <cell r="Q86">
            <v>0</v>
          </cell>
          <cell r="Z86" t="str">
            <v>CB</v>
          </cell>
        </row>
        <row r="87">
          <cell r="F87" t="str">
            <v>Prachi Mayekar</v>
          </cell>
          <cell r="K87" t="str">
            <v>CSG (EndPoint)</v>
          </cell>
          <cell r="O87">
            <v>1700000</v>
          </cell>
          <cell r="P87">
            <v>10000</v>
          </cell>
          <cell r="Q87">
            <v>0</v>
          </cell>
          <cell r="Z87" t="str">
            <v>CB</v>
          </cell>
        </row>
        <row r="88">
          <cell r="F88" t="str">
            <v>Prachi Mayekar</v>
          </cell>
          <cell r="K88" t="str">
            <v>CSG (EndPoint)</v>
          </cell>
          <cell r="O88">
            <v>1445000</v>
          </cell>
          <cell r="P88">
            <v>1000</v>
          </cell>
          <cell r="Q88">
            <v>0</v>
          </cell>
          <cell r="Z88" t="str">
            <v>CB</v>
          </cell>
        </row>
        <row r="89">
          <cell r="F89" t="str">
            <v>Prachi Mayekar</v>
          </cell>
          <cell r="K89" t="str">
            <v>CSG (EndPoint)</v>
          </cell>
          <cell r="O89">
            <v>3230000</v>
          </cell>
          <cell r="P89">
            <v>10000</v>
          </cell>
          <cell r="Q89">
            <v>0</v>
          </cell>
          <cell r="Z89" t="str">
            <v>CB</v>
          </cell>
        </row>
        <row r="90">
          <cell r="F90" t="str">
            <v>Prachi Mayekar</v>
          </cell>
          <cell r="K90" t="str">
            <v>CSG (EndPoint)</v>
          </cell>
          <cell r="O90">
            <v>1700000</v>
          </cell>
          <cell r="P90">
            <v>1000</v>
          </cell>
          <cell r="Q90">
            <v>0</v>
          </cell>
          <cell r="Z90" t="str">
            <v>CB</v>
          </cell>
        </row>
        <row r="91">
          <cell r="F91" t="str">
            <v>Prachi Mayekar</v>
          </cell>
          <cell r="K91" t="str">
            <v>CSG (EndPoint)</v>
          </cell>
          <cell r="O91">
            <v>1700</v>
          </cell>
          <cell r="P91">
            <v>50000</v>
          </cell>
          <cell r="Q91">
            <v>0</v>
          </cell>
          <cell r="Z91" t="str">
            <v>CB</v>
          </cell>
        </row>
        <row r="92">
          <cell r="F92" t="str">
            <v>Prachi Mayekar</v>
          </cell>
          <cell r="K92" t="str">
            <v>CSG (EndPoint)</v>
          </cell>
          <cell r="O92">
            <v>220000</v>
          </cell>
          <cell r="P92">
            <v>20000</v>
          </cell>
          <cell r="Q92">
            <v>0</v>
          </cell>
          <cell r="Z92" t="str">
            <v>CB</v>
          </cell>
        </row>
        <row r="93">
          <cell r="F93" t="str">
            <v>Prachi Mayekar</v>
          </cell>
          <cell r="K93" t="str">
            <v>CSG (EndPoint)</v>
          </cell>
          <cell r="O93">
            <v>53300</v>
          </cell>
          <cell r="P93">
            <v>4000</v>
          </cell>
          <cell r="Q93">
            <v>0</v>
          </cell>
          <cell r="Z93" t="str">
            <v>CB</v>
          </cell>
        </row>
        <row r="94">
          <cell r="F94" t="str">
            <v>Raj Matondkar</v>
          </cell>
          <cell r="K94" t="str">
            <v>Data Centre</v>
          </cell>
          <cell r="O94">
            <v>3192800</v>
          </cell>
          <cell r="P94">
            <v>205088</v>
          </cell>
          <cell r="Q94">
            <v>237536</v>
          </cell>
          <cell r="Z94" t="str">
            <v>S1</v>
          </cell>
        </row>
        <row r="95">
          <cell r="F95" t="str">
            <v>Richa Tiwari</v>
          </cell>
          <cell r="K95" t="str">
            <v>CSG (EndPoint)</v>
          </cell>
          <cell r="O95">
            <v>181500</v>
          </cell>
          <cell r="P95">
            <v>6661</v>
          </cell>
          <cell r="Q95">
            <v>0</v>
          </cell>
          <cell r="Z95" t="str">
            <v>S1</v>
          </cell>
        </row>
        <row r="96">
          <cell r="F96" t="str">
            <v>Pratik Kadam</v>
          </cell>
          <cell r="K96" t="str">
            <v>CSG (EndPoint)</v>
          </cell>
          <cell r="O96">
            <v>96000</v>
          </cell>
          <cell r="P96">
            <v>10000</v>
          </cell>
          <cell r="Q96">
            <v>10000</v>
          </cell>
          <cell r="Z96" t="str">
            <v>S1</v>
          </cell>
        </row>
        <row r="97">
          <cell r="F97" t="str">
            <v>Pratik Kadam</v>
          </cell>
          <cell r="K97" t="str">
            <v>CSG (EndPoint)</v>
          </cell>
          <cell r="O97">
            <v>72000</v>
          </cell>
          <cell r="P97">
            <v>7500</v>
          </cell>
          <cell r="Q97">
            <v>7500</v>
          </cell>
          <cell r="Z97" t="str">
            <v>S1</v>
          </cell>
        </row>
        <row r="98">
          <cell r="F98" t="str">
            <v>Pratik Kadam</v>
          </cell>
          <cell r="K98" t="str">
            <v>CSG (EndPoint)</v>
          </cell>
          <cell r="O98">
            <v>148149.15</v>
          </cell>
          <cell r="P98">
            <v>8649.15</v>
          </cell>
          <cell r="Q98">
            <v>8649</v>
          </cell>
          <cell r="Z98" t="str">
            <v>S1</v>
          </cell>
        </row>
        <row r="99">
          <cell r="F99" t="str">
            <v>Pratik Kadam</v>
          </cell>
          <cell r="K99" t="str">
            <v>CSG (EndPoint)</v>
          </cell>
          <cell r="O99">
            <v>96000</v>
          </cell>
          <cell r="P99">
            <v>10000</v>
          </cell>
          <cell r="Q99">
            <v>0</v>
          </cell>
          <cell r="Z99" t="str">
            <v>S1</v>
          </cell>
        </row>
        <row r="100">
          <cell r="F100" t="str">
            <v>Pratik Kadam</v>
          </cell>
          <cell r="K100" t="str">
            <v>CSG (EndPoint)</v>
          </cell>
          <cell r="O100">
            <v>96000</v>
          </cell>
          <cell r="P100">
            <v>10000</v>
          </cell>
          <cell r="Q100">
            <v>0</v>
          </cell>
          <cell r="Z100" t="str">
            <v>S1</v>
          </cell>
        </row>
        <row r="101">
          <cell r="F101" t="str">
            <v>Pratik Kadam</v>
          </cell>
          <cell r="K101" t="str">
            <v>CSG (EndPoint)</v>
          </cell>
          <cell r="O101">
            <v>39750</v>
          </cell>
          <cell r="P101">
            <v>7500</v>
          </cell>
          <cell r="Q101">
            <v>0</v>
          </cell>
          <cell r="Z101" t="str">
            <v>S1</v>
          </cell>
        </row>
        <row r="102">
          <cell r="F102" t="str">
            <v>Pratik Kadam</v>
          </cell>
          <cell r="K102" t="str">
            <v>CSG (EndPoint)</v>
          </cell>
          <cell r="O102">
            <v>30900</v>
          </cell>
          <cell r="P102">
            <v>6200</v>
          </cell>
          <cell r="Q102">
            <v>6450</v>
          </cell>
          <cell r="Z102" t="str">
            <v>S1</v>
          </cell>
        </row>
        <row r="103">
          <cell r="F103" t="str">
            <v>Pratik Kadam</v>
          </cell>
          <cell r="K103" t="str">
            <v>CSG (EndPoint)</v>
          </cell>
          <cell r="O103">
            <v>192000</v>
          </cell>
          <cell r="P103">
            <v>20000</v>
          </cell>
          <cell r="Q103">
            <v>0</v>
          </cell>
          <cell r="Z103" t="str">
            <v>S1</v>
          </cell>
        </row>
        <row r="104">
          <cell r="F104" t="str">
            <v>Richa Tiwari</v>
          </cell>
          <cell r="K104" t="str">
            <v>CSG (EndPoint)</v>
          </cell>
          <cell r="O104">
            <v>952000</v>
          </cell>
          <cell r="P104">
            <v>17600</v>
          </cell>
          <cell r="Q104">
            <v>17600</v>
          </cell>
          <cell r="Z104" t="str">
            <v>S1</v>
          </cell>
        </row>
        <row r="105">
          <cell r="F105" t="str">
            <v>Richa Tiwari</v>
          </cell>
          <cell r="K105" t="str">
            <v>CSG (EndPoint)</v>
          </cell>
          <cell r="O105">
            <v>901500</v>
          </cell>
          <cell r="P105">
            <v>38910</v>
          </cell>
          <cell r="Q105">
            <v>38910</v>
          </cell>
          <cell r="Z105" t="str">
            <v>S1</v>
          </cell>
        </row>
        <row r="106">
          <cell r="F106" t="str">
            <v>Richa Tiwari</v>
          </cell>
          <cell r="K106" t="str">
            <v>CSG (EndPoint)</v>
          </cell>
          <cell r="O106">
            <v>181500</v>
          </cell>
          <cell r="P106">
            <v>10770</v>
          </cell>
          <cell r="Q106">
            <v>10770</v>
          </cell>
          <cell r="Z106" t="str">
            <v>S1</v>
          </cell>
        </row>
        <row r="107">
          <cell r="F107" t="str">
            <v>Richa Tiwari</v>
          </cell>
          <cell r="K107" t="str">
            <v>CSG (EndPoint)</v>
          </cell>
          <cell r="O107">
            <v>8378000</v>
          </cell>
          <cell r="P107">
            <v>176940</v>
          </cell>
          <cell r="Q107">
            <v>179340</v>
          </cell>
          <cell r="Z107" t="str">
            <v>S1</v>
          </cell>
        </row>
        <row r="108">
          <cell r="F108" t="str">
            <v>Richa Tiwari</v>
          </cell>
          <cell r="K108" t="str">
            <v>CSG (EndPoint)</v>
          </cell>
          <cell r="O108">
            <v>1190000</v>
          </cell>
          <cell r="P108">
            <v>22000</v>
          </cell>
          <cell r="Q108">
            <v>22000</v>
          </cell>
          <cell r="Z108" t="str">
            <v>S1</v>
          </cell>
        </row>
        <row r="109">
          <cell r="F109" t="str">
            <v>Richa Tiwari</v>
          </cell>
          <cell r="K109" t="str">
            <v>CSG (EndPoint)</v>
          </cell>
          <cell r="O109">
            <v>1797000</v>
          </cell>
          <cell r="P109">
            <v>62880</v>
          </cell>
          <cell r="Q109">
            <v>62880</v>
          </cell>
          <cell r="Z109" t="str">
            <v>S1</v>
          </cell>
        </row>
        <row r="110">
          <cell r="F110" t="str">
            <v>Richa Tiwari</v>
          </cell>
          <cell r="K110" t="str">
            <v>CSG (EndPoint)</v>
          </cell>
          <cell r="O110">
            <v>357000</v>
          </cell>
          <cell r="P110">
            <v>6600</v>
          </cell>
          <cell r="Q110">
            <v>6600</v>
          </cell>
          <cell r="Z110" t="str">
            <v>S1</v>
          </cell>
        </row>
        <row r="111">
          <cell r="F111" t="str">
            <v>Richa Tiwari</v>
          </cell>
          <cell r="K111" t="str">
            <v>CSG (EndPoint)</v>
          </cell>
          <cell r="O111">
            <v>119000</v>
          </cell>
          <cell r="P111">
            <v>2200</v>
          </cell>
          <cell r="Q111">
            <v>2200</v>
          </cell>
          <cell r="Z111" t="str">
            <v>S1</v>
          </cell>
        </row>
        <row r="112">
          <cell r="F112" t="str">
            <v>Richa Tiwari</v>
          </cell>
          <cell r="K112" t="str">
            <v>CSG (EndPoint)</v>
          </cell>
          <cell r="O112">
            <v>5950000</v>
          </cell>
          <cell r="P112">
            <v>110000</v>
          </cell>
          <cell r="Q112">
            <v>110000</v>
          </cell>
          <cell r="Z112" t="str">
            <v>S1</v>
          </cell>
        </row>
        <row r="113">
          <cell r="F113" t="str">
            <v>Richa Tiwari</v>
          </cell>
          <cell r="K113" t="str">
            <v>CSG (EndPoint)</v>
          </cell>
          <cell r="O113">
            <v>5516000</v>
          </cell>
          <cell r="P113">
            <v>109200</v>
          </cell>
          <cell r="Q113">
            <v>111600</v>
          </cell>
          <cell r="Z113" t="str">
            <v>S1</v>
          </cell>
        </row>
        <row r="114">
          <cell r="F114" t="str">
            <v>Richa Tiwari</v>
          </cell>
          <cell r="K114" t="str">
            <v>CSG (EndPoint)</v>
          </cell>
          <cell r="O114">
            <v>1449000</v>
          </cell>
          <cell r="P114">
            <v>30400</v>
          </cell>
          <cell r="Q114">
            <v>31600</v>
          </cell>
          <cell r="Z114" t="str">
            <v>S1</v>
          </cell>
        </row>
        <row r="115">
          <cell r="F115" t="str">
            <v>Richa Tiwari</v>
          </cell>
          <cell r="K115" t="str">
            <v>CSG (EndPoint)</v>
          </cell>
          <cell r="O115">
            <v>952000</v>
          </cell>
          <cell r="P115">
            <v>17600</v>
          </cell>
          <cell r="Q115">
            <v>17600</v>
          </cell>
          <cell r="Z115" t="str">
            <v>S1</v>
          </cell>
        </row>
        <row r="116">
          <cell r="F116" t="str">
            <v>Richa Tiwari</v>
          </cell>
          <cell r="K116" t="str">
            <v>CSG (EndPoint)</v>
          </cell>
          <cell r="O116">
            <v>1449000</v>
          </cell>
          <cell r="P116">
            <v>30400</v>
          </cell>
          <cell r="Q116">
            <v>31600</v>
          </cell>
          <cell r="Z116" t="str">
            <v>S1</v>
          </cell>
        </row>
        <row r="117">
          <cell r="F117" t="str">
            <v>Richa Tiwari</v>
          </cell>
          <cell r="K117" t="str">
            <v>CSG (EndPoint)</v>
          </cell>
          <cell r="O117">
            <v>6444000</v>
          </cell>
          <cell r="P117">
            <v>163620</v>
          </cell>
          <cell r="Q117">
            <v>163620</v>
          </cell>
          <cell r="Z117" t="str">
            <v>S1</v>
          </cell>
        </row>
        <row r="118">
          <cell r="F118" t="str">
            <v>Richa Tiwari</v>
          </cell>
          <cell r="K118" t="str">
            <v>CSG (EndPoint)</v>
          </cell>
          <cell r="O118">
            <v>119000</v>
          </cell>
          <cell r="P118">
            <v>2200</v>
          </cell>
          <cell r="Q118">
            <v>2200</v>
          </cell>
          <cell r="Z118" t="str">
            <v>S1</v>
          </cell>
        </row>
        <row r="119">
          <cell r="F119" t="str">
            <v>Richa Tiwari</v>
          </cell>
          <cell r="K119" t="str">
            <v>CSG (EndPoint)</v>
          </cell>
          <cell r="O119">
            <v>476000</v>
          </cell>
          <cell r="P119">
            <v>8800</v>
          </cell>
          <cell r="Q119">
            <v>8800</v>
          </cell>
          <cell r="Z119" t="str">
            <v>S1</v>
          </cell>
        </row>
        <row r="120">
          <cell r="F120" t="str">
            <v>Richa Tiwari</v>
          </cell>
          <cell r="K120" t="str">
            <v>CSG (EndPoint)</v>
          </cell>
          <cell r="O120">
            <v>238000</v>
          </cell>
          <cell r="P120">
            <v>4400</v>
          </cell>
          <cell r="Q120">
            <v>4400</v>
          </cell>
          <cell r="Z120" t="str">
            <v>S1</v>
          </cell>
        </row>
        <row r="121">
          <cell r="F121" t="str">
            <v>Richa Tiwari</v>
          </cell>
          <cell r="K121" t="str">
            <v>CSG (EndPoint)</v>
          </cell>
          <cell r="O121">
            <v>5423000</v>
          </cell>
          <cell r="P121">
            <v>180480</v>
          </cell>
          <cell r="Q121">
            <v>197280</v>
          </cell>
          <cell r="Z121" t="str">
            <v>S1</v>
          </cell>
        </row>
        <row r="122">
          <cell r="F122" t="str">
            <v>Richa Tiwari</v>
          </cell>
          <cell r="K122" t="str">
            <v>CSG (EndPoint)</v>
          </cell>
          <cell r="O122">
            <v>238000</v>
          </cell>
          <cell r="P122">
            <v>4400</v>
          </cell>
          <cell r="Q122">
            <v>0</v>
          </cell>
          <cell r="Z122" t="str">
            <v>S1</v>
          </cell>
        </row>
        <row r="123">
          <cell r="F123" t="str">
            <v>Chetna Sharma</v>
          </cell>
          <cell r="K123" t="str">
            <v>Cyber Security &amp; Networking</v>
          </cell>
          <cell r="O123">
            <v>73800000</v>
          </cell>
          <cell r="P123">
            <v>3282349</v>
          </cell>
          <cell r="Q123">
            <v>0</v>
          </cell>
          <cell r="Z123" t="str">
            <v>S2</v>
          </cell>
        </row>
        <row r="124">
          <cell r="F124" t="str">
            <v>Sankeerth Bhargav</v>
          </cell>
          <cell r="K124" t="str">
            <v>Cyber Security &amp; Networking</v>
          </cell>
          <cell r="O124">
            <v>627467</v>
          </cell>
          <cell r="P124">
            <v>18275</v>
          </cell>
          <cell r="Q124">
            <v>0</v>
          </cell>
          <cell r="Z124" t="str">
            <v>S2</v>
          </cell>
        </row>
        <row r="125">
          <cell r="F125" t="str">
            <v>Richa Tiwari</v>
          </cell>
          <cell r="K125" t="str">
            <v>Cyber Security &amp; Networking</v>
          </cell>
          <cell r="O125">
            <v>6900000</v>
          </cell>
          <cell r="P125">
            <v>50000</v>
          </cell>
          <cell r="Q125">
            <v>0</v>
          </cell>
          <cell r="Z125" t="str">
            <v>S1</v>
          </cell>
        </row>
        <row r="126">
          <cell r="F126" t="str">
            <v>Richa Tiwari</v>
          </cell>
          <cell r="K126" t="str">
            <v>Cyber Security &amp; Networking</v>
          </cell>
          <cell r="O126">
            <v>1479100</v>
          </cell>
          <cell r="P126">
            <v>50000</v>
          </cell>
          <cell r="Q126">
            <v>0</v>
          </cell>
          <cell r="Z126" t="str">
            <v>S1</v>
          </cell>
        </row>
        <row r="127">
          <cell r="F127" t="str">
            <v>Richa Tiwari</v>
          </cell>
          <cell r="K127" t="str">
            <v>Cyber Security &amp; Networking</v>
          </cell>
          <cell r="O127">
            <v>8950000</v>
          </cell>
          <cell r="P127">
            <v>50000</v>
          </cell>
          <cell r="Q127">
            <v>0</v>
          </cell>
          <cell r="Z127" t="str">
            <v>S1</v>
          </cell>
        </row>
        <row r="128">
          <cell r="F128" t="str">
            <v>Rohit Deshmukh</v>
          </cell>
          <cell r="K128" t="str">
            <v>Cyber Security &amp; Networking</v>
          </cell>
          <cell r="O128">
            <v>80000</v>
          </cell>
          <cell r="P128">
            <v>0</v>
          </cell>
          <cell r="Q128">
            <v>0</v>
          </cell>
          <cell r="Z128" t="str">
            <v>S2</v>
          </cell>
        </row>
        <row r="129">
          <cell r="F129" t="str">
            <v>Rohit Deshmukh</v>
          </cell>
          <cell r="K129" t="str">
            <v>Cyber Security &amp; Networking</v>
          </cell>
          <cell r="O129">
            <v>748050</v>
          </cell>
          <cell r="P129">
            <v>114350</v>
          </cell>
          <cell r="Q129">
            <v>120850</v>
          </cell>
          <cell r="Z129" t="str">
            <v>S2</v>
          </cell>
        </row>
        <row r="130">
          <cell r="F130" t="str">
            <v>Rohit Deshmukh</v>
          </cell>
          <cell r="K130" t="str">
            <v>Cyber Security &amp; Networking</v>
          </cell>
          <cell r="O130">
            <v>2159406.77</v>
          </cell>
          <cell r="P130">
            <v>126467.32</v>
          </cell>
          <cell r="Q130">
            <v>0</v>
          </cell>
          <cell r="Z130" t="str">
            <v>S2</v>
          </cell>
        </row>
        <row r="131">
          <cell r="F131" t="str">
            <v>Rohit Deshmukh</v>
          </cell>
          <cell r="K131" t="str">
            <v>Cyber Security &amp; Networking</v>
          </cell>
          <cell r="O131">
            <v>455169</v>
          </cell>
          <cell r="P131">
            <v>30064</v>
          </cell>
          <cell r="Q131">
            <v>36644</v>
          </cell>
          <cell r="Z131" t="str">
            <v>S2</v>
          </cell>
        </row>
        <row r="132">
          <cell r="F132" t="str">
            <v>Rohit Deshmukh</v>
          </cell>
          <cell r="K132" t="str">
            <v>Cyber Security &amp; Networking</v>
          </cell>
          <cell r="O132">
            <v>448626.86</v>
          </cell>
          <cell r="P132">
            <v>67106.13</v>
          </cell>
          <cell r="Q132">
            <v>0</v>
          </cell>
          <cell r="Z132" t="str">
            <v>S2</v>
          </cell>
        </row>
        <row r="133">
          <cell r="F133" t="str">
            <v>Rohit Deshmukh</v>
          </cell>
          <cell r="K133" t="str">
            <v>Cyber Security &amp; Networking</v>
          </cell>
          <cell r="O133">
            <v>382650</v>
          </cell>
          <cell r="P133">
            <v>59803.5</v>
          </cell>
          <cell r="Q133">
            <v>0</v>
          </cell>
          <cell r="Z133" t="str">
            <v>S2</v>
          </cell>
        </row>
        <row r="134">
          <cell r="F134" t="str">
            <v>Rohit Deshmukh</v>
          </cell>
          <cell r="K134" t="str">
            <v>Cyber Security &amp; Networking</v>
          </cell>
          <cell r="O134">
            <v>563060.69999999995</v>
          </cell>
          <cell r="P134">
            <v>41708</v>
          </cell>
          <cell r="Q134">
            <v>0</v>
          </cell>
          <cell r="Z134" t="str">
            <v>S2</v>
          </cell>
        </row>
        <row r="135">
          <cell r="F135" t="str">
            <v>Ayushman Singh</v>
          </cell>
          <cell r="K135" t="str">
            <v>Cyber Security &amp; Networking</v>
          </cell>
          <cell r="O135">
            <v>444874</v>
          </cell>
          <cell r="P135">
            <v>32954</v>
          </cell>
          <cell r="Q135">
            <v>0</v>
          </cell>
          <cell r="Z135" t="str">
            <v>GB</v>
          </cell>
        </row>
        <row r="136">
          <cell r="F136" t="str">
            <v>Jimesh Shah</v>
          </cell>
          <cell r="K136" t="str">
            <v>Cyber Security &amp; Networking</v>
          </cell>
          <cell r="O136">
            <v>92000</v>
          </cell>
          <cell r="P136">
            <v>7000</v>
          </cell>
          <cell r="Q136">
            <v>7000</v>
          </cell>
          <cell r="Z136" t="str">
            <v>Others</v>
          </cell>
        </row>
        <row r="137">
          <cell r="F137" t="str">
            <v>Shilpa Kavde</v>
          </cell>
          <cell r="K137" t="str">
            <v>Cyber Security &amp; Networking</v>
          </cell>
          <cell r="O137">
            <v>310000</v>
          </cell>
          <cell r="P137">
            <v>10000</v>
          </cell>
          <cell r="Q137">
            <v>0</v>
          </cell>
          <cell r="Z137" t="str">
            <v>CB</v>
          </cell>
        </row>
        <row r="138">
          <cell r="F138" t="str">
            <v>Rima Ingle</v>
          </cell>
          <cell r="K138" t="str">
            <v>Cyber Security &amp; Networking</v>
          </cell>
          <cell r="O138">
            <v>2249710</v>
          </cell>
          <cell r="P138">
            <v>2024740</v>
          </cell>
          <cell r="Q138">
            <v>224970</v>
          </cell>
          <cell r="Z138" t="str">
            <v>GB</v>
          </cell>
        </row>
        <row r="139">
          <cell r="F139" t="str">
            <v>Sagar TR</v>
          </cell>
          <cell r="K139" t="str">
            <v>Cyber Security &amp; Networking</v>
          </cell>
          <cell r="O139">
            <v>31000</v>
          </cell>
          <cell r="P139">
            <v>4000</v>
          </cell>
          <cell r="Q139">
            <v>4000</v>
          </cell>
          <cell r="Z139" t="str">
            <v>South</v>
          </cell>
        </row>
        <row r="140">
          <cell r="F140" t="str">
            <v>Sagar TR</v>
          </cell>
          <cell r="K140" t="str">
            <v>Cyber Security &amp; Networking</v>
          </cell>
          <cell r="O140">
            <v>6349</v>
          </cell>
          <cell r="P140">
            <v>1835</v>
          </cell>
          <cell r="Q140">
            <v>1835</v>
          </cell>
          <cell r="Z140" t="str">
            <v>South</v>
          </cell>
        </row>
        <row r="141">
          <cell r="F141" t="str">
            <v>Sagar TR</v>
          </cell>
          <cell r="K141" t="str">
            <v>Cyber Security &amp; Networking</v>
          </cell>
          <cell r="O141">
            <v>11800</v>
          </cell>
          <cell r="P141">
            <v>1920</v>
          </cell>
          <cell r="Q141">
            <v>1920</v>
          </cell>
          <cell r="Z141" t="str">
            <v>South</v>
          </cell>
        </row>
        <row r="142">
          <cell r="F142" t="str">
            <v>Sagar TR</v>
          </cell>
          <cell r="K142" t="str">
            <v>Cyber Security &amp; Networking</v>
          </cell>
          <cell r="O142">
            <v>23112</v>
          </cell>
          <cell r="P142">
            <v>6480</v>
          </cell>
          <cell r="Q142">
            <v>6804</v>
          </cell>
          <cell r="Z142" t="str">
            <v>South</v>
          </cell>
        </row>
        <row r="143">
          <cell r="F143" t="str">
            <v>Sagar TR</v>
          </cell>
          <cell r="K143" t="str">
            <v>Cyber Security &amp; Networking</v>
          </cell>
          <cell r="O143">
            <v>7938</v>
          </cell>
          <cell r="P143">
            <v>1660</v>
          </cell>
          <cell r="Q143">
            <v>1660</v>
          </cell>
          <cell r="Z143" t="str">
            <v>South</v>
          </cell>
        </row>
        <row r="144">
          <cell r="F144" t="str">
            <v>Sagar TR</v>
          </cell>
          <cell r="K144" t="str">
            <v>Cyber Security &amp; Networking</v>
          </cell>
          <cell r="O144">
            <v>128800</v>
          </cell>
          <cell r="P144">
            <v>18000</v>
          </cell>
          <cell r="Q144">
            <v>18900</v>
          </cell>
          <cell r="Z144" t="str">
            <v>South</v>
          </cell>
        </row>
        <row r="145">
          <cell r="F145" t="str">
            <v>Shahbaz Khan</v>
          </cell>
          <cell r="K145" t="str">
            <v>Cyber Security &amp; Networking</v>
          </cell>
          <cell r="O145">
            <v>81365</v>
          </cell>
          <cell r="P145">
            <v>2265</v>
          </cell>
          <cell r="Q145">
            <v>0</v>
          </cell>
          <cell r="Z145" t="str">
            <v>South</v>
          </cell>
        </row>
        <row r="146">
          <cell r="F146" t="str">
            <v>Shaik Khadhar</v>
          </cell>
          <cell r="K146" t="str">
            <v>Cyber Security &amp; Networking</v>
          </cell>
          <cell r="O146">
            <v>1440000</v>
          </cell>
          <cell r="P146">
            <v>553707</v>
          </cell>
          <cell r="Q146">
            <v>551728.04</v>
          </cell>
          <cell r="Z146" t="str">
            <v>South</v>
          </cell>
        </row>
        <row r="147">
          <cell r="F147" t="str">
            <v>Shaik Khadhar</v>
          </cell>
          <cell r="K147" t="str">
            <v>Cyber Security &amp; Networking</v>
          </cell>
          <cell r="O147">
            <v>39000</v>
          </cell>
          <cell r="P147">
            <v>12500</v>
          </cell>
          <cell r="Q147">
            <v>0</v>
          </cell>
          <cell r="Z147" t="str">
            <v>South</v>
          </cell>
        </row>
        <row r="148">
          <cell r="F148" t="str">
            <v>Shubhangi Srinivasan</v>
          </cell>
          <cell r="K148" t="str">
            <v>Cyber Security &amp; Networking</v>
          </cell>
          <cell r="O148">
            <v>399625</v>
          </cell>
          <cell r="P148">
            <v>19980</v>
          </cell>
          <cell r="Q148">
            <v>19980.099999999999</v>
          </cell>
          <cell r="Z148" t="str">
            <v>GB</v>
          </cell>
        </row>
        <row r="149">
          <cell r="F149" t="str">
            <v>Shubhangi Srinivasan</v>
          </cell>
          <cell r="K149" t="str">
            <v>Cyber Security &amp; Networking</v>
          </cell>
          <cell r="O149">
            <v>8600000</v>
          </cell>
          <cell r="P149">
            <v>3152788.32</v>
          </cell>
          <cell r="Q149">
            <v>0</v>
          </cell>
          <cell r="Z149" t="str">
            <v>GB</v>
          </cell>
        </row>
        <row r="150">
          <cell r="F150" t="str">
            <v>Shubhangi Srinivasan</v>
          </cell>
          <cell r="K150" t="str">
            <v>Cyber Security &amp; Networking</v>
          </cell>
          <cell r="O150">
            <v>112500</v>
          </cell>
          <cell r="P150">
            <v>4580</v>
          </cell>
          <cell r="Q150">
            <v>40022.559999999998</v>
          </cell>
          <cell r="Z150" t="str">
            <v>GB</v>
          </cell>
        </row>
        <row r="151">
          <cell r="F151" t="str">
            <v>Tasneem K</v>
          </cell>
          <cell r="K151" t="str">
            <v>Cyber Security &amp; Networking</v>
          </cell>
          <cell r="O151">
            <v>16900000</v>
          </cell>
          <cell r="P151">
            <v>400000</v>
          </cell>
          <cell r="Q151">
            <v>0</v>
          </cell>
          <cell r="Z151" t="str">
            <v>S1</v>
          </cell>
        </row>
        <row r="152">
          <cell r="F152" t="str">
            <v>Atharva Karpe</v>
          </cell>
          <cell r="K152" t="str">
            <v>Cyber Security &amp; Networking</v>
          </cell>
          <cell r="O152">
            <v>18020</v>
          </cell>
          <cell r="P152">
            <v>1620</v>
          </cell>
          <cell r="Q152">
            <v>0</v>
          </cell>
          <cell r="Z152" t="str">
            <v>GB</v>
          </cell>
        </row>
        <row r="153">
          <cell r="F153" t="str">
            <v>Varunkumar Mishra</v>
          </cell>
          <cell r="K153" t="str">
            <v>Cyber Security &amp; Networking</v>
          </cell>
          <cell r="O153">
            <v>744990</v>
          </cell>
          <cell r="P153">
            <v>73654</v>
          </cell>
          <cell r="Q153">
            <v>0</v>
          </cell>
          <cell r="Z153" t="str">
            <v>GB</v>
          </cell>
        </row>
        <row r="154">
          <cell r="F154" t="str">
            <v>Rohit Deshmukh</v>
          </cell>
          <cell r="K154" t="str">
            <v>CSG (EndPoint)</v>
          </cell>
          <cell r="O154">
            <v>1690000</v>
          </cell>
          <cell r="P154">
            <v>62500</v>
          </cell>
          <cell r="Q154">
            <v>97500</v>
          </cell>
          <cell r="Z154" t="str">
            <v>S2</v>
          </cell>
        </row>
        <row r="155">
          <cell r="F155" t="str">
            <v>Rohit Deshmukh</v>
          </cell>
          <cell r="K155" t="str">
            <v>CSG (EndPoint)</v>
          </cell>
          <cell r="O155">
            <v>800000</v>
          </cell>
          <cell r="P155">
            <v>45000</v>
          </cell>
          <cell r="Q155">
            <v>45000</v>
          </cell>
          <cell r="Z155" t="str">
            <v>S2</v>
          </cell>
        </row>
        <row r="156">
          <cell r="F156" t="str">
            <v>Sagar TR</v>
          </cell>
          <cell r="K156" t="str">
            <v>CSG (EndPoint)</v>
          </cell>
          <cell r="O156">
            <v>195000</v>
          </cell>
          <cell r="P156">
            <v>11000</v>
          </cell>
          <cell r="Q156">
            <v>0</v>
          </cell>
          <cell r="Z156" t="str">
            <v>South</v>
          </cell>
        </row>
        <row r="157">
          <cell r="F157" t="str">
            <v>Shilpa Kavde</v>
          </cell>
          <cell r="K157" t="str">
            <v>CSG (EndPoint)</v>
          </cell>
          <cell r="O157">
            <v>460000</v>
          </cell>
          <cell r="P157">
            <v>30000</v>
          </cell>
          <cell r="Q157">
            <v>61832</v>
          </cell>
          <cell r="Z157" t="str">
            <v>CB</v>
          </cell>
        </row>
        <row r="158">
          <cell r="F158" t="str">
            <v>Sankeerth Bhargav</v>
          </cell>
          <cell r="K158" t="str">
            <v>CSG (EndPoint)</v>
          </cell>
          <cell r="O158">
            <v>667800</v>
          </cell>
          <cell r="P158">
            <v>31800</v>
          </cell>
          <cell r="Q158">
            <v>31800</v>
          </cell>
          <cell r="Z158" t="str">
            <v>S2</v>
          </cell>
        </row>
        <row r="159">
          <cell r="F159" t="str">
            <v>Sankeerth Bhargav</v>
          </cell>
          <cell r="K159" t="str">
            <v>CSG (EndPoint)</v>
          </cell>
          <cell r="O159">
            <v>539325</v>
          </cell>
          <cell r="P159">
            <v>63948</v>
          </cell>
          <cell r="Q159">
            <v>49114.86</v>
          </cell>
          <cell r="Z159" t="str">
            <v>S2</v>
          </cell>
        </row>
        <row r="160">
          <cell r="F160" t="str">
            <v>Sankeerth Bhargav</v>
          </cell>
          <cell r="K160" t="str">
            <v>CSG (EndPoint)</v>
          </cell>
          <cell r="O160">
            <v>10000</v>
          </cell>
          <cell r="P160">
            <v>2500</v>
          </cell>
          <cell r="Q160">
            <v>5025</v>
          </cell>
          <cell r="Z160" t="str">
            <v>S2</v>
          </cell>
        </row>
        <row r="161">
          <cell r="F161" t="str">
            <v>Shaik Khadhar</v>
          </cell>
          <cell r="K161" t="str">
            <v>CSG (EndPoint)</v>
          </cell>
          <cell r="O161">
            <v>600000</v>
          </cell>
          <cell r="P161">
            <v>8800</v>
          </cell>
          <cell r="Q161">
            <v>8800</v>
          </cell>
          <cell r="Z161" t="str">
            <v>South</v>
          </cell>
        </row>
        <row r="162">
          <cell r="F162" t="str">
            <v>Shaik Khadhar</v>
          </cell>
          <cell r="K162" t="str">
            <v>CSG (EndPoint)</v>
          </cell>
          <cell r="O162">
            <v>4650</v>
          </cell>
          <cell r="P162">
            <v>2200</v>
          </cell>
          <cell r="Q162">
            <v>0</v>
          </cell>
          <cell r="Z162" t="str">
            <v>South</v>
          </cell>
        </row>
        <row r="163">
          <cell r="F163" t="str">
            <v>Pratik Kadam</v>
          </cell>
          <cell r="K163" t="str">
            <v>CSG (EndPoint)</v>
          </cell>
          <cell r="O163">
            <v>3787375</v>
          </cell>
          <cell r="P163">
            <v>500000</v>
          </cell>
          <cell r="Q163">
            <v>0</v>
          </cell>
          <cell r="Z163" t="str">
            <v>S1</v>
          </cell>
        </row>
        <row r="164">
          <cell r="F164" t="str">
            <v>Pratik Kadam</v>
          </cell>
          <cell r="K164" t="str">
            <v>CSG (EndPoint)</v>
          </cell>
          <cell r="O164">
            <v>87000</v>
          </cell>
          <cell r="P164">
            <v>22500</v>
          </cell>
          <cell r="Q164">
            <v>22500</v>
          </cell>
          <cell r="Z164" t="str">
            <v>S1</v>
          </cell>
        </row>
        <row r="165">
          <cell r="F165" t="str">
            <v>Pratik Kadam</v>
          </cell>
          <cell r="K165" t="str">
            <v>CSG (EndPoint)</v>
          </cell>
          <cell r="O165">
            <v>132500</v>
          </cell>
          <cell r="P165">
            <v>25000</v>
          </cell>
          <cell r="Q165">
            <v>25000</v>
          </cell>
          <cell r="Z165" t="str">
            <v>S1</v>
          </cell>
        </row>
        <row r="166">
          <cell r="F166" t="str">
            <v>Pratik Kadam</v>
          </cell>
          <cell r="K166" t="str">
            <v>CSG (EndPoint)</v>
          </cell>
          <cell r="O166">
            <v>8200000</v>
          </cell>
          <cell r="P166">
            <v>500000</v>
          </cell>
          <cell r="Q166">
            <v>0</v>
          </cell>
          <cell r="Z166" t="str">
            <v>S1</v>
          </cell>
        </row>
        <row r="167">
          <cell r="F167" t="str">
            <v>Yogesh Bhatia</v>
          </cell>
          <cell r="K167" t="str">
            <v>CSG (EndPoint)</v>
          </cell>
          <cell r="O167">
            <v>465000</v>
          </cell>
          <cell r="P167">
            <v>25000</v>
          </cell>
          <cell r="Q167">
            <v>24850</v>
          </cell>
          <cell r="Z167" t="str">
            <v>Others</v>
          </cell>
        </row>
        <row r="168">
          <cell r="F168" t="str">
            <v>Jay Rushi</v>
          </cell>
          <cell r="K168" t="str">
            <v>CSG (EndPoint)</v>
          </cell>
          <cell r="O168">
            <v>1700</v>
          </cell>
          <cell r="P168">
            <v>200</v>
          </cell>
          <cell r="Q168">
            <v>1800</v>
          </cell>
          <cell r="Z168" t="str">
            <v>GB</v>
          </cell>
        </row>
        <row r="169">
          <cell r="F169" t="str">
            <v>Jay Rushi</v>
          </cell>
          <cell r="K169" t="str">
            <v>CSG (EndPoint)</v>
          </cell>
          <cell r="O169">
            <v>39000</v>
          </cell>
          <cell r="P169">
            <v>2000</v>
          </cell>
          <cell r="Q169">
            <v>2000</v>
          </cell>
          <cell r="Z169" t="str">
            <v>GB</v>
          </cell>
        </row>
        <row r="170">
          <cell r="F170" t="str">
            <v>Jay Rushi</v>
          </cell>
          <cell r="K170" t="str">
            <v>CSG (EndPoint)</v>
          </cell>
          <cell r="O170">
            <v>167954</v>
          </cell>
          <cell r="P170">
            <v>6000</v>
          </cell>
          <cell r="Q170">
            <v>14805.69</v>
          </cell>
          <cell r="Z170" t="str">
            <v>GB</v>
          </cell>
        </row>
        <row r="171">
          <cell r="F171" t="str">
            <v>Jay Rushi</v>
          </cell>
          <cell r="K171" t="str">
            <v>CSG (EndPoint)</v>
          </cell>
          <cell r="O171">
            <v>2519744</v>
          </cell>
          <cell r="P171">
            <v>102864</v>
          </cell>
          <cell r="Q171">
            <v>0</v>
          </cell>
          <cell r="Z171" t="str">
            <v>GB</v>
          </cell>
        </row>
        <row r="172">
          <cell r="F172" t="str">
            <v>Jay Rushi</v>
          </cell>
          <cell r="K172" t="str">
            <v>CSG (EndPoint)</v>
          </cell>
          <cell r="O172">
            <v>3233</v>
          </cell>
          <cell r="P172">
            <v>690</v>
          </cell>
          <cell r="Q172">
            <v>690.63</v>
          </cell>
          <cell r="Z172" t="str">
            <v>GB</v>
          </cell>
        </row>
        <row r="173">
          <cell r="F173" t="str">
            <v>Varunkumar Mishra</v>
          </cell>
          <cell r="K173" t="str">
            <v>CSG (EndPoint)</v>
          </cell>
          <cell r="O173">
            <v>210638</v>
          </cell>
          <cell r="P173">
            <v>8638</v>
          </cell>
          <cell r="Q173">
            <v>8638</v>
          </cell>
          <cell r="Z173" t="str">
            <v>GB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sneem-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1303500000</v>
          </cell>
        </row>
        <row r="16">
          <cell r="D16">
            <v>1296500000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IYA-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590000000</v>
          </cell>
        </row>
        <row r="15">
          <cell r="D15">
            <v>610000000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atik-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50000000</v>
          </cell>
        </row>
        <row r="10">
          <cell r="D10">
            <v>50000000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ashant-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605000000</v>
          </cell>
        </row>
        <row r="13">
          <cell r="D13">
            <v>895000000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irag-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275000000</v>
          </cell>
        </row>
        <row r="14">
          <cell r="D14">
            <v>325000000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icha-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 refreshError="1">
        <row r="9">
          <cell r="D9">
            <v>250000000</v>
          </cell>
        </row>
        <row r="12">
          <cell r="D12">
            <v>350000000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ohit-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760000000</v>
          </cell>
        </row>
        <row r="12">
          <cell r="D12">
            <v>590000000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tna-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200000000</v>
          </cell>
        </row>
        <row r="17">
          <cell r="D17">
            <v>490000000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nkeerth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117500000</v>
          </cell>
        </row>
        <row r="15">
          <cell r="D15">
            <v>302500000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achi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150000000</v>
          </cell>
        </row>
        <row r="10">
          <cell r="D10">
            <v>180000000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lpa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150000000</v>
          </cell>
        </row>
        <row r="10">
          <cell r="D10">
            <v>250000000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dula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30000000</v>
          </cell>
        </row>
        <row r="10">
          <cell r="D10">
            <v>65000000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imesh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150000000</v>
          </cell>
        </row>
        <row r="13">
          <cell r="D13">
            <v>300000000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hish  Target Letter 26 27 "/>
      <sheetName val="Terms &amp; Conditions"/>
      <sheetName val="Cloud Service Pack"/>
    </sheetNames>
    <sheetDataSet>
      <sheetData sheetId="0">
        <row r="9">
          <cell r="D9">
            <v>50000000</v>
          </cell>
        </row>
        <row r="10">
          <cell r="D10">
            <v>100000000</v>
          </cell>
        </row>
      </sheetData>
      <sheetData sheetId="1"/>
      <sheetData sheetId="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ima Target Letter 26 27 "/>
      <sheetName val="Terms &amp; Conditions"/>
      <sheetName val="Cloud Service Pack"/>
    </sheetNames>
    <sheetDataSet>
      <sheetData sheetId="0">
        <row r="9">
          <cell r="D9">
            <v>30000000</v>
          </cell>
        </row>
        <row r="10">
          <cell r="D10">
            <v>50000000</v>
          </cell>
        </row>
      </sheetData>
      <sheetData sheetId="1"/>
      <sheetData sheetId="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yushman-TARGET LETTER - 26-27"/>
      <sheetName val="Terms &amp; Conditions"/>
      <sheetName val="NW service Pack"/>
      <sheetName val="CybSec Service Pack"/>
    </sheetNames>
    <sheetDataSet>
      <sheetData sheetId="0">
        <row r="9">
          <cell r="D9">
            <v>30000000</v>
          </cell>
        </row>
        <row r="10">
          <cell r="D10">
            <v>90000000</v>
          </cell>
        </row>
      </sheetData>
      <sheetData sheetId="1"/>
      <sheetData sheetId="2"/>
      <sheetData sheetId="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hubhangi-TARGET LETTER - 26-27"/>
      <sheetName val="Terms &amp; Conditions"/>
      <sheetName val="NW service Pack"/>
      <sheetName val="CybSec Service Pack"/>
    </sheetNames>
    <sheetDataSet>
      <sheetData sheetId="0">
        <row r="9">
          <cell r="D9">
            <v>50000000</v>
          </cell>
        </row>
        <row r="10">
          <cell r="D10">
            <v>100000000</v>
          </cell>
        </row>
      </sheetData>
      <sheetData sheetId="1"/>
      <sheetData sheetId="2"/>
      <sheetData sheetId="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tharva -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40000000</v>
          </cell>
        </row>
        <row r="10">
          <cell r="D10">
            <v>40000000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y Rushi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30000000</v>
          </cell>
        </row>
        <row r="10">
          <cell r="D10">
            <v>50000000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NA -TARGET LETTER - 26-27"/>
      <sheetName val="Terms &amp; Conditions"/>
      <sheetName val="Cloud Service Pack"/>
    </sheetNames>
    <sheetDataSet>
      <sheetData sheetId="0">
        <row r="9">
          <cell r="D9">
            <v>32000000</v>
          </cell>
        </row>
        <row r="14">
          <cell r="D14">
            <v>68000000</v>
          </cell>
        </row>
      </sheetData>
      <sheetData sheetId="1"/>
      <sheetData sheetId="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humi Target Letter 26 27 "/>
      <sheetName val="Terms &amp; Conditions"/>
      <sheetName val="Cloud Service Pack"/>
    </sheetNames>
    <sheetDataSet>
      <sheetData sheetId="0">
        <row r="9">
          <cell r="D9">
            <v>6000000</v>
          </cell>
        </row>
        <row r="10">
          <cell r="D10">
            <v>14000000</v>
          </cell>
        </row>
      </sheetData>
      <sheetData sheetId="1"/>
      <sheetData sheetId="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izwana Target Letter 26 27 "/>
      <sheetName val="Terms &amp; Conditions"/>
      <sheetName val="Cloud Service Pack"/>
    </sheetNames>
    <sheetDataSet>
      <sheetData sheetId="0">
        <row r="9">
          <cell r="D9">
            <v>15000000</v>
          </cell>
        </row>
        <row r="10">
          <cell r="D10">
            <v>35000000</v>
          </cell>
        </row>
      </sheetData>
      <sheetData sheetId="1"/>
      <sheetData sheetId="2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vesh- Target Letter 26 27 "/>
      <sheetName val="Terms &amp; Conditions"/>
      <sheetName val="Cloud Service Pack"/>
    </sheetNames>
    <sheetDataSet>
      <sheetData sheetId="0">
        <row r="9">
          <cell r="D9">
            <v>6000000</v>
          </cell>
        </row>
        <row r="10">
          <cell r="D10">
            <v>14000000</v>
          </cell>
        </row>
      </sheetData>
      <sheetData sheetId="1"/>
      <sheetData sheetId="2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rar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40000000</v>
          </cell>
        </row>
        <row r="10">
          <cell r="D10">
            <v>40000000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gar-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50000000</v>
          </cell>
        </row>
        <row r="10">
          <cell r="D10">
            <v>50000000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ahbaz -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60000000</v>
          </cell>
        </row>
        <row r="10">
          <cell r="D10">
            <v>60000000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hadar-  TARGET LETTER -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70000000</v>
          </cell>
        </row>
        <row r="10">
          <cell r="D10">
            <v>80000000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rushikesh TARGET LETTER 26-27"/>
      <sheetName val="Terms &amp; Conditions"/>
      <sheetName val="DC service Pack"/>
      <sheetName val="NW service Pack"/>
      <sheetName val="CybSec Service Pack"/>
      <sheetName val="Cloud Service Pack"/>
    </sheetNames>
    <sheetDataSet>
      <sheetData sheetId="0">
        <row r="9">
          <cell r="D9">
            <v>10500000</v>
          </cell>
        </row>
        <row r="10">
          <cell r="D10">
            <v>13500000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05F90-8B85-4867-9172-E2ABD4EB0947}">
  <dimension ref="A1:XFD66"/>
  <sheetViews>
    <sheetView zoomScaleNormal="100" workbookViewId="0">
      <pane ySplit="1" topLeftCell="A54" activePane="bottomLeft" state="frozen"/>
      <selection pane="bottomLeft" activeCell="M63" sqref="M63"/>
    </sheetView>
  </sheetViews>
  <sheetFormatPr defaultColWidth="0" defaultRowHeight="14.4" x14ac:dyDescent="0.3"/>
  <cols>
    <col min="1" max="1" width="8.88671875" customWidth="1"/>
    <col min="2" max="2" width="24.5546875" bestFit="1" customWidth="1"/>
    <col min="3" max="4" width="8.88671875" customWidth="1"/>
    <col min="5" max="5" width="17" bestFit="1" customWidth="1"/>
    <col min="6" max="7" width="8.88671875" customWidth="1"/>
    <col min="8" max="8" width="14" style="26" customWidth="1"/>
    <col min="9" max="13" width="8.88671875" customWidth="1"/>
    <col min="14" max="14" width="12.33203125" customWidth="1"/>
    <col min="15" max="20" width="8.88671875" customWidth="1"/>
    <col min="21" max="21" width="10.77734375" customWidth="1"/>
    <col min="22" max="27" width="0" hidden="1" customWidth="1"/>
    <col min="28" max="16384" width="8.88671875" hidden="1"/>
  </cols>
  <sheetData>
    <row r="1" spans="1:26" ht="27.75" customHeight="1" x14ac:dyDescent="0.3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spans="1:26" ht="36" customHeight="1" thickBo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64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</row>
    <row r="3" spans="1:26" ht="15" thickBot="1" x14ac:dyDescent="0.35">
      <c r="A3" s="70" t="s">
        <v>27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spans="1:26" x14ac:dyDescent="0.3">
      <c r="A4">
        <v>1</v>
      </c>
      <c r="B4" s="3" t="s">
        <v>28</v>
      </c>
      <c r="C4" s="6" t="s">
        <v>29</v>
      </c>
      <c r="D4" s="7" t="s">
        <v>30</v>
      </c>
      <c r="E4" s="8" t="s">
        <v>31</v>
      </c>
      <c r="F4" s="30">
        <f>SUMIF('[1]S1 '!$B:$B,"Tasneem khatri",'[1]S1 '!$H:$H)</f>
        <v>35.075000000000003</v>
      </c>
      <c r="G4" s="31">
        <f>SUMIF('[2]Opportunity Pipeline'!$F:$F, "Tasneem k",'[2]Opportunity Pipeline'!$O:$O)/10^7</f>
        <v>15.920587479000002</v>
      </c>
      <c r="H4" s="32">
        <f>IFERROR(G4/F4,"-")</f>
        <v>0.45390128236635779</v>
      </c>
      <c r="I4" s="30">
        <f>SUMIF('[1]S1 '!$B:$B,"Tasneem khatri",'[1]S1 '!$I:$I)</f>
        <v>95.275000000000006</v>
      </c>
      <c r="J4" s="31">
        <f>SUMIF('[3]Opportunity Pipeline '!$F:$F,"Tasneem K",'[3]Opportunity Pipeline '!$O:$O)/10^7</f>
        <v>1.9096540129999999</v>
      </c>
      <c r="K4" s="32">
        <f>IFERROR(J4/I4,"-")</f>
        <v>2.0043600241406452E-2</v>
      </c>
      <c r="L4" s="33">
        <f>'[4]Tasneem- TARGET LETTER - 26-27'!$D$9/10^7</f>
        <v>130.35</v>
      </c>
      <c r="M4" s="31">
        <f>SUM(G4,J4)</f>
        <v>17.830241492000003</v>
      </c>
      <c r="N4" s="32">
        <f>IFERROR(M4/L4,"-")</f>
        <v>0.13678742993479098</v>
      </c>
      <c r="O4" s="27">
        <f>'[4]Tasneem- TARGET LETTER - 26-27'!$D$16/10^7</f>
        <v>129.65</v>
      </c>
      <c r="P4" s="27" t="s">
        <v>117</v>
      </c>
      <c r="Q4" s="32" t="str">
        <f>IFERROR(P4/O4,"-")</f>
        <v>-</v>
      </c>
      <c r="R4" s="33">
        <f>SUM(L4,O4)</f>
        <v>260</v>
      </c>
      <c r="S4" s="33">
        <f>SUM(M4,P4)</f>
        <v>17.830241492000003</v>
      </c>
      <c r="T4" s="32">
        <f>IFERROR(S4/R4,"-")</f>
        <v>6.8577851892307695E-2</v>
      </c>
      <c r="U4" s="27">
        <f>COUNTIF('[2]Opportunity Pipeline'!$F:$F,"Tasneem K")+ COUNTIF('[3]Opportunity Pipeline '!$F:$F,"Tasneem K")</f>
        <v>12</v>
      </c>
    </row>
    <row r="5" spans="1:26" x14ac:dyDescent="0.3">
      <c r="A5">
        <v>2</v>
      </c>
      <c r="B5" s="3" t="s">
        <v>32</v>
      </c>
      <c r="C5" s="6" t="s">
        <v>29</v>
      </c>
      <c r="D5" s="7" t="s">
        <v>30</v>
      </c>
      <c r="E5" s="8" t="s">
        <v>31</v>
      </c>
      <c r="F5" s="30">
        <f>SUMIF('[1]S1 '!$B:$B,"Riya Roshyara",'[1]S1 '!$H:$H)</f>
        <v>20</v>
      </c>
      <c r="G5" s="31">
        <f>SUMIF('[2]Opportunity Pipeline'!$F:$F, "Riya Bhatt",'[2]Opportunity Pipeline'!$O:$O)/10^7</f>
        <v>0.57979999999999998</v>
      </c>
      <c r="H5" s="32">
        <f t="shared" ref="H5:H9" si="0">IFERROR(G5/F5,"-")</f>
        <v>2.8989999999999998E-2</v>
      </c>
      <c r="I5" s="30">
        <f>SUMIF('[1]S1 '!$B:$B,"Riya Roshyara",'[1]S1 '!$I:$I)</f>
        <v>38</v>
      </c>
      <c r="J5" s="31">
        <f>SUMIF('[3]Opportunity Pipeline '!$F:$F,"Riya Bhatt",'[3]Opportunity Pipeline '!$O:$O)/10^7</f>
        <v>0</v>
      </c>
      <c r="K5" s="32">
        <f t="shared" ref="K5:K9" si="1">IFERROR(J5/I5,"-")</f>
        <v>0</v>
      </c>
      <c r="L5" s="27">
        <f>'[5]RIYA- TARGET LETTER - 26-27'!$D$9/10^7</f>
        <v>59</v>
      </c>
      <c r="M5" s="31">
        <f t="shared" ref="M5:M9" si="2">SUM(G5,J5)</f>
        <v>0.57979999999999998</v>
      </c>
      <c r="N5" s="32">
        <f t="shared" ref="N5:N9" si="3">IFERROR(M5/L5,"-")</f>
        <v>9.8271186440677966E-3</v>
      </c>
      <c r="O5" s="27">
        <f>'[5]RIYA- TARGET LETTER - 26-27'!$D$15/10^7</f>
        <v>61</v>
      </c>
      <c r="P5" s="27" t="s">
        <v>117</v>
      </c>
      <c r="Q5" s="32" t="str">
        <f t="shared" ref="Q5:Q9" si="4">IFERROR(P5/O5,"-")</f>
        <v>-</v>
      </c>
      <c r="R5" s="33">
        <f t="shared" ref="R5:R9" si="5">SUM(L5,O5)</f>
        <v>120</v>
      </c>
      <c r="S5" s="33">
        <f t="shared" ref="S5:S9" si="6">SUM(M5,P5)</f>
        <v>0.57979999999999998</v>
      </c>
      <c r="T5" s="32">
        <f t="shared" ref="T5:T9" si="7">IFERROR(S5/R5,"-")</f>
        <v>4.8316666666666664E-3</v>
      </c>
      <c r="U5" s="27">
        <f>COUNTIF('[2]Opportunity Pipeline'!$F:$F,"Riya Bhatt")+ COUNTIF('[3]Opportunity Pipeline '!$F:$F,"Riya Bhatt")</f>
        <v>2</v>
      </c>
    </row>
    <row r="6" spans="1:26" x14ac:dyDescent="0.3">
      <c r="A6">
        <v>3</v>
      </c>
      <c r="B6" s="3" t="s">
        <v>33</v>
      </c>
      <c r="C6" s="6" t="s">
        <v>29</v>
      </c>
      <c r="D6" s="7" t="s">
        <v>30</v>
      </c>
      <c r="E6" s="8" t="s">
        <v>31</v>
      </c>
      <c r="F6" s="30">
        <f>SUMIF('[1]S1 '!$B:$B,"Pratik Kadam",'[1]S1 '!$H:$H)</f>
        <v>3</v>
      </c>
      <c r="G6" s="31">
        <f>SUMIF('[2]Opportunity Pipeline'!$F:$F, "Pratik Kadam",'[2]Opportunity Pipeline'!$O:$O)/10^7</f>
        <v>1.4004570359999999</v>
      </c>
      <c r="H6" s="32">
        <f t="shared" si="0"/>
        <v>0.46681901199999998</v>
      </c>
      <c r="I6" s="30">
        <f>SUMIF('[1]S1 '!$B:$B,"Pratik Kadam",'[1]S1 '!$I:$I)</f>
        <v>2</v>
      </c>
      <c r="J6" s="31">
        <f>SUMIF('[3]Opportunity Pipeline '!$F:$F,"Pratik Kadam",'[3]Opportunity Pipeline '!$O:$O)/10^7</f>
        <v>1.297767415</v>
      </c>
      <c r="K6" s="32">
        <f t="shared" si="1"/>
        <v>0.64888370750000002</v>
      </c>
      <c r="L6" s="27">
        <f>'[6]Pratik- TARGET LETTER - 26-27'!$D$9/10^7</f>
        <v>5</v>
      </c>
      <c r="M6" s="31">
        <f t="shared" si="2"/>
        <v>2.6982244509999997</v>
      </c>
      <c r="N6" s="32">
        <f t="shared" si="3"/>
        <v>0.53964489019999995</v>
      </c>
      <c r="O6" s="27">
        <f>'[6]Pratik- TARGET LETTER - 26-27'!$D$10/10^7</f>
        <v>5</v>
      </c>
      <c r="P6" s="27" t="s">
        <v>117</v>
      </c>
      <c r="Q6" s="32" t="str">
        <f t="shared" si="4"/>
        <v>-</v>
      </c>
      <c r="R6" s="33">
        <f t="shared" si="5"/>
        <v>10</v>
      </c>
      <c r="S6" s="33">
        <f t="shared" si="6"/>
        <v>2.6982244509999997</v>
      </c>
      <c r="T6" s="32">
        <f t="shared" si="7"/>
        <v>0.26982244509999997</v>
      </c>
      <c r="U6" s="27">
        <f>COUNTIF('[2]Opportunity Pipeline'!$F:$F,"Pratik Kadam")+ COUNTIF('[3]Opportunity Pipeline '!$F:$F,"Pratik Kadam")</f>
        <v>50</v>
      </c>
    </row>
    <row r="7" spans="1:26" x14ac:dyDescent="0.3">
      <c r="A7" s="24">
        <v>4</v>
      </c>
      <c r="B7" s="20" t="s">
        <v>34</v>
      </c>
      <c r="C7" s="21" t="s">
        <v>29</v>
      </c>
      <c r="D7" s="22" t="s">
        <v>30</v>
      </c>
      <c r="E7" s="23" t="s">
        <v>35</v>
      </c>
      <c r="F7" s="34">
        <f>SUM(F8:F9,7.5)</f>
        <v>28.799999999999997</v>
      </c>
      <c r="G7" s="35">
        <f>SUM(G8:G9)</f>
        <v>19.016648178000004</v>
      </c>
      <c r="H7" s="36">
        <f t="shared" si="0"/>
        <v>0.66030028395833351</v>
      </c>
      <c r="I7" s="34">
        <f>SUM(I8:I9,5)</f>
        <v>31.949999999999996</v>
      </c>
      <c r="J7" s="35">
        <f>SUMIF('[3]Opportunity Pipeline '!$F:$F,"Prashant Ddugu",'[3]Opportunity Pipeline '!$O:$O)/10^7</f>
        <v>0</v>
      </c>
      <c r="K7" s="36">
        <f t="shared" si="1"/>
        <v>0</v>
      </c>
      <c r="L7" s="28">
        <f>'[7]Prashant- TARGET LETTER - 26-27'!$D$9/10^7</f>
        <v>60.5</v>
      </c>
      <c r="M7" s="35">
        <f t="shared" si="2"/>
        <v>19.016648178000004</v>
      </c>
      <c r="N7" s="36">
        <f t="shared" si="3"/>
        <v>0.31432476327272735</v>
      </c>
      <c r="O7" s="28">
        <f>'[7]Prashant- TARGET LETTER - 26-27'!$D$13/10^7</f>
        <v>89.5</v>
      </c>
      <c r="P7" s="28" t="s">
        <v>117</v>
      </c>
      <c r="Q7" s="36" t="str">
        <f t="shared" si="4"/>
        <v>-</v>
      </c>
      <c r="R7" s="37">
        <f t="shared" si="5"/>
        <v>150</v>
      </c>
      <c r="S7" s="37">
        <f t="shared" si="6"/>
        <v>19.016648178000004</v>
      </c>
      <c r="T7" s="36">
        <f t="shared" si="7"/>
        <v>0.12677765452000003</v>
      </c>
      <c r="U7" s="28">
        <f>COUNTIF('[2]Opportunity Pipeline'!$F:$F,"Prashant Ddugu")+ COUNTIF('[3]Opportunity Pipeline '!$F:$F,"Prashant Ddugu")</f>
        <v>0</v>
      </c>
    </row>
    <row r="8" spans="1:26" x14ac:dyDescent="0.3">
      <c r="A8">
        <v>5</v>
      </c>
      <c r="B8" s="3" t="s">
        <v>36</v>
      </c>
      <c r="C8" s="6" t="s">
        <v>29</v>
      </c>
      <c r="D8" s="7" t="s">
        <v>30</v>
      </c>
      <c r="E8" s="8" t="s">
        <v>31</v>
      </c>
      <c r="F8" s="30">
        <f>SUMIF('[1]S1 '!$B:$B,"Chirag Palande",'[1]S1 '!$H:$H)</f>
        <v>13</v>
      </c>
      <c r="G8" s="31">
        <f>SUMIF('[2]Opportunity Pipeline'!$F:$F, "Chirag Palande",'[2]Opportunity Pipeline'!$O:$O)/10^7</f>
        <v>0.12866739999999999</v>
      </c>
      <c r="H8" s="32">
        <f t="shared" si="0"/>
        <v>9.8974923076923065E-3</v>
      </c>
      <c r="I8" s="30">
        <f>SUMIF('[1]S1 '!$B:$B,"Chirag Palande",'[1]S1 '!$I:$I)</f>
        <v>10</v>
      </c>
      <c r="J8" s="31">
        <f>SUMIF('[3]Opportunity Pipeline '!$F:$F,"Chirag Palande",'[3]Opportunity Pipeline '!$O:$O)/10^7</f>
        <v>10.880100000000001</v>
      </c>
      <c r="K8" s="32">
        <f t="shared" si="1"/>
        <v>1.0880100000000001</v>
      </c>
      <c r="L8" s="27">
        <f>'[8]Chirag- TARGET LETTER - 26-27'!$D$9/10^7</f>
        <v>27.5</v>
      </c>
      <c r="M8" s="31">
        <f t="shared" si="2"/>
        <v>11.0087674</v>
      </c>
      <c r="N8" s="32">
        <f t="shared" si="3"/>
        <v>0.40031881454545454</v>
      </c>
      <c r="O8" s="27">
        <f>'[8]Chirag- TARGET LETTER - 26-27'!$D$14/10^7</f>
        <v>32.5</v>
      </c>
      <c r="P8" s="27" t="s">
        <v>117</v>
      </c>
      <c r="Q8" s="32" t="str">
        <f t="shared" si="4"/>
        <v>-</v>
      </c>
      <c r="R8" s="33">
        <f t="shared" si="5"/>
        <v>60</v>
      </c>
      <c r="S8" s="33">
        <f t="shared" si="6"/>
        <v>11.0087674</v>
      </c>
      <c r="T8" s="32">
        <f t="shared" si="7"/>
        <v>0.18347945666666668</v>
      </c>
      <c r="U8" s="27">
        <f>COUNTIF('[2]Opportunity Pipeline'!$F:$F,"Chirag Palande")+ COUNTIF('[3]Opportunity Pipeline '!$F:$F,"Chirag Palande")</f>
        <v>8</v>
      </c>
    </row>
    <row r="9" spans="1:26" x14ac:dyDescent="0.3">
      <c r="A9">
        <v>6</v>
      </c>
      <c r="B9" s="3" t="s">
        <v>37</v>
      </c>
      <c r="C9" s="6" t="s">
        <v>29</v>
      </c>
      <c r="D9" s="7" t="s">
        <v>30</v>
      </c>
      <c r="E9" s="8" t="s">
        <v>31</v>
      </c>
      <c r="F9" s="30">
        <f>SUMIF('[1]S1 '!$B:$B,"Richa Tiwari",'[1]S1 '!$H:$H)</f>
        <v>8.2999999999999989</v>
      </c>
      <c r="G9" s="31">
        <f>SUMIF('[2]Opportunity Pipeline'!$F:$F, "RICHA TIWARI",'[2]Opportunity Pipeline'!$O:$O)/10^7</f>
        <v>18.887980778000003</v>
      </c>
      <c r="H9" s="32">
        <f t="shared" si="0"/>
        <v>2.275660334698796</v>
      </c>
      <c r="I9" s="30">
        <f>SUMIF('[1]S1 '!$B:$B,"Richa Tiwari",'[1]S1 '!$I:$I)</f>
        <v>16.949999999999996</v>
      </c>
      <c r="J9" s="31">
        <f>SUMIF('[3]Opportunity Pipeline '!$F:$F,"Richa Tiwari",'[3]Opportunity Pipeline '!$O:$O)/10^7</f>
        <v>6.1642152000000001</v>
      </c>
      <c r="K9" s="32">
        <f t="shared" si="1"/>
        <v>0.36367051327433636</v>
      </c>
      <c r="L9" s="27">
        <f>'[9]Richa- TARGET LETTER - 26-27'!$D$9/10^7</f>
        <v>25</v>
      </c>
      <c r="M9" s="31">
        <f t="shared" si="2"/>
        <v>25.052195978000004</v>
      </c>
      <c r="N9" s="32">
        <f t="shared" si="3"/>
        <v>1.0020878391200001</v>
      </c>
      <c r="O9" s="27">
        <f>'[9]Richa- TARGET LETTER - 26-27'!$D$12/10^7</f>
        <v>35</v>
      </c>
      <c r="P9" s="27" t="s">
        <v>117</v>
      </c>
      <c r="Q9" s="32" t="str">
        <f t="shared" si="4"/>
        <v>-</v>
      </c>
      <c r="R9" s="33">
        <f t="shared" si="5"/>
        <v>60</v>
      </c>
      <c r="S9" s="33">
        <f t="shared" si="6"/>
        <v>25.052195978000004</v>
      </c>
      <c r="T9" s="32">
        <f t="shared" si="7"/>
        <v>0.41753659963333339</v>
      </c>
      <c r="U9" s="27">
        <f>COUNTIF('[2]Opportunity Pipeline'!$F:$F,"Richa Tiwari")+ COUNTIF('[3]Opportunity Pipeline '!$F:$F,"Richa Tiwari")</f>
        <v>67</v>
      </c>
    </row>
    <row r="10" spans="1:26" x14ac:dyDescent="0.3">
      <c r="A10" s="66">
        <v>7</v>
      </c>
      <c r="B10" s="67" t="s">
        <v>147</v>
      </c>
      <c r="C10" s="60" t="s">
        <v>29</v>
      </c>
      <c r="D10" s="7" t="s">
        <v>51</v>
      </c>
      <c r="E10" s="8" t="s">
        <v>31</v>
      </c>
      <c r="F10" s="30">
        <f>SUMIF('[1]S1 '!$B:$B,"Raj Matondkar",'[1]S1 '!$H:$H)</f>
        <v>0</v>
      </c>
      <c r="G10" s="31">
        <f>SUMIF('[2]Opportunity Pipeline'!$F:$F, "Raj Matondkar",'[2]Opportunity Pipeline'!$O:$O)/10^7</f>
        <v>0</v>
      </c>
      <c r="H10" s="32" t="str">
        <f t="shared" ref="H10" si="8">IFERROR(G10/F10,"-")</f>
        <v>-</v>
      </c>
      <c r="I10" s="30">
        <f>SUMIF('[1]S1 '!$B:$B,"Raj Matondkar",'[1]S1 '!$I:$I)</f>
        <v>0</v>
      </c>
      <c r="J10" s="31">
        <f>SUMIF('[3]Opportunity Pipeline '!$F:$F,"Raj Matondkar",'[3]Opportunity Pipeline '!$O:$O)/10^7</f>
        <v>0.31928000000000001</v>
      </c>
      <c r="K10" s="32" t="str">
        <f t="shared" ref="K10" si="9">IFERROR(J10/I10,"-")</f>
        <v>-</v>
      </c>
      <c r="L10" s="27"/>
      <c r="M10" s="31">
        <f t="shared" ref="M10" si="10">SUM(G10,J10)</f>
        <v>0.31928000000000001</v>
      </c>
      <c r="N10" s="32" t="str">
        <f t="shared" ref="N10" si="11">IFERROR(M10/L10,"-")</f>
        <v>-</v>
      </c>
      <c r="O10" s="27"/>
      <c r="P10" s="27" t="s">
        <v>117</v>
      </c>
      <c r="Q10" s="32" t="str">
        <f t="shared" ref="Q10" si="12">IFERROR(P10/O10,"-")</f>
        <v>-</v>
      </c>
      <c r="R10" s="33">
        <f t="shared" ref="R10" si="13">SUM(L10,O10)</f>
        <v>0</v>
      </c>
      <c r="S10" s="33">
        <f t="shared" ref="S10" si="14">SUM(M10,P10)</f>
        <v>0.31928000000000001</v>
      </c>
      <c r="T10" s="32" t="str">
        <f t="shared" ref="T10" si="15">IFERROR(S10/R10,"-")</f>
        <v>-</v>
      </c>
      <c r="U10" s="27">
        <f>COUNTIF('[2]Opportunity Pipeline'!$F:$F,"Raj Matondkar")+ COUNTIF('[3]Opportunity Pipeline '!$F:$F,"Raj Matondkar")</f>
        <v>1</v>
      </c>
    </row>
    <row r="11" spans="1:26" s="43" customFormat="1" x14ac:dyDescent="0.3">
      <c r="B11" s="5" t="s">
        <v>38</v>
      </c>
      <c r="F11" s="44">
        <f>SUM(F4:F9)</f>
        <v>108.175</v>
      </c>
      <c r="G11" s="44">
        <f>SUM(G4,G5,G6,G8,G9)</f>
        <v>36.917492693</v>
      </c>
      <c r="H11" s="45">
        <f>G11/F11</f>
        <v>0.34127564310607811</v>
      </c>
      <c r="I11" s="44">
        <f t="shared" ref="I11:R11" si="16">SUM(I4:I9)</f>
        <v>194.17499999999998</v>
      </c>
      <c r="J11" s="44">
        <f>SUM(J4,J5,J6,J8,J9,J10)</f>
        <v>20.571016627999999</v>
      </c>
      <c r="K11" s="45">
        <f>J11/I11</f>
        <v>0.10594060320844599</v>
      </c>
      <c r="L11" s="44">
        <f t="shared" si="16"/>
        <v>307.35000000000002</v>
      </c>
      <c r="M11" s="44">
        <f>SUM(M4,M5,M6,M8,M9,M10)</f>
        <v>57.488509321000002</v>
      </c>
      <c r="N11" s="45">
        <f>M11/L11</f>
        <v>0.18704574368309743</v>
      </c>
      <c r="O11" s="44">
        <f t="shared" si="16"/>
        <v>352.65</v>
      </c>
      <c r="P11" s="44">
        <f t="shared" si="16"/>
        <v>0</v>
      </c>
      <c r="Q11" s="45">
        <f>P11/O11</f>
        <v>0</v>
      </c>
      <c r="R11" s="44">
        <f t="shared" si="16"/>
        <v>660</v>
      </c>
      <c r="S11" s="44">
        <f>SUM(S4,S5,S6,S8,S9,S10)</f>
        <v>57.488509321000002</v>
      </c>
      <c r="T11" s="45">
        <f>S11/R11</f>
        <v>8.7103802001515157E-2</v>
      </c>
      <c r="U11" s="46">
        <f>SUM(U4:U10)</f>
        <v>140</v>
      </c>
    </row>
    <row r="12" spans="1:26" ht="15" thickBot="1" x14ac:dyDescent="0.35"/>
    <row r="13" spans="1:26" ht="15" thickBot="1" x14ac:dyDescent="0.35">
      <c r="A13" s="70" t="s">
        <v>39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spans="1:26" x14ac:dyDescent="0.3">
      <c r="A14">
        <v>1</v>
      </c>
      <c r="B14" s="3" t="s">
        <v>40</v>
      </c>
      <c r="C14" s="6" t="s">
        <v>41</v>
      </c>
      <c r="D14" s="7" t="s">
        <v>30</v>
      </c>
      <c r="E14" s="8" t="s">
        <v>31</v>
      </c>
      <c r="F14" s="30">
        <f>SUMIF('[1]S2 '!$B$1:$B$45,"Rohit",'[1]S2 '!$G$1:$G$45)</f>
        <v>29</v>
      </c>
      <c r="G14" s="31">
        <f>SUMIF('[2]Opportunity Pipeline'!$F:$F, "Rohit Deshmukh",'[2]Opportunity Pipeline'!$O:$O)/10^7</f>
        <v>2.2971171500000001</v>
      </c>
      <c r="H14" s="32">
        <f t="shared" ref="H14:H19" si="17">IFERROR(G14/F14,"-")</f>
        <v>7.9210936206896551E-2</v>
      </c>
      <c r="I14" s="30">
        <f>SUMIF('[1]S2 '!$B$1:$B$45,"Rohit",'[1]S2 '!$H$1:$H$45)</f>
        <v>53</v>
      </c>
      <c r="J14" s="31">
        <f>SUMIF('[3]Opportunity Pipeline '!$F:$F,"Rohit Deshmukh",'[3]Opportunity Pipeline '!$O:$O)/10^7</f>
        <v>30.822696333</v>
      </c>
      <c r="K14" s="32">
        <f>IFERROR(J14/I14,"-")</f>
        <v>0.5815603081698113</v>
      </c>
      <c r="L14" s="33">
        <f>'[10]Rohit- TARGET LETTER - 26-27'!$D$9/10^7</f>
        <v>76</v>
      </c>
      <c r="M14" s="31">
        <f t="shared" ref="M14:M19" si="18">SUM(G14,J14)</f>
        <v>33.119813483000001</v>
      </c>
      <c r="N14" s="32">
        <f t="shared" ref="N14:N19" si="19">IFERROR(M14/L14,"-")</f>
        <v>0.4357870195131579</v>
      </c>
      <c r="O14" s="27">
        <f>'[10]Rohit- TARGET LETTER - 26-27'!$D$12/10^7</f>
        <v>59</v>
      </c>
      <c r="P14" s="27" t="s">
        <v>117</v>
      </c>
      <c r="Q14" s="32" t="str">
        <f t="shared" ref="Q14:Q19" si="20">IFERROR(P14/O14,"-")</f>
        <v>-</v>
      </c>
      <c r="R14" s="33">
        <f>SUM(L14,O14)</f>
        <v>135</v>
      </c>
      <c r="S14" s="33">
        <f>SUM(M14,P14)</f>
        <v>33.119813483000001</v>
      </c>
      <c r="T14" s="32">
        <f t="shared" ref="T14:T19" si="21">IFERROR(S14/R14,"-")</f>
        <v>0.24533195172592595</v>
      </c>
      <c r="U14" s="27">
        <f>COUNTIF('[2]Opportunity Pipeline'!$F:$F,"Rohit Deshmukh")+ COUNTIF('[3]Opportunity Pipeline '!$F:$F,"Rohit Deshmukh")</f>
        <v>20</v>
      </c>
    </row>
    <row r="15" spans="1:26" x14ac:dyDescent="0.3">
      <c r="A15">
        <v>2</v>
      </c>
      <c r="B15" s="3" t="s">
        <v>42</v>
      </c>
      <c r="C15" s="6" t="s">
        <v>41</v>
      </c>
      <c r="D15" s="7" t="s">
        <v>30</v>
      </c>
      <c r="E15" s="8" t="s">
        <v>31</v>
      </c>
      <c r="F15" s="30">
        <f>SUMIF('[1]S2 '!$B$1:$B$45,"Chetna",'[1]S2 '!$G$1:$G$45)</f>
        <v>8</v>
      </c>
      <c r="G15" s="31">
        <f>SUMIF('[2]Opportunity Pipeline'!$F:$F, "Chetna Sharma",'[2]Opportunity Pipeline'!$O:$O)/10^7</f>
        <v>11.771068571999999</v>
      </c>
      <c r="H15" s="32">
        <f t="shared" si="17"/>
        <v>1.4713835714999999</v>
      </c>
      <c r="I15" s="30">
        <f>SUMIF('[1]S2 '!$B$1:$B$45,"Chetna",'[1]S2 '!$H$1:$H$45)</f>
        <v>10</v>
      </c>
      <c r="J15" s="31">
        <f>SUMIF('[3]Opportunity Pipeline '!$F:$F,"Chetna Sharma",'[3]Opportunity Pipeline '!$O:$O)/10^7</f>
        <v>8.5199639309999995</v>
      </c>
      <c r="K15" s="32">
        <f t="shared" ref="K15:L19" si="22">IFERROR(J15/I15,"-")</f>
        <v>0.85199639309999997</v>
      </c>
      <c r="L15" s="27">
        <f>'[11]Chetna- TARGET LETTER - 26-27'!$D$9/10^7</f>
        <v>20</v>
      </c>
      <c r="M15" s="31">
        <f t="shared" si="18"/>
        <v>20.291032502999997</v>
      </c>
      <c r="N15" s="32">
        <f t="shared" si="19"/>
        <v>1.0145516251499997</v>
      </c>
      <c r="O15" s="27">
        <f>'[11]Chetna- TARGET LETTER - 26-27'!$D$17/10^7</f>
        <v>49</v>
      </c>
      <c r="P15" s="27" t="s">
        <v>117</v>
      </c>
      <c r="Q15" s="32" t="str">
        <f t="shared" si="20"/>
        <v>-</v>
      </c>
      <c r="R15" s="33">
        <f t="shared" ref="R15:R19" si="23">SUM(L15,O15)</f>
        <v>69</v>
      </c>
      <c r="S15" s="33">
        <f t="shared" ref="S15:S19" si="24">SUM(M15,P15)</f>
        <v>20.291032502999997</v>
      </c>
      <c r="T15" s="32">
        <f t="shared" si="21"/>
        <v>0.29407293482608693</v>
      </c>
      <c r="U15" s="27">
        <f>COUNTIF('[2]Opportunity Pipeline'!$F:$F,"Chetna Sharma")+ COUNTIF('[3]Opportunity Pipeline '!$F:$F,"Chetna Sharma")</f>
        <v>11</v>
      </c>
    </row>
    <row r="16" spans="1:26" x14ac:dyDescent="0.3">
      <c r="A16">
        <v>3</v>
      </c>
      <c r="B16" s="3" t="s">
        <v>43</v>
      </c>
      <c r="C16" s="6" t="s">
        <v>41</v>
      </c>
      <c r="D16" s="7" t="s">
        <v>30</v>
      </c>
      <c r="E16" s="8" t="s">
        <v>31</v>
      </c>
      <c r="F16" s="30">
        <f>SUMIF('[1]S2 '!$B$1:$B$45,"Sankeerth",'[1]S2 '!$G$1:$G$45)</f>
        <v>2.75</v>
      </c>
      <c r="G16" s="31">
        <f>SUMIF('[2]Opportunity Pipeline'!$F:$F, "Sankeerth Bhargav",'[2]Opportunity Pipeline'!$O:$O)/10^7</f>
        <v>0.21651999999999999</v>
      </c>
      <c r="H16" s="32">
        <f t="shared" si="17"/>
        <v>7.8734545454545446E-2</v>
      </c>
      <c r="I16" s="30">
        <f>SUMIF('[1]S2 '!$B$1:$B$45,"Sankeerth",'[1]S2 '!$H$1:$H$45)</f>
        <v>2.75</v>
      </c>
      <c r="J16" s="31">
        <f>SUMIF('[3]Opportunity Pipeline '!$F:$F,"Sankeerth Bhargav",'[3]Opportunity Pipeline '!$O:$O)/10^7</f>
        <v>4.0192630999999999</v>
      </c>
      <c r="K16" s="32">
        <f t="shared" si="22"/>
        <v>1.4615502181818181</v>
      </c>
      <c r="L16" s="27">
        <f>'[12]Sankeerth TARGET LETTER - 26-27'!$D$9/10^7</f>
        <v>11.75</v>
      </c>
      <c r="M16" s="31">
        <f t="shared" si="18"/>
        <v>4.2357830999999999</v>
      </c>
      <c r="N16" s="32">
        <f t="shared" si="19"/>
        <v>0.36049217872340422</v>
      </c>
      <c r="O16" s="27">
        <f>'[12]Sankeerth TARGET LETTER - 26-27'!$D$15/10^7</f>
        <v>30.25</v>
      </c>
      <c r="P16" s="27" t="s">
        <v>117</v>
      </c>
      <c r="Q16" s="32" t="str">
        <f t="shared" si="20"/>
        <v>-</v>
      </c>
      <c r="R16" s="33">
        <f t="shared" si="23"/>
        <v>42</v>
      </c>
      <c r="S16" s="33">
        <f t="shared" si="24"/>
        <v>4.2357830999999999</v>
      </c>
      <c r="T16" s="32">
        <f t="shared" si="21"/>
        <v>0.10085197857142857</v>
      </c>
      <c r="U16" s="27">
        <f>COUNTIF('[2]Opportunity Pipeline'!$F:$F,"Sankeerth Bhargav")+ COUNTIF('[3]Opportunity Pipeline '!$F:$F,"Sankeerth Bhargav")</f>
        <v>8</v>
      </c>
    </row>
    <row r="17" spans="1:26" x14ac:dyDescent="0.3">
      <c r="A17">
        <v>4</v>
      </c>
      <c r="B17" s="4" t="s">
        <v>44</v>
      </c>
      <c r="C17" s="6" t="s">
        <v>41</v>
      </c>
      <c r="D17" s="7" t="s">
        <v>30</v>
      </c>
      <c r="E17" s="8" t="s">
        <v>31</v>
      </c>
      <c r="F17" s="30">
        <f>SUMIF('[1]S2 '!$B$1:$B$45,"Varsha",'[1]S2 '!$G$1:$G$45)</f>
        <v>7.3000000000000007</v>
      </c>
      <c r="G17" s="31">
        <f>SUMIF('[2]Opportunity Pipeline'!$F:$F, "Varsha Ray",'[2]Opportunity Pipeline'!$O:$O)/10^7</f>
        <v>1.055468973</v>
      </c>
      <c r="H17" s="38">
        <f t="shared" si="17"/>
        <v>0.1445847908219178</v>
      </c>
      <c r="I17" s="30">
        <f>SUMIF('[1]S2 '!$B$1:$B$45,"Varsha",'[1]S2 '!$H$1:$H$45)</f>
        <v>9.8000000000000007</v>
      </c>
      <c r="J17" s="31">
        <f>SUMIF('[3]Opportunity Pipeline '!$F:$F,"Varsha Ray",'[3]Opportunity Pipeline '!$O:$O)/10^7</f>
        <v>0</v>
      </c>
      <c r="K17" s="38">
        <f t="shared" si="22"/>
        <v>0</v>
      </c>
      <c r="L17" s="27" t="str">
        <f t="shared" si="22"/>
        <v>-</v>
      </c>
      <c r="M17" s="31">
        <f t="shared" si="18"/>
        <v>1.055468973</v>
      </c>
      <c r="N17" s="38" t="str">
        <f t="shared" si="19"/>
        <v>-</v>
      </c>
      <c r="O17" s="27" t="str">
        <f t="shared" ref="O17:O19" si="25">IFERROR(N17/M17,"-")</f>
        <v>-</v>
      </c>
      <c r="P17" s="27" t="s">
        <v>117</v>
      </c>
      <c r="Q17" s="38" t="str">
        <f t="shared" si="20"/>
        <v>-</v>
      </c>
      <c r="R17" s="33">
        <f t="shared" si="23"/>
        <v>0</v>
      </c>
      <c r="S17" s="33">
        <f t="shared" si="24"/>
        <v>1.055468973</v>
      </c>
      <c r="T17" s="38" t="str">
        <f t="shared" si="21"/>
        <v>-</v>
      </c>
      <c r="U17" s="27">
        <f>COUNTIF('[2]Opportunity Pipeline'!$F:$F,"Varsha Ray")+ COUNTIF('[3]Opportunity Pipeline '!$F:$F,"Varsha Ray")</f>
        <v>4</v>
      </c>
    </row>
    <row r="18" spans="1:26" x14ac:dyDescent="0.3">
      <c r="A18">
        <v>5</v>
      </c>
      <c r="B18" s="4" t="s">
        <v>45</v>
      </c>
      <c r="C18" s="6" t="s">
        <v>41</v>
      </c>
      <c r="D18" s="7" t="s">
        <v>30</v>
      </c>
      <c r="E18" s="8" t="s">
        <v>31</v>
      </c>
      <c r="F18" s="30">
        <f>SUMIF('[1]S2 '!$B$1:$B$45,"Arpit",'[1]S2 '!$G$1:$G$45)</f>
        <v>6.75</v>
      </c>
      <c r="G18" s="31">
        <f>SUMIF('[2]Opportunity Pipeline'!$F:$F, "Arpit Srivastava",'[2]Opportunity Pipeline'!$O:$O)/10^7</f>
        <v>5.6395832999999992E-2</v>
      </c>
      <c r="H18" s="32">
        <f t="shared" si="17"/>
        <v>8.3549382222222208E-3</v>
      </c>
      <c r="I18" s="30">
        <f>SUMIF('[1]S2 '!$B$1:$B$45,"Arpit",'[1]S2 '!$H$1:$H$45)</f>
        <v>6.75</v>
      </c>
      <c r="J18" s="31">
        <f>SUMIF('[3]Opportunity Pipeline '!$F:$F,"Arpit Srivastava",'[3]Opportunity Pipeline '!$O:$O)/10^7</f>
        <v>0</v>
      </c>
      <c r="K18" s="32">
        <f t="shared" si="22"/>
        <v>0</v>
      </c>
      <c r="L18" s="27" t="str">
        <f t="shared" si="22"/>
        <v>-</v>
      </c>
      <c r="M18" s="31">
        <f t="shared" si="18"/>
        <v>5.6395832999999992E-2</v>
      </c>
      <c r="N18" s="32" t="str">
        <f t="shared" si="19"/>
        <v>-</v>
      </c>
      <c r="O18" s="27" t="str">
        <f t="shared" si="25"/>
        <v>-</v>
      </c>
      <c r="P18" s="27" t="s">
        <v>117</v>
      </c>
      <c r="Q18" s="32" t="str">
        <f t="shared" si="20"/>
        <v>-</v>
      </c>
      <c r="R18" s="33">
        <f t="shared" si="23"/>
        <v>0</v>
      </c>
      <c r="S18" s="33">
        <f t="shared" si="24"/>
        <v>5.6395832999999992E-2</v>
      </c>
      <c r="T18" s="32" t="str">
        <f t="shared" si="21"/>
        <v>-</v>
      </c>
      <c r="U18" s="27">
        <f>COUNTIF('[2]Opportunity Pipeline'!$F:$F,"Arpit Srivastava")+ COUNTIF('[3]Opportunity Pipeline '!$F:$F,"Arpit Srivastava")</f>
        <v>2</v>
      </c>
    </row>
    <row r="19" spans="1:26" x14ac:dyDescent="0.3">
      <c r="A19">
        <v>6</v>
      </c>
      <c r="B19" s="4" t="s">
        <v>46</v>
      </c>
      <c r="C19" s="6" t="s">
        <v>41</v>
      </c>
      <c r="D19" s="7" t="s">
        <v>30</v>
      </c>
      <c r="E19" s="8" t="s">
        <v>31</v>
      </c>
      <c r="F19" s="30">
        <f>SUMIF('[1]S2 '!$B$1:$B$45,"Dennis",'[1]S2 '!$G$1:$G$45)</f>
        <v>1.05</v>
      </c>
      <c r="G19" s="31">
        <f>SUMIF('[2]Opportunity Pipeline'!$F:$F, "Dennis",'[2]Opportunity Pipeline'!$O:$O)/10^7</f>
        <v>0</v>
      </c>
      <c r="H19" s="32">
        <f t="shared" si="17"/>
        <v>0</v>
      </c>
      <c r="I19" s="30">
        <f>SUMIF('[1]S2 '!$B$1:$B$45,"Dennis",'[1]S2 '!$H$1:$H$45)</f>
        <v>1.8499999999999999</v>
      </c>
      <c r="J19" s="31">
        <f>SUMIF('[3]Opportunity Pipeline '!$F:$F,"Dennis",'[3]Opportunity Pipeline '!$O:$O)/10^7</f>
        <v>0</v>
      </c>
      <c r="K19" s="32">
        <f t="shared" si="22"/>
        <v>0</v>
      </c>
      <c r="L19" s="27" t="str">
        <f t="shared" si="22"/>
        <v>-</v>
      </c>
      <c r="M19" s="31">
        <f t="shared" si="18"/>
        <v>0</v>
      </c>
      <c r="N19" s="32" t="str">
        <f t="shared" si="19"/>
        <v>-</v>
      </c>
      <c r="O19" s="27" t="str">
        <f t="shared" si="25"/>
        <v>-</v>
      </c>
      <c r="P19" s="27" t="s">
        <v>117</v>
      </c>
      <c r="Q19" s="32" t="str">
        <f t="shared" si="20"/>
        <v>-</v>
      </c>
      <c r="R19" s="33">
        <f t="shared" si="23"/>
        <v>0</v>
      </c>
      <c r="S19" s="33">
        <f t="shared" si="24"/>
        <v>0</v>
      </c>
      <c r="T19" s="32" t="str">
        <f t="shared" si="21"/>
        <v>-</v>
      </c>
      <c r="U19" s="27">
        <f>COUNTIF('[2]Opportunity Pipeline'!$F:$F,"Dennis")+ COUNTIF('[3]Opportunity Pipeline '!$F:$F,"Dennis")</f>
        <v>0</v>
      </c>
    </row>
    <row r="20" spans="1:26" s="43" customFormat="1" x14ac:dyDescent="0.3">
      <c r="B20" s="5" t="s">
        <v>47</v>
      </c>
      <c r="F20" s="44">
        <f>SUM(F14:F19)</f>
        <v>54.849999999999994</v>
      </c>
      <c r="G20" s="44">
        <f>SUM(G14:G19)</f>
        <v>15.396570527999998</v>
      </c>
      <c r="H20" s="45">
        <f>G20/F20</f>
        <v>0.28070320014585232</v>
      </c>
      <c r="I20" s="44">
        <f t="shared" ref="I20" si="26">SUM(I14:I19)</f>
        <v>84.149999999999991</v>
      </c>
      <c r="J20" s="44">
        <f t="shared" ref="J20" si="27">SUM(J14:J19)</f>
        <v>43.361923364000006</v>
      </c>
      <c r="K20" s="45">
        <f>J20/I20</f>
        <v>0.51529320693998826</v>
      </c>
      <c r="L20" s="44">
        <f t="shared" ref="L20" si="28">SUM(L14:L19)</f>
        <v>107.75</v>
      </c>
      <c r="M20" s="44">
        <f t="shared" ref="M20" si="29">SUM(M14:M19)</f>
        <v>58.758493891999997</v>
      </c>
      <c r="N20" s="45">
        <f>M20/L20</f>
        <v>0.5453224491136891</v>
      </c>
      <c r="O20" s="44">
        <f t="shared" ref="O20" si="30">SUM(O14:O19)</f>
        <v>138.25</v>
      </c>
      <c r="P20" s="44">
        <f t="shared" ref="P20" si="31">SUM(P14:P19)</f>
        <v>0</v>
      </c>
      <c r="Q20" s="45">
        <f>P20/O20</f>
        <v>0</v>
      </c>
      <c r="R20" s="44">
        <f t="shared" ref="R20" si="32">SUM(R14:R19)</f>
        <v>246</v>
      </c>
      <c r="S20" s="44">
        <f t="shared" ref="S20" si="33">SUM(S14:S19)</f>
        <v>58.758493891999997</v>
      </c>
      <c r="T20" s="45">
        <f>S20/R20</f>
        <v>0.23885566622764226</v>
      </c>
      <c r="U20" s="46">
        <f>SUM(U14:U19)</f>
        <v>45</v>
      </c>
    </row>
    <row r="21" spans="1:26" ht="15" thickBot="1" x14ac:dyDescent="0.35"/>
    <row r="22" spans="1:26" ht="15" thickBot="1" x14ac:dyDescent="0.35">
      <c r="A22" s="70" t="s">
        <v>48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spans="1:26" x14ac:dyDescent="0.3">
      <c r="A23">
        <v>1</v>
      </c>
      <c r="B23" s="3" t="s">
        <v>49</v>
      </c>
      <c r="C23" s="6" t="s">
        <v>50</v>
      </c>
      <c r="D23" s="7" t="s">
        <v>51</v>
      </c>
      <c r="E23" s="8" t="s">
        <v>31</v>
      </c>
      <c r="F23" s="30">
        <f>SUMIF('[1]CB '!$A$1:$A$16,"Prachi Mayekar",'[1]CB '!$C$1:$C$16)</f>
        <v>7.5</v>
      </c>
      <c r="G23" s="31">
        <f>SUMIF('[2]Opportunity Pipeline'!$F:$F, "Prachi Mayekar",'[2]Opportunity Pipeline'!$O:$O)/10^7</f>
        <v>12.897684399999999</v>
      </c>
      <c r="H23" s="32">
        <f t="shared" ref="H23:H26" si="34">IFERROR(G23/F23,"-")</f>
        <v>1.7196912533333333</v>
      </c>
      <c r="I23" s="30">
        <f>SUMIF('[1]CB '!$A$1:$A$16,"Prachi Mayekar",'[1]CB '!$D$1:$D$22)</f>
        <v>7.5</v>
      </c>
      <c r="J23" s="31">
        <f>SUMIF('[3]Opportunity Pipeline '!$F:$F,"Prachi Mayekar",'[3]Opportunity Pipeline '!$O:$O)/10^7</f>
        <v>8.2155000000000005</v>
      </c>
      <c r="K23" s="32">
        <f t="shared" ref="K23:K26" si="35">IFERROR(J23/I23,"-")</f>
        <v>1.0954000000000002</v>
      </c>
      <c r="L23" s="33">
        <f>'[13]Prachi TARGET LETTER - 26-27'!$D$9/10^7</f>
        <v>15</v>
      </c>
      <c r="M23" s="31">
        <f t="shared" ref="M23:M26" si="36">SUM(G23,J23)</f>
        <v>21.113184400000002</v>
      </c>
      <c r="N23" s="32">
        <f t="shared" ref="N23:N26" si="37">IFERROR(M23/L23,"-")</f>
        <v>1.4075456266666668</v>
      </c>
      <c r="O23" s="27">
        <f>'[13]Prachi TARGET LETTER - 26-27'!$D$10/10^7</f>
        <v>18</v>
      </c>
      <c r="P23" s="27" t="s">
        <v>117</v>
      </c>
      <c r="Q23" s="32" t="str">
        <f t="shared" ref="Q23:Q26" si="38">IFERROR(P23/O23,"-")</f>
        <v>-</v>
      </c>
      <c r="R23" s="33">
        <f>SUM(L23,O23)</f>
        <v>33</v>
      </c>
      <c r="S23" s="33">
        <f>SUM(M23,P23)</f>
        <v>21.113184400000002</v>
      </c>
      <c r="T23" s="32">
        <f t="shared" ref="T23:T26" si="39">IFERROR(S23/R23,"-")</f>
        <v>0.6397934666666667</v>
      </c>
      <c r="U23" s="27">
        <f>COUNTIF('[2]Opportunity Pipeline'!$F:$F,"Prachi Mayekar")+ COUNTIF('[3]Opportunity Pipeline '!$F:$F,"Prachi Mayekar")</f>
        <v>40</v>
      </c>
    </row>
    <row r="24" spans="1:26" x14ac:dyDescent="0.3">
      <c r="A24">
        <v>2</v>
      </c>
      <c r="B24" s="3" t="s">
        <v>52</v>
      </c>
      <c r="C24" s="6" t="s">
        <v>50</v>
      </c>
      <c r="D24" s="7" t="s">
        <v>51</v>
      </c>
      <c r="E24" s="8" t="s">
        <v>31</v>
      </c>
      <c r="F24" s="30">
        <f>SUMIF('[1]CB '!$A$1:$A$16,"Shilpa Kavde",'[1]CB '!$C$1:$C$16)</f>
        <v>5</v>
      </c>
      <c r="G24" s="31">
        <f>SUMIF('[2]Opportunity Pipeline'!$F:$F, "Shilpa Kavde",'[2]Opportunity Pipeline'!$O:$O)/10^7</f>
        <v>2.9018713600000003</v>
      </c>
      <c r="H24" s="32">
        <f t="shared" si="34"/>
        <v>0.58037427200000002</v>
      </c>
      <c r="I24" s="30">
        <f>SUMIF('[1]CB '!$A$1:$A$16,"Shilpa Kavde",'[1]CB '!$D$1:$D$22)</f>
        <v>10</v>
      </c>
      <c r="J24" s="31">
        <f>SUMIF('[3]Opportunity Pipeline '!$F:$F,"Shilpa Kavde",'[3]Opportunity Pipeline '!$O:$O)/10^7</f>
        <v>0.227021</v>
      </c>
      <c r="K24" s="32">
        <f t="shared" si="35"/>
        <v>2.2702099999999999E-2</v>
      </c>
      <c r="L24" s="27">
        <f>'[14]Shilpa TARGET LETTER - 26-27'!$D$9/10^7</f>
        <v>15</v>
      </c>
      <c r="M24" s="31">
        <f t="shared" si="36"/>
        <v>3.1288923600000005</v>
      </c>
      <c r="N24" s="32">
        <f t="shared" si="37"/>
        <v>0.20859282400000004</v>
      </c>
      <c r="O24" s="27">
        <f>'[14]Shilpa TARGET LETTER - 26-27'!$D$10/10^7</f>
        <v>25</v>
      </c>
      <c r="P24" s="27" t="s">
        <v>117</v>
      </c>
      <c r="Q24" s="32" t="str">
        <f t="shared" si="38"/>
        <v>-</v>
      </c>
      <c r="R24" s="33">
        <f t="shared" ref="R24:R26" si="40">SUM(L24,O24)</f>
        <v>40</v>
      </c>
      <c r="S24" s="33">
        <f t="shared" ref="S24:S26" si="41">SUM(M24,P24)</f>
        <v>3.1288923600000005</v>
      </c>
      <c r="T24" s="32">
        <f t="shared" si="39"/>
        <v>7.8222309000000018E-2</v>
      </c>
      <c r="U24" s="27">
        <f>COUNTIF('[2]Opportunity Pipeline'!$F:$F,"Shilpa Kavde")+ COUNTIF('[3]Opportunity Pipeline '!$F:$F,"Shilpa Kavde")</f>
        <v>33</v>
      </c>
    </row>
    <row r="25" spans="1:26" x14ac:dyDescent="0.3">
      <c r="A25">
        <v>3</v>
      </c>
      <c r="B25" s="3" t="s">
        <v>53</v>
      </c>
      <c r="C25" s="6" t="s">
        <v>50</v>
      </c>
      <c r="D25" s="7" t="s">
        <v>51</v>
      </c>
      <c r="E25" s="8" t="s">
        <v>31</v>
      </c>
      <c r="F25" s="30">
        <f>SUMIF('[1]CB '!$A$1:$A$22,"Vidula Chavan",'[1]CB '!$C$1:$C$22)</f>
        <v>1</v>
      </c>
      <c r="G25" s="31">
        <f>SUMIF('[2]Opportunity Pipeline'!$F:$F, "Vidula Chawan",'[2]Opportunity Pipeline'!$O:$O)/10^7</f>
        <v>3.8400000000000001E-3</v>
      </c>
      <c r="H25" s="32">
        <f t="shared" si="34"/>
        <v>3.8400000000000001E-3</v>
      </c>
      <c r="I25" s="30">
        <f>SUMIF('[1]CB '!$A$1:$A$22,"Vidula Chavan",'[1]CB '!$D$1:$D$22)</f>
        <v>2</v>
      </c>
      <c r="J25" s="31">
        <f>SUMIF('[3]Opportunity Pipeline '!$F:$F,"Vidula Chavan",'[3]Opportunity Pipeline '!$O:$O)/10^7</f>
        <v>0</v>
      </c>
      <c r="K25" s="32">
        <f t="shared" si="35"/>
        <v>0</v>
      </c>
      <c r="L25" s="27">
        <f>'[15]Vidula TARGET LETTER - 26-27'!$D$9/10^7</f>
        <v>3</v>
      </c>
      <c r="M25" s="31">
        <f t="shared" si="36"/>
        <v>3.8400000000000001E-3</v>
      </c>
      <c r="N25" s="32">
        <f t="shared" si="37"/>
        <v>1.2800000000000001E-3</v>
      </c>
      <c r="O25" s="27">
        <f>'[15]Vidula TARGET LETTER - 26-27'!$D$10/10^7</f>
        <v>6.5</v>
      </c>
      <c r="P25" s="27" t="s">
        <v>117</v>
      </c>
      <c r="Q25" s="32" t="str">
        <f t="shared" si="38"/>
        <v>-</v>
      </c>
      <c r="R25" s="33">
        <f t="shared" si="40"/>
        <v>9.5</v>
      </c>
      <c r="S25" s="33">
        <f t="shared" si="41"/>
        <v>3.8400000000000001E-3</v>
      </c>
      <c r="T25" s="32">
        <f t="shared" si="39"/>
        <v>4.0421052631578946E-4</v>
      </c>
      <c r="U25" s="27">
        <f>COUNTIF('[2]Opportunity Pipeline'!$F:$F,"Vidula Chawan")+ COUNTIF('[3]Opportunity Pipeline '!$F:$F,"Vidula Chawan")</f>
        <v>4</v>
      </c>
    </row>
    <row r="26" spans="1:26" x14ac:dyDescent="0.3">
      <c r="A26" s="24">
        <v>4</v>
      </c>
      <c r="B26" s="20" t="s">
        <v>54</v>
      </c>
      <c r="C26" s="21" t="s">
        <v>50</v>
      </c>
      <c r="D26" s="22" t="s">
        <v>51</v>
      </c>
      <c r="E26" s="23" t="s">
        <v>35</v>
      </c>
      <c r="F26" s="34">
        <v>5</v>
      </c>
      <c r="G26" s="35">
        <f>SUMIF('[2]Opportunity Pipeline'!$F:$F, "Jimesh Shah",'[2]Opportunity Pipeline'!$O:$O)/10^7</f>
        <v>2.2727199999999999E-2</v>
      </c>
      <c r="H26" s="36">
        <f t="shared" si="34"/>
        <v>4.5454399999999996E-3</v>
      </c>
      <c r="I26" s="34">
        <v>10</v>
      </c>
      <c r="J26" s="35">
        <f>SUMIF('[3]Opportunity Pipeline '!$F:$F,"Jimesh Shah",'[3]Opportunity Pipeline '!$O:$O)/10^7</f>
        <v>2.5239999999999999E-2</v>
      </c>
      <c r="K26" s="36">
        <f t="shared" si="35"/>
        <v>2.5239999999999998E-3</v>
      </c>
      <c r="L26" s="28">
        <f>'[16]Jimesh TARGET LETTER - 26-27'!$D$9/10^7</f>
        <v>15</v>
      </c>
      <c r="M26" s="35">
        <f t="shared" si="36"/>
        <v>4.7967200000000002E-2</v>
      </c>
      <c r="N26" s="36">
        <f t="shared" si="37"/>
        <v>3.1978133333333335E-3</v>
      </c>
      <c r="O26" s="28">
        <f>'[16]Jimesh TARGET LETTER - 26-27'!$D$13/10^7</f>
        <v>30</v>
      </c>
      <c r="P26" s="28" t="s">
        <v>117</v>
      </c>
      <c r="Q26" s="36" t="str">
        <f t="shared" si="38"/>
        <v>-</v>
      </c>
      <c r="R26" s="37">
        <f t="shared" si="40"/>
        <v>45</v>
      </c>
      <c r="S26" s="37">
        <f t="shared" si="41"/>
        <v>4.7967200000000002E-2</v>
      </c>
      <c r="T26" s="36">
        <f t="shared" si="39"/>
        <v>1.0659377777777778E-3</v>
      </c>
      <c r="U26" s="28">
        <f>COUNTIF('[2]Opportunity Pipeline'!$F:$F,"Jimesh Shah")+ COUNTIF('[3]Opportunity Pipeline '!$F:$F,"Jimesh Shah")</f>
        <v>8</v>
      </c>
    </row>
    <row r="27" spans="1:26" s="43" customFormat="1" x14ac:dyDescent="0.3">
      <c r="B27" s="5" t="s">
        <v>55</v>
      </c>
      <c r="F27" s="44">
        <f>SUM(F21:F26)</f>
        <v>18.5</v>
      </c>
      <c r="G27" s="44">
        <f>SUM(G23:G25)</f>
        <v>15.803395760000001</v>
      </c>
      <c r="H27" s="45">
        <f>G27/F27</f>
        <v>0.85423760864864873</v>
      </c>
      <c r="I27" s="44">
        <f t="shared" ref="I27" si="42">SUM(I21:I26)</f>
        <v>29.5</v>
      </c>
      <c r="J27" s="44">
        <f>SUM(J23:J25)</f>
        <v>8.4425210000000011</v>
      </c>
      <c r="K27" s="45">
        <f>J27/I27</f>
        <v>0.28618715254237292</v>
      </c>
      <c r="L27" s="44">
        <f t="shared" ref="L27" si="43">SUM(L21:L26)</f>
        <v>48</v>
      </c>
      <c r="M27" s="44">
        <f>SUM(M21:M25)</f>
        <v>24.245916760000004</v>
      </c>
      <c r="N27" s="45">
        <f>M27/L27</f>
        <v>0.50512326583333345</v>
      </c>
      <c r="O27" s="44">
        <f t="shared" ref="O27" si="44">SUM(O21:O26)</f>
        <v>79.5</v>
      </c>
      <c r="P27" s="44">
        <f t="shared" ref="P27" si="45">SUM(P21:P26)</f>
        <v>0</v>
      </c>
      <c r="Q27" s="45">
        <f>P27/O27</f>
        <v>0</v>
      </c>
      <c r="R27" s="44">
        <f t="shared" ref="R27" si="46">SUM(R21:R26)</f>
        <v>127.5</v>
      </c>
      <c r="S27" s="44">
        <f>SUM(S21:S25)</f>
        <v>24.245916760000004</v>
      </c>
      <c r="T27" s="45">
        <f>S27/R27</f>
        <v>0.19016405301960787</v>
      </c>
      <c r="U27" s="46">
        <f>SUM(U21:U25)</f>
        <v>77</v>
      </c>
    </row>
    <row r="28" spans="1:26" ht="15" thickBot="1" x14ac:dyDescent="0.35"/>
    <row r="29" spans="1:26" ht="15" thickBot="1" x14ac:dyDescent="0.35">
      <c r="A29" s="70" t="s">
        <v>56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spans="1:26" x14ac:dyDescent="0.3">
      <c r="A30">
        <v>1</v>
      </c>
      <c r="B30" s="3" t="s">
        <v>57</v>
      </c>
      <c r="C30" s="6" t="s">
        <v>58</v>
      </c>
      <c r="D30" s="7" t="s">
        <v>51</v>
      </c>
      <c r="E30" s="8" t="s">
        <v>59</v>
      </c>
      <c r="F30" s="30">
        <f>SUMIF('[1]GB '!$A$1:$A$28,"Ashish",'[1]GB '!$C$1:$C$28)</f>
        <v>2</v>
      </c>
      <c r="G30" s="31">
        <f>SUMIF('[2]Opportunity Pipeline'!$F:$F, "Ashish Singh",'[2]Opportunity Pipeline'!$O:$O)/10^7</f>
        <v>1.345843057</v>
      </c>
      <c r="H30" s="32">
        <f t="shared" ref="H30:H39" si="47">IFERROR(G30/F30,"-")</f>
        <v>0.67292152849999998</v>
      </c>
      <c r="I30" s="30">
        <f>SUMIF('[1]GB '!$A$1:$A$28,"Ashish",'[1]GB '!$D$1:$D$28)</f>
        <v>3</v>
      </c>
      <c r="J30" s="31">
        <f>SUMIF('[3]Opportunity Pipeline '!$F:$F,"Ashish Singh",'[3]Opportunity Pipeline '!$O:$O)/10^7</f>
        <v>7.8503000000000003E-2</v>
      </c>
      <c r="K30" s="32">
        <f t="shared" ref="K30:K38" si="48">IFERROR(J30/I30,"-")</f>
        <v>2.6167666666666669E-2</v>
      </c>
      <c r="L30" s="33">
        <f>'[17]Ashish  Target Letter 26 27 '!$D$9/10^7</f>
        <v>5</v>
      </c>
      <c r="M30" s="31">
        <f t="shared" ref="M30:M40" si="49">SUM(G30,J30)</f>
        <v>1.4243460569999999</v>
      </c>
      <c r="N30" s="32">
        <f t="shared" ref="N30:N39" si="50">IFERROR(M30/L30,"-")</f>
        <v>0.28486921139999999</v>
      </c>
      <c r="O30" s="27">
        <f>'[17]Ashish  Target Letter 26 27 '!$D$10/10^7</f>
        <v>10</v>
      </c>
      <c r="P30" s="27" t="s">
        <v>117</v>
      </c>
      <c r="Q30" s="32" t="str">
        <f t="shared" ref="Q30:Q39" si="51">IFERROR(P30/O30,"-")</f>
        <v>-</v>
      </c>
      <c r="R30" s="33">
        <f>SUM(L30,O30)</f>
        <v>15</v>
      </c>
      <c r="S30" s="33">
        <f>SUM(M30,P30)</f>
        <v>1.4243460569999999</v>
      </c>
      <c r="T30" s="32">
        <f t="shared" ref="T30:T39" si="52">IFERROR(S30/R30,"-")</f>
        <v>9.4956403799999992E-2</v>
      </c>
      <c r="U30" s="27">
        <f>COUNTIF('[2]Opportunity Pipeline'!$F:$F,"Ashish Singh")+ COUNTIF('[3]Opportunity Pipeline '!$F:$F,"Ashish Singh")</f>
        <v>12</v>
      </c>
    </row>
    <row r="31" spans="1:26" x14ac:dyDescent="0.3">
      <c r="A31">
        <v>2</v>
      </c>
      <c r="B31" s="3" t="s">
        <v>60</v>
      </c>
      <c r="C31" s="6" t="s">
        <v>58</v>
      </c>
      <c r="D31" s="7" t="s">
        <v>51</v>
      </c>
      <c r="E31" s="8" t="s">
        <v>59</v>
      </c>
      <c r="F31" s="30">
        <f>'[18]Rima Target Letter 26 27 '!$D$9/10^7</f>
        <v>3</v>
      </c>
      <c r="G31" s="31">
        <f>SUMIF('[2]Opportunity Pipeline'!$F:$F, "Rima Ingle",'[2]Opportunity Pipeline'!$O:$O)/10^7</f>
        <v>0</v>
      </c>
      <c r="H31" s="32">
        <f t="shared" si="47"/>
        <v>0</v>
      </c>
      <c r="I31" s="30">
        <f>'[18]Rima Target Letter 26 27 '!$D$10/10^7</f>
        <v>5</v>
      </c>
      <c r="J31" s="31">
        <f>SUMIF('[3]Opportunity Pipeline '!$F:$F,"Rima Ingle",'[3]Opportunity Pipeline '!$O:$O)/10^7</f>
        <v>11.929470999999999</v>
      </c>
      <c r="K31" s="32">
        <f t="shared" si="48"/>
        <v>2.3858942000000001</v>
      </c>
      <c r="L31" s="33">
        <f>'[18]Rima Target Letter 26 27 '!$D$9/10^7</f>
        <v>3</v>
      </c>
      <c r="M31" s="31">
        <f t="shared" si="49"/>
        <v>11.929470999999999</v>
      </c>
      <c r="N31" s="32">
        <f t="shared" si="50"/>
        <v>3.976490333333333</v>
      </c>
      <c r="O31" s="27">
        <f>'[18]Rima Target Letter 26 27 '!$D$10/10^7</f>
        <v>5</v>
      </c>
      <c r="P31" s="27" t="s">
        <v>117</v>
      </c>
      <c r="Q31" s="32" t="str">
        <f t="shared" si="51"/>
        <v>-</v>
      </c>
      <c r="R31" s="33">
        <f t="shared" ref="R31:R39" si="53">SUM(L31,O31)</f>
        <v>8</v>
      </c>
      <c r="S31" s="33">
        <f t="shared" ref="S31:S39" si="54">SUM(M31,P31)</f>
        <v>11.929470999999999</v>
      </c>
      <c r="T31" s="32">
        <f t="shared" si="52"/>
        <v>1.4911838749999999</v>
      </c>
      <c r="U31" s="27">
        <f>COUNTIF('[2]Opportunity Pipeline'!$F:$F,"Rima Ingle")+ COUNTIF('[3]Opportunity Pipeline '!$F:$F,"Rima Ingle")</f>
        <v>3</v>
      </c>
    </row>
    <row r="32" spans="1:26" x14ac:dyDescent="0.3">
      <c r="A32">
        <v>3</v>
      </c>
      <c r="B32" s="3" t="s">
        <v>61</v>
      </c>
      <c r="C32" s="6" t="s">
        <v>58</v>
      </c>
      <c r="D32" s="7" t="s">
        <v>51</v>
      </c>
      <c r="E32" s="8" t="s">
        <v>62</v>
      </c>
      <c r="F32" s="30">
        <f>SUMIF('[1]GB '!$A$1:$A$28,"Ayushaman",'[1]GB '!$C$1:$C$28)</f>
        <v>1</v>
      </c>
      <c r="G32" s="31">
        <f>SUMIF('[2]Opportunity Pipeline'!$F:$F, "Ayushman Singh",'[2]Opportunity Pipeline'!$O:$O)/10^7</f>
        <v>0.30205890000000002</v>
      </c>
      <c r="H32" s="32">
        <f t="shared" si="47"/>
        <v>0.30205890000000002</v>
      </c>
      <c r="I32" s="30">
        <f>SUMIF('[1]GB '!$A$1:$A$28,"Ayushaman",'[1]GB '!$D$1:$D$28)</f>
        <v>2</v>
      </c>
      <c r="J32" s="31">
        <f>SUMIF('[3]Opportunity Pipeline '!$F:$F,"Ayushman Singh",'[3]Opportunity Pipeline '!$O:$O)/10^7</f>
        <v>4.4487400000000003E-2</v>
      </c>
      <c r="K32" s="32">
        <f t="shared" si="48"/>
        <v>2.2243700000000002E-2</v>
      </c>
      <c r="L32" s="33">
        <f>'[19]Ayushman-TARGET LETTER - 26-27'!$D$9/10^7</f>
        <v>3</v>
      </c>
      <c r="M32" s="31">
        <f t="shared" si="49"/>
        <v>0.34654630000000003</v>
      </c>
      <c r="N32" s="32">
        <f t="shared" si="50"/>
        <v>0.11551543333333335</v>
      </c>
      <c r="O32" s="27">
        <f>'[19]Ayushman-TARGET LETTER - 26-27'!$D$10/10^7</f>
        <v>9</v>
      </c>
      <c r="P32" s="27" t="s">
        <v>117</v>
      </c>
      <c r="Q32" s="32" t="str">
        <f t="shared" si="51"/>
        <v>-</v>
      </c>
      <c r="R32" s="33">
        <f t="shared" si="53"/>
        <v>12</v>
      </c>
      <c r="S32" s="33">
        <f t="shared" si="54"/>
        <v>0.34654630000000003</v>
      </c>
      <c r="T32" s="32">
        <f t="shared" si="52"/>
        <v>2.8878858333333337E-2</v>
      </c>
      <c r="U32" s="27">
        <f>COUNTIF('[2]Opportunity Pipeline'!$F:$F,"Ayushman Singh")+ COUNTIF('[3]Opportunity Pipeline '!$F:$F,"Ayushman Singh")</f>
        <v>5</v>
      </c>
    </row>
    <row r="33" spans="1:26" x14ac:dyDescent="0.3">
      <c r="A33">
        <v>4</v>
      </c>
      <c r="B33" s="3" t="s">
        <v>63</v>
      </c>
      <c r="C33" s="6" t="s">
        <v>58</v>
      </c>
      <c r="D33" s="7" t="s">
        <v>51</v>
      </c>
      <c r="E33" s="8" t="s">
        <v>62</v>
      </c>
      <c r="F33" s="30">
        <f>SUMIF('[1]GB '!$A$1:$A$28,"Shubhangi",'[1]GB '!$C$1:$C$28)</f>
        <v>2</v>
      </c>
      <c r="G33" s="31">
        <f>SUMIF('[2]Opportunity Pipeline'!$F:$F, "Shubhangi Srinivasan",'[2]Opportunity Pipeline'!$O:$O)/10^7</f>
        <v>5.5185175610000003</v>
      </c>
      <c r="H33" s="32">
        <f t="shared" si="47"/>
        <v>2.7592587805000002</v>
      </c>
      <c r="I33" s="30">
        <f>SUMIF('[1]GB '!$A$1:$A$28,"Shubhangi",'[1]GB '!$D$1:$D$28)</f>
        <v>3</v>
      </c>
      <c r="J33" s="31">
        <f>SUMIF('[3]Opportunity Pipeline '!$F:$F,"Shubhangi Srinivasan",'[3]Opportunity Pipeline '!$O:$O)/10^7</f>
        <v>0.91121249999999998</v>
      </c>
      <c r="K33" s="32">
        <f t="shared" si="48"/>
        <v>0.30373749999999999</v>
      </c>
      <c r="L33" s="33">
        <f>'[20]Shubhangi-TARGET LETTER - 26-27'!$D$9/10^7</f>
        <v>5</v>
      </c>
      <c r="M33" s="31">
        <f t="shared" si="49"/>
        <v>6.4297300610000008</v>
      </c>
      <c r="N33" s="32">
        <f t="shared" si="50"/>
        <v>1.2859460122000002</v>
      </c>
      <c r="O33" s="27">
        <f>'[20]Shubhangi-TARGET LETTER - 26-27'!$D$10/10^7</f>
        <v>10</v>
      </c>
      <c r="P33" s="27" t="s">
        <v>117</v>
      </c>
      <c r="Q33" s="32" t="str">
        <f t="shared" si="51"/>
        <v>-</v>
      </c>
      <c r="R33" s="33">
        <f t="shared" si="53"/>
        <v>15</v>
      </c>
      <c r="S33" s="33">
        <f t="shared" si="54"/>
        <v>6.4297300610000008</v>
      </c>
      <c r="T33" s="32">
        <f t="shared" si="52"/>
        <v>0.4286486707333334</v>
      </c>
      <c r="U33" s="27">
        <f>COUNTIF('[2]Opportunity Pipeline'!$F:$F,"Shubhangi Srinivasan")+ COUNTIF('[3]Opportunity Pipeline '!$F:$F,"Shubhangi Srinivasan")</f>
        <v>16</v>
      </c>
    </row>
    <row r="34" spans="1:26" x14ac:dyDescent="0.3">
      <c r="A34">
        <v>5</v>
      </c>
      <c r="B34" s="3" t="s">
        <v>64</v>
      </c>
      <c r="C34" s="6" t="s">
        <v>58</v>
      </c>
      <c r="D34" s="7" t="s">
        <v>51</v>
      </c>
      <c r="E34" s="8" t="s">
        <v>31</v>
      </c>
      <c r="F34" s="30">
        <f>SUMIF('[1]GB '!$A$1:$A$28,"Atharva Kapre",'[1]GB '!$C$1:$C$28)</f>
        <v>3</v>
      </c>
      <c r="G34" s="31">
        <f>SUMIF('[2]Opportunity Pipeline'!$F:$F, "Atharva Karpe",'[2]Opportunity Pipeline'!$O:$O)/10^7</f>
        <v>6.4578696999999998</v>
      </c>
      <c r="H34" s="32">
        <f t="shared" si="47"/>
        <v>2.1526232333333333</v>
      </c>
      <c r="I34" s="30">
        <f>SUMIF('[1]GB '!$A$1:$A$28,"Atharva Kapre",'[1]GB '!$D$1:$D$28)</f>
        <v>1</v>
      </c>
      <c r="J34" s="31">
        <f>SUMIF('[3]Opportunity Pipeline '!$F:$F,"Atharva Karpe",'[3]Opportunity Pipeline '!$O:$O)/10^7</f>
        <v>1.802E-3</v>
      </c>
      <c r="K34" s="32">
        <f t="shared" si="48"/>
        <v>1.802E-3</v>
      </c>
      <c r="L34" s="33">
        <f>'[21]Atharva -TARGET LETTER - 26-27'!$D$9/10^7</f>
        <v>4</v>
      </c>
      <c r="M34" s="31">
        <f t="shared" si="49"/>
        <v>6.4596716999999995</v>
      </c>
      <c r="N34" s="32">
        <f t="shared" si="50"/>
        <v>1.6149179249999999</v>
      </c>
      <c r="O34" s="27">
        <f>'[21]Atharva -TARGET LETTER - 26-27'!$D$10/10^7</f>
        <v>4</v>
      </c>
      <c r="P34" s="27" t="s">
        <v>117</v>
      </c>
      <c r="Q34" s="32" t="str">
        <f t="shared" si="51"/>
        <v>-</v>
      </c>
      <c r="R34" s="33">
        <f t="shared" si="53"/>
        <v>8</v>
      </c>
      <c r="S34" s="33">
        <f t="shared" si="54"/>
        <v>6.4596716999999995</v>
      </c>
      <c r="T34" s="32">
        <f t="shared" si="52"/>
        <v>0.80745896249999993</v>
      </c>
      <c r="U34" s="27">
        <f>COUNTIF('[2]Opportunity Pipeline'!$F:$F,"Atharva Karpe")+ COUNTIF('[3]Opportunity Pipeline '!$F:$F,"Atharva Karpe")</f>
        <v>13</v>
      </c>
    </row>
    <row r="35" spans="1:26" x14ac:dyDescent="0.3">
      <c r="A35">
        <v>6</v>
      </c>
      <c r="B35" s="3" t="s">
        <v>65</v>
      </c>
      <c r="C35" s="6" t="s">
        <v>58</v>
      </c>
      <c r="D35" s="7" t="s">
        <v>51</v>
      </c>
      <c r="E35" s="8" t="s">
        <v>31</v>
      </c>
      <c r="F35" s="30">
        <f>SUMIF('[1]GB '!$A$1:$A$28,"Jay Rushi",'[1]GB '!$C$1:$C$28)</f>
        <v>1</v>
      </c>
      <c r="G35" s="31">
        <f>SUMIF('[2]Opportunity Pipeline'!$F:$F, "Jay Rushi",'[2]Opportunity Pipeline'!$O:$O)/10^7</f>
        <v>1.4900933999999999</v>
      </c>
      <c r="H35" s="32">
        <f t="shared" si="47"/>
        <v>1.4900933999999999</v>
      </c>
      <c r="I35" s="30">
        <f>SUMIF('[1]GB '!$A$1:$A$28,"Jay Rushi",'[1]GB '!$D$1:$D$28)</f>
        <v>2</v>
      </c>
      <c r="J35" s="31">
        <f>SUMIF('[3]Opportunity Pipeline '!$F:$F,"Jay Rushi",'[3]Opportunity Pipeline '!$O:$O)/10^7</f>
        <v>0.29004410000000003</v>
      </c>
      <c r="K35" s="32">
        <f t="shared" si="48"/>
        <v>0.14502205000000001</v>
      </c>
      <c r="L35" s="33">
        <f>'[22]Jay Rushi TARGET LETTER - 26-27'!$D$9/10^7</f>
        <v>3</v>
      </c>
      <c r="M35" s="31">
        <f t="shared" si="49"/>
        <v>1.7801374999999999</v>
      </c>
      <c r="N35" s="32">
        <f t="shared" si="50"/>
        <v>0.59337916666666668</v>
      </c>
      <c r="O35" s="27">
        <f>'[22]Jay Rushi TARGET LETTER - 26-27'!$D$10/10^7</f>
        <v>5</v>
      </c>
      <c r="P35" s="27" t="s">
        <v>117</v>
      </c>
      <c r="Q35" s="32" t="str">
        <f t="shared" si="51"/>
        <v>-</v>
      </c>
      <c r="R35" s="33">
        <f t="shared" si="53"/>
        <v>8</v>
      </c>
      <c r="S35" s="33">
        <f t="shared" si="54"/>
        <v>1.7801374999999999</v>
      </c>
      <c r="T35" s="32">
        <f t="shared" si="52"/>
        <v>0.22251718749999999</v>
      </c>
      <c r="U35" s="27">
        <f>COUNTIF('[2]Opportunity Pipeline'!$F:$F,"Jay Rushi")+ COUNTIF('[3]Opportunity Pipeline '!$F:$F,"Jay Rushi")</f>
        <v>18</v>
      </c>
    </row>
    <row r="36" spans="1:26" x14ac:dyDescent="0.3">
      <c r="A36" s="24">
        <v>7</v>
      </c>
      <c r="B36" s="20" t="s">
        <v>66</v>
      </c>
      <c r="C36" s="21" t="s">
        <v>58</v>
      </c>
      <c r="D36" s="22" t="s">
        <v>51</v>
      </c>
      <c r="E36" s="23" t="s">
        <v>35</v>
      </c>
      <c r="F36" s="39" t="s">
        <v>117</v>
      </c>
      <c r="G36" s="35">
        <f>SUMIF('[2]Opportunity Pipeline'!$F:$F, "Sana",'[2]Opportunity Pipeline'!$O:$O)/10^7</f>
        <v>0</v>
      </c>
      <c r="H36" s="36" t="str">
        <f t="shared" si="47"/>
        <v>-</v>
      </c>
      <c r="I36" s="39" t="s">
        <v>117</v>
      </c>
      <c r="J36" s="35">
        <f>SUMIF('[3]Opportunity Pipeline '!$F:$F,"Sana",'[3]Opportunity Pipeline '!$O:$O)/10^7</f>
        <v>0</v>
      </c>
      <c r="K36" s="36" t="str">
        <f t="shared" si="48"/>
        <v>-</v>
      </c>
      <c r="L36" s="37">
        <f>'[23]SANA -TARGET LETTER - 26-27'!$D$9/10^7</f>
        <v>3.2</v>
      </c>
      <c r="M36" s="35">
        <f t="shared" si="49"/>
        <v>0</v>
      </c>
      <c r="N36" s="36">
        <f t="shared" si="50"/>
        <v>0</v>
      </c>
      <c r="O36" s="28">
        <f>'[23]SANA -TARGET LETTER - 26-27'!$D$14/10^7</f>
        <v>6.8</v>
      </c>
      <c r="P36" s="28" t="s">
        <v>117</v>
      </c>
      <c r="Q36" s="36" t="str">
        <f t="shared" si="51"/>
        <v>-</v>
      </c>
      <c r="R36" s="37">
        <f t="shared" si="53"/>
        <v>10</v>
      </c>
      <c r="S36" s="37">
        <f t="shared" si="54"/>
        <v>0</v>
      </c>
      <c r="T36" s="36">
        <f t="shared" si="52"/>
        <v>0</v>
      </c>
      <c r="U36" s="28">
        <f>COUNTIF('[2]Opportunity Pipeline'!$F:$F,"Sana")+ COUNTIF('[3]Opportunity Pipeline '!$F:$F,"Sana")</f>
        <v>0</v>
      </c>
    </row>
    <row r="37" spans="1:26" x14ac:dyDescent="0.3">
      <c r="A37">
        <v>8</v>
      </c>
      <c r="B37" s="3" t="s">
        <v>67</v>
      </c>
      <c r="C37" s="6" t="s">
        <v>58</v>
      </c>
      <c r="D37" s="7" t="s">
        <v>51</v>
      </c>
      <c r="E37" s="8" t="s">
        <v>31</v>
      </c>
      <c r="F37" s="30">
        <f>SUMIF('[1]GB '!$A$1:$A$28,"Bhumi ",'[1]GB '!$C$1:$C$28)</f>
        <v>0.1</v>
      </c>
      <c r="G37" s="31">
        <f>SUMIF('[2]Opportunity Pipeline'!$F:$F, "Bhumi",'[2]Opportunity Pipeline'!$O:$O)/10^7</f>
        <v>0</v>
      </c>
      <c r="H37" s="32">
        <f t="shared" si="47"/>
        <v>0</v>
      </c>
      <c r="I37" s="30">
        <f>SUMIF('[1]GB '!$A$1:$A$28,"Bhumi ",'[1]GB '!$D$1:$D$28)</f>
        <v>0.5</v>
      </c>
      <c r="J37" s="31">
        <f>SUMIF('[3]Opportunity Pipeline '!$F:$F,"Bhumi Karelia",'[3]Opportunity Pipeline '!$O:$O)/10^7</f>
        <v>0</v>
      </c>
      <c r="K37" s="32">
        <f t="shared" si="48"/>
        <v>0</v>
      </c>
      <c r="L37" s="33">
        <f>'[24]Bhumi Target Letter 26 27 '!$D$9/10^7</f>
        <v>0.6</v>
      </c>
      <c r="M37" s="31">
        <f t="shared" si="49"/>
        <v>0</v>
      </c>
      <c r="N37" s="32">
        <f t="shared" si="50"/>
        <v>0</v>
      </c>
      <c r="O37" s="27">
        <f>'[24]Bhumi Target Letter 26 27 '!$D$10/10^7</f>
        <v>1.4</v>
      </c>
      <c r="P37" s="27" t="s">
        <v>117</v>
      </c>
      <c r="Q37" s="32" t="str">
        <f t="shared" si="51"/>
        <v>-</v>
      </c>
      <c r="R37" s="33">
        <f t="shared" si="53"/>
        <v>2</v>
      </c>
      <c r="S37" s="33">
        <f t="shared" si="54"/>
        <v>0</v>
      </c>
      <c r="T37" s="32">
        <f t="shared" si="52"/>
        <v>0</v>
      </c>
      <c r="U37" s="27">
        <f>COUNTIF('[2]Opportunity Pipeline'!$F:$F,"Bhumi Karelia")+ COUNTIF('[3]Opportunity Pipeline '!$F:$F,"Bhumi Karelia")</f>
        <v>0</v>
      </c>
    </row>
    <row r="38" spans="1:26" x14ac:dyDescent="0.3">
      <c r="A38">
        <v>9</v>
      </c>
      <c r="B38" s="3" t="s">
        <v>68</v>
      </c>
      <c r="C38" s="6" t="s">
        <v>58</v>
      </c>
      <c r="D38" s="7" t="s">
        <v>51</v>
      </c>
      <c r="E38" s="8" t="s">
        <v>31</v>
      </c>
      <c r="F38" s="30">
        <f>SUMIF('[1]GB '!$A$1:$A$28,"Rizwana (ISR/OSR)",'[1]GB '!$C$1:$C$28)</f>
        <v>0.5</v>
      </c>
      <c r="G38" s="31">
        <f>SUMIF('[2]Opportunity Pipeline'!$F:$F, "Rizwana",'[2]Opportunity Pipeline'!$O:$O)/10^7</f>
        <v>0</v>
      </c>
      <c r="H38" s="32">
        <f t="shared" si="47"/>
        <v>0</v>
      </c>
      <c r="I38" s="30">
        <f>SUMIF('[1]GB '!$A$1:$A$28,"Rizwana (ISR/OSR)",'[1]GB '!$D$1:$D$28)</f>
        <v>1</v>
      </c>
      <c r="J38" s="31">
        <f>SUMIF('[3]Opportunity Pipeline '!$F:$F,"Rizwana Khan",'[3]Opportunity Pipeline '!$O:$O)/10^7</f>
        <v>0</v>
      </c>
      <c r="K38" s="32">
        <f t="shared" si="48"/>
        <v>0</v>
      </c>
      <c r="L38" s="33">
        <f>'[25]Rizwana Target Letter 26 27 '!$D$9/10^7</f>
        <v>1.5</v>
      </c>
      <c r="M38" s="31">
        <f t="shared" si="49"/>
        <v>0</v>
      </c>
      <c r="N38" s="32">
        <f t="shared" si="50"/>
        <v>0</v>
      </c>
      <c r="O38" s="27">
        <f>'[25]Rizwana Target Letter 26 27 '!$D$10/10^7</f>
        <v>3.5</v>
      </c>
      <c r="P38" s="27" t="s">
        <v>117</v>
      </c>
      <c r="Q38" s="32" t="str">
        <f t="shared" si="51"/>
        <v>-</v>
      </c>
      <c r="R38" s="33">
        <f t="shared" si="53"/>
        <v>5</v>
      </c>
      <c r="S38" s="33">
        <f t="shared" si="54"/>
        <v>0</v>
      </c>
      <c r="T38" s="32">
        <f t="shared" si="52"/>
        <v>0</v>
      </c>
      <c r="U38" s="27">
        <f>COUNTIF('[2]Opportunity Pipeline'!$F:$F,"Rizwana Khan")+ COUNTIF('[3]Opportunity Pipeline '!$F:$F,"Rizwana Khan")</f>
        <v>0</v>
      </c>
    </row>
    <row r="39" spans="1:26" x14ac:dyDescent="0.3">
      <c r="A39">
        <v>10</v>
      </c>
      <c r="B39" s="3" t="s">
        <v>69</v>
      </c>
      <c r="C39" s="6" t="s">
        <v>58</v>
      </c>
      <c r="D39" s="7" t="s">
        <v>51</v>
      </c>
      <c r="E39" s="8" t="s">
        <v>31</v>
      </c>
      <c r="F39" s="30">
        <f>SUMIF('[1]GB '!$A$1:$A$28,"Suyesh",'[1]GB '!$C$1:$C$28)</f>
        <v>0.1</v>
      </c>
      <c r="G39" s="31">
        <f>SUMIF('[2]Opportunity Pipeline'!$F:$F, "Suvesh Malakar",'[2]Opportunity Pipeline'!$O:$O)/10^7</f>
        <v>0</v>
      </c>
      <c r="H39" s="32">
        <f t="shared" si="47"/>
        <v>0</v>
      </c>
      <c r="I39" s="30">
        <f>SUMIF('[1]GB '!$A$1:$A$28,"Suyesh",'[1]GB '!$D$1:$D$28)</f>
        <v>0.5</v>
      </c>
      <c r="J39" s="31">
        <f>SUMIF('[3]Opportunity Pipeline '!$F:$F,"Suvesh Malakar",'[3]Opportunity Pipeline '!$O:$O)/10^7</f>
        <v>0</v>
      </c>
      <c r="K39" s="32">
        <f t="shared" ref="K39:K40" si="55">IFERROR(J39/I39,"-")</f>
        <v>0</v>
      </c>
      <c r="L39" s="33">
        <f>'[26]Suvesh- Target Letter 26 27 '!$D$9/10^7</f>
        <v>0.6</v>
      </c>
      <c r="M39" s="31">
        <f t="shared" si="49"/>
        <v>0</v>
      </c>
      <c r="N39" s="32">
        <f t="shared" si="50"/>
        <v>0</v>
      </c>
      <c r="O39" s="27">
        <f>'[26]Suvesh- Target Letter 26 27 '!$D$10/10^7</f>
        <v>1.4</v>
      </c>
      <c r="P39" s="27" t="s">
        <v>117</v>
      </c>
      <c r="Q39" s="32" t="str">
        <f t="shared" si="51"/>
        <v>-</v>
      </c>
      <c r="R39" s="33">
        <f t="shared" si="53"/>
        <v>2</v>
      </c>
      <c r="S39" s="33">
        <f t="shared" si="54"/>
        <v>0</v>
      </c>
      <c r="T39" s="32">
        <f t="shared" si="52"/>
        <v>0</v>
      </c>
      <c r="U39" s="27">
        <f>COUNTIF('[2]Opportunity Pipeline'!$F:$F,"Suvesh Malakar")+ COUNTIF('[3]Opportunity Pipeline '!$F:$F,"Suvesh Malakar")</f>
        <v>0</v>
      </c>
    </row>
    <row r="40" spans="1:26" x14ac:dyDescent="0.3">
      <c r="A40">
        <v>11</v>
      </c>
      <c r="B40" s="3" t="s">
        <v>120</v>
      </c>
      <c r="C40" s="6" t="s">
        <v>58</v>
      </c>
      <c r="D40" s="7" t="s">
        <v>51</v>
      </c>
      <c r="E40" s="8" t="s">
        <v>31</v>
      </c>
      <c r="F40" s="30">
        <f>SUMIF('[1]GB '!$A$1:$A$28,"Varunkumar Mishra",'[1]GB '!$C$1:$C$28)</f>
        <v>0</v>
      </c>
      <c r="G40" s="31">
        <f>SUMIF('[2]Opportunity Pipeline'!$F:$F, "Varunkumar Mishra",'[2]Opportunity Pipeline'!$O:$O)/10^7</f>
        <v>0</v>
      </c>
      <c r="H40" s="32" t="str">
        <f t="shared" ref="H40" si="56">IFERROR(G40/F40,"-")</f>
        <v>-</v>
      </c>
      <c r="I40" s="30">
        <f>SUMIF('[1]GB '!$A$1:$A$28,"Varunkumar Mishra",'[1]GB '!$D$1:$D$28)</f>
        <v>0</v>
      </c>
      <c r="J40" s="31">
        <f>SUMIF('[3]Opportunity Pipeline '!$F:$F,"Varunkumar Mishra",'[3]Opportunity Pipeline '!$O:$O)/10^7</f>
        <v>9.5562800000000003E-2</v>
      </c>
      <c r="K40" s="32" t="str">
        <f t="shared" si="55"/>
        <v>-</v>
      </c>
      <c r="L40" s="33" t="s">
        <v>117</v>
      </c>
      <c r="M40" s="31">
        <f t="shared" si="49"/>
        <v>9.5562800000000003E-2</v>
      </c>
      <c r="N40" s="32" t="str">
        <f t="shared" ref="N40" si="57">IFERROR(M40/L40,"-")</f>
        <v>-</v>
      </c>
      <c r="O40" s="27">
        <f>'[26]Suvesh- Target Letter 26 27 '!$D$10/10^7</f>
        <v>1.4</v>
      </c>
      <c r="P40" s="27" t="s">
        <v>117</v>
      </c>
      <c r="Q40" s="32" t="str">
        <f t="shared" ref="Q40" si="58">IFERROR(P40/O40,"-")</f>
        <v>-</v>
      </c>
      <c r="R40" s="33">
        <f t="shared" ref="R40" si="59">SUM(L40,O40)</f>
        <v>1.4</v>
      </c>
      <c r="S40" s="33">
        <f t="shared" ref="S40" si="60">SUM(M40,P40)</f>
        <v>9.5562800000000003E-2</v>
      </c>
      <c r="T40" s="32">
        <f t="shared" ref="T40" si="61">IFERROR(S40/R40,"-")</f>
        <v>6.8259142857142865E-2</v>
      </c>
      <c r="U40" s="27">
        <f>COUNTIF('[2]Opportunity Pipeline'!$F:$F,"Varunkumar Mishra")+ COUNTIF('[3]Opportunity Pipeline '!$F:$F,"Varunkumar Mishra")</f>
        <v>2</v>
      </c>
    </row>
    <row r="41" spans="1:26" s="43" customFormat="1" x14ac:dyDescent="0.3">
      <c r="B41" s="5" t="s">
        <v>70</v>
      </c>
      <c r="F41" s="44">
        <f>SUM(F34:F39)</f>
        <v>4.6999999999999993</v>
      </c>
      <c r="G41" s="44">
        <f>SUM(G30:G40)</f>
        <v>15.114382618</v>
      </c>
      <c r="H41" s="45">
        <f>G41/F41</f>
        <v>3.2158260889361707</v>
      </c>
      <c r="I41" s="44">
        <f>SUM(I34:I39)</f>
        <v>5</v>
      </c>
      <c r="J41" s="44">
        <f>SUM(J30:J40)</f>
        <v>13.351082799999997</v>
      </c>
      <c r="K41" s="45">
        <f>J41/I41</f>
        <v>2.6702165599999992</v>
      </c>
      <c r="L41" s="44">
        <f>SUM(L34:L39)</f>
        <v>12.899999999999999</v>
      </c>
      <c r="M41" s="44">
        <f>SUM(M30:M40)</f>
        <v>28.465465418000001</v>
      </c>
      <c r="N41" s="45">
        <f>M41/L41</f>
        <v>2.2066252262015507</v>
      </c>
      <c r="O41" s="44">
        <f>SUM(O34:O39)</f>
        <v>22.099999999999998</v>
      </c>
      <c r="P41" s="44">
        <f>SUM(P34:P39)</f>
        <v>0</v>
      </c>
      <c r="Q41" s="45">
        <f>P41/O41</f>
        <v>0</v>
      </c>
      <c r="R41" s="44">
        <f>SUM(R34:R39)</f>
        <v>35</v>
      </c>
      <c r="S41" s="44">
        <f>SUM(S30:S40)</f>
        <v>28.465465418000001</v>
      </c>
      <c r="T41" s="45">
        <f>S41/R41</f>
        <v>0.81329901194285714</v>
      </c>
      <c r="U41" s="46">
        <f>SUM(U30:U40)</f>
        <v>69</v>
      </c>
    </row>
    <row r="42" spans="1:26" ht="15" thickBot="1" x14ac:dyDescent="0.35"/>
    <row r="43" spans="1:26" ht="15" thickBot="1" x14ac:dyDescent="0.35">
      <c r="A43" s="70" t="s">
        <v>71</v>
      </c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1:26" x14ac:dyDescent="0.3">
      <c r="A44">
        <v>1</v>
      </c>
      <c r="B44" s="3" t="s">
        <v>72</v>
      </c>
      <c r="C44" s="6" t="s">
        <v>73</v>
      </c>
      <c r="D44" s="7" t="s">
        <v>51</v>
      </c>
      <c r="E44" s="8" t="s">
        <v>31</v>
      </c>
      <c r="F44" s="30">
        <f>SUMIF('[1]South '!$B$1:$B$28,"Abrar Altaf Menon",'[1]South '!$D$1:$D$28)</f>
        <v>2</v>
      </c>
      <c r="G44" s="31">
        <f>SUMIF('[2]Opportunity Pipeline'!$F:$F, "Abrar Memon",'[2]Opportunity Pipeline'!$O:$O)/10^7</f>
        <v>4.1457089000000003E-2</v>
      </c>
      <c r="H44" s="32">
        <f t="shared" ref="H44:H47" si="62">IFERROR(G44/F44,"-")</f>
        <v>2.0728544500000001E-2</v>
      </c>
      <c r="I44" s="30">
        <f>SUMIF('[1]South '!$B$1:$B$28,"Abrar Altaf Menon",'[1]South '!$E$1:$E$28)</f>
        <v>2</v>
      </c>
      <c r="J44" s="31">
        <f>SUMIF('[3]Opportunity Pipeline '!$F:$F,"Abrar Memon",'[3]Opportunity Pipeline '!$O:$O)/10^7</f>
        <v>0.48780000000000001</v>
      </c>
      <c r="K44" s="32">
        <f t="shared" ref="K44:K47" si="63">IFERROR(J44/I44,"-")</f>
        <v>0.24390000000000001</v>
      </c>
      <c r="L44" s="33">
        <f>'[27]Abrar TARGET LETTER - 26-27'!$D$9/10^7</f>
        <v>4</v>
      </c>
      <c r="M44" s="31">
        <f t="shared" ref="M44:M47" si="64">SUM(G44,J44)</f>
        <v>0.52925708900000001</v>
      </c>
      <c r="N44" s="32">
        <f t="shared" ref="N44:N47" si="65">IFERROR(M44/L44,"-")</f>
        <v>0.13231427225</v>
      </c>
      <c r="O44" s="27">
        <f>'[27]Abrar TARGET LETTER - 26-27'!$D$10/10^7</f>
        <v>4</v>
      </c>
      <c r="P44" s="27" t="s">
        <v>117</v>
      </c>
      <c r="Q44" s="32" t="str">
        <f t="shared" ref="Q44:Q47" si="66">IFERROR(P44/O44,"-")</f>
        <v>-</v>
      </c>
      <c r="R44" s="33">
        <f t="shared" ref="R44:R47" si="67">SUM(L44,O44)</f>
        <v>8</v>
      </c>
      <c r="S44" s="33">
        <f t="shared" ref="S44:S47" si="68">SUM(M44,P44)</f>
        <v>0.52925708900000001</v>
      </c>
      <c r="T44" s="32">
        <f t="shared" ref="T44:T47" si="69">IFERROR(S44/R44,"-")</f>
        <v>6.6157136125000002E-2</v>
      </c>
      <c r="U44" s="27">
        <f>COUNTIF('[2]Opportunity Pipeline'!$F:$F,"Abrar Memon")+ COUNTIF('[3]Opportunity Pipeline '!$F:$F,"Abrar Memon")</f>
        <v>9</v>
      </c>
    </row>
    <row r="45" spans="1:26" x14ac:dyDescent="0.3">
      <c r="A45">
        <v>2</v>
      </c>
      <c r="B45" s="3" t="s">
        <v>74</v>
      </c>
      <c r="C45" s="6" t="s">
        <v>73</v>
      </c>
      <c r="D45" s="7" t="s">
        <v>51</v>
      </c>
      <c r="E45" s="8" t="s">
        <v>31</v>
      </c>
      <c r="F45" s="30">
        <f>SUMIF('[1]South '!$B$1:$B$28,"Sagar TR",'[1]South '!$D$1:$D$28)</f>
        <v>2.5</v>
      </c>
      <c r="G45" s="31">
        <f>SUMIF('[2]Opportunity Pipeline'!$F:$F, "Sagar TR",'[2]Opportunity Pipeline'!$O:$O)/10^7</f>
        <v>1.1067547</v>
      </c>
      <c r="H45" s="32">
        <f t="shared" si="62"/>
        <v>0.44270187999999999</v>
      </c>
      <c r="I45" s="30">
        <f>SUMIF('[1]South '!$B$1:$B$28,"Sagar TR",'[1]South '!$E$1:$E$28)</f>
        <v>2.5</v>
      </c>
      <c r="J45" s="31">
        <f>SUMIF('[3]Opportunity Pipeline '!$F:$F,"Sagar TR",'[3]Opportunity Pipeline '!$O:$O)/10^7</f>
        <v>2.4760748800000001</v>
      </c>
      <c r="K45" s="32">
        <f t="shared" si="63"/>
        <v>0.99042995200000006</v>
      </c>
      <c r="L45" s="33">
        <f>'[28]Sagar- TARGET LETTER - 26-27'!$D$9/10^7</f>
        <v>5</v>
      </c>
      <c r="M45" s="31">
        <f t="shared" si="64"/>
        <v>3.5828295800000003</v>
      </c>
      <c r="N45" s="32">
        <f t="shared" si="65"/>
        <v>0.71656591600000008</v>
      </c>
      <c r="O45" s="27">
        <f>'[28]Sagar- TARGET LETTER - 26-27'!$D$10/10^7</f>
        <v>5</v>
      </c>
      <c r="P45" s="27" t="s">
        <v>117</v>
      </c>
      <c r="Q45" s="32" t="str">
        <f t="shared" si="66"/>
        <v>-</v>
      </c>
      <c r="R45" s="33">
        <f t="shared" si="67"/>
        <v>10</v>
      </c>
      <c r="S45" s="33">
        <f t="shared" si="68"/>
        <v>3.5828295800000003</v>
      </c>
      <c r="T45" s="32">
        <f t="shared" si="69"/>
        <v>0.35828295800000004</v>
      </c>
      <c r="U45" s="27">
        <f>COUNTIF('[2]Opportunity Pipeline'!$F:$F,"Sagar TR")+ COUNTIF('[3]Opportunity Pipeline '!$F:$F,"Sagar TR")</f>
        <v>50</v>
      </c>
    </row>
    <row r="46" spans="1:26" x14ac:dyDescent="0.3">
      <c r="A46">
        <v>3</v>
      </c>
      <c r="B46" s="3" t="s">
        <v>75</v>
      </c>
      <c r="C46" s="6" t="s">
        <v>73</v>
      </c>
      <c r="D46" s="7" t="s">
        <v>51</v>
      </c>
      <c r="E46" s="8" t="s">
        <v>31</v>
      </c>
      <c r="F46" s="30">
        <f>SUMIF('[1]South '!$B$1:$B$28,"Shahbaz Khan",'[1]South '!$D$1:$D$28)</f>
        <v>3</v>
      </c>
      <c r="G46" s="31">
        <f>SUMIF('[2]Opportunity Pipeline'!$F:$F, "Shahbaz Khan",'[2]Opportunity Pipeline'!$O:$O)/10^7</f>
        <v>3.8053235999999999</v>
      </c>
      <c r="H46" s="32">
        <f t="shared" si="62"/>
        <v>1.2684412</v>
      </c>
      <c r="I46" s="30">
        <f>SUMIF('[1]South '!$B$1:$B$28,"Shahbaz Khan",'[1]South '!$E$1:$E$28)</f>
        <v>3</v>
      </c>
      <c r="J46" s="31">
        <f>SUMIF('[3]Opportunity Pipeline '!$F:$F,"Shahbaz Khan",'[3]Opportunity Pipeline '!$O:$O)/10^7</f>
        <v>8.1364999999999996E-3</v>
      </c>
      <c r="K46" s="32">
        <f t="shared" si="63"/>
        <v>2.7121666666666665E-3</v>
      </c>
      <c r="L46" s="33">
        <f>'[29]Shahbaz - TARGET LETTER - 26-27'!$D$9/10^7</f>
        <v>6</v>
      </c>
      <c r="M46" s="31">
        <f t="shared" si="64"/>
        <v>3.8134600999999999</v>
      </c>
      <c r="N46" s="32">
        <f t="shared" si="65"/>
        <v>0.63557668333333328</v>
      </c>
      <c r="O46" s="27">
        <f>'[29]Shahbaz - TARGET LETTER - 26-27'!$D$10/10^7</f>
        <v>6</v>
      </c>
      <c r="P46" s="27" t="s">
        <v>117</v>
      </c>
      <c r="Q46" s="32" t="str">
        <f t="shared" si="66"/>
        <v>-</v>
      </c>
      <c r="R46" s="33">
        <f t="shared" si="67"/>
        <v>12</v>
      </c>
      <c r="S46" s="33">
        <f t="shared" si="68"/>
        <v>3.8134600999999999</v>
      </c>
      <c r="T46" s="32">
        <f t="shared" si="69"/>
        <v>0.31778834166666664</v>
      </c>
      <c r="U46" s="27">
        <f>COUNTIF('[2]Opportunity Pipeline'!$F:$F,"Shahbaz Khan")+ COUNTIF('[3]Opportunity Pipeline '!$F:$F,"Shahbaz Khan")</f>
        <v>13</v>
      </c>
    </row>
    <row r="47" spans="1:26" x14ac:dyDescent="0.3">
      <c r="A47">
        <v>4</v>
      </c>
      <c r="B47" s="3" t="s">
        <v>76</v>
      </c>
      <c r="C47" s="6" t="s">
        <v>73</v>
      </c>
      <c r="D47" s="7" t="s">
        <v>51</v>
      </c>
      <c r="E47" s="8" t="s">
        <v>31</v>
      </c>
      <c r="F47" s="30">
        <f>SUMIF('[1]South '!$B$1:$B$28,"Shaikh Kadar",'[1]South '!$D$1:$D$28)</f>
        <v>3</v>
      </c>
      <c r="G47" s="31">
        <f>SUMIF('[2]Opportunity Pipeline'!$F:$F, "Shaik Khadhar",'[2]Opportunity Pipeline'!$O:$O)/10^7</f>
        <v>5.3360915000000002</v>
      </c>
      <c r="H47" s="32">
        <f t="shared" si="62"/>
        <v>1.7786971666666667</v>
      </c>
      <c r="I47" s="30">
        <f>SUMIF('[1]South '!$B$1:$B$28,"Shaikh Kada",'[1]South '!$E$1:$E$28)</f>
        <v>0</v>
      </c>
      <c r="J47" s="31">
        <f>SUMIF('[3]Opportunity Pipeline '!$F:$F,"Shaik Khadhar",'[3]Opportunity Pipeline '!$O:$O)/10^7</f>
        <v>0.25772499999999998</v>
      </c>
      <c r="K47" s="32" t="str">
        <f t="shared" si="63"/>
        <v>-</v>
      </c>
      <c r="L47" s="33">
        <f>'[30]Khadar-  TARGET LETTER - 26-27'!$D$9/10^7</f>
        <v>7</v>
      </c>
      <c r="M47" s="31">
        <f t="shared" si="64"/>
        <v>5.5938165</v>
      </c>
      <c r="N47" s="32">
        <f t="shared" si="65"/>
        <v>0.7991166428571429</v>
      </c>
      <c r="O47" s="27">
        <f>'[30]Khadar-  TARGET LETTER - 26-27'!$D$10/10^7</f>
        <v>8</v>
      </c>
      <c r="P47" s="27" t="s">
        <v>117</v>
      </c>
      <c r="Q47" s="32" t="str">
        <f t="shared" si="66"/>
        <v>-</v>
      </c>
      <c r="R47" s="33">
        <f t="shared" si="67"/>
        <v>15</v>
      </c>
      <c r="S47" s="33">
        <f t="shared" si="68"/>
        <v>5.5938165</v>
      </c>
      <c r="T47" s="32">
        <f t="shared" si="69"/>
        <v>0.37292110000000001</v>
      </c>
      <c r="U47" s="27">
        <f>COUNTIF('[2]Opportunity Pipeline'!$F:$F,"Shaik Khadhar")+ COUNTIF('[3]Opportunity Pipeline '!$F:$F,"Shaik Khadhar")</f>
        <v>7</v>
      </c>
    </row>
    <row r="48" spans="1:26" s="43" customFormat="1" x14ac:dyDescent="0.3">
      <c r="B48" s="5" t="s">
        <v>77</v>
      </c>
      <c r="F48" s="44">
        <f>SUM(F42:F47)</f>
        <v>10.5</v>
      </c>
      <c r="G48" s="44">
        <f>SUM(G42:G47)</f>
        <v>10.289626889000001</v>
      </c>
      <c r="H48" s="45">
        <f>G48/F48</f>
        <v>0.97996446561904771</v>
      </c>
      <c r="I48" s="44">
        <f t="shared" ref="I48" si="70">SUM(I42:I47)</f>
        <v>7.5</v>
      </c>
      <c r="J48" s="44">
        <f t="shared" ref="J48" si="71">SUM(J42:J47)</f>
        <v>3.2297363800000003</v>
      </c>
      <c r="K48" s="45">
        <f>J48/I48</f>
        <v>0.43063151733333338</v>
      </c>
      <c r="L48" s="44">
        <f t="shared" ref="L48" si="72">SUM(L42:L47)</f>
        <v>22</v>
      </c>
      <c r="M48" s="44">
        <f t="shared" ref="M48" si="73">SUM(M42:M47)</f>
        <v>13.519363268999999</v>
      </c>
      <c r="N48" s="45">
        <f>M48/L48</f>
        <v>0.61451651222727266</v>
      </c>
      <c r="O48" s="44">
        <f t="shared" ref="O48" si="74">SUM(O42:O47)</f>
        <v>23</v>
      </c>
      <c r="P48" s="44">
        <f t="shared" ref="P48" si="75">SUM(P42:P47)</f>
        <v>0</v>
      </c>
      <c r="Q48" s="45">
        <f>P48/O48</f>
        <v>0</v>
      </c>
      <c r="R48" s="44">
        <f t="shared" ref="R48" si="76">SUM(R42:R47)</f>
        <v>45</v>
      </c>
      <c r="S48" s="44">
        <f t="shared" ref="S48" si="77">SUM(S42:S47)</f>
        <v>13.519363268999999</v>
      </c>
      <c r="T48" s="45">
        <f>S48/R48</f>
        <v>0.30043029486666667</v>
      </c>
      <c r="U48" s="46">
        <f t="shared" ref="U48" si="78">SUM(U42:U47)</f>
        <v>79</v>
      </c>
    </row>
    <row r="49" spans="1:16384" ht="15" thickBot="1" x14ac:dyDescent="0.35"/>
    <row r="50" spans="1:16384" ht="15" thickBot="1" x14ac:dyDescent="0.35">
      <c r="A50" s="70" t="s">
        <v>78</v>
      </c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1:16384" x14ac:dyDescent="0.3">
      <c r="A51">
        <v>1</v>
      </c>
      <c r="B51" s="3" t="s">
        <v>79</v>
      </c>
      <c r="C51" s="6" t="s">
        <v>80</v>
      </c>
      <c r="D51" s="7" t="s">
        <v>51</v>
      </c>
      <c r="E51" s="8" t="s">
        <v>81</v>
      </c>
      <c r="F51" s="30">
        <f>SUMIF('[1]GeoX '!$A$1:$A$28,"Hrushikesh Bagade",'[1]GeoX '!$H$1:$H$28)</f>
        <v>0.4</v>
      </c>
      <c r="G51" s="31">
        <f>SUMIF('[2]Opportunity Pipeline'!$F:$F, "Hrushikesh Bagade",'[2]Opportunity Pipeline'!$Q:$Q)/10^7</f>
        <v>0.29095014400000002</v>
      </c>
      <c r="H51" s="32">
        <f t="shared" ref="H51:H53" si="79">IFERROR(G51/F51,"-")</f>
        <v>0.72737536000000003</v>
      </c>
      <c r="I51" s="30">
        <f>SUMIF('[1]GeoX '!$A$1:$A$28,"Hrushikesh Bagade",'[1]GeoX '!$I$1:$I$28)</f>
        <v>0.65</v>
      </c>
      <c r="J51" s="31">
        <f>SUMIF('[3]Opportunity Pipeline '!$F:$F,"Hrushikesh Bagade",'[3]Opportunity Pipeline '!$Q:$Q)/10^7</f>
        <v>2.3678999999999999E-2</v>
      </c>
      <c r="K51" s="32">
        <f t="shared" ref="K51" si="80">IFERROR(J51/I51,"-")</f>
        <v>3.6429230769230769E-2</v>
      </c>
      <c r="L51" s="33">
        <f>'[31]Hrushikesh TARGET LETTER 26-27'!$D$9/10^7</f>
        <v>1.05</v>
      </c>
      <c r="M51" s="31">
        <f t="shared" ref="M51" si="81">SUM(G51,J51)</f>
        <v>0.31462914400000003</v>
      </c>
      <c r="N51" s="32">
        <f t="shared" ref="N51" si="82">IFERROR(M51/L51,"-")</f>
        <v>0.2996468038095238</v>
      </c>
      <c r="O51" s="27">
        <f>'[31]Hrushikesh TARGET LETTER 26-27'!$D$10/10^7</f>
        <v>1.35</v>
      </c>
      <c r="P51" s="27" t="s">
        <v>117</v>
      </c>
      <c r="Q51" s="32" t="s">
        <v>117</v>
      </c>
      <c r="R51" s="33">
        <f t="shared" ref="R51" si="83">SUM(L51,O51)</f>
        <v>2.4000000000000004</v>
      </c>
      <c r="S51" s="33">
        <f t="shared" ref="S51" si="84">SUM(M51,P51)</f>
        <v>0.31462914400000003</v>
      </c>
      <c r="T51" s="32">
        <f t="shared" ref="T51" si="85">IFERROR(S51/R51,"-")</f>
        <v>0.13109547666666665</v>
      </c>
      <c r="U51" s="27">
        <f>COUNTIF('[2]Opportunity Pipeline'!$F:$F,"Hrushikesh Bagade")+ COUNTIF('[3]Opportunity Pipeline '!$F:$F,"Hrushikesh Bagade")</f>
        <v>57</v>
      </c>
    </row>
    <row r="52" spans="1:16384" x14ac:dyDescent="0.3">
      <c r="B52" s="3" t="s">
        <v>79</v>
      </c>
      <c r="C52" s="6" t="s">
        <v>80</v>
      </c>
      <c r="D52" s="7" t="s">
        <v>51</v>
      </c>
      <c r="E52" s="8" t="s">
        <v>139</v>
      </c>
      <c r="F52" s="30">
        <f>SUMIF('[1]GeoX '!$A$1:$A$28,"Hrushikesh Bagade",'[1]GeoX '!$C$1:$C$28)</f>
        <v>2.5</v>
      </c>
      <c r="G52" s="31">
        <f>SUMIF('[2]Opportunity Pipeline'!$F:$F, "Hrushikesh Bagade",'[2]Opportunity Pipeline'!$O:$O)/10^7</f>
        <v>3.8126083999999998</v>
      </c>
      <c r="H52" s="32">
        <f t="shared" ref="H52" si="86">IFERROR(G52/F52,"-")</f>
        <v>1.52504336</v>
      </c>
      <c r="I52" s="30">
        <f>SUMIF('[1]GeoX '!$A$1:$A$28,"Hrushikesh Bagade",'[1]GeoX '!$D$1:$D$28)</f>
        <v>5</v>
      </c>
      <c r="J52" s="31">
        <f>SUMIF('[3]Opportunity Pipeline '!$F:$F,"Hrushikesh Bagade",'[3]Opportunity Pipeline '!$O:$O)/10^7</f>
        <v>0.31384980000000001</v>
      </c>
      <c r="K52" s="32">
        <f t="shared" ref="K52" si="87">IFERROR(J52/I52,"-")</f>
        <v>6.276996E-2</v>
      </c>
      <c r="L52" s="33"/>
      <c r="M52" s="31">
        <f t="shared" ref="M52" si="88">SUM(G52,J52)</f>
        <v>4.1264582000000001</v>
      </c>
      <c r="N52" s="32" t="str">
        <f t="shared" ref="N52" si="89">IFERROR(M52/L52,"-")</f>
        <v>-</v>
      </c>
      <c r="O52" s="27"/>
      <c r="P52" s="27" t="s">
        <v>117</v>
      </c>
      <c r="Q52" s="32" t="s">
        <v>117</v>
      </c>
      <c r="R52" s="33">
        <f t="shared" ref="R52" si="90">SUM(L52,O52)</f>
        <v>0</v>
      </c>
      <c r="S52" s="33">
        <f t="shared" ref="S52" si="91">SUM(M52,P52)</f>
        <v>4.1264582000000001</v>
      </c>
      <c r="T52" s="32" t="str">
        <f t="shared" ref="T52" si="92">IFERROR(S52/R52,"-")</f>
        <v>-</v>
      </c>
      <c r="U52" s="27">
        <f>COUNTIF('[2]Opportunity Pipeline'!$F:$F,"Hrushikesh Bagade")+ COUNTIF('[3]Opportunity Pipeline '!$F:$F,"Hrushikesh Bagade")</f>
        <v>57</v>
      </c>
    </row>
    <row r="53" spans="1:16384" s="43" customFormat="1" ht="15" thickBot="1" x14ac:dyDescent="0.35">
      <c r="B53" s="5" t="s">
        <v>82</v>
      </c>
      <c r="F53" s="44">
        <f>SUM(F52)</f>
        <v>2.5</v>
      </c>
      <c r="G53" s="44">
        <f>SUM(G52)</f>
        <v>3.8126083999999998</v>
      </c>
      <c r="H53" s="45">
        <f t="shared" si="79"/>
        <v>1.52504336</v>
      </c>
      <c r="I53" s="44">
        <f>SUM(I52)</f>
        <v>5</v>
      </c>
      <c r="J53" s="44">
        <f>SUM(J52)</f>
        <v>0.31384980000000001</v>
      </c>
      <c r="K53" s="45">
        <f>J53/I53</f>
        <v>6.276996E-2</v>
      </c>
      <c r="L53" s="44">
        <f>SUM(L52)</f>
        <v>0</v>
      </c>
      <c r="M53" s="44">
        <f>SUM(M52)</f>
        <v>4.1264582000000001</v>
      </c>
      <c r="N53" s="45" t="e">
        <f>M53/L53</f>
        <v>#DIV/0!</v>
      </c>
      <c r="O53" s="44">
        <f>SUM(O51)</f>
        <v>1.35</v>
      </c>
      <c r="P53" s="44">
        <f>SUM(P51)</f>
        <v>0</v>
      </c>
      <c r="Q53" s="45">
        <f>P53/O53</f>
        <v>0</v>
      </c>
      <c r="R53" s="44">
        <f>SUM(R51)</f>
        <v>2.4000000000000004</v>
      </c>
      <c r="S53" s="44">
        <f>SUM(S52)</f>
        <v>4.1264582000000001</v>
      </c>
      <c r="T53" s="45">
        <f>S53/R53</f>
        <v>1.7193575833333332</v>
      </c>
      <c r="U53" s="46">
        <f>SUM(U51)</f>
        <v>57</v>
      </c>
    </row>
    <row r="54" spans="1:16384" ht="15" thickBot="1" x14ac:dyDescent="0.35">
      <c r="A54" s="70" t="s">
        <v>136</v>
      </c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1:16384" x14ac:dyDescent="0.3">
      <c r="A55">
        <v>1</v>
      </c>
      <c r="B55" t="s">
        <v>122</v>
      </c>
      <c r="C55" s="6" t="s">
        <v>131</v>
      </c>
      <c r="D55" s="7" t="s">
        <v>51</v>
      </c>
      <c r="E55" s="8" t="s">
        <v>81</v>
      </c>
      <c r="F55" s="30"/>
      <c r="G55" s="31">
        <f>SUMIF('[2]Opportunity Pipeline'!$F:$F, "Ajay Patodia",'[2]Opportunity Pipeline'!$Q:$Q)/10^7</f>
        <v>0.55290700400000004</v>
      </c>
      <c r="H55" s="32" t="str">
        <f t="shared" ref="H55:H57" si="93">IFERROR(G55/F55,"-")</f>
        <v>-</v>
      </c>
      <c r="I55" s="30">
        <f>SUMIF('[1]GeoX '!$A$1:$A$28,"Ajay Patodia",'[1]GeoX '!$D$1:$D$28)</f>
        <v>0</v>
      </c>
      <c r="J55" s="31">
        <f>SUMIF('[3]Opportunity Pipeline '!$F:$F,"Ajay Patodia",'[3]Opportunity Pipeline '!$Q:$Q)/10^7</f>
        <v>0.208469563</v>
      </c>
      <c r="K55" s="32" t="str">
        <f t="shared" ref="K55:K57" si="94">IFERROR(J55/I55,"-")</f>
        <v>-</v>
      </c>
      <c r="L55" s="33"/>
      <c r="M55" s="31">
        <f t="shared" ref="M55:M57" si="95">SUM(G55,J55)</f>
        <v>0.761376567</v>
      </c>
      <c r="N55" s="32" t="str">
        <f t="shared" ref="N55:N57" si="96">IFERROR(M55/L55,"-")</f>
        <v>-</v>
      </c>
      <c r="O55" s="27"/>
      <c r="P55" s="27" t="s">
        <v>117</v>
      </c>
      <c r="Q55" s="32" t="s">
        <v>117</v>
      </c>
      <c r="R55" s="33">
        <f t="shared" ref="R55:R57" si="97">SUM(L55,O55)</f>
        <v>0</v>
      </c>
      <c r="S55" s="33">
        <f t="shared" ref="S55:S57" si="98">SUM(M55,P55)</f>
        <v>0.761376567</v>
      </c>
      <c r="T55" s="32" t="str">
        <f t="shared" ref="T55:T57" si="99">IFERROR(S55/R55,"-")</f>
        <v>-</v>
      </c>
      <c r="U55" s="27">
        <f>COUNTIF('[2]Opportunity Pipeline'!$F:$F,"Ajay Patodia")+ COUNTIF('[3]Opportunity Pipeline '!$F:$F,"Ajay Patodia")</f>
        <v>39</v>
      </c>
    </row>
    <row r="56" spans="1:16384" x14ac:dyDescent="0.3">
      <c r="B56" t="s">
        <v>122</v>
      </c>
      <c r="C56" s="6" t="s">
        <v>131</v>
      </c>
      <c r="D56" s="7" t="s">
        <v>51</v>
      </c>
      <c r="E56" s="8" t="s">
        <v>139</v>
      </c>
      <c r="F56" s="30"/>
      <c r="G56" s="31">
        <f>SUMIF('[2]Opportunity Pipeline'!$F:$F, "Ajay Patodia",'[2]Opportunity Pipeline'!$O:$O)/10^7</f>
        <v>9.4460405699999974</v>
      </c>
      <c r="H56" s="32" t="str">
        <f t="shared" si="93"/>
        <v>-</v>
      </c>
      <c r="I56" s="30">
        <f>SUMIF('[1]GeoX '!$A$1:$A$28,"Ajay Patodia",'[1]GeoX '!$D$1:$D$28)</f>
        <v>0</v>
      </c>
      <c r="J56" s="31">
        <f>SUMIF('[3]Opportunity Pipeline '!$F:$F,"Ajay Patodia",'[3]Opportunity Pipeline '!$O:$O)/10^7</f>
        <v>25.86609722</v>
      </c>
      <c r="K56" s="32" t="str">
        <f t="shared" si="94"/>
        <v>-</v>
      </c>
      <c r="L56" s="33"/>
      <c r="M56" s="31">
        <f t="shared" si="95"/>
        <v>35.312137789999994</v>
      </c>
      <c r="N56" s="32" t="str">
        <f t="shared" si="96"/>
        <v>-</v>
      </c>
      <c r="O56" s="27"/>
      <c r="P56" s="27" t="s">
        <v>117</v>
      </c>
      <c r="Q56" s="32" t="s">
        <v>117</v>
      </c>
      <c r="R56" s="33">
        <f t="shared" si="97"/>
        <v>0</v>
      </c>
      <c r="S56" s="33">
        <f t="shared" si="98"/>
        <v>35.312137789999994</v>
      </c>
      <c r="T56" s="32" t="str">
        <f t="shared" si="99"/>
        <v>-</v>
      </c>
      <c r="U56" s="27">
        <f>COUNTIF('[2]Opportunity Pipeline'!$F:$F,"Ajay Patodia")+ COUNTIF('[3]Opportunity Pipeline '!$F:$F,"Ajay Patodia")</f>
        <v>39</v>
      </c>
    </row>
    <row r="57" spans="1:16384" ht="15" customHeight="1" x14ac:dyDescent="0.3">
      <c r="A57">
        <v>2</v>
      </c>
      <c r="B57" t="s">
        <v>137</v>
      </c>
      <c r="C57" s="6" t="s">
        <v>138</v>
      </c>
      <c r="D57" s="7" t="s">
        <v>51</v>
      </c>
      <c r="E57" s="8" t="s">
        <v>139</v>
      </c>
      <c r="F57" s="30"/>
      <c r="G57" s="31">
        <f>SUMIF('[2]Opportunity Pipeline'!$F:$F, "Yusufali Petiwala",'[2]Opportunity Pipeline'!$O:$O)/10^7</f>
        <v>1.076047508</v>
      </c>
      <c r="H57" s="32" t="str">
        <f t="shared" si="93"/>
        <v>-</v>
      </c>
      <c r="I57" s="30">
        <f>SUMIF('[1]GeoX '!$A$1:$A$28,"Yusufali Petiwala",'[1]GeoX '!$D$1:$D$28)</f>
        <v>0</v>
      </c>
      <c r="J57" s="31">
        <f>SUMIF('[3]Opportunity Pipeline '!$F:$F,"Yusufali Petiwala",'[3]Opportunity Pipeline '!$O:$O)/10^7</f>
        <v>0</v>
      </c>
      <c r="K57" s="32" t="str">
        <f t="shared" si="94"/>
        <v>-</v>
      </c>
      <c r="L57" s="33"/>
      <c r="M57" s="31">
        <f t="shared" si="95"/>
        <v>1.076047508</v>
      </c>
      <c r="N57" s="32" t="str">
        <f t="shared" si="96"/>
        <v>-</v>
      </c>
      <c r="O57" s="27"/>
      <c r="P57" s="27" t="s">
        <v>117</v>
      </c>
      <c r="Q57" s="32" t="s">
        <v>117</v>
      </c>
      <c r="R57" s="33">
        <f t="shared" si="97"/>
        <v>0</v>
      </c>
      <c r="S57" s="33">
        <f t="shared" si="98"/>
        <v>1.076047508</v>
      </c>
      <c r="T57" s="32" t="str">
        <f t="shared" si="99"/>
        <v>-</v>
      </c>
      <c r="U57" s="27">
        <f>COUNTIF('[2]Opportunity Pipeline'!$F:$F,"Yusufali Petiwala")+ COUNTIF('[3]Opportunity Pipeline '!$F:$F,"Yusufali Petiwala")</f>
        <v>13</v>
      </c>
    </row>
    <row r="58" spans="1:16384" ht="15" customHeight="1" x14ac:dyDescent="0.3">
      <c r="A58">
        <v>3</v>
      </c>
      <c r="B58" t="s">
        <v>141</v>
      </c>
      <c r="C58" s="60" t="s">
        <v>29</v>
      </c>
      <c r="D58" s="7" t="s">
        <v>51</v>
      </c>
      <c r="E58" s="8" t="s">
        <v>139</v>
      </c>
      <c r="F58" s="30"/>
      <c r="G58" s="31">
        <f>SUMIF('[2]Opportunity Pipeline'!$F:$F, "Ishwari Kadam",'[2]Opportunity Pipeline'!$O:$O)/10^7</f>
        <v>6.26694</v>
      </c>
      <c r="H58" s="32" t="str">
        <f t="shared" ref="H58:H65" si="100">IFERROR(G58/F58,"-")</f>
        <v>-</v>
      </c>
      <c r="I58" s="30">
        <f>SUMIF('[1]GeoX '!$A$1:$A$28,"Ishwari Kadam",'[1]GeoX '!$D$1:$D$28)</f>
        <v>0</v>
      </c>
      <c r="J58" s="31">
        <f>SUMIF('[3]Opportunity Pipeline '!$F:$F,"Ishwari Kadam",'[3]Opportunity Pipeline '!$O:$O)/10^7</f>
        <v>0</v>
      </c>
      <c r="K58" s="32" t="str">
        <f t="shared" ref="K58:K59" si="101">IFERROR(J58/I58,"-")</f>
        <v>-</v>
      </c>
      <c r="L58" s="33"/>
      <c r="M58" s="31">
        <f t="shared" ref="M58:M59" si="102">SUM(G58,J58)</f>
        <v>6.26694</v>
      </c>
      <c r="N58" s="32" t="str">
        <f t="shared" ref="N58:N59" si="103">IFERROR(M58/L58,"-")</f>
        <v>-</v>
      </c>
      <c r="O58" s="27"/>
      <c r="P58" s="27" t="s">
        <v>117</v>
      </c>
      <c r="Q58" s="32" t="s">
        <v>117</v>
      </c>
      <c r="R58" s="33">
        <f t="shared" ref="R58:R59" si="104">SUM(L58,O58)</f>
        <v>0</v>
      </c>
      <c r="S58" s="33">
        <f t="shared" ref="S58:S59" si="105">SUM(M58,P58)</f>
        <v>6.26694</v>
      </c>
      <c r="T58" s="32" t="str">
        <f t="shared" ref="T58:T59" si="106">IFERROR(S58/R58,"-")</f>
        <v>-</v>
      </c>
      <c r="U58" s="27">
        <f>COUNTIF('[2]Opportunity Pipeline'!$F:$F,"Ishwari Kadam")+ COUNTIF('[3]Opportunity Pipeline '!$F:$F,"Ishwari Kadam")</f>
        <v>4</v>
      </c>
    </row>
    <row r="59" spans="1:16384" ht="15" customHeight="1" x14ac:dyDescent="0.3">
      <c r="A59">
        <v>4</v>
      </c>
      <c r="B59" t="s">
        <v>126</v>
      </c>
      <c r="C59" s="60" t="s">
        <v>80</v>
      </c>
      <c r="D59" s="7" t="s">
        <v>51</v>
      </c>
      <c r="E59" s="8" t="s">
        <v>139</v>
      </c>
      <c r="F59" s="30">
        <f>SUMIF('[1]GeoX '!$A$1:$A$28,"Sanjeev Kohli",'[1]GeoX '!$C$1:$C$28)</f>
        <v>2.5</v>
      </c>
      <c r="G59" s="31">
        <f>SUMIF('[2]Opportunity Pipeline'!$F:$F, "Sanjeev Kohli",'[2]Opportunity Pipeline'!$O:$O)/10^7</f>
        <v>2.19665</v>
      </c>
      <c r="H59" s="32">
        <f t="shared" si="100"/>
        <v>0.87866</v>
      </c>
      <c r="I59" s="30">
        <f>SUMIF('[1]GeoX '!$A$1:$A$28,"Sanjeev Kohli",'[1]GeoX '!$D$1:$D$28)</f>
        <v>5</v>
      </c>
      <c r="J59" s="31">
        <f>SUMIF('[3]Opportunity Pipeline '!$F:$F,"Sanjeev Kohli",'[3]Opportunity Pipeline '!$O:$O)/10^7</f>
        <v>17.005643200000002</v>
      </c>
      <c r="K59" s="32">
        <f t="shared" si="101"/>
        <v>3.4011286400000005</v>
      </c>
      <c r="L59" s="33"/>
      <c r="M59" s="31">
        <f t="shared" si="102"/>
        <v>19.2022932</v>
      </c>
      <c r="N59" s="32" t="str">
        <f t="shared" si="103"/>
        <v>-</v>
      </c>
      <c r="O59" s="27"/>
      <c r="P59" s="27" t="s">
        <v>117</v>
      </c>
      <c r="Q59" s="32" t="s">
        <v>117</v>
      </c>
      <c r="R59" s="33">
        <f t="shared" si="104"/>
        <v>0</v>
      </c>
      <c r="S59" s="33">
        <f t="shared" si="105"/>
        <v>19.2022932</v>
      </c>
      <c r="T59" s="32" t="str">
        <f t="shared" si="106"/>
        <v>-</v>
      </c>
      <c r="U59" s="27">
        <f>COUNTIF('[2]Opportunity Pipeline'!$F:$F,"Sanjeev Kohli")+ COUNTIF('[3]Opportunity Pipeline '!$F:$F,"Sanjeev Kohli")</f>
        <v>2</v>
      </c>
    </row>
    <row r="60" spans="1:16384" ht="15" customHeight="1" x14ac:dyDescent="0.3">
      <c r="A60">
        <v>5</v>
      </c>
      <c r="B60" t="s">
        <v>54</v>
      </c>
      <c r="C60" s="60"/>
      <c r="D60" s="7" t="s">
        <v>51</v>
      </c>
      <c r="E60" s="8"/>
      <c r="F60" s="30">
        <f>SUMIF('[1]CB '!$A$1:$A$28,"Jimesh Shah",'[1]CB '!$C$1:$C$28)</f>
        <v>0</v>
      </c>
      <c r="G60" s="31">
        <f>SUMIF('[2]Opportunity Pipeline'!$F:$F, "Jimesh Shah",'[2]Opportunity Pipeline'!$O:$O)/10^7</f>
        <v>2.2727199999999999E-2</v>
      </c>
      <c r="H60" s="32" t="str">
        <f t="shared" si="100"/>
        <v>-</v>
      </c>
      <c r="I60" s="30">
        <f>SUMIF('[1]GeoX '!$A$1:$A$28,"Jimesh Shah",'[1]GeoX '!$D$1:$D$28)</f>
        <v>0</v>
      </c>
      <c r="J60" s="31">
        <f>SUMIF('[3]Opportunity Pipeline '!$F:$F,"Jimesh Shah",'[3]Opportunity Pipeline '!$O:$O)/10^7</f>
        <v>2.5239999999999999E-2</v>
      </c>
      <c r="K60" s="32" t="str">
        <f t="shared" ref="K60" si="107">IFERROR(J60/I60,"-")</f>
        <v>-</v>
      </c>
      <c r="L60" s="33"/>
      <c r="M60" s="31">
        <f t="shared" ref="M60" si="108">SUM(G60,J60)</f>
        <v>4.7967200000000002E-2</v>
      </c>
      <c r="N60" s="32" t="str">
        <f t="shared" ref="N60" si="109">IFERROR(M60/L60,"-")</f>
        <v>-</v>
      </c>
      <c r="O60" s="27"/>
      <c r="P60" s="27" t="s">
        <v>117</v>
      </c>
      <c r="Q60" s="32" t="s">
        <v>117</v>
      </c>
      <c r="R60" s="33">
        <f t="shared" ref="R60" si="110">SUM(L60,O60)</f>
        <v>0</v>
      </c>
      <c r="S60" s="33">
        <f t="shared" ref="S60" si="111">SUM(M60,P60)</f>
        <v>4.7967200000000002E-2</v>
      </c>
      <c r="T60" s="32" t="str">
        <f t="shared" ref="T60" si="112">IFERROR(S60/R60,"-")</f>
        <v>-</v>
      </c>
      <c r="U60" s="27">
        <f>COUNTIF('[2]Opportunity Pipeline'!$F:$F,"Jimesh Shah")+ COUNTIF('[3]Opportunity Pipeline '!$F:$F,"Jimesh Shah")</f>
        <v>8</v>
      </c>
    </row>
    <row r="61" spans="1:16384" ht="15" customHeight="1" x14ac:dyDescent="0.3">
      <c r="A61">
        <v>6</v>
      </c>
      <c r="B61" t="s">
        <v>128</v>
      </c>
      <c r="C61" s="60"/>
      <c r="D61" s="7" t="s">
        <v>51</v>
      </c>
      <c r="E61" s="8" t="s">
        <v>81</v>
      </c>
      <c r="F61" s="30"/>
      <c r="G61" s="31">
        <f>SUMIF('[2]Opportunity Pipeline'!$F:$F, "Jitesh Rajput",'[2]Opportunity Pipeline'!$O:$O)/10^7</f>
        <v>1.5479999999999999E-3</v>
      </c>
      <c r="H61" s="32" t="str">
        <f t="shared" si="100"/>
        <v>-</v>
      </c>
      <c r="I61" s="30"/>
      <c r="J61" s="31">
        <f>SUMIF('[3]Opportunity Pipeline '!$F:$F,"Jitesh Rajput",'[3]Opportunity Pipeline '!$O:$O)/10^7</f>
        <v>0</v>
      </c>
      <c r="K61" s="32" t="str">
        <f t="shared" ref="K61" si="113">IFERROR(J61/I61,"-")</f>
        <v>-</v>
      </c>
      <c r="L61" s="33"/>
      <c r="M61" s="31">
        <f t="shared" ref="M61" si="114">SUM(G61,J61)</f>
        <v>1.5479999999999999E-3</v>
      </c>
      <c r="N61" s="32" t="str">
        <f t="shared" ref="N61" si="115">IFERROR(M61/L61,"-")</f>
        <v>-</v>
      </c>
      <c r="O61" s="27"/>
      <c r="P61" s="27" t="s">
        <v>117</v>
      </c>
      <c r="Q61" s="32" t="s">
        <v>117</v>
      </c>
      <c r="R61" s="33">
        <f t="shared" ref="R61" si="116">SUM(L61,O61)</f>
        <v>0</v>
      </c>
      <c r="S61" s="33">
        <f t="shared" ref="S61" si="117">SUM(M61,P61)</f>
        <v>1.5479999999999999E-3</v>
      </c>
      <c r="T61" s="32" t="str">
        <f t="shared" ref="T61" si="118">IFERROR(S61/R61,"-")</f>
        <v>-</v>
      </c>
      <c r="U61" s="27">
        <f>COUNTIF('[2]Opportunity Pipeline'!$F:$F,"Jitesh Rajput")+ COUNTIF('[3]Opportunity Pipeline '!$F:$F,"Jitesh Rajput")</f>
        <v>3</v>
      </c>
    </row>
    <row r="62" spans="1:16384" ht="15" customHeight="1" x14ac:dyDescent="0.3">
      <c r="A62">
        <v>7</v>
      </c>
      <c r="B62" t="s">
        <v>127</v>
      </c>
      <c r="C62" s="60"/>
      <c r="D62" s="7" t="s">
        <v>51</v>
      </c>
      <c r="E62" s="68"/>
      <c r="F62" s="30"/>
      <c r="G62" s="31">
        <f>SUMIF('[2]Opportunity Pipeline'!$F:$F, "Yogesh Bhatia",'[2]Opportunity Pipeline'!$O:$O)/10^7</f>
        <v>0</v>
      </c>
      <c r="H62" s="32" t="str">
        <f t="shared" ref="H62" si="119">IFERROR(G62/F62,"-")</f>
        <v>-</v>
      </c>
      <c r="I62" s="30"/>
      <c r="J62" s="31">
        <f>SUMIF('[3]Opportunity Pipeline '!$F:$F,"Yogesh Bhatia",'[3]Opportunity Pipeline '!$O:$O)/10^7</f>
        <v>4.65E-2</v>
      </c>
      <c r="K62" s="32" t="str">
        <f t="shared" ref="K62" si="120">IFERROR(J62/I62,"-")</f>
        <v>-</v>
      </c>
      <c r="L62" s="33"/>
      <c r="M62" s="31">
        <f t="shared" ref="M62" si="121">SUM(G62,J62)</f>
        <v>4.65E-2</v>
      </c>
      <c r="N62" s="32" t="str">
        <f t="shared" ref="N62" si="122">IFERROR(M62/L62,"-")</f>
        <v>-</v>
      </c>
      <c r="O62" s="27"/>
      <c r="P62" s="27" t="s">
        <v>117</v>
      </c>
      <c r="Q62" s="32" t="s">
        <v>117</v>
      </c>
      <c r="R62" s="33">
        <f t="shared" ref="R62" si="123">SUM(L62,O62)</f>
        <v>0</v>
      </c>
      <c r="S62" s="33">
        <f t="shared" ref="S62" si="124">SUM(M62,P62)</f>
        <v>4.65E-2</v>
      </c>
      <c r="T62" s="32" t="str">
        <f t="shared" ref="T62" si="125">IFERROR(S62/R62,"-")</f>
        <v>-</v>
      </c>
      <c r="U62" s="27">
        <f>COUNTIF('[2]Opportunity Pipeline'!$F:$F,"Yogesh Bhatia")+ COUNTIF('[3]Opportunity Pipeline '!$F:$F,"Yogesh Bhatia")</f>
        <v>1</v>
      </c>
    </row>
    <row r="63" spans="1:16384" s="61" customFormat="1" ht="15" customHeight="1" x14ac:dyDescent="0.3">
      <c r="A63" s="61">
        <v>8</v>
      </c>
      <c r="B63" s="61" t="s">
        <v>142</v>
      </c>
      <c r="D63" s="7" t="s">
        <v>51</v>
      </c>
      <c r="F63" s="30"/>
      <c r="G63" s="31">
        <f>SUMIF('[2]Opportunity Pipeline'!$F:$F, "Darshana Patil",'[2]Opportunity Pipeline'!$O:$O)/10^7</f>
        <v>6.2075615040000001</v>
      </c>
      <c r="H63" s="32" t="str">
        <f t="shared" si="100"/>
        <v>-</v>
      </c>
      <c r="I63" s="30"/>
      <c r="J63" s="31">
        <f>SUMIF('[3]Opportunity Pipeline '!$F:$F,"Darshana Patil",'[3]Opportunity Pipeline '!$O:$O)/10^7</f>
        <v>0</v>
      </c>
      <c r="K63" s="32" t="str">
        <f t="shared" ref="K63" si="126">IFERROR(J63/I63,"-")</f>
        <v>-</v>
      </c>
      <c r="L63" s="33"/>
      <c r="M63" s="31">
        <f t="shared" ref="M63" si="127">SUM(G63,J63)</f>
        <v>6.2075615040000001</v>
      </c>
      <c r="N63" s="32" t="str">
        <f t="shared" ref="N63" si="128">IFERROR(M63/L63,"-")</f>
        <v>-</v>
      </c>
      <c r="O63" s="27"/>
      <c r="P63" s="27" t="s">
        <v>117</v>
      </c>
      <c r="Q63" s="32" t="s">
        <v>117</v>
      </c>
      <c r="R63" s="33">
        <f t="shared" ref="R63" si="129">SUM(L63,O63)</f>
        <v>0</v>
      </c>
      <c r="S63" s="33">
        <f t="shared" ref="S63" si="130">SUM(M63,P63)</f>
        <v>6.2075615040000001</v>
      </c>
      <c r="T63" s="32" t="str">
        <f t="shared" ref="T63" si="131">IFERROR(S63/R63,"-")</f>
        <v>-</v>
      </c>
      <c r="U63" s="27">
        <f>COUNTIF('[2]Opportunity Pipeline'!$F:$F,"Darshana Patil")+ COUNTIF('[3]Opportunity Pipeline '!$F:$F,"Darshana Patil")</f>
        <v>14</v>
      </c>
    </row>
    <row r="64" spans="1:16384" s="43" customFormat="1" x14ac:dyDescent="0.3">
      <c r="B64" s="5" t="s">
        <v>140</v>
      </c>
      <c r="F64" s="44">
        <f>SUM(F56:F57)</f>
        <v>0</v>
      </c>
      <c r="G64" s="44">
        <f>SUM(G56:G59,G63)</f>
        <v>25.193239582</v>
      </c>
      <c r="H64" s="43" t="str">
        <f t="shared" si="100"/>
        <v>-</v>
      </c>
      <c r="I64" s="44">
        <f>SUM(I56:I59,I60,I63)</f>
        <v>5</v>
      </c>
      <c r="J64" s="44">
        <f>SUM(J56:J63)</f>
        <v>42.94348042</v>
      </c>
      <c r="K64" s="44">
        <f>SUM(K56:K59,K60,K63)</f>
        <v>3.4011286400000005</v>
      </c>
      <c r="L64" s="44">
        <f>SUM(L56:L59,L60,L63)</f>
        <v>0</v>
      </c>
      <c r="M64" s="44">
        <f>SUM(M56:M63)</f>
        <v>68.160995201999995</v>
      </c>
      <c r="N64" s="44">
        <f>SUM(N56:N59,N60,N63)</f>
        <v>0</v>
      </c>
      <c r="O64" s="44">
        <f>SUM(O56:O59,O60,O63)</f>
        <v>0</v>
      </c>
      <c r="P64" s="44">
        <f>SUM(P56:P59,P60,P63)</f>
        <v>0</v>
      </c>
      <c r="Q64" s="44">
        <f>SUM(Q56:Q59,Q60,Q63)</f>
        <v>0</v>
      </c>
      <c r="R64" s="44">
        <f>SUM(R56:R59,R60,R63)</f>
        <v>0</v>
      </c>
      <c r="S64" s="44">
        <f>SUM(S56:S63)</f>
        <v>68.160995201999995</v>
      </c>
      <c r="T64" s="44">
        <f>SUM(T56:T59,T60,T63)</f>
        <v>0</v>
      </c>
      <c r="U64" s="44">
        <f>SUM(U56:U63)</f>
        <v>84</v>
      </c>
      <c r="V64" s="44">
        <f t="shared" ref="V64:CG64" si="132">SUM(V56:V57)</f>
        <v>0</v>
      </c>
      <c r="W64" s="44">
        <f t="shared" si="132"/>
        <v>0</v>
      </c>
      <c r="X64" s="44">
        <f t="shared" si="132"/>
        <v>0</v>
      </c>
      <c r="Y64" s="44">
        <f t="shared" si="132"/>
        <v>0</v>
      </c>
      <c r="Z64" s="44">
        <f t="shared" si="132"/>
        <v>0</v>
      </c>
      <c r="AA64" s="44">
        <f t="shared" si="132"/>
        <v>0</v>
      </c>
      <c r="AB64" s="44">
        <f t="shared" si="132"/>
        <v>0</v>
      </c>
      <c r="AC64" s="44">
        <f t="shared" si="132"/>
        <v>0</v>
      </c>
      <c r="AD64" s="44">
        <f t="shared" si="132"/>
        <v>0</v>
      </c>
      <c r="AE64" s="44">
        <f t="shared" si="132"/>
        <v>0</v>
      </c>
      <c r="AF64" s="44">
        <f t="shared" si="132"/>
        <v>0</v>
      </c>
      <c r="AG64" s="44">
        <f t="shared" si="132"/>
        <v>0</v>
      </c>
      <c r="AH64" s="44">
        <f t="shared" si="132"/>
        <v>0</v>
      </c>
      <c r="AI64" s="44">
        <f t="shared" si="132"/>
        <v>0</v>
      </c>
      <c r="AJ64" s="44">
        <f t="shared" si="132"/>
        <v>0</v>
      </c>
      <c r="AK64" s="44">
        <f t="shared" si="132"/>
        <v>0</v>
      </c>
      <c r="AL64" s="44">
        <f t="shared" si="132"/>
        <v>0</v>
      </c>
      <c r="AM64" s="44">
        <f t="shared" si="132"/>
        <v>0</v>
      </c>
      <c r="AN64" s="44">
        <f t="shared" si="132"/>
        <v>0</v>
      </c>
      <c r="AO64" s="44">
        <f t="shared" si="132"/>
        <v>0</v>
      </c>
      <c r="AP64" s="44">
        <f t="shared" si="132"/>
        <v>0</v>
      </c>
      <c r="AQ64" s="44">
        <f t="shared" si="132"/>
        <v>0</v>
      </c>
      <c r="AR64" s="44">
        <f t="shared" si="132"/>
        <v>0</v>
      </c>
      <c r="AS64" s="44">
        <f t="shared" si="132"/>
        <v>0</v>
      </c>
      <c r="AT64" s="44">
        <f t="shared" si="132"/>
        <v>0</v>
      </c>
      <c r="AU64" s="44">
        <f t="shared" si="132"/>
        <v>0</v>
      </c>
      <c r="AV64" s="44">
        <f t="shared" si="132"/>
        <v>0</v>
      </c>
      <c r="AW64" s="44">
        <f t="shared" si="132"/>
        <v>0</v>
      </c>
      <c r="AX64" s="44">
        <f t="shared" si="132"/>
        <v>0</v>
      </c>
      <c r="AY64" s="44">
        <f t="shared" si="132"/>
        <v>0</v>
      </c>
      <c r="AZ64" s="44">
        <f t="shared" si="132"/>
        <v>0</v>
      </c>
      <c r="BA64" s="44">
        <f t="shared" si="132"/>
        <v>0</v>
      </c>
      <c r="BB64" s="44">
        <f t="shared" si="132"/>
        <v>0</v>
      </c>
      <c r="BC64" s="44">
        <f t="shared" si="132"/>
        <v>0</v>
      </c>
      <c r="BD64" s="44">
        <f t="shared" si="132"/>
        <v>0</v>
      </c>
      <c r="BE64" s="44">
        <f t="shared" si="132"/>
        <v>0</v>
      </c>
      <c r="BF64" s="44">
        <f t="shared" si="132"/>
        <v>0</v>
      </c>
      <c r="BG64" s="44">
        <f t="shared" si="132"/>
        <v>0</v>
      </c>
      <c r="BH64" s="44">
        <f t="shared" si="132"/>
        <v>0</v>
      </c>
      <c r="BI64" s="44">
        <f t="shared" si="132"/>
        <v>0</v>
      </c>
      <c r="BJ64" s="44">
        <f t="shared" si="132"/>
        <v>0</v>
      </c>
      <c r="BK64" s="44">
        <f t="shared" si="132"/>
        <v>0</v>
      </c>
      <c r="BL64" s="44">
        <f t="shared" si="132"/>
        <v>0</v>
      </c>
      <c r="BM64" s="44">
        <f t="shared" si="132"/>
        <v>0</v>
      </c>
      <c r="BN64" s="44">
        <f t="shared" si="132"/>
        <v>0</v>
      </c>
      <c r="BO64" s="44">
        <f t="shared" si="132"/>
        <v>0</v>
      </c>
      <c r="BP64" s="44">
        <f t="shared" si="132"/>
        <v>0</v>
      </c>
      <c r="BQ64" s="44">
        <f t="shared" si="132"/>
        <v>0</v>
      </c>
      <c r="BR64" s="44">
        <f t="shared" si="132"/>
        <v>0</v>
      </c>
      <c r="BS64" s="44">
        <f t="shared" si="132"/>
        <v>0</v>
      </c>
      <c r="BT64" s="44">
        <f t="shared" si="132"/>
        <v>0</v>
      </c>
      <c r="BU64" s="44">
        <f t="shared" si="132"/>
        <v>0</v>
      </c>
      <c r="BV64" s="44">
        <f t="shared" si="132"/>
        <v>0</v>
      </c>
      <c r="BW64" s="44">
        <f t="shared" si="132"/>
        <v>0</v>
      </c>
      <c r="BX64" s="44">
        <f t="shared" si="132"/>
        <v>0</v>
      </c>
      <c r="BY64" s="44">
        <f t="shared" si="132"/>
        <v>0</v>
      </c>
      <c r="BZ64" s="44">
        <f t="shared" si="132"/>
        <v>0</v>
      </c>
      <c r="CA64" s="44">
        <f t="shared" si="132"/>
        <v>0</v>
      </c>
      <c r="CB64" s="44">
        <f t="shared" si="132"/>
        <v>0</v>
      </c>
      <c r="CC64" s="44">
        <f t="shared" si="132"/>
        <v>0</v>
      </c>
      <c r="CD64" s="44">
        <f t="shared" si="132"/>
        <v>0</v>
      </c>
      <c r="CE64" s="44">
        <f t="shared" si="132"/>
        <v>0</v>
      </c>
      <c r="CF64" s="44">
        <f t="shared" si="132"/>
        <v>0</v>
      </c>
      <c r="CG64" s="44">
        <f t="shared" si="132"/>
        <v>0</v>
      </c>
      <c r="CH64" s="44">
        <f t="shared" ref="CH64:ES64" si="133">SUM(CH56:CH57)</f>
        <v>0</v>
      </c>
      <c r="CI64" s="44">
        <f t="shared" si="133"/>
        <v>0</v>
      </c>
      <c r="CJ64" s="44">
        <f t="shared" si="133"/>
        <v>0</v>
      </c>
      <c r="CK64" s="44">
        <f t="shared" si="133"/>
        <v>0</v>
      </c>
      <c r="CL64" s="44">
        <f t="shared" si="133"/>
        <v>0</v>
      </c>
      <c r="CM64" s="44">
        <f t="shared" si="133"/>
        <v>0</v>
      </c>
      <c r="CN64" s="44">
        <f t="shared" si="133"/>
        <v>0</v>
      </c>
      <c r="CO64" s="44">
        <f t="shared" si="133"/>
        <v>0</v>
      </c>
      <c r="CP64" s="44">
        <f t="shared" si="133"/>
        <v>0</v>
      </c>
      <c r="CQ64" s="44">
        <f t="shared" si="133"/>
        <v>0</v>
      </c>
      <c r="CR64" s="44">
        <f t="shared" si="133"/>
        <v>0</v>
      </c>
      <c r="CS64" s="44">
        <f t="shared" si="133"/>
        <v>0</v>
      </c>
      <c r="CT64" s="44">
        <f t="shared" si="133"/>
        <v>0</v>
      </c>
      <c r="CU64" s="44">
        <f t="shared" si="133"/>
        <v>0</v>
      </c>
      <c r="CV64" s="44">
        <f t="shared" si="133"/>
        <v>0</v>
      </c>
      <c r="CW64" s="44">
        <f t="shared" si="133"/>
        <v>0</v>
      </c>
      <c r="CX64" s="44">
        <f t="shared" si="133"/>
        <v>0</v>
      </c>
      <c r="CY64" s="44">
        <f t="shared" si="133"/>
        <v>0</v>
      </c>
      <c r="CZ64" s="44">
        <f t="shared" si="133"/>
        <v>0</v>
      </c>
      <c r="DA64" s="44">
        <f t="shared" si="133"/>
        <v>0</v>
      </c>
      <c r="DB64" s="44">
        <f t="shared" si="133"/>
        <v>0</v>
      </c>
      <c r="DC64" s="44">
        <f t="shared" si="133"/>
        <v>0</v>
      </c>
      <c r="DD64" s="44">
        <f t="shared" si="133"/>
        <v>0</v>
      </c>
      <c r="DE64" s="44">
        <f t="shared" si="133"/>
        <v>0</v>
      </c>
      <c r="DF64" s="44">
        <f t="shared" si="133"/>
        <v>0</v>
      </c>
      <c r="DG64" s="44">
        <f t="shared" si="133"/>
        <v>0</v>
      </c>
      <c r="DH64" s="44">
        <f t="shared" si="133"/>
        <v>0</v>
      </c>
      <c r="DI64" s="44">
        <f t="shared" si="133"/>
        <v>0</v>
      </c>
      <c r="DJ64" s="44">
        <f t="shared" si="133"/>
        <v>0</v>
      </c>
      <c r="DK64" s="44">
        <f t="shared" si="133"/>
        <v>0</v>
      </c>
      <c r="DL64" s="44">
        <f t="shared" si="133"/>
        <v>0</v>
      </c>
      <c r="DM64" s="44">
        <f t="shared" si="133"/>
        <v>0</v>
      </c>
      <c r="DN64" s="44">
        <f t="shared" si="133"/>
        <v>0</v>
      </c>
      <c r="DO64" s="44">
        <f t="shared" si="133"/>
        <v>0</v>
      </c>
      <c r="DP64" s="44">
        <f t="shared" si="133"/>
        <v>0</v>
      </c>
      <c r="DQ64" s="44">
        <f t="shared" si="133"/>
        <v>0</v>
      </c>
      <c r="DR64" s="44">
        <f t="shared" si="133"/>
        <v>0</v>
      </c>
      <c r="DS64" s="44">
        <f t="shared" si="133"/>
        <v>0</v>
      </c>
      <c r="DT64" s="44">
        <f t="shared" si="133"/>
        <v>0</v>
      </c>
      <c r="DU64" s="44">
        <f t="shared" si="133"/>
        <v>0</v>
      </c>
      <c r="DV64" s="44">
        <f t="shared" si="133"/>
        <v>0</v>
      </c>
      <c r="DW64" s="44">
        <f t="shared" si="133"/>
        <v>0</v>
      </c>
      <c r="DX64" s="44">
        <f t="shared" si="133"/>
        <v>0</v>
      </c>
      <c r="DY64" s="44">
        <f t="shared" si="133"/>
        <v>0</v>
      </c>
      <c r="DZ64" s="44">
        <f t="shared" si="133"/>
        <v>0</v>
      </c>
      <c r="EA64" s="44">
        <f t="shared" si="133"/>
        <v>0</v>
      </c>
      <c r="EB64" s="44">
        <f t="shared" si="133"/>
        <v>0</v>
      </c>
      <c r="EC64" s="44">
        <f t="shared" si="133"/>
        <v>0</v>
      </c>
      <c r="ED64" s="44">
        <f t="shared" si="133"/>
        <v>0</v>
      </c>
      <c r="EE64" s="44">
        <f t="shared" si="133"/>
        <v>0</v>
      </c>
      <c r="EF64" s="44">
        <f t="shared" si="133"/>
        <v>0</v>
      </c>
      <c r="EG64" s="44">
        <f t="shared" si="133"/>
        <v>0</v>
      </c>
      <c r="EH64" s="44">
        <f t="shared" si="133"/>
        <v>0</v>
      </c>
      <c r="EI64" s="44">
        <f t="shared" si="133"/>
        <v>0</v>
      </c>
      <c r="EJ64" s="44">
        <f t="shared" si="133"/>
        <v>0</v>
      </c>
      <c r="EK64" s="44">
        <f t="shared" si="133"/>
        <v>0</v>
      </c>
      <c r="EL64" s="44">
        <f t="shared" si="133"/>
        <v>0</v>
      </c>
      <c r="EM64" s="44">
        <f t="shared" si="133"/>
        <v>0</v>
      </c>
      <c r="EN64" s="44">
        <f t="shared" si="133"/>
        <v>0</v>
      </c>
      <c r="EO64" s="44">
        <f t="shared" si="133"/>
        <v>0</v>
      </c>
      <c r="EP64" s="44">
        <f t="shared" si="133"/>
        <v>0</v>
      </c>
      <c r="EQ64" s="44">
        <f t="shared" si="133"/>
        <v>0</v>
      </c>
      <c r="ER64" s="44">
        <f t="shared" si="133"/>
        <v>0</v>
      </c>
      <c r="ES64" s="44">
        <f t="shared" si="133"/>
        <v>0</v>
      </c>
      <c r="ET64" s="44">
        <f t="shared" ref="ET64:HE64" si="134">SUM(ET56:ET57)</f>
        <v>0</v>
      </c>
      <c r="EU64" s="44">
        <f t="shared" si="134"/>
        <v>0</v>
      </c>
      <c r="EV64" s="44">
        <f t="shared" si="134"/>
        <v>0</v>
      </c>
      <c r="EW64" s="44">
        <f t="shared" si="134"/>
        <v>0</v>
      </c>
      <c r="EX64" s="44">
        <f t="shared" si="134"/>
        <v>0</v>
      </c>
      <c r="EY64" s="44">
        <f t="shared" si="134"/>
        <v>0</v>
      </c>
      <c r="EZ64" s="44">
        <f t="shared" si="134"/>
        <v>0</v>
      </c>
      <c r="FA64" s="44">
        <f t="shared" si="134"/>
        <v>0</v>
      </c>
      <c r="FB64" s="44">
        <f t="shared" si="134"/>
        <v>0</v>
      </c>
      <c r="FC64" s="44">
        <f t="shared" si="134"/>
        <v>0</v>
      </c>
      <c r="FD64" s="44">
        <f t="shared" si="134"/>
        <v>0</v>
      </c>
      <c r="FE64" s="44">
        <f t="shared" si="134"/>
        <v>0</v>
      </c>
      <c r="FF64" s="44">
        <f t="shared" si="134"/>
        <v>0</v>
      </c>
      <c r="FG64" s="44">
        <f t="shared" si="134"/>
        <v>0</v>
      </c>
      <c r="FH64" s="44">
        <f t="shared" si="134"/>
        <v>0</v>
      </c>
      <c r="FI64" s="44">
        <f t="shared" si="134"/>
        <v>0</v>
      </c>
      <c r="FJ64" s="44">
        <f t="shared" si="134"/>
        <v>0</v>
      </c>
      <c r="FK64" s="44">
        <f t="shared" si="134"/>
        <v>0</v>
      </c>
      <c r="FL64" s="44">
        <f t="shared" si="134"/>
        <v>0</v>
      </c>
      <c r="FM64" s="44">
        <f t="shared" si="134"/>
        <v>0</v>
      </c>
      <c r="FN64" s="44">
        <f t="shared" si="134"/>
        <v>0</v>
      </c>
      <c r="FO64" s="44">
        <f t="shared" si="134"/>
        <v>0</v>
      </c>
      <c r="FP64" s="44">
        <f t="shared" si="134"/>
        <v>0</v>
      </c>
      <c r="FQ64" s="44">
        <f t="shared" si="134"/>
        <v>0</v>
      </c>
      <c r="FR64" s="44">
        <f t="shared" si="134"/>
        <v>0</v>
      </c>
      <c r="FS64" s="44">
        <f t="shared" si="134"/>
        <v>0</v>
      </c>
      <c r="FT64" s="44">
        <f t="shared" si="134"/>
        <v>0</v>
      </c>
      <c r="FU64" s="44">
        <f t="shared" si="134"/>
        <v>0</v>
      </c>
      <c r="FV64" s="44">
        <f t="shared" si="134"/>
        <v>0</v>
      </c>
      <c r="FW64" s="44">
        <f t="shared" si="134"/>
        <v>0</v>
      </c>
      <c r="FX64" s="44">
        <f t="shared" si="134"/>
        <v>0</v>
      </c>
      <c r="FY64" s="44">
        <f t="shared" si="134"/>
        <v>0</v>
      </c>
      <c r="FZ64" s="44">
        <f t="shared" si="134"/>
        <v>0</v>
      </c>
      <c r="GA64" s="44">
        <f t="shared" si="134"/>
        <v>0</v>
      </c>
      <c r="GB64" s="44">
        <f t="shared" si="134"/>
        <v>0</v>
      </c>
      <c r="GC64" s="44">
        <f t="shared" si="134"/>
        <v>0</v>
      </c>
      <c r="GD64" s="44">
        <f t="shared" si="134"/>
        <v>0</v>
      </c>
      <c r="GE64" s="44">
        <f t="shared" si="134"/>
        <v>0</v>
      </c>
      <c r="GF64" s="44">
        <f t="shared" si="134"/>
        <v>0</v>
      </c>
      <c r="GG64" s="44">
        <f t="shared" si="134"/>
        <v>0</v>
      </c>
      <c r="GH64" s="44">
        <f t="shared" si="134"/>
        <v>0</v>
      </c>
      <c r="GI64" s="44">
        <f t="shared" si="134"/>
        <v>0</v>
      </c>
      <c r="GJ64" s="44">
        <f t="shared" si="134"/>
        <v>0</v>
      </c>
      <c r="GK64" s="44">
        <f t="shared" si="134"/>
        <v>0</v>
      </c>
      <c r="GL64" s="44">
        <f t="shared" si="134"/>
        <v>0</v>
      </c>
      <c r="GM64" s="44">
        <f t="shared" si="134"/>
        <v>0</v>
      </c>
      <c r="GN64" s="44">
        <f t="shared" si="134"/>
        <v>0</v>
      </c>
      <c r="GO64" s="44">
        <f t="shared" si="134"/>
        <v>0</v>
      </c>
      <c r="GP64" s="44">
        <f t="shared" si="134"/>
        <v>0</v>
      </c>
      <c r="GQ64" s="44">
        <f t="shared" si="134"/>
        <v>0</v>
      </c>
      <c r="GR64" s="44">
        <f t="shared" si="134"/>
        <v>0</v>
      </c>
      <c r="GS64" s="44">
        <f t="shared" si="134"/>
        <v>0</v>
      </c>
      <c r="GT64" s="44">
        <f t="shared" si="134"/>
        <v>0</v>
      </c>
      <c r="GU64" s="44">
        <f t="shared" si="134"/>
        <v>0</v>
      </c>
      <c r="GV64" s="44">
        <f t="shared" si="134"/>
        <v>0</v>
      </c>
      <c r="GW64" s="44">
        <f t="shared" si="134"/>
        <v>0</v>
      </c>
      <c r="GX64" s="44">
        <f t="shared" si="134"/>
        <v>0</v>
      </c>
      <c r="GY64" s="44">
        <f t="shared" si="134"/>
        <v>0</v>
      </c>
      <c r="GZ64" s="44">
        <f t="shared" si="134"/>
        <v>0</v>
      </c>
      <c r="HA64" s="44">
        <f t="shared" si="134"/>
        <v>0</v>
      </c>
      <c r="HB64" s="44">
        <f t="shared" si="134"/>
        <v>0</v>
      </c>
      <c r="HC64" s="44">
        <f t="shared" si="134"/>
        <v>0</v>
      </c>
      <c r="HD64" s="44">
        <f t="shared" si="134"/>
        <v>0</v>
      </c>
      <c r="HE64" s="44">
        <f t="shared" si="134"/>
        <v>0</v>
      </c>
      <c r="HF64" s="44">
        <f t="shared" ref="HF64:JQ64" si="135">SUM(HF56:HF57)</f>
        <v>0</v>
      </c>
      <c r="HG64" s="44">
        <f t="shared" si="135"/>
        <v>0</v>
      </c>
      <c r="HH64" s="44">
        <f t="shared" si="135"/>
        <v>0</v>
      </c>
      <c r="HI64" s="44">
        <f t="shared" si="135"/>
        <v>0</v>
      </c>
      <c r="HJ64" s="44">
        <f t="shared" si="135"/>
        <v>0</v>
      </c>
      <c r="HK64" s="44">
        <f t="shared" si="135"/>
        <v>0</v>
      </c>
      <c r="HL64" s="44">
        <f t="shared" si="135"/>
        <v>0</v>
      </c>
      <c r="HM64" s="44">
        <f t="shared" si="135"/>
        <v>0</v>
      </c>
      <c r="HN64" s="44">
        <f t="shared" si="135"/>
        <v>0</v>
      </c>
      <c r="HO64" s="44">
        <f t="shared" si="135"/>
        <v>0</v>
      </c>
      <c r="HP64" s="44">
        <f t="shared" si="135"/>
        <v>0</v>
      </c>
      <c r="HQ64" s="44">
        <f t="shared" si="135"/>
        <v>0</v>
      </c>
      <c r="HR64" s="44">
        <f t="shared" si="135"/>
        <v>0</v>
      </c>
      <c r="HS64" s="44">
        <f t="shared" si="135"/>
        <v>0</v>
      </c>
      <c r="HT64" s="44">
        <f t="shared" si="135"/>
        <v>0</v>
      </c>
      <c r="HU64" s="44">
        <f t="shared" si="135"/>
        <v>0</v>
      </c>
      <c r="HV64" s="44">
        <f t="shared" si="135"/>
        <v>0</v>
      </c>
      <c r="HW64" s="44">
        <f t="shared" si="135"/>
        <v>0</v>
      </c>
      <c r="HX64" s="44">
        <f t="shared" si="135"/>
        <v>0</v>
      </c>
      <c r="HY64" s="44">
        <f t="shared" si="135"/>
        <v>0</v>
      </c>
      <c r="HZ64" s="44">
        <f t="shared" si="135"/>
        <v>0</v>
      </c>
      <c r="IA64" s="44">
        <f t="shared" si="135"/>
        <v>0</v>
      </c>
      <c r="IB64" s="44">
        <f t="shared" si="135"/>
        <v>0</v>
      </c>
      <c r="IC64" s="44">
        <f t="shared" si="135"/>
        <v>0</v>
      </c>
      <c r="ID64" s="44">
        <f t="shared" si="135"/>
        <v>0</v>
      </c>
      <c r="IE64" s="44">
        <f t="shared" si="135"/>
        <v>0</v>
      </c>
      <c r="IF64" s="44">
        <f t="shared" si="135"/>
        <v>0</v>
      </c>
      <c r="IG64" s="44">
        <f t="shared" si="135"/>
        <v>0</v>
      </c>
      <c r="IH64" s="44">
        <f t="shared" si="135"/>
        <v>0</v>
      </c>
      <c r="II64" s="44">
        <f t="shared" si="135"/>
        <v>0</v>
      </c>
      <c r="IJ64" s="44">
        <f t="shared" si="135"/>
        <v>0</v>
      </c>
      <c r="IK64" s="44">
        <f t="shared" si="135"/>
        <v>0</v>
      </c>
      <c r="IL64" s="44">
        <f t="shared" si="135"/>
        <v>0</v>
      </c>
      <c r="IM64" s="44">
        <f t="shared" si="135"/>
        <v>0</v>
      </c>
      <c r="IN64" s="44">
        <f t="shared" si="135"/>
        <v>0</v>
      </c>
      <c r="IO64" s="44">
        <f t="shared" si="135"/>
        <v>0</v>
      </c>
      <c r="IP64" s="44">
        <f t="shared" si="135"/>
        <v>0</v>
      </c>
      <c r="IQ64" s="44">
        <f t="shared" si="135"/>
        <v>0</v>
      </c>
      <c r="IR64" s="44">
        <f t="shared" si="135"/>
        <v>0</v>
      </c>
      <c r="IS64" s="44">
        <f t="shared" si="135"/>
        <v>0</v>
      </c>
      <c r="IT64" s="44">
        <f t="shared" si="135"/>
        <v>0</v>
      </c>
      <c r="IU64" s="44">
        <f t="shared" si="135"/>
        <v>0</v>
      </c>
      <c r="IV64" s="44">
        <f t="shared" si="135"/>
        <v>0</v>
      </c>
      <c r="IW64" s="44">
        <f t="shared" si="135"/>
        <v>0</v>
      </c>
      <c r="IX64" s="44">
        <f t="shared" si="135"/>
        <v>0</v>
      </c>
      <c r="IY64" s="44">
        <f t="shared" si="135"/>
        <v>0</v>
      </c>
      <c r="IZ64" s="44">
        <f t="shared" si="135"/>
        <v>0</v>
      </c>
      <c r="JA64" s="44">
        <f t="shared" si="135"/>
        <v>0</v>
      </c>
      <c r="JB64" s="44">
        <f t="shared" si="135"/>
        <v>0</v>
      </c>
      <c r="JC64" s="44">
        <f t="shared" si="135"/>
        <v>0</v>
      </c>
      <c r="JD64" s="44">
        <f t="shared" si="135"/>
        <v>0</v>
      </c>
      <c r="JE64" s="44">
        <f t="shared" si="135"/>
        <v>0</v>
      </c>
      <c r="JF64" s="44">
        <f t="shared" si="135"/>
        <v>0</v>
      </c>
      <c r="JG64" s="44">
        <f t="shared" si="135"/>
        <v>0</v>
      </c>
      <c r="JH64" s="44">
        <f t="shared" si="135"/>
        <v>0</v>
      </c>
      <c r="JI64" s="44">
        <f t="shared" si="135"/>
        <v>0</v>
      </c>
      <c r="JJ64" s="44">
        <f t="shared" si="135"/>
        <v>0</v>
      </c>
      <c r="JK64" s="44">
        <f t="shared" si="135"/>
        <v>0</v>
      </c>
      <c r="JL64" s="44">
        <f t="shared" si="135"/>
        <v>0</v>
      </c>
      <c r="JM64" s="44">
        <f t="shared" si="135"/>
        <v>0</v>
      </c>
      <c r="JN64" s="44">
        <f t="shared" si="135"/>
        <v>0</v>
      </c>
      <c r="JO64" s="44">
        <f t="shared" si="135"/>
        <v>0</v>
      </c>
      <c r="JP64" s="44">
        <f t="shared" si="135"/>
        <v>0</v>
      </c>
      <c r="JQ64" s="44">
        <f t="shared" si="135"/>
        <v>0</v>
      </c>
      <c r="JR64" s="44">
        <f t="shared" ref="JR64:MC64" si="136">SUM(JR56:JR57)</f>
        <v>0</v>
      </c>
      <c r="JS64" s="44">
        <f t="shared" si="136"/>
        <v>0</v>
      </c>
      <c r="JT64" s="44">
        <f t="shared" si="136"/>
        <v>0</v>
      </c>
      <c r="JU64" s="44">
        <f t="shared" si="136"/>
        <v>0</v>
      </c>
      <c r="JV64" s="44">
        <f t="shared" si="136"/>
        <v>0</v>
      </c>
      <c r="JW64" s="44">
        <f t="shared" si="136"/>
        <v>0</v>
      </c>
      <c r="JX64" s="44">
        <f t="shared" si="136"/>
        <v>0</v>
      </c>
      <c r="JY64" s="44">
        <f t="shared" si="136"/>
        <v>0</v>
      </c>
      <c r="JZ64" s="44">
        <f t="shared" si="136"/>
        <v>0</v>
      </c>
      <c r="KA64" s="44">
        <f t="shared" si="136"/>
        <v>0</v>
      </c>
      <c r="KB64" s="44">
        <f t="shared" si="136"/>
        <v>0</v>
      </c>
      <c r="KC64" s="44">
        <f t="shared" si="136"/>
        <v>0</v>
      </c>
      <c r="KD64" s="44">
        <f t="shared" si="136"/>
        <v>0</v>
      </c>
      <c r="KE64" s="44">
        <f t="shared" si="136"/>
        <v>0</v>
      </c>
      <c r="KF64" s="44">
        <f t="shared" si="136"/>
        <v>0</v>
      </c>
      <c r="KG64" s="44">
        <f t="shared" si="136"/>
        <v>0</v>
      </c>
      <c r="KH64" s="44">
        <f t="shared" si="136"/>
        <v>0</v>
      </c>
      <c r="KI64" s="44">
        <f t="shared" si="136"/>
        <v>0</v>
      </c>
      <c r="KJ64" s="44">
        <f t="shared" si="136"/>
        <v>0</v>
      </c>
      <c r="KK64" s="44">
        <f t="shared" si="136"/>
        <v>0</v>
      </c>
      <c r="KL64" s="44">
        <f t="shared" si="136"/>
        <v>0</v>
      </c>
      <c r="KM64" s="44">
        <f t="shared" si="136"/>
        <v>0</v>
      </c>
      <c r="KN64" s="44">
        <f t="shared" si="136"/>
        <v>0</v>
      </c>
      <c r="KO64" s="44">
        <f t="shared" si="136"/>
        <v>0</v>
      </c>
      <c r="KP64" s="44">
        <f t="shared" si="136"/>
        <v>0</v>
      </c>
      <c r="KQ64" s="44">
        <f t="shared" si="136"/>
        <v>0</v>
      </c>
      <c r="KR64" s="44">
        <f t="shared" si="136"/>
        <v>0</v>
      </c>
      <c r="KS64" s="44">
        <f t="shared" si="136"/>
        <v>0</v>
      </c>
      <c r="KT64" s="44">
        <f t="shared" si="136"/>
        <v>0</v>
      </c>
      <c r="KU64" s="44">
        <f t="shared" si="136"/>
        <v>0</v>
      </c>
      <c r="KV64" s="44">
        <f t="shared" si="136"/>
        <v>0</v>
      </c>
      <c r="KW64" s="44">
        <f t="shared" si="136"/>
        <v>0</v>
      </c>
      <c r="KX64" s="44">
        <f t="shared" si="136"/>
        <v>0</v>
      </c>
      <c r="KY64" s="44">
        <f t="shared" si="136"/>
        <v>0</v>
      </c>
      <c r="KZ64" s="44">
        <f t="shared" si="136"/>
        <v>0</v>
      </c>
      <c r="LA64" s="44">
        <f t="shared" si="136"/>
        <v>0</v>
      </c>
      <c r="LB64" s="44">
        <f t="shared" si="136"/>
        <v>0</v>
      </c>
      <c r="LC64" s="44">
        <f t="shared" si="136"/>
        <v>0</v>
      </c>
      <c r="LD64" s="44">
        <f t="shared" si="136"/>
        <v>0</v>
      </c>
      <c r="LE64" s="44">
        <f t="shared" si="136"/>
        <v>0</v>
      </c>
      <c r="LF64" s="44">
        <f t="shared" si="136"/>
        <v>0</v>
      </c>
      <c r="LG64" s="44">
        <f t="shared" si="136"/>
        <v>0</v>
      </c>
      <c r="LH64" s="44">
        <f t="shared" si="136"/>
        <v>0</v>
      </c>
      <c r="LI64" s="44">
        <f t="shared" si="136"/>
        <v>0</v>
      </c>
      <c r="LJ64" s="44">
        <f t="shared" si="136"/>
        <v>0</v>
      </c>
      <c r="LK64" s="44">
        <f t="shared" si="136"/>
        <v>0</v>
      </c>
      <c r="LL64" s="44">
        <f t="shared" si="136"/>
        <v>0</v>
      </c>
      <c r="LM64" s="44">
        <f t="shared" si="136"/>
        <v>0</v>
      </c>
      <c r="LN64" s="44">
        <f t="shared" si="136"/>
        <v>0</v>
      </c>
      <c r="LO64" s="44">
        <f t="shared" si="136"/>
        <v>0</v>
      </c>
      <c r="LP64" s="44">
        <f t="shared" si="136"/>
        <v>0</v>
      </c>
      <c r="LQ64" s="44">
        <f t="shared" si="136"/>
        <v>0</v>
      </c>
      <c r="LR64" s="44">
        <f t="shared" si="136"/>
        <v>0</v>
      </c>
      <c r="LS64" s="44">
        <f t="shared" si="136"/>
        <v>0</v>
      </c>
      <c r="LT64" s="44">
        <f t="shared" si="136"/>
        <v>0</v>
      </c>
      <c r="LU64" s="44">
        <f t="shared" si="136"/>
        <v>0</v>
      </c>
      <c r="LV64" s="44">
        <f t="shared" si="136"/>
        <v>0</v>
      </c>
      <c r="LW64" s="44">
        <f t="shared" si="136"/>
        <v>0</v>
      </c>
      <c r="LX64" s="44">
        <f t="shared" si="136"/>
        <v>0</v>
      </c>
      <c r="LY64" s="44">
        <f t="shared" si="136"/>
        <v>0</v>
      </c>
      <c r="LZ64" s="44">
        <f t="shared" si="136"/>
        <v>0</v>
      </c>
      <c r="MA64" s="44">
        <f t="shared" si="136"/>
        <v>0</v>
      </c>
      <c r="MB64" s="44">
        <f t="shared" si="136"/>
        <v>0</v>
      </c>
      <c r="MC64" s="44">
        <f t="shared" si="136"/>
        <v>0</v>
      </c>
      <c r="MD64" s="44">
        <f t="shared" ref="MD64:OO64" si="137">SUM(MD56:MD57)</f>
        <v>0</v>
      </c>
      <c r="ME64" s="44">
        <f t="shared" si="137"/>
        <v>0</v>
      </c>
      <c r="MF64" s="44">
        <f t="shared" si="137"/>
        <v>0</v>
      </c>
      <c r="MG64" s="44">
        <f t="shared" si="137"/>
        <v>0</v>
      </c>
      <c r="MH64" s="44">
        <f t="shared" si="137"/>
        <v>0</v>
      </c>
      <c r="MI64" s="44">
        <f t="shared" si="137"/>
        <v>0</v>
      </c>
      <c r="MJ64" s="44">
        <f t="shared" si="137"/>
        <v>0</v>
      </c>
      <c r="MK64" s="44">
        <f t="shared" si="137"/>
        <v>0</v>
      </c>
      <c r="ML64" s="44">
        <f t="shared" si="137"/>
        <v>0</v>
      </c>
      <c r="MM64" s="44">
        <f t="shared" si="137"/>
        <v>0</v>
      </c>
      <c r="MN64" s="44">
        <f t="shared" si="137"/>
        <v>0</v>
      </c>
      <c r="MO64" s="44">
        <f t="shared" si="137"/>
        <v>0</v>
      </c>
      <c r="MP64" s="44">
        <f t="shared" si="137"/>
        <v>0</v>
      </c>
      <c r="MQ64" s="44">
        <f t="shared" si="137"/>
        <v>0</v>
      </c>
      <c r="MR64" s="44">
        <f t="shared" si="137"/>
        <v>0</v>
      </c>
      <c r="MS64" s="44">
        <f t="shared" si="137"/>
        <v>0</v>
      </c>
      <c r="MT64" s="44">
        <f t="shared" si="137"/>
        <v>0</v>
      </c>
      <c r="MU64" s="44">
        <f t="shared" si="137"/>
        <v>0</v>
      </c>
      <c r="MV64" s="44">
        <f t="shared" si="137"/>
        <v>0</v>
      </c>
      <c r="MW64" s="44">
        <f t="shared" si="137"/>
        <v>0</v>
      </c>
      <c r="MX64" s="44">
        <f t="shared" si="137"/>
        <v>0</v>
      </c>
      <c r="MY64" s="44">
        <f t="shared" si="137"/>
        <v>0</v>
      </c>
      <c r="MZ64" s="44">
        <f t="shared" si="137"/>
        <v>0</v>
      </c>
      <c r="NA64" s="44">
        <f t="shared" si="137"/>
        <v>0</v>
      </c>
      <c r="NB64" s="44">
        <f t="shared" si="137"/>
        <v>0</v>
      </c>
      <c r="NC64" s="44">
        <f t="shared" si="137"/>
        <v>0</v>
      </c>
      <c r="ND64" s="44">
        <f t="shared" si="137"/>
        <v>0</v>
      </c>
      <c r="NE64" s="44">
        <f t="shared" si="137"/>
        <v>0</v>
      </c>
      <c r="NF64" s="44">
        <f t="shared" si="137"/>
        <v>0</v>
      </c>
      <c r="NG64" s="44">
        <f t="shared" si="137"/>
        <v>0</v>
      </c>
      <c r="NH64" s="44">
        <f t="shared" si="137"/>
        <v>0</v>
      </c>
      <c r="NI64" s="44">
        <f t="shared" si="137"/>
        <v>0</v>
      </c>
      <c r="NJ64" s="44">
        <f t="shared" si="137"/>
        <v>0</v>
      </c>
      <c r="NK64" s="44">
        <f t="shared" si="137"/>
        <v>0</v>
      </c>
      <c r="NL64" s="44">
        <f t="shared" si="137"/>
        <v>0</v>
      </c>
      <c r="NM64" s="44">
        <f t="shared" si="137"/>
        <v>0</v>
      </c>
      <c r="NN64" s="44">
        <f t="shared" si="137"/>
        <v>0</v>
      </c>
      <c r="NO64" s="44">
        <f t="shared" si="137"/>
        <v>0</v>
      </c>
      <c r="NP64" s="44">
        <f t="shared" si="137"/>
        <v>0</v>
      </c>
      <c r="NQ64" s="44">
        <f t="shared" si="137"/>
        <v>0</v>
      </c>
      <c r="NR64" s="44">
        <f t="shared" si="137"/>
        <v>0</v>
      </c>
      <c r="NS64" s="44">
        <f t="shared" si="137"/>
        <v>0</v>
      </c>
      <c r="NT64" s="44">
        <f t="shared" si="137"/>
        <v>0</v>
      </c>
      <c r="NU64" s="44">
        <f t="shared" si="137"/>
        <v>0</v>
      </c>
      <c r="NV64" s="44">
        <f t="shared" si="137"/>
        <v>0</v>
      </c>
      <c r="NW64" s="44">
        <f t="shared" si="137"/>
        <v>0</v>
      </c>
      <c r="NX64" s="44">
        <f t="shared" si="137"/>
        <v>0</v>
      </c>
      <c r="NY64" s="44">
        <f t="shared" si="137"/>
        <v>0</v>
      </c>
      <c r="NZ64" s="44">
        <f t="shared" si="137"/>
        <v>0</v>
      </c>
      <c r="OA64" s="44">
        <f t="shared" si="137"/>
        <v>0</v>
      </c>
      <c r="OB64" s="44">
        <f t="shared" si="137"/>
        <v>0</v>
      </c>
      <c r="OC64" s="44">
        <f t="shared" si="137"/>
        <v>0</v>
      </c>
      <c r="OD64" s="44">
        <f t="shared" si="137"/>
        <v>0</v>
      </c>
      <c r="OE64" s="44">
        <f t="shared" si="137"/>
        <v>0</v>
      </c>
      <c r="OF64" s="44">
        <f t="shared" si="137"/>
        <v>0</v>
      </c>
      <c r="OG64" s="44">
        <f t="shared" si="137"/>
        <v>0</v>
      </c>
      <c r="OH64" s="44">
        <f t="shared" si="137"/>
        <v>0</v>
      </c>
      <c r="OI64" s="44">
        <f t="shared" si="137"/>
        <v>0</v>
      </c>
      <c r="OJ64" s="44">
        <f t="shared" si="137"/>
        <v>0</v>
      </c>
      <c r="OK64" s="44">
        <f t="shared" si="137"/>
        <v>0</v>
      </c>
      <c r="OL64" s="44">
        <f t="shared" si="137"/>
        <v>0</v>
      </c>
      <c r="OM64" s="44">
        <f t="shared" si="137"/>
        <v>0</v>
      </c>
      <c r="ON64" s="44">
        <f t="shared" si="137"/>
        <v>0</v>
      </c>
      <c r="OO64" s="44">
        <f t="shared" si="137"/>
        <v>0</v>
      </c>
      <c r="OP64" s="44">
        <f t="shared" ref="OP64:RA64" si="138">SUM(OP56:OP57)</f>
        <v>0</v>
      </c>
      <c r="OQ64" s="44">
        <f t="shared" si="138"/>
        <v>0</v>
      </c>
      <c r="OR64" s="44">
        <f t="shared" si="138"/>
        <v>0</v>
      </c>
      <c r="OS64" s="44">
        <f t="shared" si="138"/>
        <v>0</v>
      </c>
      <c r="OT64" s="44">
        <f t="shared" si="138"/>
        <v>0</v>
      </c>
      <c r="OU64" s="44">
        <f t="shared" si="138"/>
        <v>0</v>
      </c>
      <c r="OV64" s="44">
        <f t="shared" si="138"/>
        <v>0</v>
      </c>
      <c r="OW64" s="44">
        <f t="shared" si="138"/>
        <v>0</v>
      </c>
      <c r="OX64" s="44">
        <f t="shared" si="138"/>
        <v>0</v>
      </c>
      <c r="OY64" s="44">
        <f t="shared" si="138"/>
        <v>0</v>
      </c>
      <c r="OZ64" s="44">
        <f t="shared" si="138"/>
        <v>0</v>
      </c>
      <c r="PA64" s="44">
        <f t="shared" si="138"/>
        <v>0</v>
      </c>
      <c r="PB64" s="44">
        <f t="shared" si="138"/>
        <v>0</v>
      </c>
      <c r="PC64" s="44">
        <f t="shared" si="138"/>
        <v>0</v>
      </c>
      <c r="PD64" s="44">
        <f t="shared" si="138"/>
        <v>0</v>
      </c>
      <c r="PE64" s="44">
        <f t="shared" si="138"/>
        <v>0</v>
      </c>
      <c r="PF64" s="44">
        <f t="shared" si="138"/>
        <v>0</v>
      </c>
      <c r="PG64" s="44">
        <f t="shared" si="138"/>
        <v>0</v>
      </c>
      <c r="PH64" s="44">
        <f t="shared" si="138"/>
        <v>0</v>
      </c>
      <c r="PI64" s="44">
        <f t="shared" si="138"/>
        <v>0</v>
      </c>
      <c r="PJ64" s="44">
        <f t="shared" si="138"/>
        <v>0</v>
      </c>
      <c r="PK64" s="44">
        <f t="shared" si="138"/>
        <v>0</v>
      </c>
      <c r="PL64" s="44">
        <f t="shared" si="138"/>
        <v>0</v>
      </c>
      <c r="PM64" s="44">
        <f t="shared" si="138"/>
        <v>0</v>
      </c>
      <c r="PN64" s="44">
        <f t="shared" si="138"/>
        <v>0</v>
      </c>
      <c r="PO64" s="44">
        <f t="shared" si="138"/>
        <v>0</v>
      </c>
      <c r="PP64" s="44">
        <f t="shared" si="138"/>
        <v>0</v>
      </c>
      <c r="PQ64" s="44">
        <f t="shared" si="138"/>
        <v>0</v>
      </c>
      <c r="PR64" s="44">
        <f t="shared" si="138"/>
        <v>0</v>
      </c>
      <c r="PS64" s="44">
        <f t="shared" si="138"/>
        <v>0</v>
      </c>
      <c r="PT64" s="44">
        <f t="shared" si="138"/>
        <v>0</v>
      </c>
      <c r="PU64" s="44">
        <f t="shared" si="138"/>
        <v>0</v>
      </c>
      <c r="PV64" s="44">
        <f t="shared" si="138"/>
        <v>0</v>
      </c>
      <c r="PW64" s="44">
        <f t="shared" si="138"/>
        <v>0</v>
      </c>
      <c r="PX64" s="44">
        <f t="shared" si="138"/>
        <v>0</v>
      </c>
      <c r="PY64" s="44">
        <f t="shared" si="138"/>
        <v>0</v>
      </c>
      <c r="PZ64" s="44">
        <f t="shared" si="138"/>
        <v>0</v>
      </c>
      <c r="QA64" s="44">
        <f t="shared" si="138"/>
        <v>0</v>
      </c>
      <c r="QB64" s="44">
        <f t="shared" si="138"/>
        <v>0</v>
      </c>
      <c r="QC64" s="44">
        <f t="shared" si="138"/>
        <v>0</v>
      </c>
      <c r="QD64" s="44">
        <f t="shared" si="138"/>
        <v>0</v>
      </c>
      <c r="QE64" s="44">
        <f t="shared" si="138"/>
        <v>0</v>
      </c>
      <c r="QF64" s="44">
        <f t="shared" si="138"/>
        <v>0</v>
      </c>
      <c r="QG64" s="44">
        <f t="shared" si="138"/>
        <v>0</v>
      </c>
      <c r="QH64" s="44">
        <f t="shared" si="138"/>
        <v>0</v>
      </c>
      <c r="QI64" s="44">
        <f t="shared" si="138"/>
        <v>0</v>
      </c>
      <c r="QJ64" s="44">
        <f t="shared" si="138"/>
        <v>0</v>
      </c>
      <c r="QK64" s="44">
        <f t="shared" si="138"/>
        <v>0</v>
      </c>
      <c r="QL64" s="44">
        <f t="shared" si="138"/>
        <v>0</v>
      </c>
      <c r="QM64" s="44">
        <f t="shared" si="138"/>
        <v>0</v>
      </c>
      <c r="QN64" s="44">
        <f t="shared" si="138"/>
        <v>0</v>
      </c>
      <c r="QO64" s="44">
        <f t="shared" si="138"/>
        <v>0</v>
      </c>
      <c r="QP64" s="44">
        <f t="shared" si="138"/>
        <v>0</v>
      </c>
      <c r="QQ64" s="44">
        <f t="shared" si="138"/>
        <v>0</v>
      </c>
      <c r="QR64" s="44">
        <f t="shared" si="138"/>
        <v>0</v>
      </c>
      <c r="QS64" s="44">
        <f t="shared" si="138"/>
        <v>0</v>
      </c>
      <c r="QT64" s="44">
        <f t="shared" si="138"/>
        <v>0</v>
      </c>
      <c r="QU64" s="44">
        <f t="shared" si="138"/>
        <v>0</v>
      </c>
      <c r="QV64" s="44">
        <f t="shared" si="138"/>
        <v>0</v>
      </c>
      <c r="QW64" s="44">
        <f t="shared" si="138"/>
        <v>0</v>
      </c>
      <c r="QX64" s="44">
        <f t="shared" si="138"/>
        <v>0</v>
      </c>
      <c r="QY64" s="44">
        <f t="shared" si="138"/>
        <v>0</v>
      </c>
      <c r="QZ64" s="44">
        <f t="shared" si="138"/>
        <v>0</v>
      </c>
      <c r="RA64" s="44">
        <f t="shared" si="138"/>
        <v>0</v>
      </c>
      <c r="RB64" s="44">
        <f t="shared" ref="RB64:TM64" si="139">SUM(RB56:RB57)</f>
        <v>0</v>
      </c>
      <c r="RC64" s="44">
        <f t="shared" si="139"/>
        <v>0</v>
      </c>
      <c r="RD64" s="44">
        <f t="shared" si="139"/>
        <v>0</v>
      </c>
      <c r="RE64" s="44">
        <f t="shared" si="139"/>
        <v>0</v>
      </c>
      <c r="RF64" s="44">
        <f t="shared" si="139"/>
        <v>0</v>
      </c>
      <c r="RG64" s="44">
        <f t="shared" si="139"/>
        <v>0</v>
      </c>
      <c r="RH64" s="44">
        <f t="shared" si="139"/>
        <v>0</v>
      </c>
      <c r="RI64" s="44">
        <f t="shared" si="139"/>
        <v>0</v>
      </c>
      <c r="RJ64" s="44">
        <f t="shared" si="139"/>
        <v>0</v>
      </c>
      <c r="RK64" s="44">
        <f t="shared" si="139"/>
        <v>0</v>
      </c>
      <c r="RL64" s="44">
        <f t="shared" si="139"/>
        <v>0</v>
      </c>
      <c r="RM64" s="44">
        <f t="shared" si="139"/>
        <v>0</v>
      </c>
      <c r="RN64" s="44">
        <f t="shared" si="139"/>
        <v>0</v>
      </c>
      <c r="RO64" s="44">
        <f t="shared" si="139"/>
        <v>0</v>
      </c>
      <c r="RP64" s="44">
        <f t="shared" si="139"/>
        <v>0</v>
      </c>
      <c r="RQ64" s="44">
        <f t="shared" si="139"/>
        <v>0</v>
      </c>
      <c r="RR64" s="44">
        <f t="shared" si="139"/>
        <v>0</v>
      </c>
      <c r="RS64" s="44">
        <f t="shared" si="139"/>
        <v>0</v>
      </c>
      <c r="RT64" s="44">
        <f t="shared" si="139"/>
        <v>0</v>
      </c>
      <c r="RU64" s="44">
        <f t="shared" si="139"/>
        <v>0</v>
      </c>
      <c r="RV64" s="44">
        <f t="shared" si="139"/>
        <v>0</v>
      </c>
      <c r="RW64" s="44">
        <f t="shared" si="139"/>
        <v>0</v>
      </c>
      <c r="RX64" s="44">
        <f t="shared" si="139"/>
        <v>0</v>
      </c>
      <c r="RY64" s="44">
        <f t="shared" si="139"/>
        <v>0</v>
      </c>
      <c r="RZ64" s="44">
        <f t="shared" si="139"/>
        <v>0</v>
      </c>
      <c r="SA64" s="44">
        <f t="shared" si="139"/>
        <v>0</v>
      </c>
      <c r="SB64" s="44">
        <f t="shared" si="139"/>
        <v>0</v>
      </c>
      <c r="SC64" s="44">
        <f t="shared" si="139"/>
        <v>0</v>
      </c>
      <c r="SD64" s="44">
        <f t="shared" si="139"/>
        <v>0</v>
      </c>
      <c r="SE64" s="44">
        <f t="shared" si="139"/>
        <v>0</v>
      </c>
      <c r="SF64" s="44">
        <f t="shared" si="139"/>
        <v>0</v>
      </c>
      <c r="SG64" s="44">
        <f t="shared" si="139"/>
        <v>0</v>
      </c>
      <c r="SH64" s="44">
        <f t="shared" si="139"/>
        <v>0</v>
      </c>
      <c r="SI64" s="44">
        <f t="shared" si="139"/>
        <v>0</v>
      </c>
      <c r="SJ64" s="44">
        <f t="shared" si="139"/>
        <v>0</v>
      </c>
      <c r="SK64" s="44">
        <f t="shared" si="139"/>
        <v>0</v>
      </c>
      <c r="SL64" s="44">
        <f t="shared" si="139"/>
        <v>0</v>
      </c>
      <c r="SM64" s="44">
        <f t="shared" si="139"/>
        <v>0</v>
      </c>
      <c r="SN64" s="44">
        <f t="shared" si="139"/>
        <v>0</v>
      </c>
      <c r="SO64" s="44">
        <f t="shared" si="139"/>
        <v>0</v>
      </c>
      <c r="SP64" s="44">
        <f t="shared" si="139"/>
        <v>0</v>
      </c>
      <c r="SQ64" s="44">
        <f t="shared" si="139"/>
        <v>0</v>
      </c>
      <c r="SR64" s="44">
        <f t="shared" si="139"/>
        <v>0</v>
      </c>
      <c r="SS64" s="44">
        <f t="shared" si="139"/>
        <v>0</v>
      </c>
      <c r="ST64" s="44">
        <f t="shared" si="139"/>
        <v>0</v>
      </c>
      <c r="SU64" s="44">
        <f t="shared" si="139"/>
        <v>0</v>
      </c>
      <c r="SV64" s="44">
        <f t="shared" si="139"/>
        <v>0</v>
      </c>
      <c r="SW64" s="44">
        <f t="shared" si="139"/>
        <v>0</v>
      </c>
      <c r="SX64" s="44">
        <f t="shared" si="139"/>
        <v>0</v>
      </c>
      <c r="SY64" s="44">
        <f t="shared" si="139"/>
        <v>0</v>
      </c>
      <c r="SZ64" s="44">
        <f t="shared" si="139"/>
        <v>0</v>
      </c>
      <c r="TA64" s="44">
        <f t="shared" si="139"/>
        <v>0</v>
      </c>
      <c r="TB64" s="44">
        <f t="shared" si="139"/>
        <v>0</v>
      </c>
      <c r="TC64" s="44">
        <f t="shared" si="139"/>
        <v>0</v>
      </c>
      <c r="TD64" s="44">
        <f t="shared" si="139"/>
        <v>0</v>
      </c>
      <c r="TE64" s="44">
        <f t="shared" si="139"/>
        <v>0</v>
      </c>
      <c r="TF64" s="44">
        <f t="shared" si="139"/>
        <v>0</v>
      </c>
      <c r="TG64" s="44">
        <f t="shared" si="139"/>
        <v>0</v>
      </c>
      <c r="TH64" s="44">
        <f t="shared" si="139"/>
        <v>0</v>
      </c>
      <c r="TI64" s="44">
        <f t="shared" si="139"/>
        <v>0</v>
      </c>
      <c r="TJ64" s="44">
        <f t="shared" si="139"/>
        <v>0</v>
      </c>
      <c r="TK64" s="44">
        <f t="shared" si="139"/>
        <v>0</v>
      </c>
      <c r="TL64" s="44">
        <f t="shared" si="139"/>
        <v>0</v>
      </c>
      <c r="TM64" s="44">
        <f t="shared" si="139"/>
        <v>0</v>
      </c>
      <c r="TN64" s="44">
        <f t="shared" ref="TN64:VY64" si="140">SUM(TN56:TN57)</f>
        <v>0</v>
      </c>
      <c r="TO64" s="44">
        <f t="shared" si="140"/>
        <v>0</v>
      </c>
      <c r="TP64" s="44">
        <f t="shared" si="140"/>
        <v>0</v>
      </c>
      <c r="TQ64" s="44">
        <f t="shared" si="140"/>
        <v>0</v>
      </c>
      <c r="TR64" s="44">
        <f t="shared" si="140"/>
        <v>0</v>
      </c>
      <c r="TS64" s="44">
        <f t="shared" si="140"/>
        <v>0</v>
      </c>
      <c r="TT64" s="44">
        <f t="shared" si="140"/>
        <v>0</v>
      </c>
      <c r="TU64" s="44">
        <f t="shared" si="140"/>
        <v>0</v>
      </c>
      <c r="TV64" s="44">
        <f t="shared" si="140"/>
        <v>0</v>
      </c>
      <c r="TW64" s="44">
        <f t="shared" si="140"/>
        <v>0</v>
      </c>
      <c r="TX64" s="44">
        <f t="shared" si="140"/>
        <v>0</v>
      </c>
      <c r="TY64" s="44">
        <f t="shared" si="140"/>
        <v>0</v>
      </c>
      <c r="TZ64" s="44">
        <f t="shared" si="140"/>
        <v>0</v>
      </c>
      <c r="UA64" s="44">
        <f t="shared" si="140"/>
        <v>0</v>
      </c>
      <c r="UB64" s="44">
        <f t="shared" si="140"/>
        <v>0</v>
      </c>
      <c r="UC64" s="44">
        <f t="shared" si="140"/>
        <v>0</v>
      </c>
      <c r="UD64" s="44">
        <f t="shared" si="140"/>
        <v>0</v>
      </c>
      <c r="UE64" s="44">
        <f t="shared" si="140"/>
        <v>0</v>
      </c>
      <c r="UF64" s="44">
        <f t="shared" si="140"/>
        <v>0</v>
      </c>
      <c r="UG64" s="44">
        <f t="shared" si="140"/>
        <v>0</v>
      </c>
      <c r="UH64" s="44">
        <f t="shared" si="140"/>
        <v>0</v>
      </c>
      <c r="UI64" s="44">
        <f t="shared" si="140"/>
        <v>0</v>
      </c>
      <c r="UJ64" s="44">
        <f t="shared" si="140"/>
        <v>0</v>
      </c>
      <c r="UK64" s="44">
        <f t="shared" si="140"/>
        <v>0</v>
      </c>
      <c r="UL64" s="44">
        <f t="shared" si="140"/>
        <v>0</v>
      </c>
      <c r="UM64" s="44">
        <f t="shared" si="140"/>
        <v>0</v>
      </c>
      <c r="UN64" s="44">
        <f t="shared" si="140"/>
        <v>0</v>
      </c>
      <c r="UO64" s="44">
        <f t="shared" si="140"/>
        <v>0</v>
      </c>
      <c r="UP64" s="44">
        <f t="shared" si="140"/>
        <v>0</v>
      </c>
      <c r="UQ64" s="44">
        <f t="shared" si="140"/>
        <v>0</v>
      </c>
      <c r="UR64" s="44">
        <f t="shared" si="140"/>
        <v>0</v>
      </c>
      <c r="US64" s="44">
        <f t="shared" si="140"/>
        <v>0</v>
      </c>
      <c r="UT64" s="44">
        <f t="shared" si="140"/>
        <v>0</v>
      </c>
      <c r="UU64" s="44">
        <f t="shared" si="140"/>
        <v>0</v>
      </c>
      <c r="UV64" s="44">
        <f t="shared" si="140"/>
        <v>0</v>
      </c>
      <c r="UW64" s="44">
        <f t="shared" si="140"/>
        <v>0</v>
      </c>
      <c r="UX64" s="44">
        <f t="shared" si="140"/>
        <v>0</v>
      </c>
      <c r="UY64" s="44">
        <f t="shared" si="140"/>
        <v>0</v>
      </c>
      <c r="UZ64" s="44">
        <f t="shared" si="140"/>
        <v>0</v>
      </c>
      <c r="VA64" s="44">
        <f t="shared" si="140"/>
        <v>0</v>
      </c>
      <c r="VB64" s="44">
        <f t="shared" si="140"/>
        <v>0</v>
      </c>
      <c r="VC64" s="44">
        <f t="shared" si="140"/>
        <v>0</v>
      </c>
      <c r="VD64" s="44">
        <f t="shared" si="140"/>
        <v>0</v>
      </c>
      <c r="VE64" s="44">
        <f t="shared" si="140"/>
        <v>0</v>
      </c>
      <c r="VF64" s="44">
        <f t="shared" si="140"/>
        <v>0</v>
      </c>
      <c r="VG64" s="44">
        <f t="shared" si="140"/>
        <v>0</v>
      </c>
      <c r="VH64" s="44">
        <f t="shared" si="140"/>
        <v>0</v>
      </c>
      <c r="VI64" s="44">
        <f t="shared" si="140"/>
        <v>0</v>
      </c>
      <c r="VJ64" s="44">
        <f t="shared" si="140"/>
        <v>0</v>
      </c>
      <c r="VK64" s="44">
        <f t="shared" si="140"/>
        <v>0</v>
      </c>
      <c r="VL64" s="44">
        <f t="shared" si="140"/>
        <v>0</v>
      </c>
      <c r="VM64" s="44">
        <f t="shared" si="140"/>
        <v>0</v>
      </c>
      <c r="VN64" s="44">
        <f t="shared" si="140"/>
        <v>0</v>
      </c>
      <c r="VO64" s="44">
        <f t="shared" si="140"/>
        <v>0</v>
      </c>
      <c r="VP64" s="44">
        <f t="shared" si="140"/>
        <v>0</v>
      </c>
      <c r="VQ64" s="44">
        <f t="shared" si="140"/>
        <v>0</v>
      </c>
      <c r="VR64" s="44">
        <f t="shared" si="140"/>
        <v>0</v>
      </c>
      <c r="VS64" s="44">
        <f t="shared" si="140"/>
        <v>0</v>
      </c>
      <c r="VT64" s="44">
        <f t="shared" si="140"/>
        <v>0</v>
      </c>
      <c r="VU64" s="44">
        <f t="shared" si="140"/>
        <v>0</v>
      </c>
      <c r="VV64" s="44">
        <f t="shared" si="140"/>
        <v>0</v>
      </c>
      <c r="VW64" s="44">
        <f t="shared" si="140"/>
        <v>0</v>
      </c>
      <c r="VX64" s="44">
        <f t="shared" si="140"/>
        <v>0</v>
      </c>
      <c r="VY64" s="44">
        <f t="shared" si="140"/>
        <v>0</v>
      </c>
      <c r="VZ64" s="44">
        <f t="shared" ref="VZ64:YK64" si="141">SUM(VZ56:VZ57)</f>
        <v>0</v>
      </c>
      <c r="WA64" s="44">
        <f t="shared" si="141"/>
        <v>0</v>
      </c>
      <c r="WB64" s="44">
        <f t="shared" si="141"/>
        <v>0</v>
      </c>
      <c r="WC64" s="44">
        <f t="shared" si="141"/>
        <v>0</v>
      </c>
      <c r="WD64" s="44">
        <f t="shared" si="141"/>
        <v>0</v>
      </c>
      <c r="WE64" s="44">
        <f t="shared" si="141"/>
        <v>0</v>
      </c>
      <c r="WF64" s="44">
        <f t="shared" si="141"/>
        <v>0</v>
      </c>
      <c r="WG64" s="44">
        <f t="shared" si="141"/>
        <v>0</v>
      </c>
      <c r="WH64" s="44">
        <f t="shared" si="141"/>
        <v>0</v>
      </c>
      <c r="WI64" s="44">
        <f t="shared" si="141"/>
        <v>0</v>
      </c>
      <c r="WJ64" s="44">
        <f t="shared" si="141"/>
        <v>0</v>
      </c>
      <c r="WK64" s="44">
        <f t="shared" si="141"/>
        <v>0</v>
      </c>
      <c r="WL64" s="44">
        <f t="shared" si="141"/>
        <v>0</v>
      </c>
      <c r="WM64" s="44">
        <f t="shared" si="141"/>
        <v>0</v>
      </c>
      <c r="WN64" s="44">
        <f t="shared" si="141"/>
        <v>0</v>
      </c>
      <c r="WO64" s="44">
        <f t="shared" si="141"/>
        <v>0</v>
      </c>
      <c r="WP64" s="44">
        <f t="shared" si="141"/>
        <v>0</v>
      </c>
      <c r="WQ64" s="44">
        <f t="shared" si="141"/>
        <v>0</v>
      </c>
      <c r="WR64" s="44">
        <f t="shared" si="141"/>
        <v>0</v>
      </c>
      <c r="WS64" s="44">
        <f t="shared" si="141"/>
        <v>0</v>
      </c>
      <c r="WT64" s="44">
        <f t="shared" si="141"/>
        <v>0</v>
      </c>
      <c r="WU64" s="44">
        <f t="shared" si="141"/>
        <v>0</v>
      </c>
      <c r="WV64" s="44">
        <f t="shared" si="141"/>
        <v>0</v>
      </c>
      <c r="WW64" s="44">
        <f t="shared" si="141"/>
        <v>0</v>
      </c>
      <c r="WX64" s="44">
        <f t="shared" si="141"/>
        <v>0</v>
      </c>
      <c r="WY64" s="44">
        <f t="shared" si="141"/>
        <v>0</v>
      </c>
      <c r="WZ64" s="44">
        <f t="shared" si="141"/>
        <v>0</v>
      </c>
      <c r="XA64" s="44">
        <f t="shared" si="141"/>
        <v>0</v>
      </c>
      <c r="XB64" s="44">
        <f t="shared" si="141"/>
        <v>0</v>
      </c>
      <c r="XC64" s="44">
        <f t="shared" si="141"/>
        <v>0</v>
      </c>
      <c r="XD64" s="44">
        <f t="shared" si="141"/>
        <v>0</v>
      </c>
      <c r="XE64" s="44">
        <f t="shared" si="141"/>
        <v>0</v>
      </c>
      <c r="XF64" s="44">
        <f t="shared" si="141"/>
        <v>0</v>
      </c>
      <c r="XG64" s="44">
        <f t="shared" si="141"/>
        <v>0</v>
      </c>
      <c r="XH64" s="44">
        <f t="shared" si="141"/>
        <v>0</v>
      </c>
      <c r="XI64" s="44">
        <f t="shared" si="141"/>
        <v>0</v>
      </c>
      <c r="XJ64" s="44">
        <f t="shared" si="141"/>
        <v>0</v>
      </c>
      <c r="XK64" s="44">
        <f t="shared" si="141"/>
        <v>0</v>
      </c>
      <c r="XL64" s="44">
        <f t="shared" si="141"/>
        <v>0</v>
      </c>
      <c r="XM64" s="44">
        <f t="shared" si="141"/>
        <v>0</v>
      </c>
      <c r="XN64" s="44">
        <f t="shared" si="141"/>
        <v>0</v>
      </c>
      <c r="XO64" s="44">
        <f t="shared" si="141"/>
        <v>0</v>
      </c>
      <c r="XP64" s="44">
        <f t="shared" si="141"/>
        <v>0</v>
      </c>
      <c r="XQ64" s="44">
        <f t="shared" si="141"/>
        <v>0</v>
      </c>
      <c r="XR64" s="44">
        <f t="shared" si="141"/>
        <v>0</v>
      </c>
      <c r="XS64" s="44">
        <f t="shared" si="141"/>
        <v>0</v>
      </c>
      <c r="XT64" s="44">
        <f t="shared" si="141"/>
        <v>0</v>
      </c>
      <c r="XU64" s="44">
        <f t="shared" si="141"/>
        <v>0</v>
      </c>
      <c r="XV64" s="44">
        <f t="shared" si="141"/>
        <v>0</v>
      </c>
      <c r="XW64" s="44">
        <f t="shared" si="141"/>
        <v>0</v>
      </c>
      <c r="XX64" s="44">
        <f t="shared" si="141"/>
        <v>0</v>
      </c>
      <c r="XY64" s="44">
        <f t="shared" si="141"/>
        <v>0</v>
      </c>
      <c r="XZ64" s="44">
        <f t="shared" si="141"/>
        <v>0</v>
      </c>
      <c r="YA64" s="44">
        <f t="shared" si="141"/>
        <v>0</v>
      </c>
      <c r="YB64" s="44">
        <f t="shared" si="141"/>
        <v>0</v>
      </c>
      <c r="YC64" s="44">
        <f t="shared" si="141"/>
        <v>0</v>
      </c>
      <c r="YD64" s="44">
        <f t="shared" si="141"/>
        <v>0</v>
      </c>
      <c r="YE64" s="44">
        <f t="shared" si="141"/>
        <v>0</v>
      </c>
      <c r="YF64" s="44">
        <f t="shared" si="141"/>
        <v>0</v>
      </c>
      <c r="YG64" s="44">
        <f t="shared" si="141"/>
        <v>0</v>
      </c>
      <c r="YH64" s="44">
        <f t="shared" si="141"/>
        <v>0</v>
      </c>
      <c r="YI64" s="44">
        <f t="shared" si="141"/>
        <v>0</v>
      </c>
      <c r="YJ64" s="44">
        <f t="shared" si="141"/>
        <v>0</v>
      </c>
      <c r="YK64" s="44">
        <f t="shared" si="141"/>
        <v>0</v>
      </c>
      <c r="YL64" s="44">
        <f t="shared" ref="YL64:AAW64" si="142">SUM(YL56:YL57)</f>
        <v>0</v>
      </c>
      <c r="YM64" s="44">
        <f t="shared" si="142"/>
        <v>0</v>
      </c>
      <c r="YN64" s="44">
        <f t="shared" si="142"/>
        <v>0</v>
      </c>
      <c r="YO64" s="44">
        <f t="shared" si="142"/>
        <v>0</v>
      </c>
      <c r="YP64" s="44">
        <f t="shared" si="142"/>
        <v>0</v>
      </c>
      <c r="YQ64" s="44">
        <f t="shared" si="142"/>
        <v>0</v>
      </c>
      <c r="YR64" s="44">
        <f t="shared" si="142"/>
        <v>0</v>
      </c>
      <c r="YS64" s="44">
        <f t="shared" si="142"/>
        <v>0</v>
      </c>
      <c r="YT64" s="44">
        <f t="shared" si="142"/>
        <v>0</v>
      </c>
      <c r="YU64" s="44">
        <f t="shared" si="142"/>
        <v>0</v>
      </c>
      <c r="YV64" s="44">
        <f t="shared" si="142"/>
        <v>0</v>
      </c>
      <c r="YW64" s="44">
        <f t="shared" si="142"/>
        <v>0</v>
      </c>
      <c r="YX64" s="44">
        <f t="shared" si="142"/>
        <v>0</v>
      </c>
      <c r="YY64" s="44">
        <f t="shared" si="142"/>
        <v>0</v>
      </c>
      <c r="YZ64" s="44">
        <f t="shared" si="142"/>
        <v>0</v>
      </c>
      <c r="ZA64" s="44">
        <f t="shared" si="142"/>
        <v>0</v>
      </c>
      <c r="ZB64" s="44">
        <f t="shared" si="142"/>
        <v>0</v>
      </c>
      <c r="ZC64" s="44">
        <f t="shared" si="142"/>
        <v>0</v>
      </c>
      <c r="ZD64" s="44">
        <f t="shared" si="142"/>
        <v>0</v>
      </c>
      <c r="ZE64" s="44">
        <f t="shared" si="142"/>
        <v>0</v>
      </c>
      <c r="ZF64" s="44">
        <f t="shared" si="142"/>
        <v>0</v>
      </c>
      <c r="ZG64" s="44">
        <f t="shared" si="142"/>
        <v>0</v>
      </c>
      <c r="ZH64" s="44">
        <f t="shared" si="142"/>
        <v>0</v>
      </c>
      <c r="ZI64" s="44">
        <f t="shared" si="142"/>
        <v>0</v>
      </c>
      <c r="ZJ64" s="44">
        <f t="shared" si="142"/>
        <v>0</v>
      </c>
      <c r="ZK64" s="44">
        <f t="shared" si="142"/>
        <v>0</v>
      </c>
      <c r="ZL64" s="44">
        <f t="shared" si="142"/>
        <v>0</v>
      </c>
      <c r="ZM64" s="44">
        <f t="shared" si="142"/>
        <v>0</v>
      </c>
      <c r="ZN64" s="44">
        <f t="shared" si="142"/>
        <v>0</v>
      </c>
      <c r="ZO64" s="44">
        <f t="shared" si="142"/>
        <v>0</v>
      </c>
      <c r="ZP64" s="44">
        <f t="shared" si="142"/>
        <v>0</v>
      </c>
      <c r="ZQ64" s="44">
        <f t="shared" si="142"/>
        <v>0</v>
      </c>
      <c r="ZR64" s="44">
        <f t="shared" si="142"/>
        <v>0</v>
      </c>
      <c r="ZS64" s="44">
        <f t="shared" si="142"/>
        <v>0</v>
      </c>
      <c r="ZT64" s="44">
        <f t="shared" si="142"/>
        <v>0</v>
      </c>
      <c r="ZU64" s="44">
        <f t="shared" si="142"/>
        <v>0</v>
      </c>
      <c r="ZV64" s="44">
        <f t="shared" si="142"/>
        <v>0</v>
      </c>
      <c r="ZW64" s="44">
        <f t="shared" si="142"/>
        <v>0</v>
      </c>
      <c r="ZX64" s="44">
        <f t="shared" si="142"/>
        <v>0</v>
      </c>
      <c r="ZY64" s="44">
        <f t="shared" si="142"/>
        <v>0</v>
      </c>
      <c r="ZZ64" s="44">
        <f t="shared" si="142"/>
        <v>0</v>
      </c>
      <c r="AAA64" s="44">
        <f t="shared" si="142"/>
        <v>0</v>
      </c>
      <c r="AAB64" s="44">
        <f t="shared" si="142"/>
        <v>0</v>
      </c>
      <c r="AAC64" s="44">
        <f t="shared" si="142"/>
        <v>0</v>
      </c>
      <c r="AAD64" s="44">
        <f t="shared" si="142"/>
        <v>0</v>
      </c>
      <c r="AAE64" s="44">
        <f t="shared" si="142"/>
        <v>0</v>
      </c>
      <c r="AAF64" s="44">
        <f t="shared" si="142"/>
        <v>0</v>
      </c>
      <c r="AAG64" s="44">
        <f t="shared" si="142"/>
        <v>0</v>
      </c>
      <c r="AAH64" s="44">
        <f t="shared" si="142"/>
        <v>0</v>
      </c>
      <c r="AAI64" s="44">
        <f t="shared" si="142"/>
        <v>0</v>
      </c>
      <c r="AAJ64" s="44">
        <f t="shared" si="142"/>
        <v>0</v>
      </c>
      <c r="AAK64" s="44">
        <f t="shared" si="142"/>
        <v>0</v>
      </c>
      <c r="AAL64" s="44">
        <f t="shared" si="142"/>
        <v>0</v>
      </c>
      <c r="AAM64" s="44">
        <f t="shared" si="142"/>
        <v>0</v>
      </c>
      <c r="AAN64" s="44">
        <f t="shared" si="142"/>
        <v>0</v>
      </c>
      <c r="AAO64" s="44">
        <f t="shared" si="142"/>
        <v>0</v>
      </c>
      <c r="AAP64" s="44">
        <f t="shared" si="142"/>
        <v>0</v>
      </c>
      <c r="AAQ64" s="44">
        <f t="shared" si="142"/>
        <v>0</v>
      </c>
      <c r="AAR64" s="44">
        <f t="shared" si="142"/>
        <v>0</v>
      </c>
      <c r="AAS64" s="44">
        <f t="shared" si="142"/>
        <v>0</v>
      </c>
      <c r="AAT64" s="44">
        <f t="shared" si="142"/>
        <v>0</v>
      </c>
      <c r="AAU64" s="44">
        <f t="shared" si="142"/>
        <v>0</v>
      </c>
      <c r="AAV64" s="44">
        <f t="shared" si="142"/>
        <v>0</v>
      </c>
      <c r="AAW64" s="44">
        <f t="shared" si="142"/>
        <v>0</v>
      </c>
      <c r="AAX64" s="44">
        <f t="shared" ref="AAX64:ADI64" si="143">SUM(AAX56:AAX57)</f>
        <v>0</v>
      </c>
      <c r="AAY64" s="44">
        <f t="shared" si="143"/>
        <v>0</v>
      </c>
      <c r="AAZ64" s="44">
        <f t="shared" si="143"/>
        <v>0</v>
      </c>
      <c r="ABA64" s="44">
        <f t="shared" si="143"/>
        <v>0</v>
      </c>
      <c r="ABB64" s="44">
        <f t="shared" si="143"/>
        <v>0</v>
      </c>
      <c r="ABC64" s="44">
        <f t="shared" si="143"/>
        <v>0</v>
      </c>
      <c r="ABD64" s="44">
        <f t="shared" si="143"/>
        <v>0</v>
      </c>
      <c r="ABE64" s="44">
        <f t="shared" si="143"/>
        <v>0</v>
      </c>
      <c r="ABF64" s="44">
        <f t="shared" si="143"/>
        <v>0</v>
      </c>
      <c r="ABG64" s="44">
        <f t="shared" si="143"/>
        <v>0</v>
      </c>
      <c r="ABH64" s="44">
        <f t="shared" si="143"/>
        <v>0</v>
      </c>
      <c r="ABI64" s="44">
        <f t="shared" si="143"/>
        <v>0</v>
      </c>
      <c r="ABJ64" s="44">
        <f t="shared" si="143"/>
        <v>0</v>
      </c>
      <c r="ABK64" s="44">
        <f t="shared" si="143"/>
        <v>0</v>
      </c>
      <c r="ABL64" s="44">
        <f t="shared" si="143"/>
        <v>0</v>
      </c>
      <c r="ABM64" s="44">
        <f t="shared" si="143"/>
        <v>0</v>
      </c>
      <c r="ABN64" s="44">
        <f t="shared" si="143"/>
        <v>0</v>
      </c>
      <c r="ABO64" s="44">
        <f t="shared" si="143"/>
        <v>0</v>
      </c>
      <c r="ABP64" s="44">
        <f t="shared" si="143"/>
        <v>0</v>
      </c>
      <c r="ABQ64" s="44">
        <f t="shared" si="143"/>
        <v>0</v>
      </c>
      <c r="ABR64" s="44">
        <f t="shared" si="143"/>
        <v>0</v>
      </c>
      <c r="ABS64" s="44">
        <f t="shared" si="143"/>
        <v>0</v>
      </c>
      <c r="ABT64" s="44">
        <f t="shared" si="143"/>
        <v>0</v>
      </c>
      <c r="ABU64" s="44">
        <f t="shared" si="143"/>
        <v>0</v>
      </c>
      <c r="ABV64" s="44">
        <f t="shared" si="143"/>
        <v>0</v>
      </c>
      <c r="ABW64" s="44">
        <f t="shared" si="143"/>
        <v>0</v>
      </c>
      <c r="ABX64" s="44">
        <f t="shared" si="143"/>
        <v>0</v>
      </c>
      <c r="ABY64" s="44">
        <f t="shared" si="143"/>
        <v>0</v>
      </c>
      <c r="ABZ64" s="44">
        <f t="shared" si="143"/>
        <v>0</v>
      </c>
      <c r="ACA64" s="44">
        <f t="shared" si="143"/>
        <v>0</v>
      </c>
      <c r="ACB64" s="44">
        <f t="shared" si="143"/>
        <v>0</v>
      </c>
      <c r="ACC64" s="44">
        <f t="shared" si="143"/>
        <v>0</v>
      </c>
      <c r="ACD64" s="44">
        <f t="shared" si="143"/>
        <v>0</v>
      </c>
      <c r="ACE64" s="44">
        <f t="shared" si="143"/>
        <v>0</v>
      </c>
      <c r="ACF64" s="44">
        <f t="shared" si="143"/>
        <v>0</v>
      </c>
      <c r="ACG64" s="44">
        <f t="shared" si="143"/>
        <v>0</v>
      </c>
      <c r="ACH64" s="44">
        <f t="shared" si="143"/>
        <v>0</v>
      </c>
      <c r="ACI64" s="44">
        <f t="shared" si="143"/>
        <v>0</v>
      </c>
      <c r="ACJ64" s="44">
        <f t="shared" si="143"/>
        <v>0</v>
      </c>
      <c r="ACK64" s="44">
        <f t="shared" si="143"/>
        <v>0</v>
      </c>
      <c r="ACL64" s="44">
        <f t="shared" si="143"/>
        <v>0</v>
      </c>
      <c r="ACM64" s="44">
        <f t="shared" si="143"/>
        <v>0</v>
      </c>
      <c r="ACN64" s="44">
        <f t="shared" si="143"/>
        <v>0</v>
      </c>
      <c r="ACO64" s="44">
        <f t="shared" si="143"/>
        <v>0</v>
      </c>
      <c r="ACP64" s="44">
        <f t="shared" si="143"/>
        <v>0</v>
      </c>
      <c r="ACQ64" s="44">
        <f t="shared" si="143"/>
        <v>0</v>
      </c>
      <c r="ACR64" s="44">
        <f t="shared" si="143"/>
        <v>0</v>
      </c>
      <c r="ACS64" s="44">
        <f t="shared" si="143"/>
        <v>0</v>
      </c>
      <c r="ACT64" s="44">
        <f t="shared" si="143"/>
        <v>0</v>
      </c>
      <c r="ACU64" s="44">
        <f t="shared" si="143"/>
        <v>0</v>
      </c>
      <c r="ACV64" s="44">
        <f t="shared" si="143"/>
        <v>0</v>
      </c>
      <c r="ACW64" s="44">
        <f t="shared" si="143"/>
        <v>0</v>
      </c>
      <c r="ACX64" s="44">
        <f t="shared" si="143"/>
        <v>0</v>
      </c>
      <c r="ACY64" s="44">
        <f t="shared" si="143"/>
        <v>0</v>
      </c>
      <c r="ACZ64" s="44">
        <f t="shared" si="143"/>
        <v>0</v>
      </c>
      <c r="ADA64" s="44">
        <f t="shared" si="143"/>
        <v>0</v>
      </c>
      <c r="ADB64" s="44">
        <f t="shared" si="143"/>
        <v>0</v>
      </c>
      <c r="ADC64" s="44">
        <f t="shared" si="143"/>
        <v>0</v>
      </c>
      <c r="ADD64" s="44">
        <f t="shared" si="143"/>
        <v>0</v>
      </c>
      <c r="ADE64" s="44">
        <f t="shared" si="143"/>
        <v>0</v>
      </c>
      <c r="ADF64" s="44">
        <f t="shared" si="143"/>
        <v>0</v>
      </c>
      <c r="ADG64" s="44">
        <f t="shared" si="143"/>
        <v>0</v>
      </c>
      <c r="ADH64" s="44">
        <f t="shared" si="143"/>
        <v>0</v>
      </c>
      <c r="ADI64" s="44">
        <f t="shared" si="143"/>
        <v>0</v>
      </c>
      <c r="ADJ64" s="44">
        <f t="shared" ref="ADJ64:AFU64" si="144">SUM(ADJ56:ADJ57)</f>
        <v>0</v>
      </c>
      <c r="ADK64" s="44">
        <f t="shared" si="144"/>
        <v>0</v>
      </c>
      <c r="ADL64" s="44">
        <f t="shared" si="144"/>
        <v>0</v>
      </c>
      <c r="ADM64" s="44">
        <f t="shared" si="144"/>
        <v>0</v>
      </c>
      <c r="ADN64" s="44">
        <f t="shared" si="144"/>
        <v>0</v>
      </c>
      <c r="ADO64" s="44">
        <f t="shared" si="144"/>
        <v>0</v>
      </c>
      <c r="ADP64" s="44">
        <f t="shared" si="144"/>
        <v>0</v>
      </c>
      <c r="ADQ64" s="44">
        <f t="shared" si="144"/>
        <v>0</v>
      </c>
      <c r="ADR64" s="44">
        <f t="shared" si="144"/>
        <v>0</v>
      </c>
      <c r="ADS64" s="44">
        <f t="shared" si="144"/>
        <v>0</v>
      </c>
      <c r="ADT64" s="44">
        <f t="shared" si="144"/>
        <v>0</v>
      </c>
      <c r="ADU64" s="44">
        <f t="shared" si="144"/>
        <v>0</v>
      </c>
      <c r="ADV64" s="44">
        <f t="shared" si="144"/>
        <v>0</v>
      </c>
      <c r="ADW64" s="44">
        <f t="shared" si="144"/>
        <v>0</v>
      </c>
      <c r="ADX64" s="44">
        <f t="shared" si="144"/>
        <v>0</v>
      </c>
      <c r="ADY64" s="44">
        <f t="shared" si="144"/>
        <v>0</v>
      </c>
      <c r="ADZ64" s="44">
        <f t="shared" si="144"/>
        <v>0</v>
      </c>
      <c r="AEA64" s="44">
        <f t="shared" si="144"/>
        <v>0</v>
      </c>
      <c r="AEB64" s="44">
        <f t="shared" si="144"/>
        <v>0</v>
      </c>
      <c r="AEC64" s="44">
        <f t="shared" si="144"/>
        <v>0</v>
      </c>
      <c r="AED64" s="44">
        <f t="shared" si="144"/>
        <v>0</v>
      </c>
      <c r="AEE64" s="44">
        <f t="shared" si="144"/>
        <v>0</v>
      </c>
      <c r="AEF64" s="44">
        <f t="shared" si="144"/>
        <v>0</v>
      </c>
      <c r="AEG64" s="44">
        <f t="shared" si="144"/>
        <v>0</v>
      </c>
      <c r="AEH64" s="44">
        <f t="shared" si="144"/>
        <v>0</v>
      </c>
      <c r="AEI64" s="44">
        <f t="shared" si="144"/>
        <v>0</v>
      </c>
      <c r="AEJ64" s="44">
        <f t="shared" si="144"/>
        <v>0</v>
      </c>
      <c r="AEK64" s="44">
        <f t="shared" si="144"/>
        <v>0</v>
      </c>
      <c r="AEL64" s="44">
        <f t="shared" si="144"/>
        <v>0</v>
      </c>
      <c r="AEM64" s="44">
        <f t="shared" si="144"/>
        <v>0</v>
      </c>
      <c r="AEN64" s="44">
        <f t="shared" si="144"/>
        <v>0</v>
      </c>
      <c r="AEO64" s="44">
        <f t="shared" si="144"/>
        <v>0</v>
      </c>
      <c r="AEP64" s="44">
        <f t="shared" si="144"/>
        <v>0</v>
      </c>
      <c r="AEQ64" s="44">
        <f t="shared" si="144"/>
        <v>0</v>
      </c>
      <c r="AER64" s="44">
        <f t="shared" si="144"/>
        <v>0</v>
      </c>
      <c r="AES64" s="44">
        <f t="shared" si="144"/>
        <v>0</v>
      </c>
      <c r="AET64" s="44">
        <f t="shared" si="144"/>
        <v>0</v>
      </c>
      <c r="AEU64" s="44">
        <f t="shared" si="144"/>
        <v>0</v>
      </c>
      <c r="AEV64" s="44">
        <f t="shared" si="144"/>
        <v>0</v>
      </c>
      <c r="AEW64" s="44">
        <f t="shared" si="144"/>
        <v>0</v>
      </c>
      <c r="AEX64" s="44">
        <f t="shared" si="144"/>
        <v>0</v>
      </c>
      <c r="AEY64" s="44">
        <f t="shared" si="144"/>
        <v>0</v>
      </c>
      <c r="AEZ64" s="44">
        <f t="shared" si="144"/>
        <v>0</v>
      </c>
      <c r="AFA64" s="44">
        <f t="shared" si="144"/>
        <v>0</v>
      </c>
      <c r="AFB64" s="44">
        <f t="shared" si="144"/>
        <v>0</v>
      </c>
      <c r="AFC64" s="44">
        <f t="shared" si="144"/>
        <v>0</v>
      </c>
      <c r="AFD64" s="44">
        <f t="shared" si="144"/>
        <v>0</v>
      </c>
      <c r="AFE64" s="44">
        <f t="shared" si="144"/>
        <v>0</v>
      </c>
      <c r="AFF64" s="44">
        <f t="shared" si="144"/>
        <v>0</v>
      </c>
      <c r="AFG64" s="44">
        <f t="shared" si="144"/>
        <v>0</v>
      </c>
      <c r="AFH64" s="44">
        <f t="shared" si="144"/>
        <v>0</v>
      </c>
      <c r="AFI64" s="44">
        <f t="shared" si="144"/>
        <v>0</v>
      </c>
      <c r="AFJ64" s="44">
        <f t="shared" si="144"/>
        <v>0</v>
      </c>
      <c r="AFK64" s="44">
        <f t="shared" si="144"/>
        <v>0</v>
      </c>
      <c r="AFL64" s="44">
        <f t="shared" si="144"/>
        <v>0</v>
      </c>
      <c r="AFM64" s="44">
        <f t="shared" si="144"/>
        <v>0</v>
      </c>
      <c r="AFN64" s="44">
        <f t="shared" si="144"/>
        <v>0</v>
      </c>
      <c r="AFO64" s="44">
        <f t="shared" si="144"/>
        <v>0</v>
      </c>
      <c r="AFP64" s="44">
        <f t="shared" si="144"/>
        <v>0</v>
      </c>
      <c r="AFQ64" s="44">
        <f t="shared" si="144"/>
        <v>0</v>
      </c>
      <c r="AFR64" s="44">
        <f t="shared" si="144"/>
        <v>0</v>
      </c>
      <c r="AFS64" s="44">
        <f t="shared" si="144"/>
        <v>0</v>
      </c>
      <c r="AFT64" s="44">
        <f t="shared" si="144"/>
        <v>0</v>
      </c>
      <c r="AFU64" s="44">
        <f t="shared" si="144"/>
        <v>0</v>
      </c>
      <c r="AFV64" s="44">
        <f t="shared" ref="AFV64:AIG64" si="145">SUM(AFV56:AFV57)</f>
        <v>0</v>
      </c>
      <c r="AFW64" s="44">
        <f t="shared" si="145"/>
        <v>0</v>
      </c>
      <c r="AFX64" s="44">
        <f t="shared" si="145"/>
        <v>0</v>
      </c>
      <c r="AFY64" s="44">
        <f t="shared" si="145"/>
        <v>0</v>
      </c>
      <c r="AFZ64" s="44">
        <f t="shared" si="145"/>
        <v>0</v>
      </c>
      <c r="AGA64" s="44">
        <f t="shared" si="145"/>
        <v>0</v>
      </c>
      <c r="AGB64" s="44">
        <f t="shared" si="145"/>
        <v>0</v>
      </c>
      <c r="AGC64" s="44">
        <f t="shared" si="145"/>
        <v>0</v>
      </c>
      <c r="AGD64" s="44">
        <f t="shared" si="145"/>
        <v>0</v>
      </c>
      <c r="AGE64" s="44">
        <f t="shared" si="145"/>
        <v>0</v>
      </c>
      <c r="AGF64" s="44">
        <f t="shared" si="145"/>
        <v>0</v>
      </c>
      <c r="AGG64" s="44">
        <f t="shared" si="145"/>
        <v>0</v>
      </c>
      <c r="AGH64" s="44">
        <f t="shared" si="145"/>
        <v>0</v>
      </c>
      <c r="AGI64" s="44">
        <f t="shared" si="145"/>
        <v>0</v>
      </c>
      <c r="AGJ64" s="44">
        <f t="shared" si="145"/>
        <v>0</v>
      </c>
      <c r="AGK64" s="44">
        <f t="shared" si="145"/>
        <v>0</v>
      </c>
      <c r="AGL64" s="44">
        <f t="shared" si="145"/>
        <v>0</v>
      </c>
      <c r="AGM64" s="44">
        <f t="shared" si="145"/>
        <v>0</v>
      </c>
      <c r="AGN64" s="44">
        <f t="shared" si="145"/>
        <v>0</v>
      </c>
      <c r="AGO64" s="44">
        <f t="shared" si="145"/>
        <v>0</v>
      </c>
      <c r="AGP64" s="44">
        <f t="shared" si="145"/>
        <v>0</v>
      </c>
      <c r="AGQ64" s="44">
        <f t="shared" si="145"/>
        <v>0</v>
      </c>
      <c r="AGR64" s="44">
        <f t="shared" si="145"/>
        <v>0</v>
      </c>
      <c r="AGS64" s="44">
        <f t="shared" si="145"/>
        <v>0</v>
      </c>
      <c r="AGT64" s="44">
        <f t="shared" si="145"/>
        <v>0</v>
      </c>
      <c r="AGU64" s="44">
        <f t="shared" si="145"/>
        <v>0</v>
      </c>
      <c r="AGV64" s="44">
        <f t="shared" si="145"/>
        <v>0</v>
      </c>
      <c r="AGW64" s="44">
        <f t="shared" si="145"/>
        <v>0</v>
      </c>
      <c r="AGX64" s="44">
        <f t="shared" si="145"/>
        <v>0</v>
      </c>
      <c r="AGY64" s="44">
        <f t="shared" si="145"/>
        <v>0</v>
      </c>
      <c r="AGZ64" s="44">
        <f t="shared" si="145"/>
        <v>0</v>
      </c>
      <c r="AHA64" s="44">
        <f t="shared" si="145"/>
        <v>0</v>
      </c>
      <c r="AHB64" s="44">
        <f t="shared" si="145"/>
        <v>0</v>
      </c>
      <c r="AHC64" s="44">
        <f t="shared" si="145"/>
        <v>0</v>
      </c>
      <c r="AHD64" s="44">
        <f t="shared" si="145"/>
        <v>0</v>
      </c>
      <c r="AHE64" s="44">
        <f t="shared" si="145"/>
        <v>0</v>
      </c>
      <c r="AHF64" s="44">
        <f t="shared" si="145"/>
        <v>0</v>
      </c>
      <c r="AHG64" s="44">
        <f t="shared" si="145"/>
        <v>0</v>
      </c>
      <c r="AHH64" s="44">
        <f t="shared" si="145"/>
        <v>0</v>
      </c>
      <c r="AHI64" s="44">
        <f t="shared" si="145"/>
        <v>0</v>
      </c>
      <c r="AHJ64" s="44">
        <f t="shared" si="145"/>
        <v>0</v>
      </c>
      <c r="AHK64" s="44">
        <f t="shared" si="145"/>
        <v>0</v>
      </c>
      <c r="AHL64" s="44">
        <f t="shared" si="145"/>
        <v>0</v>
      </c>
      <c r="AHM64" s="44">
        <f t="shared" si="145"/>
        <v>0</v>
      </c>
      <c r="AHN64" s="44">
        <f t="shared" si="145"/>
        <v>0</v>
      </c>
      <c r="AHO64" s="44">
        <f t="shared" si="145"/>
        <v>0</v>
      </c>
      <c r="AHP64" s="44">
        <f t="shared" si="145"/>
        <v>0</v>
      </c>
      <c r="AHQ64" s="44">
        <f t="shared" si="145"/>
        <v>0</v>
      </c>
      <c r="AHR64" s="44">
        <f t="shared" si="145"/>
        <v>0</v>
      </c>
      <c r="AHS64" s="44">
        <f t="shared" si="145"/>
        <v>0</v>
      </c>
      <c r="AHT64" s="44">
        <f t="shared" si="145"/>
        <v>0</v>
      </c>
      <c r="AHU64" s="44">
        <f t="shared" si="145"/>
        <v>0</v>
      </c>
      <c r="AHV64" s="44">
        <f t="shared" si="145"/>
        <v>0</v>
      </c>
      <c r="AHW64" s="44">
        <f t="shared" si="145"/>
        <v>0</v>
      </c>
      <c r="AHX64" s="44">
        <f t="shared" si="145"/>
        <v>0</v>
      </c>
      <c r="AHY64" s="44">
        <f t="shared" si="145"/>
        <v>0</v>
      </c>
      <c r="AHZ64" s="44">
        <f t="shared" si="145"/>
        <v>0</v>
      </c>
      <c r="AIA64" s="44">
        <f t="shared" si="145"/>
        <v>0</v>
      </c>
      <c r="AIB64" s="44">
        <f t="shared" si="145"/>
        <v>0</v>
      </c>
      <c r="AIC64" s="44">
        <f t="shared" si="145"/>
        <v>0</v>
      </c>
      <c r="AID64" s="44">
        <f t="shared" si="145"/>
        <v>0</v>
      </c>
      <c r="AIE64" s="44">
        <f t="shared" si="145"/>
        <v>0</v>
      </c>
      <c r="AIF64" s="44">
        <f t="shared" si="145"/>
        <v>0</v>
      </c>
      <c r="AIG64" s="44">
        <f t="shared" si="145"/>
        <v>0</v>
      </c>
      <c r="AIH64" s="44">
        <f t="shared" ref="AIH64:AKS64" si="146">SUM(AIH56:AIH57)</f>
        <v>0</v>
      </c>
      <c r="AII64" s="44">
        <f t="shared" si="146"/>
        <v>0</v>
      </c>
      <c r="AIJ64" s="44">
        <f t="shared" si="146"/>
        <v>0</v>
      </c>
      <c r="AIK64" s="44">
        <f t="shared" si="146"/>
        <v>0</v>
      </c>
      <c r="AIL64" s="44">
        <f t="shared" si="146"/>
        <v>0</v>
      </c>
      <c r="AIM64" s="44">
        <f t="shared" si="146"/>
        <v>0</v>
      </c>
      <c r="AIN64" s="44">
        <f t="shared" si="146"/>
        <v>0</v>
      </c>
      <c r="AIO64" s="44">
        <f t="shared" si="146"/>
        <v>0</v>
      </c>
      <c r="AIP64" s="44">
        <f t="shared" si="146"/>
        <v>0</v>
      </c>
      <c r="AIQ64" s="44">
        <f t="shared" si="146"/>
        <v>0</v>
      </c>
      <c r="AIR64" s="44">
        <f t="shared" si="146"/>
        <v>0</v>
      </c>
      <c r="AIS64" s="44">
        <f t="shared" si="146"/>
        <v>0</v>
      </c>
      <c r="AIT64" s="44">
        <f t="shared" si="146"/>
        <v>0</v>
      </c>
      <c r="AIU64" s="44">
        <f t="shared" si="146"/>
        <v>0</v>
      </c>
      <c r="AIV64" s="44">
        <f t="shared" si="146"/>
        <v>0</v>
      </c>
      <c r="AIW64" s="44">
        <f t="shared" si="146"/>
        <v>0</v>
      </c>
      <c r="AIX64" s="44">
        <f t="shared" si="146"/>
        <v>0</v>
      </c>
      <c r="AIY64" s="44">
        <f t="shared" si="146"/>
        <v>0</v>
      </c>
      <c r="AIZ64" s="44">
        <f t="shared" si="146"/>
        <v>0</v>
      </c>
      <c r="AJA64" s="44">
        <f t="shared" si="146"/>
        <v>0</v>
      </c>
      <c r="AJB64" s="44">
        <f t="shared" si="146"/>
        <v>0</v>
      </c>
      <c r="AJC64" s="44">
        <f t="shared" si="146"/>
        <v>0</v>
      </c>
      <c r="AJD64" s="44">
        <f t="shared" si="146"/>
        <v>0</v>
      </c>
      <c r="AJE64" s="44">
        <f t="shared" si="146"/>
        <v>0</v>
      </c>
      <c r="AJF64" s="44">
        <f t="shared" si="146"/>
        <v>0</v>
      </c>
      <c r="AJG64" s="44">
        <f t="shared" si="146"/>
        <v>0</v>
      </c>
      <c r="AJH64" s="44">
        <f t="shared" si="146"/>
        <v>0</v>
      </c>
      <c r="AJI64" s="44">
        <f t="shared" si="146"/>
        <v>0</v>
      </c>
      <c r="AJJ64" s="44">
        <f t="shared" si="146"/>
        <v>0</v>
      </c>
      <c r="AJK64" s="44">
        <f t="shared" si="146"/>
        <v>0</v>
      </c>
      <c r="AJL64" s="44">
        <f t="shared" si="146"/>
        <v>0</v>
      </c>
      <c r="AJM64" s="44">
        <f t="shared" si="146"/>
        <v>0</v>
      </c>
      <c r="AJN64" s="44">
        <f t="shared" si="146"/>
        <v>0</v>
      </c>
      <c r="AJO64" s="44">
        <f t="shared" si="146"/>
        <v>0</v>
      </c>
      <c r="AJP64" s="44">
        <f t="shared" si="146"/>
        <v>0</v>
      </c>
      <c r="AJQ64" s="44">
        <f t="shared" si="146"/>
        <v>0</v>
      </c>
      <c r="AJR64" s="44">
        <f t="shared" si="146"/>
        <v>0</v>
      </c>
      <c r="AJS64" s="44">
        <f t="shared" si="146"/>
        <v>0</v>
      </c>
      <c r="AJT64" s="44">
        <f t="shared" si="146"/>
        <v>0</v>
      </c>
      <c r="AJU64" s="44">
        <f t="shared" si="146"/>
        <v>0</v>
      </c>
      <c r="AJV64" s="44">
        <f t="shared" si="146"/>
        <v>0</v>
      </c>
      <c r="AJW64" s="44">
        <f t="shared" si="146"/>
        <v>0</v>
      </c>
      <c r="AJX64" s="44">
        <f t="shared" si="146"/>
        <v>0</v>
      </c>
      <c r="AJY64" s="44">
        <f t="shared" si="146"/>
        <v>0</v>
      </c>
      <c r="AJZ64" s="44">
        <f t="shared" si="146"/>
        <v>0</v>
      </c>
      <c r="AKA64" s="44">
        <f t="shared" si="146"/>
        <v>0</v>
      </c>
      <c r="AKB64" s="44">
        <f t="shared" si="146"/>
        <v>0</v>
      </c>
      <c r="AKC64" s="44">
        <f t="shared" si="146"/>
        <v>0</v>
      </c>
      <c r="AKD64" s="44">
        <f t="shared" si="146"/>
        <v>0</v>
      </c>
      <c r="AKE64" s="44">
        <f t="shared" si="146"/>
        <v>0</v>
      </c>
      <c r="AKF64" s="44">
        <f t="shared" si="146"/>
        <v>0</v>
      </c>
      <c r="AKG64" s="44">
        <f t="shared" si="146"/>
        <v>0</v>
      </c>
      <c r="AKH64" s="44">
        <f t="shared" si="146"/>
        <v>0</v>
      </c>
      <c r="AKI64" s="44">
        <f t="shared" si="146"/>
        <v>0</v>
      </c>
      <c r="AKJ64" s="44">
        <f t="shared" si="146"/>
        <v>0</v>
      </c>
      <c r="AKK64" s="44">
        <f t="shared" si="146"/>
        <v>0</v>
      </c>
      <c r="AKL64" s="44">
        <f t="shared" si="146"/>
        <v>0</v>
      </c>
      <c r="AKM64" s="44">
        <f t="shared" si="146"/>
        <v>0</v>
      </c>
      <c r="AKN64" s="44">
        <f t="shared" si="146"/>
        <v>0</v>
      </c>
      <c r="AKO64" s="44">
        <f t="shared" si="146"/>
        <v>0</v>
      </c>
      <c r="AKP64" s="44">
        <f t="shared" si="146"/>
        <v>0</v>
      </c>
      <c r="AKQ64" s="44">
        <f t="shared" si="146"/>
        <v>0</v>
      </c>
      <c r="AKR64" s="44">
        <f t="shared" si="146"/>
        <v>0</v>
      </c>
      <c r="AKS64" s="44">
        <f t="shared" si="146"/>
        <v>0</v>
      </c>
      <c r="AKT64" s="44">
        <f t="shared" ref="AKT64:ANE64" si="147">SUM(AKT56:AKT57)</f>
        <v>0</v>
      </c>
      <c r="AKU64" s="44">
        <f t="shared" si="147"/>
        <v>0</v>
      </c>
      <c r="AKV64" s="44">
        <f t="shared" si="147"/>
        <v>0</v>
      </c>
      <c r="AKW64" s="44">
        <f t="shared" si="147"/>
        <v>0</v>
      </c>
      <c r="AKX64" s="44">
        <f t="shared" si="147"/>
        <v>0</v>
      </c>
      <c r="AKY64" s="44">
        <f t="shared" si="147"/>
        <v>0</v>
      </c>
      <c r="AKZ64" s="44">
        <f t="shared" si="147"/>
        <v>0</v>
      </c>
      <c r="ALA64" s="44">
        <f t="shared" si="147"/>
        <v>0</v>
      </c>
      <c r="ALB64" s="44">
        <f t="shared" si="147"/>
        <v>0</v>
      </c>
      <c r="ALC64" s="44">
        <f t="shared" si="147"/>
        <v>0</v>
      </c>
      <c r="ALD64" s="44">
        <f t="shared" si="147"/>
        <v>0</v>
      </c>
      <c r="ALE64" s="44">
        <f t="shared" si="147"/>
        <v>0</v>
      </c>
      <c r="ALF64" s="44">
        <f t="shared" si="147"/>
        <v>0</v>
      </c>
      <c r="ALG64" s="44">
        <f t="shared" si="147"/>
        <v>0</v>
      </c>
      <c r="ALH64" s="44">
        <f t="shared" si="147"/>
        <v>0</v>
      </c>
      <c r="ALI64" s="44">
        <f t="shared" si="147"/>
        <v>0</v>
      </c>
      <c r="ALJ64" s="44">
        <f t="shared" si="147"/>
        <v>0</v>
      </c>
      <c r="ALK64" s="44">
        <f t="shared" si="147"/>
        <v>0</v>
      </c>
      <c r="ALL64" s="44">
        <f t="shared" si="147"/>
        <v>0</v>
      </c>
      <c r="ALM64" s="44">
        <f t="shared" si="147"/>
        <v>0</v>
      </c>
      <c r="ALN64" s="44">
        <f t="shared" si="147"/>
        <v>0</v>
      </c>
      <c r="ALO64" s="44">
        <f t="shared" si="147"/>
        <v>0</v>
      </c>
      <c r="ALP64" s="44">
        <f t="shared" si="147"/>
        <v>0</v>
      </c>
      <c r="ALQ64" s="44">
        <f t="shared" si="147"/>
        <v>0</v>
      </c>
      <c r="ALR64" s="44">
        <f t="shared" si="147"/>
        <v>0</v>
      </c>
      <c r="ALS64" s="44">
        <f t="shared" si="147"/>
        <v>0</v>
      </c>
      <c r="ALT64" s="44">
        <f t="shared" si="147"/>
        <v>0</v>
      </c>
      <c r="ALU64" s="44">
        <f t="shared" si="147"/>
        <v>0</v>
      </c>
      <c r="ALV64" s="44">
        <f t="shared" si="147"/>
        <v>0</v>
      </c>
      <c r="ALW64" s="44">
        <f t="shared" si="147"/>
        <v>0</v>
      </c>
      <c r="ALX64" s="44">
        <f t="shared" si="147"/>
        <v>0</v>
      </c>
      <c r="ALY64" s="44">
        <f t="shared" si="147"/>
        <v>0</v>
      </c>
      <c r="ALZ64" s="44">
        <f t="shared" si="147"/>
        <v>0</v>
      </c>
      <c r="AMA64" s="44">
        <f t="shared" si="147"/>
        <v>0</v>
      </c>
      <c r="AMB64" s="44">
        <f t="shared" si="147"/>
        <v>0</v>
      </c>
      <c r="AMC64" s="44">
        <f t="shared" si="147"/>
        <v>0</v>
      </c>
      <c r="AMD64" s="44">
        <f t="shared" si="147"/>
        <v>0</v>
      </c>
      <c r="AME64" s="44">
        <f t="shared" si="147"/>
        <v>0</v>
      </c>
      <c r="AMF64" s="44">
        <f t="shared" si="147"/>
        <v>0</v>
      </c>
      <c r="AMG64" s="44">
        <f t="shared" si="147"/>
        <v>0</v>
      </c>
      <c r="AMH64" s="44">
        <f t="shared" si="147"/>
        <v>0</v>
      </c>
      <c r="AMI64" s="44">
        <f t="shared" si="147"/>
        <v>0</v>
      </c>
      <c r="AMJ64" s="44">
        <f t="shared" si="147"/>
        <v>0</v>
      </c>
      <c r="AMK64" s="44">
        <f t="shared" si="147"/>
        <v>0</v>
      </c>
      <c r="AML64" s="44">
        <f t="shared" si="147"/>
        <v>0</v>
      </c>
      <c r="AMM64" s="44">
        <f t="shared" si="147"/>
        <v>0</v>
      </c>
      <c r="AMN64" s="44">
        <f t="shared" si="147"/>
        <v>0</v>
      </c>
      <c r="AMO64" s="44">
        <f t="shared" si="147"/>
        <v>0</v>
      </c>
      <c r="AMP64" s="44">
        <f t="shared" si="147"/>
        <v>0</v>
      </c>
      <c r="AMQ64" s="44">
        <f t="shared" si="147"/>
        <v>0</v>
      </c>
      <c r="AMR64" s="44">
        <f t="shared" si="147"/>
        <v>0</v>
      </c>
      <c r="AMS64" s="44">
        <f t="shared" si="147"/>
        <v>0</v>
      </c>
      <c r="AMT64" s="44">
        <f t="shared" si="147"/>
        <v>0</v>
      </c>
      <c r="AMU64" s="44">
        <f t="shared" si="147"/>
        <v>0</v>
      </c>
      <c r="AMV64" s="44">
        <f t="shared" si="147"/>
        <v>0</v>
      </c>
      <c r="AMW64" s="44">
        <f t="shared" si="147"/>
        <v>0</v>
      </c>
      <c r="AMX64" s="44">
        <f t="shared" si="147"/>
        <v>0</v>
      </c>
      <c r="AMY64" s="44">
        <f t="shared" si="147"/>
        <v>0</v>
      </c>
      <c r="AMZ64" s="44">
        <f t="shared" si="147"/>
        <v>0</v>
      </c>
      <c r="ANA64" s="44">
        <f t="shared" si="147"/>
        <v>0</v>
      </c>
      <c r="ANB64" s="44">
        <f t="shared" si="147"/>
        <v>0</v>
      </c>
      <c r="ANC64" s="44">
        <f t="shared" si="147"/>
        <v>0</v>
      </c>
      <c r="AND64" s="44">
        <f t="shared" si="147"/>
        <v>0</v>
      </c>
      <c r="ANE64" s="44">
        <f t="shared" si="147"/>
        <v>0</v>
      </c>
      <c r="ANF64" s="44">
        <f t="shared" ref="ANF64:APQ64" si="148">SUM(ANF56:ANF57)</f>
        <v>0</v>
      </c>
      <c r="ANG64" s="44">
        <f t="shared" si="148"/>
        <v>0</v>
      </c>
      <c r="ANH64" s="44">
        <f t="shared" si="148"/>
        <v>0</v>
      </c>
      <c r="ANI64" s="44">
        <f t="shared" si="148"/>
        <v>0</v>
      </c>
      <c r="ANJ64" s="44">
        <f t="shared" si="148"/>
        <v>0</v>
      </c>
      <c r="ANK64" s="44">
        <f t="shared" si="148"/>
        <v>0</v>
      </c>
      <c r="ANL64" s="44">
        <f t="shared" si="148"/>
        <v>0</v>
      </c>
      <c r="ANM64" s="44">
        <f t="shared" si="148"/>
        <v>0</v>
      </c>
      <c r="ANN64" s="44">
        <f t="shared" si="148"/>
        <v>0</v>
      </c>
      <c r="ANO64" s="44">
        <f t="shared" si="148"/>
        <v>0</v>
      </c>
      <c r="ANP64" s="44">
        <f t="shared" si="148"/>
        <v>0</v>
      </c>
      <c r="ANQ64" s="44">
        <f t="shared" si="148"/>
        <v>0</v>
      </c>
      <c r="ANR64" s="44">
        <f t="shared" si="148"/>
        <v>0</v>
      </c>
      <c r="ANS64" s="44">
        <f t="shared" si="148"/>
        <v>0</v>
      </c>
      <c r="ANT64" s="44">
        <f t="shared" si="148"/>
        <v>0</v>
      </c>
      <c r="ANU64" s="44">
        <f t="shared" si="148"/>
        <v>0</v>
      </c>
      <c r="ANV64" s="44">
        <f t="shared" si="148"/>
        <v>0</v>
      </c>
      <c r="ANW64" s="44">
        <f t="shared" si="148"/>
        <v>0</v>
      </c>
      <c r="ANX64" s="44">
        <f t="shared" si="148"/>
        <v>0</v>
      </c>
      <c r="ANY64" s="44">
        <f t="shared" si="148"/>
        <v>0</v>
      </c>
      <c r="ANZ64" s="44">
        <f t="shared" si="148"/>
        <v>0</v>
      </c>
      <c r="AOA64" s="44">
        <f t="shared" si="148"/>
        <v>0</v>
      </c>
      <c r="AOB64" s="44">
        <f t="shared" si="148"/>
        <v>0</v>
      </c>
      <c r="AOC64" s="44">
        <f t="shared" si="148"/>
        <v>0</v>
      </c>
      <c r="AOD64" s="44">
        <f t="shared" si="148"/>
        <v>0</v>
      </c>
      <c r="AOE64" s="44">
        <f t="shared" si="148"/>
        <v>0</v>
      </c>
      <c r="AOF64" s="44">
        <f t="shared" si="148"/>
        <v>0</v>
      </c>
      <c r="AOG64" s="44">
        <f t="shared" si="148"/>
        <v>0</v>
      </c>
      <c r="AOH64" s="44">
        <f t="shared" si="148"/>
        <v>0</v>
      </c>
      <c r="AOI64" s="44">
        <f t="shared" si="148"/>
        <v>0</v>
      </c>
      <c r="AOJ64" s="44">
        <f t="shared" si="148"/>
        <v>0</v>
      </c>
      <c r="AOK64" s="44">
        <f t="shared" si="148"/>
        <v>0</v>
      </c>
      <c r="AOL64" s="44">
        <f t="shared" si="148"/>
        <v>0</v>
      </c>
      <c r="AOM64" s="44">
        <f t="shared" si="148"/>
        <v>0</v>
      </c>
      <c r="AON64" s="44">
        <f t="shared" si="148"/>
        <v>0</v>
      </c>
      <c r="AOO64" s="44">
        <f t="shared" si="148"/>
        <v>0</v>
      </c>
      <c r="AOP64" s="44">
        <f t="shared" si="148"/>
        <v>0</v>
      </c>
      <c r="AOQ64" s="44">
        <f t="shared" si="148"/>
        <v>0</v>
      </c>
      <c r="AOR64" s="44">
        <f t="shared" si="148"/>
        <v>0</v>
      </c>
      <c r="AOS64" s="44">
        <f t="shared" si="148"/>
        <v>0</v>
      </c>
      <c r="AOT64" s="44">
        <f t="shared" si="148"/>
        <v>0</v>
      </c>
      <c r="AOU64" s="44">
        <f t="shared" si="148"/>
        <v>0</v>
      </c>
      <c r="AOV64" s="44">
        <f t="shared" si="148"/>
        <v>0</v>
      </c>
      <c r="AOW64" s="44">
        <f t="shared" si="148"/>
        <v>0</v>
      </c>
      <c r="AOX64" s="44">
        <f t="shared" si="148"/>
        <v>0</v>
      </c>
      <c r="AOY64" s="44">
        <f t="shared" si="148"/>
        <v>0</v>
      </c>
      <c r="AOZ64" s="44">
        <f t="shared" si="148"/>
        <v>0</v>
      </c>
      <c r="APA64" s="44">
        <f t="shared" si="148"/>
        <v>0</v>
      </c>
      <c r="APB64" s="44">
        <f t="shared" si="148"/>
        <v>0</v>
      </c>
      <c r="APC64" s="44">
        <f t="shared" si="148"/>
        <v>0</v>
      </c>
      <c r="APD64" s="44">
        <f t="shared" si="148"/>
        <v>0</v>
      </c>
      <c r="APE64" s="44">
        <f t="shared" si="148"/>
        <v>0</v>
      </c>
      <c r="APF64" s="44">
        <f t="shared" si="148"/>
        <v>0</v>
      </c>
      <c r="APG64" s="44">
        <f t="shared" si="148"/>
        <v>0</v>
      </c>
      <c r="APH64" s="44">
        <f t="shared" si="148"/>
        <v>0</v>
      </c>
      <c r="API64" s="44">
        <f t="shared" si="148"/>
        <v>0</v>
      </c>
      <c r="APJ64" s="44">
        <f t="shared" si="148"/>
        <v>0</v>
      </c>
      <c r="APK64" s="44">
        <f t="shared" si="148"/>
        <v>0</v>
      </c>
      <c r="APL64" s="44">
        <f t="shared" si="148"/>
        <v>0</v>
      </c>
      <c r="APM64" s="44">
        <f t="shared" si="148"/>
        <v>0</v>
      </c>
      <c r="APN64" s="44">
        <f t="shared" si="148"/>
        <v>0</v>
      </c>
      <c r="APO64" s="44">
        <f t="shared" si="148"/>
        <v>0</v>
      </c>
      <c r="APP64" s="44">
        <f t="shared" si="148"/>
        <v>0</v>
      </c>
      <c r="APQ64" s="44">
        <f t="shared" si="148"/>
        <v>0</v>
      </c>
      <c r="APR64" s="44">
        <f t="shared" ref="APR64:ASC64" si="149">SUM(APR56:APR57)</f>
        <v>0</v>
      </c>
      <c r="APS64" s="44">
        <f t="shared" si="149"/>
        <v>0</v>
      </c>
      <c r="APT64" s="44">
        <f t="shared" si="149"/>
        <v>0</v>
      </c>
      <c r="APU64" s="44">
        <f t="shared" si="149"/>
        <v>0</v>
      </c>
      <c r="APV64" s="44">
        <f t="shared" si="149"/>
        <v>0</v>
      </c>
      <c r="APW64" s="44">
        <f t="shared" si="149"/>
        <v>0</v>
      </c>
      <c r="APX64" s="44">
        <f t="shared" si="149"/>
        <v>0</v>
      </c>
      <c r="APY64" s="44">
        <f t="shared" si="149"/>
        <v>0</v>
      </c>
      <c r="APZ64" s="44">
        <f t="shared" si="149"/>
        <v>0</v>
      </c>
      <c r="AQA64" s="44">
        <f t="shared" si="149"/>
        <v>0</v>
      </c>
      <c r="AQB64" s="44">
        <f t="shared" si="149"/>
        <v>0</v>
      </c>
      <c r="AQC64" s="44">
        <f t="shared" si="149"/>
        <v>0</v>
      </c>
      <c r="AQD64" s="44">
        <f t="shared" si="149"/>
        <v>0</v>
      </c>
      <c r="AQE64" s="44">
        <f t="shared" si="149"/>
        <v>0</v>
      </c>
      <c r="AQF64" s="44">
        <f t="shared" si="149"/>
        <v>0</v>
      </c>
      <c r="AQG64" s="44">
        <f t="shared" si="149"/>
        <v>0</v>
      </c>
      <c r="AQH64" s="44">
        <f t="shared" si="149"/>
        <v>0</v>
      </c>
      <c r="AQI64" s="44">
        <f t="shared" si="149"/>
        <v>0</v>
      </c>
      <c r="AQJ64" s="44">
        <f t="shared" si="149"/>
        <v>0</v>
      </c>
      <c r="AQK64" s="44">
        <f t="shared" si="149"/>
        <v>0</v>
      </c>
      <c r="AQL64" s="44">
        <f t="shared" si="149"/>
        <v>0</v>
      </c>
      <c r="AQM64" s="44">
        <f t="shared" si="149"/>
        <v>0</v>
      </c>
      <c r="AQN64" s="44">
        <f t="shared" si="149"/>
        <v>0</v>
      </c>
      <c r="AQO64" s="44">
        <f t="shared" si="149"/>
        <v>0</v>
      </c>
      <c r="AQP64" s="44">
        <f t="shared" si="149"/>
        <v>0</v>
      </c>
      <c r="AQQ64" s="44">
        <f t="shared" si="149"/>
        <v>0</v>
      </c>
      <c r="AQR64" s="44">
        <f t="shared" si="149"/>
        <v>0</v>
      </c>
      <c r="AQS64" s="44">
        <f t="shared" si="149"/>
        <v>0</v>
      </c>
      <c r="AQT64" s="44">
        <f t="shared" si="149"/>
        <v>0</v>
      </c>
      <c r="AQU64" s="44">
        <f t="shared" si="149"/>
        <v>0</v>
      </c>
      <c r="AQV64" s="44">
        <f t="shared" si="149"/>
        <v>0</v>
      </c>
      <c r="AQW64" s="44">
        <f t="shared" si="149"/>
        <v>0</v>
      </c>
      <c r="AQX64" s="44">
        <f t="shared" si="149"/>
        <v>0</v>
      </c>
      <c r="AQY64" s="44">
        <f t="shared" si="149"/>
        <v>0</v>
      </c>
      <c r="AQZ64" s="44">
        <f t="shared" si="149"/>
        <v>0</v>
      </c>
      <c r="ARA64" s="44">
        <f t="shared" si="149"/>
        <v>0</v>
      </c>
      <c r="ARB64" s="44">
        <f t="shared" si="149"/>
        <v>0</v>
      </c>
      <c r="ARC64" s="44">
        <f t="shared" si="149"/>
        <v>0</v>
      </c>
      <c r="ARD64" s="44">
        <f t="shared" si="149"/>
        <v>0</v>
      </c>
      <c r="ARE64" s="44">
        <f t="shared" si="149"/>
        <v>0</v>
      </c>
      <c r="ARF64" s="44">
        <f t="shared" si="149"/>
        <v>0</v>
      </c>
      <c r="ARG64" s="44">
        <f t="shared" si="149"/>
        <v>0</v>
      </c>
      <c r="ARH64" s="44">
        <f t="shared" si="149"/>
        <v>0</v>
      </c>
      <c r="ARI64" s="44">
        <f t="shared" si="149"/>
        <v>0</v>
      </c>
      <c r="ARJ64" s="44">
        <f t="shared" si="149"/>
        <v>0</v>
      </c>
      <c r="ARK64" s="44">
        <f t="shared" si="149"/>
        <v>0</v>
      </c>
      <c r="ARL64" s="44">
        <f t="shared" si="149"/>
        <v>0</v>
      </c>
      <c r="ARM64" s="44">
        <f t="shared" si="149"/>
        <v>0</v>
      </c>
      <c r="ARN64" s="44">
        <f t="shared" si="149"/>
        <v>0</v>
      </c>
      <c r="ARO64" s="44">
        <f t="shared" si="149"/>
        <v>0</v>
      </c>
      <c r="ARP64" s="44">
        <f t="shared" si="149"/>
        <v>0</v>
      </c>
      <c r="ARQ64" s="44">
        <f t="shared" si="149"/>
        <v>0</v>
      </c>
      <c r="ARR64" s="44">
        <f t="shared" si="149"/>
        <v>0</v>
      </c>
      <c r="ARS64" s="44">
        <f t="shared" si="149"/>
        <v>0</v>
      </c>
      <c r="ART64" s="44">
        <f t="shared" si="149"/>
        <v>0</v>
      </c>
      <c r="ARU64" s="44">
        <f t="shared" si="149"/>
        <v>0</v>
      </c>
      <c r="ARV64" s="44">
        <f t="shared" si="149"/>
        <v>0</v>
      </c>
      <c r="ARW64" s="44">
        <f t="shared" si="149"/>
        <v>0</v>
      </c>
      <c r="ARX64" s="44">
        <f t="shared" si="149"/>
        <v>0</v>
      </c>
      <c r="ARY64" s="44">
        <f t="shared" si="149"/>
        <v>0</v>
      </c>
      <c r="ARZ64" s="44">
        <f t="shared" si="149"/>
        <v>0</v>
      </c>
      <c r="ASA64" s="44">
        <f t="shared" si="149"/>
        <v>0</v>
      </c>
      <c r="ASB64" s="44">
        <f t="shared" si="149"/>
        <v>0</v>
      </c>
      <c r="ASC64" s="44">
        <f t="shared" si="149"/>
        <v>0</v>
      </c>
      <c r="ASD64" s="44">
        <f t="shared" ref="ASD64:AUO64" si="150">SUM(ASD56:ASD57)</f>
        <v>0</v>
      </c>
      <c r="ASE64" s="44">
        <f t="shared" si="150"/>
        <v>0</v>
      </c>
      <c r="ASF64" s="44">
        <f t="shared" si="150"/>
        <v>0</v>
      </c>
      <c r="ASG64" s="44">
        <f t="shared" si="150"/>
        <v>0</v>
      </c>
      <c r="ASH64" s="44">
        <f t="shared" si="150"/>
        <v>0</v>
      </c>
      <c r="ASI64" s="44">
        <f t="shared" si="150"/>
        <v>0</v>
      </c>
      <c r="ASJ64" s="44">
        <f t="shared" si="150"/>
        <v>0</v>
      </c>
      <c r="ASK64" s="44">
        <f t="shared" si="150"/>
        <v>0</v>
      </c>
      <c r="ASL64" s="44">
        <f t="shared" si="150"/>
        <v>0</v>
      </c>
      <c r="ASM64" s="44">
        <f t="shared" si="150"/>
        <v>0</v>
      </c>
      <c r="ASN64" s="44">
        <f t="shared" si="150"/>
        <v>0</v>
      </c>
      <c r="ASO64" s="44">
        <f t="shared" si="150"/>
        <v>0</v>
      </c>
      <c r="ASP64" s="44">
        <f t="shared" si="150"/>
        <v>0</v>
      </c>
      <c r="ASQ64" s="44">
        <f t="shared" si="150"/>
        <v>0</v>
      </c>
      <c r="ASR64" s="44">
        <f t="shared" si="150"/>
        <v>0</v>
      </c>
      <c r="ASS64" s="44">
        <f t="shared" si="150"/>
        <v>0</v>
      </c>
      <c r="AST64" s="44">
        <f t="shared" si="150"/>
        <v>0</v>
      </c>
      <c r="ASU64" s="44">
        <f t="shared" si="150"/>
        <v>0</v>
      </c>
      <c r="ASV64" s="44">
        <f t="shared" si="150"/>
        <v>0</v>
      </c>
      <c r="ASW64" s="44">
        <f t="shared" si="150"/>
        <v>0</v>
      </c>
      <c r="ASX64" s="44">
        <f t="shared" si="150"/>
        <v>0</v>
      </c>
      <c r="ASY64" s="44">
        <f t="shared" si="150"/>
        <v>0</v>
      </c>
      <c r="ASZ64" s="44">
        <f t="shared" si="150"/>
        <v>0</v>
      </c>
      <c r="ATA64" s="44">
        <f t="shared" si="150"/>
        <v>0</v>
      </c>
      <c r="ATB64" s="44">
        <f t="shared" si="150"/>
        <v>0</v>
      </c>
      <c r="ATC64" s="44">
        <f t="shared" si="150"/>
        <v>0</v>
      </c>
      <c r="ATD64" s="44">
        <f t="shared" si="150"/>
        <v>0</v>
      </c>
      <c r="ATE64" s="44">
        <f t="shared" si="150"/>
        <v>0</v>
      </c>
      <c r="ATF64" s="44">
        <f t="shared" si="150"/>
        <v>0</v>
      </c>
      <c r="ATG64" s="44">
        <f t="shared" si="150"/>
        <v>0</v>
      </c>
      <c r="ATH64" s="44">
        <f t="shared" si="150"/>
        <v>0</v>
      </c>
      <c r="ATI64" s="44">
        <f t="shared" si="150"/>
        <v>0</v>
      </c>
      <c r="ATJ64" s="44">
        <f t="shared" si="150"/>
        <v>0</v>
      </c>
      <c r="ATK64" s="44">
        <f t="shared" si="150"/>
        <v>0</v>
      </c>
      <c r="ATL64" s="44">
        <f t="shared" si="150"/>
        <v>0</v>
      </c>
      <c r="ATM64" s="44">
        <f t="shared" si="150"/>
        <v>0</v>
      </c>
      <c r="ATN64" s="44">
        <f t="shared" si="150"/>
        <v>0</v>
      </c>
      <c r="ATO64" s="44">
        <f t="shared" si="150"/>
        <v>0</v>
      </c>
      <c r="ATP64" s="44">
        <f t="shared" si="150"/>
        <v>0</v>
      </c>
      <c r="ATQ64" s="44">
        <f t="shared" si="150"/>
        <v>0</v>
      </c>
      <c r="ATR64" s="44">
        <f t="shared" si="150"/>
        <v>0</v>
      </c>
      <c r="ATS64" s="44">
        <f t="shared" si="150"/>
        <v>0</v>
      </c>
      <c r="ATT64" s="44">
        <f t="shared" si="150"/>
        <v>0</v>
      </c>
      <c r="ATU64" s="44">
        <f t="shared" si="150"/>
        <v>0</v>
      </c>
      <c r="ATV64" s="44">
        <f t="shared" si="150"/>
        <v>0</v>
      </c>
      <c r="ATW64" s="44">
        <f t="shared" si="150"/>
        <v>0</v>
      </c>
      <c r="ATX64" s="44">
        <f t="shared" si="150"/>
        <v>0</v>
      </c>
      <c r="ATY64" s="44">
        <f t="shared" si="150"/>
        <v>0</v>
      </c>
      <c r="ATZ64" s="44">
        <f t="shared" si="150"/>
        <v>0</v>
      </c>
      <c r="AUA64" s="44">
        <f t="shared" si="150"/>
        <v>0</v>
      </c>
      <c r="AUB64" s="44">
        <f t="shared" si="150"/>
        <v>0</v>
      </c>
      <c r="AUC64" s="44">
        <f t="shared" si="150"/>
        <v>0</v>
      </c>
      <c r="AUD64" s="44">
        <f t="shared" si="150"/>
        <v>0</v>
      </c>
      <c r="AUE64" s="44">
        <f t="shared" si="150"/>
        <v>0</v>
      </c>
      <c r="AUF64" s="44">
        <f t="shared" si="150"/>
        <v>0</v>
      </c>
      <c r="AUG64" s="44">
        <f t="shared" si="150"/>
        <v>0</v>
      </c>
      <c r="AUH64" s="44">
        <f t="shared" si="150"/>
        <v>0</v>
      </c>
      <c r="AUI64" s="44">
        <f t="shared" si="150"/>
        <v>0</v>
      </c>
      <c r="AUJ64" s="44">
        <f t="shared" si="150"/>
        <v>0</v>
      </c>
      <c r="AUK64" s="44">
        <f t="shared" si="150"/>
        <v>0</v>
      </c>
      <c r="AUL64" s="44">
        <f t="shared" si="150"/>
        <v>0</v>
      </c>
      <c r="AUM64" s="44">
        <f t="shared" si="150"/>
        <v>0</v>
      </c>
      <c r="AUN64" s="44">
        <f t="shared" si="150"/>
        <v>0</v>
      </c>
      <c r="AUO64" s="44">
        <f t="shared" si="150"/>
        <v>0</v>
      </c>
      <c r="AUP64" s="44">
        <f t="shared" ref="AUP64:AXA64" si="151">SUM(AUP56:AUP57)</f>
        <v>0</v>
      </c>
      <c r="AUQ64" s="44">
        <f t="shared" si="151"/>
        <v>0</v>
      </c>
      <c r="AUR64" s="44">
        <f t="shared" si="151"/>
        <v>0</v>
      </c>
      <c r="AUS64" s="44">
        <f t="shared" si="151"/>
        <v>0</v>
      </c>
      <c r="AUT64" s="44">
        <f t="shared" si="151"/>
        <v>0</v>
      </c>
      <c r="AUU64" s="44">
        <f t="shared" si="151"/>
        <v>0</v>
      </c>
      <c r="AUV64" s="44">
        <f t="shared" si="151"/>
        <v>0</v>
      </c>
      <c r="AUW64" s="44">
        <f t="shared" si="151"/>
        <v>0</v>
      </c>
      <c r="AUX64" s="44">
        <f t="shared" si="151"/>
        <v>0</v>
      </c>
      <c r="AUY64" s="44">
        <f t="shared" si="151"/>
        <v>0</v>
      </c>
      <c r="AUZ64" s="44">
        <f t="shared" si="151"/>
        <v>0</v>
      </c>
      <c r="AVA64" s="44">
        <f t="shared" si="151"/>
        <v>0</v>
      </c>
      <c r="AVB64" s="44">
        <f t="shared" si="151"/>
        <v>0</v>
      </c>
      <c r="AVC64" s="44">
        <f t="shared" si="151"/>
        <v>0</v>
      </c>
      <c r="AVD64" s="44">
        <f t="shared" si="151"/>
        <v>0</v>
      </c>
      <c r="AVE64" s="44">
        <f t="shared" si="151"/>
        <v>0</v>
      </c>
      <c r="AVF64" s="44">
        <f t="shared" si="151"/>
        <v>0</v>
      </c>
      <c r="AVG64" s="44">
        <f t="shared" si="151"/>
        <v>0</v>
      </c>
      <c r="AVH64" s="44">
        <f t="shared" si="151"/>
        <v>0</v>
      </c>
      <c r="AVI64" s="44">
        <f t="shared" si="151"/>
        <v>0</v>
      </c>
      <c r="AVJ64" s="44">
        <f t="shared" si="151"/>
        <v>0</v>
      </c>
      <c r="AVK64" s="44">
        <f t="shared" si="151"/>
        <v>0</v>
      </c>
      <c r="AVL64" s="44">
        <f t="shared" si="151"/>
        <v>0</v>
      </c>
      <c r="AVM64" s="44">
        <f t="shared" si="151"/>
        <v>0</v>
      </c>
      <c r="AVN64" s="44">
        <f t="shared" si="151"/>
        <v>0</v>
      </c>
      <c r="AVO64" s="44">
        <f t="shared" si="151"/>
        <v>0</v>
      </c>
      <c r="AVP64" s="44">
        <f t="shared" si="151"/>
        <v>0</v>
      </c>
      <c r="AVQ64" s="44">
        <f t="shared" si="151"/>
        <v>0</v>
      </c>
      <c r="AVR64" s="44">
        <f t="shared" si="151"/>
        <v>0</v>
      </c>
      <c r="AVS64" s="44">
        <f t="shared" si="151"/>
        <v>0</v>
      </c>
      <c r="AVT64" s="44">
        <f t="shared" si="151"/>
        <v>0</v>
      </c>
      <c r="AVU64" s="44">
        <f t="shared" si="151"/>
        <v>0</v>
      </c>
      <c r="AVV64" s="44">
        <f t="shared" si="151"/>
        <v>0</v>
      </c>
      <c r="AVW64" s="44">
        <f t="shared" si="151"/>
        <v>0</v>
      </c>
      <c r="AVX64" s="44">
        <f t="shared" si="151"/>
        <v>0</v>
      </c>
      <c r="AVY64" s="44">
        <f t="shared" si="151"/>
        <v>0</v>
      </c>
      <c r="AVZ64" s="44">
        <f t="shared" si="151"/>
        <v>0</v>
      </c>
      <c r="AWA64" s="44">
        <f t="shared" si="151"/>
        <v>0</v>
      </c>
      <c r="AWB64" s="44">
        <f t="shared" si="151"/>
        <v>0</v>
      </c>
      <c r="AWC64" s="44">
        <f t="shared" si="151"/>
        <v>0</v>
      </c>
      <c r="AWD64" s="44">
        <f t="shared" si="151"/>
        <v>0</v>
      </c>
      <c r="AWE64" s="44">
        <f t="shared" si="151"/>
        <v>0</v>
      </c>
      <c r="AWF64" s="44">
        <f t="shared" si="151"/>
        <v>0</v>
      </c>
      <c r="AWG64" s="44">
        <f t="shared" si="151"/>
        <v>0</v>
      </c>
      <c r="AWH64" s="44">
        <f t="shared" si="151"/>
        <v>0</v>
      </c>
      <c r="AWI64" s="44">
        <f t="shared" si="151"/>
        <v>0</v>
      </c>
      <c r="AWJ64" s="44">
        <f t="shared" si="151"/>
        <v>0</v>
      </c>
      <c r="AWK64" s="44">
        <f t="shared" si="151"/>
        <v>0</v>
      </c>
      <c r="AWL64" s="44">
        <f t="shared" si="151"/>
        <v>0</v>
      </c>
      <c r="AWM64" s="44">
        <f t="shared" si="151"/>
        <v>0</v>
      </c>
      <c r="AWN64" s="44">
        <f t="shared" si="151"/>
        <v>0</v>
      </c>
      <c r="AWO64" s="44">
        <f t="shared" si="151"/>
        <v>0</v>
      </c>
      <c r="AWP64" s="44">
        <f t="shared" si="151"/>
        <v>0</v>
      </c>
      <c r="AWQ64" s="44">
        <f t="shared" si="151"/>
        <v>0</v>
      </c>
      <c r="AWR64" s="44">
        <f t="shared" si="151"/>
        <v>0</v>
      </c>
      <c r="AWS64" s="44">
        <f t="shared" si="151"/>
        <v>0</v>
      </c>
      <c r="AWT64" s="44">
        <f t="shared" si="151"/>
        <v>0</v>
      </c>
      <c r="AWU64" s="44">
        <f t="shared" si="151"/>
        <v>0</v>
      </c>
      <c r="AWV64" s="44">
        <f t="shared" si="151"/>
        <v>0</v>
      </c>
      <c r="AWW64" s="44">
        <f t="shared" si="151"/>
        <v>0</v>
      </c>
      <c r="AWX64" s="44">
        <f t="shared" si="151"/>
        <v>0</v>
      </c>
      <c r="AWY64" s="44">
        <f t="shared" si="151"/>
        <v>0</v>
      </c>
      <c r="AWZ64" s="44">
        <f t="shared" si="151"/>
        <v>0</v>
      </c>
      <c r="AXA64" s="44">
        <f t="shared" si="151"/>
        <v>0</v>
      </c>
      <c r="AXB64" s="44">
        <f t="shared" ref="AXB64:AZM64" si="152">SUM(AXB56:AXB57)</f>
        <v>0</v>
      </c>
      <c r="AXC64" s="44">
        <f t="shared" si="152"/>
        <v>0</v>
      </c>
      <c r="AXD64" s="44">
        <f t="shared" si="152"/>
        <v>0</v>
      </c>
      <c r="AXE64" s="44">
        <f t="shared" si="152"/>
        <v>0</v>
      </c>
      <c r="AXF64" s="44">
        <f t="shared" si="152"/>
        <v>0</v>
      </c>
      <c r="AXG64" s="44">
        <f t="shared" si="152"/>
        <v>0</v>
      </c>
      <c r="AXH64" s="44">
        <f t="shared" si="152"/>
        <v>0</v>
      </c>
      <c r="AXI64" s="44">
        <f t="shared" si="152"/>
        <v>0</v>
      </c>
      <c r="AXJ64" s="44">
        <f t="shared" si="152"/>
        <v>0</v>
      </c>
      <c r="AXK64" s="44">
        <f t="shared" si="152"/>
        <v>0</v>
      </c>
      <c r="AXL64" s="44">
        <f t="shared" si="152"/>
        <v>0</v>
      </c>
      <c r="AXM64" s="44">
        <f t="shared" si="152"/>
        <v>0</v>
      </c>
      <c r="AXN64" s="44">
        <f t="shared" si="152"/>
        <v>0</v>
      </c>
      <c r="AXO64" s="44">
        <f t="shared" si="152"/>
        <v>0</v>
      </c>
      <c r="AXP64" s="44">
        <f t="shared" si="152"/>
        <v>0</v>
      </c>
      <c r="AXQ64" s="44">
        <f t="shared" si="152"/>
        <v>0</v>
      </c>
      <c r="AXR64" s="44">
        <f t="shared" si="152"/>
        <v>0</v>
      </c>
      <c r="AXS64" s="44">
        <f t="shared" si="152"/>
        <v>0</v>
      </c>
      <c r="AXT64" s="44">
        <f t="shared" si="152"/>
        <v>0</v>
      </c>
      <c r="AXU64" s="44">
        <f t="shared" si="152"/>
        <v>0</v>
      </c>
      <c r="AXV64" s="44">
        <f t="shared" si="152"/>
        <v>0</v>
      </c>
      <c r="AXW64" s="44">
        <f t="shared" si="152"/>
        <v>0</v>
      </c>
      <c r="AXX64" s="44">
        <f t="shared" si="152"/>
        <v>0</v>
      </c>
      <c r="AXY64" s="44">
        <f t="shared" si="152"/>
        <v>0</v>
      </c>
      <c r="AXZ64" s="44">
        <f t="shared" si="152"/>
        <v>0</v>
      </c>
      <c r="AYA64" s="44">
        <f t="shared" si="152"/>
        <v>0</v>
      </c>
      <c r="AYB64" s="44">
        <f t="shared" si="152"/>
        <v>0</v>
      </c>
      <c r="AYC64" s="44">
        <f t="shared" si="152"/>
        <v>0</v>
      </c>
      <c r="AYD64" s="44">
        <f t="shared" si="152"/>
        <v>0</v>
      </c>
      <c r="AYE64" s="44">
        <f t="shared" si="152"/>
        <v>0</v>
      </c>
      <c r="AYF64" s="44">
        <f t="shared" si="152"/>
        <v>0</v>
      </c>
      <c r="AYG64" s="44">
        <f t="shared" si="152"/>
        <v>0</v>
      </c>
      <c r="AYH64" s="44">
        <f t="shared" si="152"/>
        <v>0</v>
      </c>
      <c r="AYI64" s="44">
        <f t="shared" si="152"/>
        <v>0</v>
      </c>
      <c r="AYJ64" s="44">
        <f t="shared" si="152"/>
        <v>0</v>
      </c>
      <c r="AYK64" s="44">
        <f t="shared" si="152"/>
        <v>0</v>
      </c>
      <c r="AYL64" s="44">
        <f t="shared" si="152"/>
        <v>0</v>
      </c>
      <c r="AYM64" s="44">
        <f t="shared" si="152"/>
        <v>0</v>
      </c>
      <c r="AYN64" s="44">
        <f t="shared" si="152"/>
        <v>0</v>
      </c>
      <c r="AYO64" s="44">
        <f t="shared" si="152"/>
        <v>0</v>
      </c>
      <c r="AYP64" s="44">
        <f t="shared" si="152"/>
        <v>0</v>
      </c>
      <c r="AYQ64" s="44">
        <f t="shared" si="152"/>
        <v>0</v>
      </c>
      <c r="AYR64" s="44">
        <f t="shared" si="152"/>
        <v>0</v>
      </c>
      <c r="AYS64" s="44">
        <f t="shared" si="152"/>
        <v>0</v>
      </c>
      <c r="AYT64" s="44">
        <f t="shared" si="152"/>
        <v>0</v>
      </c>
      <c r="AYU64" s="44">
        <f t="shared" si="152"/>
        <v>0</v>
      </c>
      <c r="AYV64" s="44">
        <f t="shared" si="152"/>
        <v>0</v>
      </c>
      <c r="AYW64" s="44">
        <f t="shared" si="152"/>
        <v>0</v>
      </c>
      <c r="AYX64" s="44">
        <f t="shared" si="152"/>
        <v>0</v>
      </c>
      <c r="AYY64" s="44">
        <f t="shared" si="152"/>
        <v>0</v>
      </c>
      <c r="AYZ64" s="44">
        <f t="shared" si="152"/>
        <v>0</v>
      </c>
      <c r="AZA64" s="44">
        <f t="shared" si="152"/>
        <v>0</v>
      </c>
      <c r="AZB64" s="44">
        <f t="shared" si="152"/>
        <v>0</v>
      </c>
      <c r="AZC64" s="44">
        <f t="shared" si="152"/>
        <v>0</v>
      </c>
      <c r="AZD64" s="44">
        <f t="shared" si="152"/>
        <v>0</v>
      </c>
      <c r="AZE64" s="44">
        <f t="shared" si="152"/>
        <v>0</v>
      </c>
      <c r="AZF64" s="44">
        <f t="shared" si="152"/>
        <v>0</v>
      </c>
      <c r="AZG64" s="44">
        <f t="shared" si="152"/>
        <v>0</v>
      </c>
      <c r="AZH64" s="44">
        <f t="shared" si="152"/>
        <v>0</v>
      </c>
      <c r="AZI64" s="44">
        <f t="shared" si="152"/>
        <v>0</v>
      </c>
      <c r="AZJ64" s="44">
        <f t="shared" si="152"/>
        <v>0</v>
      </c>
      <c r="AZK64" s="44">
        <f t="shared" si="152"/>
        <v>0</v>
      </c>
      <c r="AZL64" s="44">
        <f t="shared" si="152"/>
        <v>0</v>
      </c>
      <c r="AZM64" s="44">
        <f t="shared" si="152"/>
        <v>0</v>
      </c>
      <c r="AZN64" s="44">
        <f t="shared" ref="AZN64:BBY64" si="153">SUM(AZN56:AZN57)</f>
        <v>0</v>
      </c>
      <c r="AZO64" s="44">
        <f t="shared" si="153"/>
        <v>0</v>
      </c>
      <c r="AZP64" s="44">
        <f t="shared" si="153"/>
        <v>0</v>
      </c>
      <c r="AZQ64" s="44">
        <f t="shared" si="153"/>
        <v>0</v>
      </c>
      <c r="AZR64" s="44">
        <f t="shared" si="153"/>
        <v>0</v>
      </c>
      <c r="AZS64" s="44">
        <f t="shared" si="153"/>
        <v>0</v>
      </c>
      <c r="AZT64" s="44">
        <f t="shared" si="153"/>
        <v>0</v>
      </c>
      <c r="AZU64" s="44">
        <f t="shared" si="153"/>
        <v>0</v>
      </c>
      <c r="AZV64" s="44">
        <f t="shared" si="153"/>
        <v>0</v>
      </c>
      <c r="AZW64" s="44">
        <f t="shared" si="153"/>
        <v>0</v>
      </c>
      <c r="AZX64" s="44">
        <f t="shared" si="153"/>
        <v>0</v>
      </c>
      <c r="AZY64" s="44">
        <f t="shared" si="153"/>
        <v>0</v>
      </c>
      <c r="AZZ64" s="44">
        <f t="shared" si="153"/>
        <v>0</v>
      </c>
      <c r="BAA64" s="44">
        <f t="shared" si="153"/>
        <v>0</v>
      </c>
      <c r="BAB64" s="44">
        <f t="shared" si="153"/>
        <v>0</v>
      </c>
      <c r="BAC64" s="44">
        <f t="shared" si="153"/>
        <v>0</v>
      </c>
      <c r="BAD64" s="44">
        <f t="shared" si="153"/>
        <v>0</v>
      </c>
      <c r="BAE64" s="44">
        <f t="shared" si="153"/>
        <v>0</v>
      </c>
      <c r="BAF64" s="44">
        <f t="shared" si="153"/>
        <v>0</v>
      </c>
      <c r="BAG64" s="44">
        <f t="shared" si="153"/>
        <v>0</v>
      </c>
      <c r="BAH64" s="44">
        <f t="shared" si="153"/>
        <v>0</v>
      </c>
      <c r="BAI64" s="44">
        <f t="shared" si="153"/>
        <v>0</v>
      </c>
      <c r="BAJ64" s="44">
        <f t="shared" si="153"/>
        <v>0</v>
      </c>
      <c r="BAK64" s="44">
        <f t="shared" si="153"/>
        <v>0</v>
      </c>
      <c r="BAL64" s="44">
        <f t="shared" si="153"/>
        <v>0</v>
      </c>
      <c r="BAM64" s="44">
        <f t="shared" si="153"/>
        <v>0</v>
      </c>
      <c r="BAN64" s="44">
        <f t="shared" si="153"/>
        <v>0</v>
      </c>
      <c r="BAO64" s="44">
        <f t="shared" si="153"/>
        <v>0</v>
      </c>
      <c r="BAP64" s="44">
        <f t="shared" si="153"/>
        <v>0</v>
      </c>
      <c r="BAQ64" s="44">
        <f t="shared" si="153"/>
        <v>0</v>
      </c>
      <c r="BAR64" s="44">
        <f t="shared" si="153"/>
        <v>0</v>
      </c>
      <c r="BAS64" s="44">
        <f t="shared" si="153"/>
        <v>0</v>
      </c>
      <c r="BAT64" s="44">
        <f t="shared" si="153"/>
        <v>0</v>
      </c>
      <c r="BAU64" s="44">
        <f t="shared" si="153"/>
        <v>0</v>
      </c>
      <c r="BAV64" s="44">
        <f t="shared" si="153"/>
        <v>0</v>
      </c>
      <c r="BAW64" s="44">
        <f t="shared" si="153"/>
        <v>0</v>
      </c>
      <c r="BAX64" s="44">
        <f t="shared" si="153"/>
        <v>0</v>
      </c>
      <c r="BAY64" s="44">
        <f t="shared" si="153"/>
        <v>0</v>
      </c>
      <c r="BAZ64" s="44">
        <f t="shared" si="153"/>
        <v>0</v>
      </c>
      <c r="BBA64" s="44">
        <f t="shared" si="153"/>
        <v>0</v>
      </c>
      <c r="BBB64" s="44">
        <f t="shared" si="153"/>
        <v>0</v>
      </c>
      <c r="BBC64" s="44">
        <f t="shared" si="153"/>
        <v>0</v>
      </c>
      <c r="BBD64" s="44">
        <f t="shared" si="153"/>
        <v>0</v>
      </c>
      <c r="BBE64" s="44">
        <f t="shared" si="153"/>
        <v>0</v>
      </c>
      <c r="BBF64" s="44">
        <f t="shared" si="153"/>
        <v>0</v>
      </c>
      <c r="BBG64" s="44">
        <f t="shared" si="153"/>
        <v>0</v>
      </c>
      <c r="BBH64" s="44">
        <f t="shared" si="153"/>
        <v>0</v>
      </c>
      <c r="BBI64" s="44">
        <f t="shared" si="153"/>
        <v>0</v>
      </c>
      <c r="BBJ64" s="44">
        <f t="shared" si="153"/>
        <v>0</v>
      </c>
      <c r="BBK64" s="44">
        <f t="shared" si="153"/>
        <v>0</v>
      </c>
      <c r="BBL64" s="44">
        <f t="shared" si="153"/>
        <v>0</v>
      </c>
      <c r="BBM64" s="44">
        <f t="shared" si="153"/>
        <v>0</v>
      </c>
      <c r="BBN64" s="44">
        <f t="shared" si="153"/>
        <v>0</v>
      </c>
      <c r="BBO64" s="44">
        <f t="shared" si="153"/>
        <v>0</v>
      </c>
      <c r="BBP64" s="44">
        <f t="shared" si="153"/>
        <v>0</v>
      </c>
      <c r="BBQ64" s="44">
        <f t="shared" si="153"/>
        <v>0</v>
      </c>
      <c r="BBR64" s="44">
        <f t="shared" si="153"/>
        <v>0</v>
      </c>
      <c r="BBS64" s="44">
        <f t="shared" si="153"/>
        <v>0</v>
      </c>
      <c r="BBT64" s="44">
        <f t="shared" si="153"/>
        <v>0</v>
      </c>
      <c r="BBU64" s="44">
        <f t="shared" si="153"/>
        <v>0</v>
      </c>
      <c r="BBV64" s="44">
        <f t="shared" si="153"/>
        <v>0</v>
      </c>
      <c r="BBW64" s="44">
        <f t="shared" si="153"/>
        <v>0</v>
      </c>
      <c r="BBX64" s="44">
        <f t="shared" si="153"/>
        <v>0</v>
      </c>
      <c r="BBY64" s="44">
        <f t="shared" si="153"/>
        <v>0</v>
      </c>
      <c r="BBZ64" s="44">
        <f t="shared" ref="BBZ64:BEK64" si="154">SUM(BBZ56:BBZ57)</f>
        <v>0</v>
      </c>
      <c r="BCA64" s="44">
        <f t="shared" si="154"/>
        <v>0</v>
      </c>
      <c r="BCB64" s="44">
        <f t="shared" si="154"/>
        <v>0</v>
      </c>
      <c r="BCC64" s="44">
        <f t="shared" si="154"/>
        <v>0</v>
      </c>
      <c r="BCD64" s="44">
        <f t="shared" si="154"/>
        <v>0</v>
      </c>
      <c r="BCE64" s="44">
        <f t="shared" si="154"/>
        <v>0</v>
      </c>
      <c r="BCF64" s="44">
        <f t="shared" si="154"/>
        <v>0</v>
      </c>
      <c r="BCG64" s="44">
        <f t="shared" si="154"/>
        <v>0</v>
      </c>
      <c r="BCH64" s="44">
        <f t="shared" si="154"/>
        <v>0</v>
      </c>
      <c r="BCI64" s="44">
        <f t="shared" si="154"/>
        <v>0</v>
      </c>
      <c r="BCJ64" s="44">
        <f t="shared" si="154"/>
        <v>0</v>
      </c>
      <c r="BCK64" s="44">
        <f t="shared" si="154"/>
        <v>0</v>
      </c>
      <c r="BCL64" s="44">
        <f t="shared" si="154"/>
        <v>0</v>
      </c>
      <c r="BCM64" s="44">
        <f t="shared" si="154"/>
        <v>0</v>
      </c>
      <c r="BCN64" s="44">
        <f t="shared" si="154"/>
        <v>0</v>
      </c>
      <c r="BCO64" s="44">
        <f t="shared" si="154"/>
        <v>0</v>
      </c>
      <c r="BCP64" s="44">
        <f t="shared" si="154"/>
        <v>0</v>
      </c>
      <c r="BCQ64" s="44">
        <f t="shared" si="154"/>
        <v>0</v>
      </c>
      <c r="BCR64" s="44">
        <f t="shared" si="154"/>
        <v>0</v>
      </c>
      <c r="BCS64" s="44">
        <f t="shared" si="154"/>
        <v>0</v>
      </c>
      <c r="BCT64" s="44">
        <f t="shared" si="154"/>
        <v>0</v>
      </c>
      <c r="BCU64" s="44">
        <f t="shared" si="154"/>
        <v>0</v>
      </c>
      <c r="BCV64" s="44">
        <f t="shared" si="154"/>
        <v>0</v>
      </c>
      <c r="BCW64" s="44">
        <f t="shared" si="154"/>
        <v>0</v>
      </c>
      <c r="BCX64" s="44">
        <f t="shared" si="154"/>
        <v>0</v>
      </c>
      <c r="BCY64" s="44">
        <f t="shared" si="154"/>
        <v>0</v>
      </c>
      <c r="BCZ64" s="44">
        <f t="shared" si="154"/>
        <v>0</v>
      </c>
      <c r="BDA64" s="44">
        <f t="shared" si="154"/>
        <v>0</v>
      </c>
      <c r="BDB64" s="44">
        <f t="shared" si="154"/>
        <v>0</v>
      </c>
      <c r="BDC64" s="44">
        <f t="shared" si="154"/>
        <v>0</v>
      </c>
      <c r="BDD64" s="44">
        <f t="shared" si="154"/>
        <v>0</v>
      </c>
      <c r="BDE64" s="44">
        <f t="shared" si="154"/>
        <v>0</v>
      </c>
      <c r="BDF64" s="44">
        <f t="shared" si="154"/>
        <v>0</v>
      </c>
      <c r="BDG64" s="44">
        <f t="shared" si="154"/>
        <v>0</v>
      </c>
      <c r="BDH64" s="44">
        <f t="shared" si="154"/>
        <v>0</v>
      </c>
      <c r="BDI64" s="44">
        <f t="shared" si="154"/>
        <v>0</v>
      </c>
      <c r="BDJ64" s="44">
        <f t="shared" si="154"/>
        <v>0</v>
      </c>
      <c r="BDK64" s="44">
        <f t="shared" si="154"/>
        <v>0</v>
      </c>
      <c r="BDL64" s="44">
        <f t="shared" si="154"/>
        <v>0</v>
      </c>
      <c r="BDM64" s="44">
        <f t="shared" si="154"/>
        <v>0</v>
      </c>
      <c r="BDN64" s="44">
        <f t="shared" si="154"/>
        <v>0</v>
      </c>
      <c r="BDO64" s="44">
        <f t="shared" si="154"/>
        <v>0</v>
      </c>
      <c r="BDP64" s="44">
        <f t="shared" si="154"/>
        <v>0</v>
      </c>
      <c r="BDQ64" s="44">
        <f t="shared" si="154"/>
        <v>0</v>
      </c>
      <c r="BDR64" s="44">
        <f t="shared" si="154"/>
        <v>0</v>
      </c>
      <c r="BDS64" s="44">
        <f t="shared" si="154"/>
        <v>0</v>
      </c>
      <c r="BDT64" s="44">
        <f t="shared" si="154"/>
        <v>0</v>
      </c>
      <c r="BDU64" s="44">
        <f t="shared" si="154"/>
        <v>0</v>
      </c>
      <c r="BDV64" s="44">
        <f t="shared" si="154"/>
        <v>0</v>
      </c>
      <c r="BDW64" s="44">
        <f t="shared" si="154"/>
        <v>0</v>
      </c>
      <c r="BDX64" s="44">
        <f t="shared" si="154"/>
        <v>0</v>
      </c>
      <c r="BDY64" s="44">
        <f t="shared" si="154"/>
        <v>0</v>
      </c>
      <c r="BDZ64" s="44">
        <f t="shared" si="154"/>
        <v>0</v>
      </c>
      <c r="BEA64" s="44">
        <f t="shared" si="154"/>
        <v>0</v>
      </c>
      <c r="BEB64" s="44">
        <f t="shared" si="154"/>
        <v>0</v>
      </c>
      <c r="BEC64" s="44">
        <f t="shared" si="154"/>
        <v>0</v>
      </c>
      <c r="BED64" s="44">
        <f t="shared" si="154"/>
        <v>0</v>
      </c>
      <c r="BEE64" s="44">
        <f t="shared" si="154"/>
        <v>0</v>
      </c>
      <c r="BEF64" s="44">
        <f t="shared" si="154"/>
        <v>0</v>
      </c>
      <c r="BEG64" s="44">
        <f t="shared" si="154"/>
        <v>0</v>
      </c>
      <c r="BEH64" s="44">
        <f t="shared" si="154"/>
        <v>0</v>
      </c>
      <c r="BEI64" s="44">
        <f t="shared" si="154"/>
        <v>0</v>
      </c>
      <c r="BEJ64" s="44">
        <f t="shared" si="154"/>
        <v>0</v>
      </c>
      <c r="BEK64" s="44">
        <f t="shared" si="154"/>
        <v>0</v>
      </c>
      <c r="BEL64" s="44">
        <f t="shared" ref="BEL64:BGW64" si="155">SUM(BEL56:BEL57)</f>
        <v>0</v>
      </c>
      <c r="BEM64" s="44">
        <f t="shared" si="155"/>
        <v>0</v>
      </c>
      <c r="BEN64" s="44">
        <f t="shared" si="155"/>
        <v>0</v>
      </c>
      <c r="BEO64" s="44">
        <f t="shared" si="155"/>
        <v>0</v>
      </c>
      <c r="BEP64" s="44">
        <f t="shared" si="155"/>
        <v>0</v>
      </c>
      <c r="BEQ64" s="44">
        <f t="shared" si="155"/>
        <v>0</v>
      </c>
      <c r="BER64" s="44">
        <f t="shared" si="155"/>
        <v>0</v>
      </c>
      <c r="BES64" s="44">
        <f t="shared" si="155"/>
        <v>0</v>
      </c>
      <c r="BET64" s="44">
        <f t="shared" si="155"/>
        <v>0</v>
      </c>
      <c r="BEU64" s="44">
        <f t="shared" si="155"/>
        <v>0</v>
      </c>
      <c r="BEV64" s="44">
        <f t="shared" si="155"/>
        <v>0</v>
      </c>
      <c r="BEW64" s="44">
        <f t="shared" si="155"/>
        <v>0</v>
      </c>
      <c r="BEX64" s="44">
        <f t="shared" si="155"/>
        <v>0</v>
      </c>
      <c r="BEY64" s="44">
        <f t="shared" si="155"/>
        <v>0</v>
      </c>
      <c r="BEZ64" s="44">
        <f t="shared" si="155"/>
        <v>0</v>
      </c>
      <c r="BFA64" s="44">
        <f t="shared" si="155"/>
        <v>0</v>
      </c>
      <c r="BFB64" s="44">
        <f t="shared" si="155"/>
        <v>0</v>
      </c>
      <c r="BFC64" s="44">
        <f t="shared" si="155"/>
        <v>0</v>
      </c>
      <c r="BFD64" s="44">
        <f t="shared" si="155"/>
        <v>0</v>
      </c>
      <c r="BFE64" s="44">
        <f t="shared" si="155"/>
        <v>0</v>
      </c>
      <c r="BFF64" s="44">
        <f t="shared" si="155"/>
        <v>0</v>
      </c>
      <c r="BFG64" s="44">
        <f t="shared" si="155"/>
        <v>0</v>
      </c>
      <c r="BFH64" s="44">
        <f t="shared" si="155"/>
        <v>0</v>
      </c>
      <c r="BFI64" s="44">
        <f t="shared" si="155"/>
        <v>0</v>
      </c>
      <c r="BFJ64" s="44">
        <f t="shared" si="155"/>
        <v>0</v>
      </c>
      <c r="BFK64" s="44">
        <f t="shared" si="155"/>
        <v>0</v>
      </c>
      <c r="BFL64" s="44">
        <f t="shared" si="155"/>
        <v>0</v>
      </c>
      <c r="BFM64" s="44">
        <f t="shared" si="155"/>
        <v>0</v>
      </c>
      <c r="BFN64" s="44">
        <f t="shared" si="155"/>
        <v>0</v>
      </c>
      <c r="BFO64" s="44">
        <f t="shared" si="155"/>
        <v>0</v>
      </c>
      <c r="BFP64" s="44">
        <f t="shared" si="155"/>
        <v>0</v>
      </c>
      <c r="BFQ64" s="44">
        <f t="shared" si="155"/>
        <v>0</v>
      </c>
      <c r="BFR64" s="44">
        <f t="shared" si="155"/>
        <v>0</v>
      </c>
      <c r="BFS64" s="44">
        <f t="shared" si="155"/>
        <v>0</v>
      </c>
      <c r="BFT64" s="44">
        <f t="shared" si="155"/>
        <v>0</v>
      </c>
      <c r="BFU64" s="44">
        <f t="shared" si="155"/>
        <v>0</v>
      </c>
      <c r="BFV64" s="44">
        <f t="shared" si="155"/>
        <v>0</v>
      </c>
      <c r="BFW64" s="44">
        <f t="shared" si="155"/>
        <v>0</v>
      </c>
      <c r="BFX64" s="44">
        <f t="shared" si="155"/>
        <v>0</v>
      </c>
      <c r="BFY64" s="44">
        <f t="shared" si="155"/>
        <v>0</v>
      </c>
      <c r="BFZ64" s="44">
        <f t="shared" si="155"/>
        <v>0</v>
      </c>
      <c r="BGA64" s="44">
        <f t="shared" si="155"/>
        <v>0</v>
      </c>
      <c r="BGB64" s="44">
        <f t="shared" si="155"/>
        <v>0</v>
      </c>
      <c r="BGC64" s="44">
        <f t="shared" si="155"/>
        <v>0</v>
      </c>
      <c r="BGD64" s="44">
        <f t="shared" si="155"/>
        <v>0</v>
      </c>
      <c r="BGE64" s="44">
        <f t="shared" si="155"/>
        <v>0</v>
      </c>
      <c r="BGF64" s="44">
        <f t="shared" si="155"/>
        <v>0</v>
      </c>
      <c r="BGG64" s="44">
        <f t="shared" si="155"/>
        <v>0</v>
      </c>
      <c r="BGH64" s="44">
        <f t="shared" si="155"/>
        <v>0</v>
      </c>
      <c r="BGI64" s="44">
        <f t="shared" si="155"/>
        <v>0</v>
      </c>
      <c r="BGJ64" s="44">
        <f t="shared" si="155"/>
        <v>0</v>
      </c>
      <c r="BGK64" s="44">
        <f t="shared" si="155"/>
        <v>0</v>
      </c>
      <c r="BGL64" s="44">
        <f t="shared" si="155"/>
        <v>0</v>
      </c>
      <c r="BGM64" s="44">
        <f t="shared" si="155"/>
        <v>0</v>
      </c>
      <c r="BGN64" s="44">
        <f t="shared" si="155"/>
        <v>0</v>
      </c>
      <c r="BGO64" s="44">
        <f t="shared" si="155"/>
        <v>0</v>
      </c>
      <c r="BGP64" s="44">
        <f t="shared" si="155"/>
        <v>0</v>
      </c>
      <c r="BGQ64" s="44">
        <f t="shared" si="155"/>
        <v>0</v>
      </c>
      <c r="BGR64" s="44">
        <f t="shared" si="155"/>
        <v>0</v>
      </c>
      <c r="BGS64" s="44">
        <f t="shared" si="155"/>
        <v>0</v>
      </c>
      <c r="BGT64" s="44">
        <f t="shared" si="155"/>
        <v>0</v>
      </c>
      <c r="BGU64" s="44">
        <f t="shared" si="155"/>
        <v>0</v>
      </c>
      <c r="BGV64" s="44">
        <f t="shared" si="155"/>
        <v>0</v>
      </c>
      <c r="BGW64" s="44">
        <f t="shared" si="155"/>
        <v>0</v>
      </c>
      <c r="BGX64" s="44">
        <f t="shared" ref="BGX64:BJI64" si="156">SUM(BGX56:BGX57)</f>
        <v>0</v>
      </c>
      <c r="BGY64" s="44">
        <f t="shared" si="156"/>
        <v>0</v>
      </c>
      <c r="BGZ64" s="44">
        <f t="shared" si="156"/>
        <v>0</v>
      </c>
      <c r="BHA64" s="44">
        <f t="shared" si="156"/>
        <v>0</v>
      </c>
      <c r="BHB64" s="44">
        <f t="shared" si="156"/>
        <v>0</v>
      </c>
      <c r="BHC64" s="44">
        <f t="shared" si="156"/>
        <v>0</v>
      </c>
      <c r="BHD64" s="44">
        <f t="shared" si="156"/>
        <v>0</v>
      </c>
      <c r="BHE64" s="44">
        <f t="shared" si="156"/>
        <v>0</v>
      </c>
      <c r="BHF64" s="44">
        <f t="shared" si="156"/>
        <v>0</v>
      </c>
      <c r="BHG64" s="44">
        <f t="shared" si="156"/>
        <v>0</v>
      </c>
      <c r="BHH64" s="44">
        <f t="shared" si="156"/>
        <v>0</v>
      </c>
      <c r="BHI64" s="44">
        <f t="shared" si="156"/>
        <v>0</v>
      </c>
      <c r="BHJ64" s="44">
        <f t="shared" si="156"/>
        <v>0</v>
      </c>
      <c r="BHK64" s="44">
        <f t="shared" si="156"/>
        <v>0</v>
      </c>
      <c r="BHL64" s="44">
        <f t="shared" si="156"/>
        <v>0</v>
      </c>
      <c r="BHM64" s="44">
        <f t="shared" si="156"/>
        <v>0</v>
      </c>
      <c r="BHN64" s="44">
        <f t="shared" si="156"/>
        <v>0</v>
      </c>
      <c r="BHO64" s="44">
        <f t="shared" si="156"/>
        <v>0</v>
      </c>
      <c r="BHP64" s="44">
        <f t="shared" si="156"/>
        <v>0</v>
      </c>
      <c r="BHQ64" s="44">
        <f t="shared" si="156"/>
        <v>0</v>
      </c>
      <c r="BHR64" s="44">
        <f t="shared" si="156"/>
        <v>0</v>
      </c>
      <c r="BHS64" s="44">
        <f t="shared" si="156"/>
        <v>0</v>
      </c>
      <c r="BHT64" s="44">
        <f t="shared" si="156"/>
        <v>0</v>
      </c>
      <c r="BHU64" s="44">
        <f t="shared" si="156"/>
        <v>0</v>
      </c>
      <c r="BHV64" s="44">
        <f t="shared" si="156"/>
        <v>0</v>
      </c>
      <c r="BHW64" s="44">
        <f t="shared" si="156"/>
        <v>0</v>
      </c>
      <c r="BHX64" s="44">
        <f t="shared" si="156"/>
        <v>0</v>
      </c>
      <c r="BHY64" s="44">
        <f t="shared" si="156"/>
        <v>0</v>
      </c>
      <c r="BHZ64" s="44">
        <f t="shared" si="156"/>
        <v>0</v>
      </c>
      <c r="BIA64" s="44">
        <f t="shared" si="156"/>
        <v>0</v>
      </c>
      <c r="BIB64" s="44">
        <f t="shared" si="156"/>
        <v>0</v>
      </c>
      <c r="BIC64" s="44">
        <f t="shared" si="156"/>
        <v>0</v>
      </c>
      <c r="BID64" s="44">
        <f t="shared" si="156"/>
        <v>0</v>
      </c>
      <c r="BIE64" s="44">
        <f t="shared" si="156"/>
        <v>0</v>
      </c>
      <c r="BIF64" s="44">
        <f t="shared" si="156"/>
        <v>0</v>
      </c>
      <c r="BIG64" s="44">
        <f t="shared" si="156"/>
        <v>0</v>
      </c>
      <c r="BIH64" s="44">
        <f t="shared" si="156"/>
        <v>0</v>
      </c>
      <c r="BII64" s="44">
        <f t="shared" si="156"/>
        <v>0</v>
      </c>
      <c r="BIJ64" s="44">
        <f t="shared" si="156"/>
        <v>0</v>
      </c>
      <c r="BIK64" s="44">
        <f t="shared" si="156"/>
        <v>0</v>
      </c>
      <c r="BIL64" s="44">
        <f t="shared" si="156"/>
        <v>0</v>
      </c>
      <c r="BIM64" s="44">
        <f t="shared" si="156"/>
        <v>0</v>
      </c>
      <c r="BIN64" s="44">
        <f t="shared" si="156"/>
        <v>0</v>
      </c>
      <c r="BIO64" s="44">
        <f t="shared" si="156"/>
        <v>0</v>
      </c>
      <c r="BIP64" s="44">
        <f t="shared" si="156"/>
        <v>0</v>
      </c>
      <c r="BIQ64" s="44">
        <f t="shared" si="156"/>
        <v>0</v>
      </c>
      <c r="BIR64" s="44">
        <f t="shared" si="156"/>
        <v>0</v>
      </c>
      <c r="BIS64" s="44">
        <f t="shared" si="156"/>
        <v>0</v>
      </c>
      <c r="BIT64" s="44">
        <f t="shared" si="156"/>
        <v>0</v>
      </c>
      <c r="BIU64" s="44">
        <f t="shared" si="156"/>
        <v>0</v>
      </c>
      <c r="BIV64" s="44">
        <f t="shared" si="156"/>
        <v>0</v>
      </c>
      <c r="BIW64" s="44">
        <f t="shared" si="156"/>
        <v>0</v>
      </c>
      <c r="BIX64" s="44">
        <f t="shared" si="156"/>
        <v>0</v>
      </c>
      <c r="BIY64" s="44">
        <f t="shared" si="156"/>
        <v>0</v>
      </c>
      <c r="BIZ64" s="44">
        <f t="shared" si="156"/>
        <v>0</v>
      </c>
      <c r="BJA64" s="44">
        <f t="shared" si="156"/>
        <v>0</v>
      </c>
      <c r="BJB64" s="44">
        <f t="shared" si="156"/>
        <v>0</v>
      </c>
      <c r="BJC64" s="44">
        <f t="shared" si="156"/>
        <v>0</v>
      </c>
      <c r="BJD64" s="44">
        <f t="shared" si="156"/>
        <v>0</v>
      </c>
      <c r="BJE64" s="44">
        <f t="shared" si="156"/>
        <v>0</v>
      </c>
      <c r="BJF64" s="44">
        <f t="shared" si="156"/>
        <v>0</v>
      </c>
      <c r="BJG64" s="44">
        <f t="shared" si="156"/>
        <v>0</v>
      </c>
      <c r="BJH64" s="44">
        <f t="shared" si="156"/>
        <v>0</v>
      </c>
      <c r="BJI64" s="44">
        <f t="shared" si="156"/>
        <v>0</v>
      </c>
      <c r="BJJ64" s="44">
        <f t="shared" ref="BJJ64:BLU64" si="157">SUM(BJJ56:BJJ57)</f>
        <v>0</v>
      </c>
      <c r="BJK64" s="44">
        <f t="shared" si="157"/>
        <v>0</v>
      </c>
      <c r="BJL64" s="44">
        <f t="shared" si="157"/>
        <v>0</v>
      </c>
      <c r="BJM64" s="44">
        <f t="shared" si="157"/>
        <v>0</v>
      </c>
      <c r="BJN64" s="44">
        <f t="shared" si="157"/>
        <v>0</v>
      </c>
      <c r="BJO64" s="44">
        <f t="shared" si="157"/>
        <v>0</v>
      </c>
      <c r="BJP64" s="44">
        <f t="shared" si="157"/>
        <v>0</v>
      </c>
      <c r="BJQ64" s="44">
        <f t="shared" si="157"/>
        <v>0</v>
      </c>
      <c r="BJR64" s="44">
        <f t="shared" si="157"/>
        <v>0</v>
      </c>
      <c r="BJS64" s="44">
        <f t="shared" si="157"/>
        <v>0</v>
      </c>
      <c r="BJT64" s="44">
        <f t="shared" si="157"/>
        <v>0</v>
      </c>
      <c r="BJU64" s="44">
        <f t="shared" si="157"/>
        <v>0</v>
      </c>
      <c r="BJV64" s="44">
        <f t="shared" si="157"/>
        <v>0</v>
      </c>
      <c r="BJW64" s="44">
        <f t="shared" si="157"/>
        <v>0</v>
      </c>
      <c r="BJX64" s="44">
        <f t="shared" si="157"/>
        <v>0</v>
      </c>
      <c r="BJY64" s="44">
        <f t="shared" si="157"/>
        <v>0</v>
      </c>
      <c r="BJZ64" s="44">
        <f t="shared" si="157"/>
        <v>0</v>
      </c>
      <c r="BKA64" s="44">
        <f t="shared" si="157"/>
        <v>0</v>
      </c>
      <c r="BKB64" s="44">
        <f t="shared" si="157"/>
        <v>0</v>
      </c>
      <c r="BKC64" s="44">
        <f t="shared" si="157"/>
        <v>0</v>
      </c>
      <c r="BKD64" s="44">
        <f t="shared" si="157"/>
        <v>0</v>
      </c>
      <c r="BKE64" s="44">
        <f t="shared" si="157"/>
        <v>0</v>
      </c>
      <c r="BKF64" s="44">
        <f t="shared" si="157"/>
        <v>0</v>
      </c>
      <c r="BKG64" s="44">
        <f t="shared" si="157"/>
        <v>0</v>
      </c>
      <c r="BKH64" s="44">
        <f t="shared" si="157"/>
        <v>0</v>
      </c>
      <c r="BKI64" s="44">
        <f t="shared" si="157"/>
        <v>0</v>
      </c>
      <c r="BKJ64" s="44">
        <f t="shared" si="157"/>
        <v>0</v>
      </c>
      <c r="BKK64" s="44">
        <f t="shared" si="157"/>
        <v>0</v>
      </c>
      <c r="BKL64" s="44">
        <f t="shared" si="157"/>
        <v>0</v>
      </c>
      <c r="BKM64" s="44">
        <f t="shared" si="157"/>
        <v>0</v>
      </c>
      <c r="BKN64" s="44">
        <f t="shared" si="157"/>
        <v>0</v>
      </c>
      <c r="BKO64" s="44">
        <f t="shared" si="157"/>
        <v>0</v>
      </c>
      <c r="BKP64" s="44">
        <f t="shared" si="157"/>
        <v>0</v>
      </c>
      <c r="BKQ64" s="44">
        <f t="shared" si="157"/>
        <v>0</v>
      </c>
      <c r="BKR64" s="44">
        <f t="shared" si="157"/>
        <v>0</v>
      </c>
      <c r="BKS64" s="44">
        <f t="shared" si="157"/>
        <v>0</v>
      </c>
      <c r="BKT64" s="44">
        <f t="shared" si="157"/>
        <v>0</v>
      </c>
      <c r="BKU64" s="44">
        <f t="shared" si="157"/>
        <v>0</v>
      </c>
      <c r="BKV64" s="44">
        <f t="shared" si="157"/>
        <v>0</v>
      </c>
      <c r="BKW64" s="44">
        <f t="shared" si="157"/>
        <v>0</v>
      </c>
      <c r="BKX64" s="44">
        <f t="shared" si="157"/>
        <v>0</v>
      </c>
      <c r="BKY64" s="44">
        <f t="shared" si="157"/>
        <v>0</v>
      </c>
      <c r="BKZ64" s="44">
        <f t="shared" si="157"/>
        <v>0</v>
      </c>
      <c r="BLA64" s="44">
        <f t="shared" si="157"/>
        <v>0</v>
      </c>
      <c r="BLB64" s="44">
        <f t="shared" si="157"/>
        <v>0</v>
      </c>
      <c r="BLC64" s="44">
        <f t="shared" si="157"/>
        <v>0</v>
      </c>
      <c r="BLD64" s="44">
        <f t="shared" si="157"/>
        <v>0</v>
      </c>
      <c r="BLE64" s="44">
        <f t="shared" si="157"/>
        <v>0</v>
      </c>
      <c r="BLF64" s="44">
        <f t="shared" si="157"/>
        <v>0</v>
      </c>
      <c r="BLG64" s="44">
        <f t="shared" si="157"/>
        <v>0</v>
      </c>
      <c r="BLH64" s="44">
        <f t="shared" si="157"/>
        <v>0</v>
      </c>
      <c r="BLI64" s="44">
        <f t="shared" si="157"/>
        <v>0</v>
      </c>
      <c r="BLJ64" s="44">
        <f t="shared" si="157"/>
        <v>0</v>
      </c>
      <c r="BLK64" s="44">
        <f t="shared" si="157"/>
        <v>0</v>
      </c>
      <c r="BLL64" s="44">
        <f t="shared" si="157"/>
        <v>0</v>
      </c>
      <c r="BLM64" s="44">
        <f t="shared" si="157"/>
        <v>0</v>
      </c>
      <c r="BLN64" s="44">
        <f t="shared" si="157"/>
        <v>0</v>
      </c>
      <c r="BLO64" s="44">
        <f t="shared" si="157"/>
        <v>0</v>
      </c>
      <c r="BLP64" s="44">
        <f t="shared" si="157"/>
        <v>0</v>
      </c>
      <c r="BLQ64" s="44">
        <f t="shared" si="157"/>
        <v>0</v>
      </c>
      <c r="BLR64" s="44">
        <f t="shared" si="157"/>
        <v>0</v>
      </c>
      <c r="BLS64" s="44">
        <f t="shared" si="157"/>
        <v>0</v>
      </c>
      <c r="BLT64" s="44">
        <f t="shared" si="157"/>
        <v>0</v>
      </c>
      <c r="BLU64" s="44">
        <f t="shared" si="157"/>
        <v>0</v>
      </c>
      <c r="BLV64" s="44">
        <f t="shared" ref="BLV64:BOG64" si="158">SUM(BLV56:BLV57)</f>
        <v>0</v>
      </c>
      <c r="BLW64" s="44">
        <f t="shared" si="158"/>
        <v>0</v>
      </c>
      <c r="BLX64" s="44">
        <f t="shared" si="158"/>
        <v>0</v>
      </c>
      <c r="BLY64" s="44">
        <f t="shared" si="158"/>
        <v>0</v>
      </c>
      <c r="BLZ64" s="44">
        <f t="shared" si="158"/>
        <v>0</v>
      </c>
      <c r="BMA64" s="44">
        <f t="shared" si="158"/>
        <v>0</v>
      </c>
      <c r="BMB64" s="44">
        <f t="shared" si="158"/>
        <v>0</v>
      </c>
      <c r="BMC64" s="44">
        <f t="shared" si="158"/>
        <v>0</v>
      </c>
      <c r="BMD64" s="44">
        <f t="shared" si="158"/>
        <v>0</v>
      </c>
      <c r="BME64" s="44">
        <f t="shared" si="158"/>
        <v>0</v>
      </c>
      <c r="BMF64" s="44">
        <f t="shared" si="158"/>
        <v>0</v>
      </c>
      <c r="BMG64" s="44">
        <f t="shared" si="158"/>
        <v>0</v>
      </c>
      <c r="BMH64" s="44">
        <f t="shared" si="158"/>
        <v>0</v>
      </c>
      <c r="BMI64" s="44">
        <f t="shared" si="158"/>
        <v>0</v>
      </c>
      <c r="BMJ64" s="44">
        <f t="shared" si="158"/>
        <v>0</v>
      </c>
      <c r="BMK64" s="44">
        <f t="shared" si="158"/>
        <v>0</v>
      </c>
      <c r="BML64" s="44">
        <f t="shared" si="158"/>
        <v>0</v>
      </c>
      <c r="BMM64" s="44">
        <f t="shared" si="158"/>
        <v>0</v>
      </c>
      <c r="BMN64" s="44">
        <f t="shared" si="158"/>
        <v>0</v>
      </c>
      <c r="BMO64" s="44">
        <f t="shared" si="158"/>
        <v>0</v>
      </c>
      <c r="BMP64" s="44">
        <f t="shared" si="158"/>
        <v>0</v>
      </c>
      <c r="BMQ64" s="44">
        <f t="shared" si="158"/>
        <v>0</v>
      </c>
      <c r="BMR64" s="44">
        <f t="shared" si="158"/>
        <v>0</v>
      </c>
      <c r="BMS64" s="44">
        <f t="shared" si="158"/>
        <v>0</v>
      </c>
      <c r="BMT64" s="44">
        <f t="shared" si="158"/>
        <v>0</v>
      </c>
      <c r="BMU64" s="44">
        <f t="shared" si="158"/>
        <v>0</v>
      </c>
      <c r="BMV64" s="44">
        <f t="shared" si="158"/>
        <v>0</v>
      </c>
      <c r="BMW64" s="44">
        <f t="shared" si="158"/>
        <v>0</v>
      </c>
      <c r="BMX64" s="44">
        <f t="shared" si="158"/>
        <v>0</v>
      </c>
      <c r="BMY64" s="44">
        <f t="shared" si="158"/>
        <v>0</v>
      </c>
      <c r="BMZ64" s="44">
        <f t="shared" si="158"/>
        <v>0</v>
      </c>
      <c r="BNA64" s="44">
        <f t="shared" si="158"/>
        <v>0</v>
      </c>
      <c r="BNB64" s="44">
        <f t="shared" si="158"/>
        <v>0</v>
      </c>
      <c r="BNC64" s="44">
        <f t="shared" si="158"/>
        <v>0</v>
      </c>
      <c r="BND64" s="44">
        <f t="shared" si="158"/>
        <v>0</v>
      </c>
      <c r="BNE64" s="44">
        <f t="shared" si="158"/>
        <v>0</v>
      </c>
      <c r="BNF64" s="44">
        <f t="shared" si="158"/>
        <v>0</v>
      </c>
      <c r="BNG64" s="44">
        <f t="shared" si="158"/>
        <v>0</v>
      </c>
      <c r="BNH64" s="44">
        <f t="shared" si="158"/>
        <v>0</v>
      </c>
      <c r="BNI64" s="44">
        <f t="shared" si="158"/>
        <v>0</v>
      </c>
      <c r="BNJ64" s="44">
        <f t="shared" si="158"/>
        <v>0</v>
      </c>
      <c r="BNK64" s="44">
        <f t="shared" si="158"/>
        <v>0</v>
      </c>
      <c r="BNL64" s="44">
        <f t="shared" si="158"/>
        <v>0</v>
      </c>
      <c r="BNM64" s="44">
        <f t="shared" si="158"/>
        <v>0</v>
      </c>
      <c r="BNN64" s="44">
        <f t="shared" si="158"/>
        <v>0</v>
      </c>
      <c r="BNO64" s="44">
        <f t="shared" si="158"/>
        <v>0</v>
      </c>
      <c r="BNP64" s="44">
        <f t="shared" si="158"/>
        <v>0</v>
      </c>
      <c r="BNQ64" s="44">
        <f t="shared" si="158"/>
        <v>0</v>
      </c>
      <c r="BNR64" s="44">
        <f t="shared" si="158"/>
        <v>0</v>
      </c>
      <c r="BNS64" s="44">
        <f t="shared" si="158"/>
        <v>0</v>
      </c>
      <c r="BNT64" s="44">
        <f t="shared" si="158"/>
        <v>0</v>
      </c>
      <c r="BNU64" s="44">
        <f t="shared" si="158"/>
        <v>0</v>
      </c>
      <c r="BNV64" s="44">
        <f t="shared" si="158"/>
        <v>0</v>
      </c>
      <c r="BNW64" s="44">
        <f t="shared" si="158"/>
        <v>0</v>
      </c>
      <c r="BNX64" s="44">
        <f t="shared" si="158"/>
        <v>0</v>
      </c>
      <c r="BNY64" s="44">
        <f t="shared" si="158"/>
        <v>0</v>
      </c>
      <c r="BNZ64" s="44">
        <f t="shared" si="158"/>
        <v>0</v>
      </c>
      <c r="BOA64" s="44">
        <f t="shared" si="158"/>
        <v>0</v>
      </c>
      <c r="BOB64" s="44">
        <f t="shared" si="158"/>
        <v>0</v>
      </c>
      <c r="BOC64" s="44">
        <f t="shared" si="158"/>
        <v>0</v>
      </c>
      <c r="BOD64" s="44">
        <f t="shared" si="158"/>
        <v>0</v>
      </c>
      <c r="BOE64" s="44">
        <f t="shared" si="158"/>
        <v>0</v>
      </c>
      <c r="BOF64" s="44">
        <f t="shared" si="158"/>
        <v>0</v>
      </c>
      <c r="BOG64" s="44">
        <f t="shared" si="158"/>
        <v>0</v>
      </c>
      <c r="BOH64" s="44">
        <f t="shared" ref="BOH64:BQS64" si="159">SUM(BOH56:BOH57)</f>
        <v>0</v>
      </c>
      <c r="BOI64" s="44">
        <f t="shared" si="159"/>
        <v>0</v>
      </c>
      <c r="BOJ64" s="44">
        <f t="shared" si="159"/>
        <v>0</v>
      </c>
      <c r="BOK64" s="44">
        <f t="shared" si="159"/>
        <v>0</v>
      </c>
      <c r="BOL64" s="44">
        <f t="shared" si="159"/>
        <v>0</v>
      </c>
      <c r="BOM64" s="44">
        <f t="shared" si="159"/>
        <v>0</v>
      </c>
      <c r="BON64" s="44">
        <f t="shared" si="159"/>
        <v>0</v>
      </c>
      <c r="BOO64" s="44">
        <f t="shared" si="159"/>
        <v>0</v>
      </c>
      <c r="BOP64" s="44">
        <f t="shared" si="159"/>
        <v>0</v>
      </c>
      <c r="BOQ64" s="44">
        <f t="shared" si="159"/>
        <v>0</v>
      </c>
      <c r="BOR64" s="44">
        <f t="shared" si="159"/>
        <v>0</v>
      </c>
      <c r="BOS64" s="44">
        <f t="shared" si="159"/>
        <v>0</v>
      </c>
      <c r="BOT64" s="44">
        <f t="shared" si="159"/>
        <v>0</v>
      </c>
      <c r="BOU64" s="44">
        <f t="shared" si="159"/>
        <v>0</v>
      </c>
      <c r="BOV64" s="44">
        <f t="shared" si="159"/>
        <v>0</v>
      </c>
      <c r="BOW64" s="44">
        <f t="shared" si="159"/>
        <v>0</v>
      </c>
      <c r="BOX64" s="44">
        <f t="shared" si="159"/>
        <v>0</v>
      </c>
      <c r="BOY64" s="44">
        <f t="shared" si="159"/>
        <v>0</v>
      </c>
      <c r="BOZ64" s="44">
        <f t="shared" si="159"/>
        <v>0</v>
      </c>
      <c r="BPA64" s="44">
        <f t="shared" si="159"/>
        <v>0</v>
      </c>
      <c r="BPB64" s="44">
        <f t="shared" si="159"/>
        <v>0</v>
      </c>
      <c r="BPC64" s="44">
        <f t="shared" si="159"/>
        <v>0</v>
      </c>
      <c r="BPD64" s="44">
        <f t="shared" si="159"/>
        <v>0</v>
      </c>
      <c r="BPE64" s="44">
        <f t="shared" si="159"/>
        <v>0</v>
      </c>
      <c r="BPF64" s="44">
        <f t="shared" si="159"/>
        <v>0</v>
      </c>
      <c r="BPG64" s="44">
        <f t="shared" si="159"/>
        <v>0</v>
      </c>
      <c r="BPH64" s="44">
        <f t="shared" si="159"/>
        <v>0</v>
      </c>
      <c r="BPI64" s="44">
        <f t="shared" si="159"/>
        <v>0</v>
      </c>
      <c r="BPJ64" s="44">
        <f t="shared" si="159"/>
        <v>0</v>
      </c>
      <c r="BPK64" s="44">
        <f t="shared" si="159"/>
        <v>0</v>
      </c>
      <c r="BPL64" s="44">
        <f t="shared" si="159"/>
        <v>0</v>
      </c>
      <c r="BPM64" s="44">
        <f t="shared" si="159"/>
        <v>0</v>
      </c>
      <c r="BPN64" s="44">
        <f t="shared" si="159"/>
        <v>0</v>
      </c>
      <c r="BPO64" s="44">
        <f t="shared" si="159"/>
        <v>0</v>
      </c>
      <c r="BPP64" s="44">
        <f t="shared" si="159"/>
        <v>0</v>
      </c>
      <c r="BPQ64" s="44">
        <f t="shared" si="159"/>
        <v>0</v>
      </c>
      <c r="BPR64" s="44">
        <f t="shared" si="159"/>
        <v>0</v>
      </c>
      <c r="BPS64" s="44">
        <f t="shared" si="159"/>
        <v>0</v>
      </c>
      <c r="BPT64" s="44">
        <f t="shared" si="159"/>
        <v>0</v>
      </c>
      <c r="BPU64" s="44">
        <f t="shared" si="159"/>
        <v>0</v>
      </c>
      <c r="BPV64" s="44">
        <f t="shared" si="159"/>
        <v>0</v>
      </c>
      <c r="BPW64" s="44">
        <f t="shared" si="159"/>
        <v>0</v>
      </c>
      <c r="BPX64" s="44">
        <f t="shared" si="159"/>
        <v>0</v>
      </c>
      <c r="BPY64" s="44">
        <f t="shared" si="159"/>
        <v>0</v>
      </c>
      <c r="BPZ64" s="44">
        <f t="shared" si="159"/>
        <v>0</v>
      </c>
      <c r="BQA64" s="44">
        <f t="shared" si="159"/>
        <v>0</v>
      </c>
      <c r="BQB64" s="44">
        <f t="shared" si="159"/>
        <v>0</v>
      </c>
      <c r="BQC64" s="44">
        <f t="shared" si="159"/>
        <v>0</v>
      </c>
      <c r="BQD64" s="44">
        <f t="shared" si="159"/>
        <v>0</v>
      </c>
      <c r="BQE64" s="44">
        <f t="shared" si="159"/>
        <v>0</v>
      </c>
      <c r="BQF64" s="44">
        <f t="shared" si="159"/>
        <v>0</v>
      </c>
      <c r="BQG64" s="44">
        <f t="shared" si="159"/>
        <v>0</v>
      </c>
      <c r="BQH64" s="44">
        <f t="shared" si="159"/>
        <v>0</v>
      </c>
      <c r="BQI64" s="44">
        <f t="shared" si="159"/>
        <v>0</v>
      </c>
      <c r="BQJ64" s="44">
        <f t="shared" si="159"/>
        <v>0</v>
      </c>
      <c r="BQK64" s="44">
        <f t="shared" si="159"/>
        <v>0</v>
      </c>
      <c r="BQL64" s="44">
        <f t="shared" si="159"/>
        <v>0</v>
      </c>
      <c r="BQM64" s="44">
        <f t="shared" si="159"/>
        <v>0</v>
      </c>
      <c r="BQN64" s="44">
        <f t="shared" si="159"/>
        <v>0</v>
      </c>
      <c r="BQO64" s="44">
        <f t="shared" si="159"/>
        <v>0</v>
      </c>
      <c r="BQP64" s="44">
        <f t="shared" si="159"/>
        <v>0</v>
      </c>
      <c r="BQQ64" s="44">
        <f t="shared" si="159"/>
        <v>0</v>
      </c>
      <c r="BQR64" s="44">
        <f t="shared" si="159"/>
        <v>0</v>
      </c>
      <c r="BQS64" s="44">
        <f t="shared" si="159"/>
        <v>0</v>
      </c>
      <c r="BQT64" s="44">
        <f t="shared" ref="BQT64:BTE64" si="160">SUM(BQT56:BQT57)</f>
        <v>0</v>
      </c>
      <c r="BQU64" s="44">
        <f t="shared" si="160"/>
        <v>0</v>
      </c>
      <c r="BQV64" s="44">
        <f t="shared" si="160"/>
        <v>0</v>
      </c>
      <c r="BQW64" s="44">
        <f t="shared" si="160"/>
        <v>0</v>
      </c>
      <c r="BQX64" s="44">
        <f t="shared" si="160"/>
        <v>0</v>
      </c>
      <c r="BQY64" s="44">
        <f t="shared" si="160"/>
        <v>0</v>
      </c>
      <c r="BQZ64" s="44">
        <f t="shared" si="160"/>
        <v>0</v>
      </c>
      <c r="BRA64" s="44">
        <f t="shared" si="160"/>
        <v>0</v>
      </c>
      <c r="BRB64" s="44">
        <f t="shared" si="160"/>
        <v>0</v>
      </c>
      <c r="BRC64" s="44">
        <f t="shared" si="160"/>
        <v>0</v>
      </c>
      <c r="BRD64" s="44">
        <f t="shared" si="160"/>
        <v>0</v>
      </c>
      <c r="BRE64" s="44">
        <f t="shared" si="160"/>
        <v>0</v>
      </c>
      <c r="BRF64" s="44">
        <f t="shared" si="160"/>
        <v>0</v>
      </c>
      <c r="BRG64" s="44">
        <f t="shared" si="160"/>
        <v>0</v>
      </c>
      <c r="BRH64" s="44">
        <f t="shared" si="160"/>
        <v>0</v>
      </c>
      <c r="BRI64" s="44">
        <f t="shared" si="160"/>
        <v>0</v>
      </c>
      <c r="BRJ64" s="44">
        <f t="shared" si="160"/>
        <v>0</v>
      </c>
      <c r="BRK64" s="44">
        <f t="shared" si="160"/>
        <v>0</v>
      </c>
      <c r="BRL64" s="44">
        <f t="shared" si="160"/>
        <v>0</v>
      </c>
      <c r="BRM64" s="44">
        <f t="shared" si="160"/>
        <v>0</v>
      </c>
      <c r="BRN64" s="44">
        <f t="shared" si="160"/>
        <v>0</v>
      </c>
      <c r="BRO64" s="44">
        <f t="shared" si="160"/>
        <v>0</v>
      </c>
      <c r="BRP64" s="44">
        <f t="shared" si="160"/>
        <v>0</v>
      </c>
      <c r="BRQ64" s="44">
        <f t="shared" si="160"/>
        <v>0</v>
      </c>
      <c r="BRR64" s="44">
        <f t="shared" si="160"/>
        <v>0</v>
      </c>
      <c r="BRS64" s="44">
        <f t="shared" si="160"/>
        <v>0</v>
      </c>
      <c r="BRT64" s="44">
        <f t="shared" si="160"/>
        <v>0</v>
      </c>
      <c r="BRU64" s="44">
        <f t="shared" si="160"/>
        <v>0</v>
      </c>
      <c r="BRV64" s="44">
        <f t="shared" si="160"/>
        <v>0</v>
      </c>
      <c r="BRW64" s="44">
        <f t="shared" si="160"/>
        <v>0</v>
      </c>
      <c r="BRX64" s="44">
        <f t="shared" si="160"/>
        <v>0</v>
      </c>
      <c r="BRY64" s="44">
        <f t="shared" si="160"/>
        <v>0</v>
      </c>
      <c r="BRZ64" s="44">
        <f t="shared" si="160"/>
        <v>0</v>
      </c>
      <c r="BSA64" s="44">
        <f t="shared" si="160"/>
        <v>0</v>
      </c>
      <c r="BSB64" s="44">
        <f t="shared" si="160"/>
        <v>0</v>
      </c>
      <c r="BSC64" s="44">
        <f t="shared" si="160"/>
        <v>0</v>
      </c>
      <c r="BSD64" s="44">
        <f t="shared" si="160"/>
        <v>0</v>
      </c>
      <c r="BSE64" s="44">
        <f t="shared" si="160"/>
        <v>0</v>
      </c>
      <c r="BSF64" s="44">
        <f t="shared" si="160"/>
        <v>0</v>
      </c>
      <c r="BSG64" s="44">
        <f t="shared" si="160"/>
        <v>0</v>
      </c>
      <c r="BSH64" s="44">
        <f t="shared" si="160"/>
        <v>0</v>
      </c>
      <c r="BSI64" s="44">
        <f t="shared" si="160"/>
        <v>0</v>
      </c>
      <c r="BSJ64" s="44">
        <f t="shared" si="160"/>
        <v>0</v>
      </c>
      <c r="BSK64" s="44">
        <f t="shared" si="160"/>
        <v>0</v>
      </c>
      <c r="BSL64" s="44">
        <f t="shared" si="160"/>
        <v>0</v>
      </c>
      <c r="BSM64" s="44">
        <f t="shared" si="160"/>
        <v>0</v>
      </c>
      <c r="BSN64" s="44">
        <f t="shared" si="160"/>
        <v>0</v>
      </c>
      <c r="BSO64" s="44">
        <f t="shared" si="160"/>
        <v>0</v>
      </c>
      <c r="BSP64" s="44">
        <f t="shared" si="160"/>
        <v>0</v>
      </c>
      <c r="BSQ64" s="44">
        <f t="shared" si="160"/>
        <v>0</v>
      </c>
      <c r="BSR64" s="44">
        <f t="shared" si="160"/>
        <v>0</v>
      </c>
      <c r="BSS64" s="44">
        <f t="shared" si="160"/>
        <v>0</v>
      </c>
      <c r="BST64" s="44">
        <f t="shared" si="160"/>
        <v>0</v>
      </c>
      <c r="BSU64" s="44">
        <f t="shared" si="160"/>
        <v>0</v>
      </c>
      <c r="BSV64" s="44">
        <f t="shared" si="160"/>
        <v>0</v>
      </c>
      <c r="BSW64" s="44">
        <f t="shared" si="160"/>
        <v>0</v>
      </c>
      <c r="BSX64" s="44">
        <f t="shared" si="160"/>
        <v>0</v>
      </c>
      <c r="BSY64" s="44">
        <f t="shared" si="160"/>
        <v>0</v>
      </c>
      <c r="BSZ64" s="44">
        <f t="shared" si="160"/>
        <v>0</v>
      </c>
      <c r="BTA64" s="44">
        <f t="shared" si="160"/>
        <v>0</v>
      </c>
      <c r="BTB64" s="44">
        <f t="shared" si="160"/>
        <v>0</v>
      </c>
      <c r="BTC64" s="44">
        <f t="shared" si="160"/>
        <v>0</v>
      </c>
      <c r="BTD64" s="44">
        <f t="shared" si="160"/>
        <v>0</v>
      </c>
      <c r="BTE64" s="44">
        <f t="shared" si="160"/>
        <v>0</v>
      </c>
      <c r="BTF64" s="44">
        <f t="shared" ref="BTF64:BVQ64" si="161">SUM(BTF56:BTF57)</f>
        <v>0</v>
      </c>
      <c r="BTG64" s="44">
        <f t="shared" si="161"/>
        <v>0</v>
      </c>
      <c r="BTH64" s="44">
        <f t="shared" si="161"/>
        <v>0</v>
      </c>
      <c r="BTI64" s="44">
        <f t="shared" si="161"/>
        <v>0</v>
      </c>
      <c r="BTJ64" s="44">
        <f t="shared" si="161"/>
        <v>0</v>
      </c>
      <c r="BTK64" s="44">
        <f t="shared" si="161"/>
        <v>0</v>
      </c>
      <c r="BTL64" s="44">
        <f t="shared" si="161"/>
        <v>0</v>
      </c>
      <c r="BTM64" s="44">
        <f t="shared" si="161"/>
        <v>0</v>
      </c>
      <c r="BTN64" s="44">
        <f t="shared" si="161"/>
        <v>0</v>
      </c>
      <c r="BTO64" s="44">
        <f t="shared" si="161"/>
        <v>0</v>
      </c>
      <c r="BTP64" s="44">
        <f t="shared" si="161"/>
        <v>0</v>
      </c>
      <c r="BTQ64" s="44">
        <f t="shared" si="161"/>
        <v>0</v>
      </c>
      <c r="BTR64" s="44">
        <f t="shared" si="161"/>
        <v>0</v>
      </c>
      <c r="BTS64" s="44">
        <f t="shared" si="161"/>
        <v>0</v>
      </c>
      <c r="BTT64" s="44">
        <f t="shared" si="161"/>
        <v>0</v>
      </c>
      <c r="BTU64" s="44">
        <f t="shared" si="161"/>
        <v>0</v>
      </c>
      <c r="BTV64" s="44">
        <f t="shared" si="161"/>
        <v>0</v>
      </c>
      <c r="BTW64" s="44">
        <f t="shared" si="161"/>
        <v>0</v>
      </c>
      <c r="BTX64" s="44">
        <f t="shared" si="161"/>
        <v>0</v>
      </c>
      <c r="BTY64" s="44">
        <f t="shared" si="161"/>
        <v>0</v>
      </c>
      <c r="BTZ64" s="44">
        <f t="shared" si="161"/>
        <v>0</v>
      </c>
      <c r="BUA64" s="44">
        <f t="shared" si="161"/>
        <v>0</v>
      </c>
      <c r="BUB64" s="44">
        <f t="shared" si="161"/>
        <v>0</v>
      </c>
      <c r="BUC64" s="44">
        <f t="shared" si="161"/>
        <v>0</v>
      </c>
      <c r="BUD64" s="44">
        <f t="shared" si="161"/>
        <v>0</v>
      </c>
      <c r="BUE64" s="44">
        <f t="shared" si="161"/>
        <v>0</v>
      </c>
      <c r="BUF64" s="44">
        <f t="shared" si="161"/>
        <v>0</v>
      </c>
      <c r="BUG64" s="44">
        <f t="shared" si="161"/>
        <v>0</v>
      </c>
      <c r="BUH64" s="44">
        <f t="shared" si="161"/>
        <v>0</v>
      </c>
      <c r="BUI64" s="44">
        <f t="shared" si="161"/>
        <v>0</v>
      </c>
      <c r="BUJ64" s="44">
        <f t="shared" si="161"/>
        <v>0</v>
      </c>
      <c r="BUK64" s="44">
        <f t="shared" si="161"/>
        <v>0</v>
      </c>
      <c r="BUL64" s="44">
        <f t="shared" si="161"/>
        <v>0</v>
      </c>
      <c r="BUM64" s="44">
        <f t="shared" si="161"/>
        <v>0</v>
      </c>
      <c r="BUN64" s="44">
        <f t="shared" si="161"/>
        <v>0</v>
      </c>
      <c r="BUO64" s="44">
        <f t="shared" si="161"/>
        <v>0</v>
      </c>
      <c r="BUP64" s="44">
        <f t="shared" si="161"/>
        <v>0</v>
      </c>
      <c r="BUQ64" s="44">
        <f t="shared" si="161"/>
        <v>0</v>
      </c>
      <c r="BUR64" s="44">
        <f t="shared" si="161"/>
        <v>0</v>
      </c>
      <c r="BUS64" s="44">
        <f t="shared" si="161"/>
        <v>0</v>
      </c>
      <c r="BUT64" s="44">
        <f t="shared" si="161"/>
        <v>0</v>
      </c>
      <c r="BUU64" s="44">
        <f t="shared" si="161"/>
        <v>0</v>
      </c>
      <c r="BUV64" s="44">
        <f t="shared" si="161"/>
        <v>0</v>
      </c>
      <c r="BUW64" s="44">
        <f t="shared" si="161"/>
        <v>0</v>
      </c>
      <c r="BUX64" s="44">
        <f t="shared" si="161"/>
        <v>0</v>
      </c>
      <c r="BUY64" s="44">
        <f t="shared" si="161"/>
        <v>0</v>
      </c>
      <c r="BUZ64" s="44">
        <f t="shared" si="161"/>
        <v>0</v>
      </c>
      <c r="BVA64" s="44">
        <f t="shared" si="161"/>
        <v>0</v>
      </c>
      <c r="BVB64" s="44">
        <f t="shared" si="161"/>
        <v>0</v>
      </c>
      <c r="BVC64" s="44">
        <f t="shared" si="161"/>
        <v>0</v>
      </c>
      <c r="BVD64" s="44">
        <f t="shared" si="161"/>
        <v>0</v>
      </c>
      <c r="BVE64" s="44">
        <f t="shared" si="161"/>
        <v>0</v>
      </c>
      <c r="BVF64" s="44">
        <f t="shared" si="161"/>
        <v>0</v>
      </c>
      <c r="BVG64" s="44">
        <f t="shared" si="161"/>
        <v>0</v>
      </c>
      <c r="BVH64" s="44">
        <f t="shared" si="161"/>
        <v>0</v>
      </c>
      <c r="BVI64" s="44">
        <f t="shared" si="161"/>
        <v>0</v>
      </c>
      <c r="BVJ64" s="44">
        <f t="shared" si="161"/>
        <v>0</v>
      </c>
      <c r="BVK64" s="44">
        <f t="shared" si="161"/>
        <v>0</v>
      </c>
      <c r="BVL64" s="44">
        <f t="shared" si="161"/>
        <v>0</v>
      </c>
      <c r="BVM64" s="44">
        <f t="shared" si="161"/>
        <v>0</v>
      </c>
      <c r="BVN64" s="44">
        <f t="shared" si="161"/>
        <v>0</v>
      </c>
      <c r="BVO64" s="44">
        <f t="shared" si="161"/>
        <v>0</v>
      </c>
      <c r="BVP64" s="44">
        <f t="shared" si="161"/>
        <v>0</v>
      </c>
      <c r="BVQ64" s="44">
        <f t="shared" si="161"/>
        <v>0</v>
      </c>
      <c r="BVR64" s="44">
        <f t="shared" ref="BVR64:BYC64" si="162">SUM(BVR56:BVR57)</f>
        <v>0</v>
      </c>
      <c r="BVS64" s="44">
        <f t="shared" si="162"/>
        <v>0</v>
      </c>
      <c r="BVT64" s="44">
        <f t="shared" si="162"/>
        <v>0</v>
      </c>
      <c r="BVU64" s="44">
        <f t="shared" si="162"/>
        <v>0</v>
      </c>
      <c r="BVV64" s="44">
        <f t="shared" si="162"/>
        <v>0</v>
      </c>
      <c r="BVW64" s="44">
        <f t="shared" si="162"/>
        <v>0</v>
      </c>
      <c r="BVX64" s="44">
        <f t="shared" si="162"/>
        <v>0</v>
      </c>
      <c r="BVY64" s="44">
        <f t="shared" si="162"/>
        <v>0</v>
      </c>
      <c r="BVZ64" s="44">
        <f t="shared" si="162"/>
        <v>0</v>
      </c>
      <c r="BWA64" s="44">
        <f t="shared" si="162"/>
        <v>0</v>
      </c>
      <c r="BWB64" s="44">
        <f t="shared" si="162"/>
        <v>0</v>
      </c>
      <c r="BWC64" s="44">
        <f t="shared" si="162"/>
        <v>0</v>
      </c>
      <c r="BWD64" s="44">
        <f t="shared" si="162"/>
        <v>0</v>
      </c>
      <c r="BWE64" s="44">
        <f t="shared" si="162"/>
        <v>0</v>
      </c>
      <c r="BWF64" s="44">
        <f t="shared" si="162"/>
        <v>0</v>
      </c>
      <c r="BWG64" s="44">
        <f t="shared" si="162"/>
        <v>0</v>
      </c>
      <c r="BWH64" s="44">
        <f t="shared" si="162"/>
        <v>0</v>
      </c>
      <c r="BWI64" s="44">
        <f t="shared" si="162"/>
        <v>0</v>
      </c>
      <c r="BWJ64" s="44">
        <f t="shared" si="162"/>
        <v>0</v>
      </c>
      <c r="BWK64" s="44">
        <f t="shared" si="162"/>
        <v>0</v>
      </c>
      <c r="BWL64" s="44">
        <f t="shared" si="162"/>
        <v>0</v>
      </c>
      <c r="BWM64" s="44">
        <f t="shared" si="162"/>
        <v>0</v>
      </c>
      <c r="BWN64" s="44">
        <f t="shared" si="162"/>
        <v>0</v>
      </c>
      <c r="BWO64" s="44">
        <f t="shared" si="162"/>
        <v>0</v>
      </c>
      <c r="BWP64" s="44">
        <f t="shared" si="162"/>
        <v>0</v>
      </c>
      <c r="BWQ64" s="44">
        <f t="shared" si="162"/>
        <v>0</v>
      </c>
      <c r="BWR64" s="44">
        <f t="shared" si="162"/>
        <v>0</v>
      </c>
      <c r="BWS64" s="44">
        <f t="shared" si="162"/>
        <v>0</v>
      </c>
      <c r="BWT64" s="44">
        <f t="shared" si="162"/>
        <v>0</v>
      </c>
      <c r="BWU64" s="44">
        <f t="shared" si="162"/>
        <v>0</v>
      </c>
      <c r="BWV64" s="44">
        <f t="shared" si="162"/>
        <v>0</v>
      </c>
      <c r="BWW64" s="44">
        <f t="shared" si="162"/>
        <v>0</v>
      </c>
      <c r="BWX64" s="44">
        <f t="shared" si="162"/>
        <v>0</v>
      </c>
      <c r="BWY64" s="44">
        <f t="shared" si="162"/>
        <v>0</v>
      </c>
      <c r="BWZ64" s="44">
        <f t="shared" si="162"/>
        <v>0</v>
      </c>
      <c r="BXA64" s="44">
        <f t="shared" si="162"/>
        <v>0</v>
      </c>
      <c r="BXB64" s="44">
        <f t="shared" si="162"/>
        <v>0</v>
      </c>
      <c r="BXC64" s="44">
        <f t="shared" si="162"/>
        <v>0</v>
      </c>
      <c r="BXD64" s="44">
        <f t="shared" si="162"/>
        <v>0</v>
      </c>
      <c r="BXE64" s="44">
        <f t="shared" si="162"/>
        <v>0</v>
      </c>
      <c r="BXF64" s="44">
        <f t="shared" si="162"/>
        <v>0</v>
      </c>
      <c r="BXG64" s="44">
        <f t="shared" si="162"/>
        <v>0</v>
      </c>
      <c r="BXH64" s="44">
        <f t="shared" si="162"/>
        <v>0</v>
      </c>
      <c r="BXI64" s="44">
        <f t="shared" si="162"/>
        <v>0</v>
      </c>
      <c r="BXJ64" s="44">
        <f t="shared" si="162"/>
        <v>0</v>
      </c>
      <c r="BXK64" s="44">
        <f t="shared" si="162"/>
        <v>0</v>
      </c>
      <c r="BXL64" s="44">
        <f t="shared" si="162"/>
        <v>0</v>
      </c>
      <c r="BXM64" s="44">
        <f t="shared" si="162"/>
        <v>0</v>
      </c>
      <c r="BXN64" s="44">
        <f t="shared" si="162"/>
        <v>0</v>
      </c>
      <c r="BXO64" s="44">
        <f t="shared" si="162"/>
        <v>0</v>
      </c>
      <c r="BXP64" s="44">
        <f t="shared" si="162"/>
        <v>0</v>
      </c>
      <c r="BXQ64" s="44">
        <f t="shared" si="162"/>
        <v>0</v>
      </c>
      <c r="BXR64" s="44">
        <f t="shared" si="162"/>
        <v>0</v>
      </c>
      <c r="BXS64" s="44">
        <f t="shared" si="162"/>
        <v>0</v>
      </c>
      <c r="BXT64" s="44">
        <f t="shared" si="162"/>
        <v>0</v>
      </c>
      <c r="BXU64" s="44">
        <f t="shared" si="162"/>
        <v>0</v>
      </c>
      <c r="BXV64" s="44">
        <f t="shared" si="162"/>
        <v>0</v>
      </c>
      <c r="BXW64" s="44">
        <f t="shared" si="162"/>
        <v>0</v>
      </c>
      <c r="BXX64" s="44">
        <f t="shared" si="162"/>
        <v>0</v>
      </c>
      <c r="BXY64" s="44">
        <f t="shared" si="162"/>
        <v>0</v>
      </c>
      <c r="BXZ64" s="44">
        <f t="shared" si="162"/>
        <v>0</v>
      </c>
      <c r="BYA64" s="44">
        <f t="shared" si="162"/>
        <v>0</v>
      </c>
      <c r="BYB64" s="44">
        <f t="shared" si="162"/>
        <v>0</v>
      </c>
      <c r="BYC64" s="44">
        <f t="shared" si="162"/>
        <v>0</v>
      </c>
      <c r="BYD64" s="44">
        <f t="shared" ref="BYD64:CAO64" si="163">SUM(BYD56:BYD57)</f>
        <v>0</v>
      </c>
      <c r="BYE64" s="44">
        <f t="shared" si="163"/>
        <v>0</v>
      </c>
      <c r="BYF64" s="44">
        <f t="shared" si="163"/>
        <v>0</v>
      </c>
      <c r="BYG64" s="44">
        <f t="shared" si="163"/>
        <v>0</v>
      </c>
      <c r="BYH64" s="44">
        <f t="shared" si="163"/>
        <v>0</v>
      </c>
      <c r="BYI64" s="44">
        <f t="shared" si="163"/>
        <v>0</v>
      </c>
      <c r="BYJ64" s="44">
        <f t="shared" si="163"/>
        <v>0</v>
      </c>
      <c r="BYK64" s="44">
        <f t="shared" si="163"/>
        <v>0</v>
      </c>
      <c r="BYL64" s="44">
        <f t="shared" si="163"/>
        <v>0</v>
      </c>
      <c r="BYM64" s="44">
        <f t="shared" si="163"/>
        <v>0</v>
      </c>
      <c r="BYN64" s="44">
        <f t="shared" si="163"/>
        <v>0</v>
      </c>
      <c r="BYO64" s="44">
        <f t="shared" si="163"/>
        <v>0</v>
      </c>
      <c r="BYP64" s="44">
        <f t="shared" si="163"/>
        <v>0</v>
      </c>
      <c r="BYQ64" s="44">
        <f t="shared" si="163"/>
        <v>0</v>
      </c>
      <c r="BYR64" s="44">
        <f t="shared" si="163"/>
        <v>0</v>
      </c>
      <c r="BYS64" s="44">
        <f t="shared" si="163"/>
        <v>0</v>
      </c>
      <c r="BYT64" s="44">
        <f t="shared" si="163"/>
        <v>0</v>
      </c>
      <c r="BYU64" s="44">
        <f t="shared" si="163"/>
        <v>0</v>
      </c>
      <c r="BYV64" s="44">
        <f t="shared" si="163"/>
        <v>0</v>
      </c>
      <c r="BYW64" s="44">
        <f t="shared" si="163"/>
        <v>0</v>
      </c>
      <c r="BYX64" s="44">
        <f t="shared" si="163"/>
        <v>0</v>
      </c>
      <c r="BYY64" s="44">
        <f t="shared" si="163"/>
        <v>0</v>
      </c>
      <c r="BYZ64" s="44">
        <f t="shared" si="163"/>
        <v>0</v>
      </c>
      <c r="BZA64" s="44">
        <f t="shared" si="163"/>
        <v>0</v>
      </c>
      <c r="BZB64" s="44">
        <f t="shared" si="163"/>
        <v>0</v>
      </c>
      <c r="BZC64" s="44">
        <f t="shared" si="163"/>
        <v>0</v>
      </c>
      <c r="BZD64" s="44">
        <f t="shared" si="163"/>
        <v>0</v>
      </c>
      <c r="BZE64" s="44">
        <f t="shared" si="163"/>
        <v>0</v>
      </c>
      <c r="BZF64" s="44">
        <f t="shared" si="163"/>
        <v>0</v>
      </c>
      <c r="BZG64" s="44">
        <f t="shared" si="163"/>
        <v>0</v>
      </c>
      <c r="BZH64" s="44">
        <f t="shared" si="163"/>
        <v>0</v>
      </c>
      <c r="BZI64" s="44">
        <f t="shared" si="163"/>
        <v>0</v>
      </c>
      <c r="BZJ64" s="44">
        <f t="shared" si="163"/>
        <v>0</v>
      </c>
      <c r="BZK64" s="44">
        <f t="shared" si="163"/>
        <v>0</v>
      </c>
      <c r="BZL64" s="44">
        <f t="shared" si="163"/>
        <v>0</v>
      </c>
      <c r="BZM64" s="44">
        <f t="shared" si="163"/>
        <v>0</v>
      </c>
      <c r="BZN64" s="44">
        <f t="shared" si="163"/>
        <v>0</v>
      </c>
      <c r="BZO64" s="44">
        <f t="shared" si="163"/>
        <v>0</v>
      </c>
      <c r="BZP64" s="44">
        <f t="shared" si="163"/>
        <v>0</v>
      </c>
      <c r="BZQ64" s="44">
        <f t="shared" si="163"/>
        <v>0</v>
      </c>
      <c r="BZR64" s="44">
        <f t="shared" si="163"/>
        <v>0</v>
      </c>
      <c r="BZS64" s="44">
        <f t="shared" si="163"/>
        <v>0</v>
      </c>
      <c r="BZT64" s="44">
        <f t="shared" si="163"/>
        <v>0</v>
      </c>
      <c r="BZU64" s="44">
        <f t="shared" si="163"/>
        <v>0</v>
      </c>
      <c r="BZV64" s="44">
        <f t="shared" si="163"/>
        <v>0</v>
      </c>
      <c r="BZW64" s="44">
        <f t="shared" si="163"/>
        <v>0</v>
      </c>
      <c r="BZX64" s="44">
        <f t="shared" si="163"/>
        <v>0</v>
      </c>
      <c r="BZY64" s="44">
        <f t="shared" si="163"/>
        <v>0</v>
      </c>
      <c r="BZZ64" s="44">
        <f t="shared" si="163"/>
        <v>0</v>
      </c>
      <c r="CAA64" s="44">
        <f t="shared" si="163"/>
        <v>0</v>
      </c>
      <c r="CAB64" s="44">
        <f t="shared" si="163"/>
        <v>0</v>
      </c>
      <c r="CAC64" s="44">
        <f t="shared" si="163"/>
        <v>0</v>
      </c>
      <c r="CAD64" s="44">
        <f t="shared" si="163"/>
        <v>0</v>
      </c>
      <c r="CAE64" s="44">
        <f t="shared" si="163"/>
        <v>0</v>
      </c>
      <c r="CAF64" s="44">
        <f t="shared" si="163"/>
        <v>0</v>
      </c>
      <c r="CAG64" s="44">
        <f t="shared" si="163"/>
        <v>0</v>
      </c>
      <c r="CAH64" s="44">
        <f t="shared" si="163"/>
        <v>0</v>
      </c>
      <c r="CAI64" s="44">
        <f t="shared" si="163"/>
        <v>0</v>
      </c>
      <c r="CAJ64" s="44">
        <f t="shared" si="163"/>
        <v>0</v>
      </c>
      <c r="CAK64" s="44">
        <f t="shared" si="163"/>
        <v>0</v>
      </c>
      <c r="CAL64" s="44">
        <f t="shared" si="163"/>
        <v>0</v>
      </c>
      <c r="CAM64" s="44">
        <f t="shared" si="163"/>
        <v>0</v>
      </c>
      <c r="CAN64" s="44">
        <f t="shared" si="163"/>
        <v>0</v>
      </c>
      <c r="CAO64" s="44">
        <f t="shared" si="163"/>
        <v>0</v>
      </c>
      <c r="CAP64" s="44">
        <f t="shared" ref="CAP64:CDA64" si="164">SUM(CAP56:CAP57)</f>
        <v>0</v>
      </c>
      <c r="CAQ64" s="44">
        <f t="shared" si="164"/>
        <v>0</v>
      </c>
      <c r="CAR64" s="44">
        <f t="shared" si="164"/>
        <v>0</v>
      </c>
      <c r="CAS64" s="44">
        <f t="shared" si="164"/>
        <v>0</v>
      </c>
      <c r="CAT64" s="44">
        <f t="shared" si="164"/>
        <v>0</v>
      </c>
      <c r="CAU64" s="44">
        <f t="shared" si="164"/>
        <v>0</v>
      </c>
      <c r="CAV64" s="44">
        <f t="shared" si="164"/>
        <v>0</v>
      </c>
      <c r="CAW64" s="44">
        <f t="shared" si="164"/>
        <v>0</v>
      </c>
      <c r="CAX64" s="44">
        <f t="shared" si="164"/>
        <v>0</v>
      </c>
      <c r="CAY64" s="44">
        <f t="shared" si="164"/>
        <v>0</v>
      </c>
      <c r="CAZ64" s="44">
        <f t="shared" si="164"/>
        <v>0</v>
      </c>
      <c r="CBA64" s="44">
        <f t="shared" si="164"/>
        <v>0</v>
      </c>
      <c r="CBB64" s="44">
        <f t="shared" si="164"/>
        <v>0</v>
      </c>
      <c r="CBC64" s="44">
        <f t="shared" si="164"/>
        <v>0</v>
      </c>
      <c r="CBD64" s="44">
        <f t="shared" si="164"/>
        <v>0</v>
      </c>
      <c r="CBE64" s="44">
        <f t="shared" si="164"/>
        <v>0</v>
      </c>
      <c r="CBF64" s="44">
        <f t="shared" si="164"/>
        <v>0</v>
      </c>
      <c r="CBG64" s="44">
        <f t="shared" si="164"/>
        <v>0</v>
      </c>
      <c r="CBH64" s="44">
        <f t="shared" si="164"/>
        <v>0</v>
      </c>
      <c r="CBI64" s="44">
        <f t="shared" si="164"/>
        <v>0</v>
      </c>
      <c r="CBJ64" s="44">
        <f t="shared" si="164"/>
        <v>0</v>
      </c>
      <c r="CBK64" s="44">
        <f t="shared" si="164"/>
        <v>0</v>
      </c>
      <c r="CBL64" s="44">
        <f t="shared" si="164"/>
        <v>0</v>
      </c>
      <c r="CBM64" s="44">
        <f t="shared" si="164"/>
        <v>0</v>
      </c>
      <c r="CBN64" s="44">
        <f t="shared" si="164"/>
        <v>0</v>
      </c>
      <c r="CBO64" s="44">
        <f t="shared" si="164"/>
        <v>0</v>
      </c>
      <c r="CBP64" s="44">
        <f t="shared" si="164"/>
        <v>0</v>
      </c>
      <c r="CBQ64" s="44">
        <f t="shared" si="164"/>
        <v>0</v>
      </c>
      <c r="CBR64" s="44">
        <f t="shared" si="164"/>
        <v>0</v>
      </c>
      <c r="CBS64" s="44">
        <f t="shared" si="164"/>
        <v>0</v>
      </c>
      <c r="CBT64" s="44">
        <f t="shared" si="164"/>
        <v>0</v>
      </c>
      <c r="CBU64" s="44">
        <f t="shared" si="164"/>
        <v>0</v>
      </c>
      <c r="CBV64" s="44">
        <f t="shared" si="164"/>
        <v>0</v>
      </c>
      <c r="CBW64" s="44">
        <f t="shared" si="164"/>
        <v>0</v>
      </c>
      <c r="CBX64" s="44">
        <f t="shared" si="164"/>
        <v>0</v>
      </c>
      <c r="CBY64" s="44">
        <f t="shared" si="164"/>
        <v>0</v>
      </c>
      <c r="CBZ64" s="44">
        <f t="shared" si="164"/>
        <v>0</v>
      </c>
      <c r="CCA64" s="44">
        <f t="shared" si="164"/>
        <v>0</v>
      </c>
      <c r="CCB64" s="44">
        <f t="shared" si="164"/>
        <v>0</v>
      </c>
      <c r="CCC64" s="44">
        <f t="shared" si="164"/>
        <v>0</v>
      </c>
      <c r="CCD64" s="44">
        <f t="shared" si="164"/>
        <v>0</v>
      </c>
      <c r="CCE64" s="44">
        <f t="shared" si="164"/>
        <v>0</v>
      </c>
      <c r="CCF64" s="44">
        <f t="shared" si="164"/>
        <v>0</v>
      </c>
      <c r="CCG64" s="44">
        <f t="shared" si="164"/>
        <v>0</v>
      </c>
      <c r="CCH64" s="44">
        <f t="shared" si="164"/>
        <v>0</v>
      </c>
      <c r="CCI64" s="44">
        <f t="shared" si="164"/>
        <v>0</v>
      </c>
      <c r="CCJ64" s="44">
        <f t="shared" si="164"/>
        <v>0</v>
      </c>
      <c r="CCK64" s="44">
        <f t="shared" si="164"/>
        <v>0</v>
      </c>
      <c r="CCL64" s="44">
        <f t="shared" si="164"/>
        <v>0</v>
      </c>
      <c r="CCM64" s="44">
        <f t="shared" si="164"/>
        <v>0</v>
      </c>
      <c r="CCN64" s="44">
        <f t="shared" si="164"/>
        <v>0</v>
      </c>
      <c r="CCO64" s="44">
        <f t="shared" si="164"/>
        <v>0</v>
      </c>
      <c r="CCP64" s="44">
        <f t="shared" si="164"/>
        <v>0</v>
      </c>
      <c r="CCQ64" s="44">
        <f t="shared" si="164"/>
        <v>0</v>
      </c>
      <c r="CCR64" s="44">
        <f t="shared" si="164"/>
        <v>0</v>
      </c>
      <c r="CCS64" s="44">
        <f t="shared" si="164"/>
        <v>0</v>
      </c>
      <c r="CCT64" s="44">
        <f t="shared" si="164"/>
        <v>0</v>
      </c>
      <c r="CCU64" s="44">
        <f t="shared" si="164"/>
        <v>0</v>
      </c>
      <c r="CCV64" s="44">
        <f t="shared" si="164"/>
        <v>0</v>
      </c>
      <c r="CCW64" s="44">
        <f t="shared" si="164"/>
        <v>0</v>
      </c>
      <c r="CCX64" s="44">
        <f t="shared" si="164"/>
        <v>0</v>
      </c>
      <c r="CCY64" s="44">
        <f t="shared" si="164"/>
        <v>0</v>
      </c>
      <c r="CCZ64" s="44">
        <f t="shared" si="164"/>
        <v>0</v>
      </c>
      <c r="CDA64" s="44">
        <f t="shared" si="164"/>
        <v>0</v>
      </c>
      <c r="CDB64" s="44">
        <f t="shared" ref="CDB64:CFM64" si="165">SUM(CDB56:CDB57)</f>
        <v>0</v>
      </c>
      <c r="CDC64" s="44">
        <f t="shared" si="165"/>
        <v>0</v>
      </c>
      <c r="CDD64" s="44">
        <f t="shared" si="165"/>
        <v>0</v>
      </c>
      <c r="CDE64" s="44">
        <f t="shared" si="165"/>
        <v>0</v>
      </c>
      <c r="CDF64" s="44">
        <f t="shared" si="165"/>
        <v>0</v>
      </c>
      <c r="CDG64" s="44">
        <f t="shared" si="165"/>
        <v>0</v>
      </c>
      <c r="CDH64" s="44">
        <f t="shared" si="165"/>
        <v>0</v>
      </c>
      <c r="CDI64" s="44">
        <f t="shared" si="165"/>
        <v>0</v>
      </c>
      <c r="CDJ64" s="44">
        <f t="shared" si="165"/>
        <v>0</v>
      </c>
      <c r="CDK64" s="44">
        <f t="shared" si="165"/>
        <v>0</v>
      </c>
      <c r="CDL64" s="44">
        <f t="shared" si="165"/>
        <v>0</v>
      </c>
      <c r="CDM64" s="44">
        <f t="shared" si="165"/>
        <v>0</v>
      </c>
      <c r="CDN64" s="44">
        <f t="shared" si="165"/>
        <v>0</v>
      </c>
      <c r="CDO64" s="44">
        <f t="shared" si="165"/>
        <v>0</v>
      </c>
      <c r="CDP64" s="44">
        <f t="shared" si="165"/>
        <v>0</v>
      </c>
      <c r="CDQ64" s="44">
        <f t="shared" si="165"/>
        <v>0</v>
      </c>
      <c r="CDR64" s="44">
        <f t="shared" si="165"/>
        <v>0</v>
      </c>
      <c r="CDS64" s="44">
        <f t="shared" si="165"/>
        <v>0</v>
      </c>
      <c r="CDT64" s="44">
        <f t="shared" si="165"/>
        <v>0</v>
      </c>
      <c r="CDU64" s="44">
        <f t="shared" si="165"/>
        <v>0</v>
      </c>
      <c r="CDV64" s="44">
        <f t="shared" si="165"/>
        <v>0</v>
      </c>
      <c r="CDW64" s="44">
        <f t="shared" si="165"/>
        <v>0</v>
      </c>
      <c r="CDX64" s="44">
        <f t="shared" si="165"/>
        <v>0</v>
      </c>
      <c r="CDY64" s="44">
        <f t="shared" si="165"/>
        <v>0</v>
      </c>
      <c r="CDZ64" s="44">
        <f t="shared" si="165"/>
        <v>0</v>
      </c>
      <c r="CEA64" s="44">
        <f t="shared" si="165"/>
        <v>0</v>
      </c>
      <c r="CEB64" s="44">
        <f t="shared" si="165"/>
        <v>0</v>
      </c>
      <c r="CEC64" s="44">
        <f t="shared" si="165"/>
        <v>0</v>
      </c>
      <c r="CED64" s="44">
        <f t="shared" si="165"/>
        <v>0</v>
      </c>
      <c r="CEE64" s="44">
        <f t="shared" si="165"/>
        <v>0</v>
      </c>
      <c r="CEF64" s="44">
        <f t="shared" si="165"/>
        <v>0</v>
      </c>
      <c r="CEG64" s="44">
        <f t="shared" si="165"/>
        <v>0</v>
      </c>
      <c r="CEH64" s="44">
        <f t="shared" si="165"/>
        <v>0</v>
      </c>
      <c r="CEI64" s="44">
        <f t="shared" si="165"/>
        <v>0</v>
      </c>
      <c r="CEJ64" s="44">
        <f t="shared" si="165"/>
        <v>0</v>
      </c>
      <c r="CEK64" s="44">
        <f t="shared" si="165"/>
        <v>0</v>
      </c>
      <c r="CEL64" s="44">
        <f t="shared" si="165"/>
        <v>0</v>
      </c>
      <c r="CEM64" s="44">
        <f t="shared" si="165"/>
        <v>0</v>
      </c>
      <c r="CEN64" s="44">
        <f t="shared" si="165"/>
        <v>0</v>
      </c>
      <c r="CEO64" s="44">
        <f t="shared" si="165"/>
        <v>0</v>
      </c>
      <c r="CEP64" s="44">
        <f t="shared" si="165"/>
        <v>0</v>
      </c>
      <c r="CEQ64" s="44">
        <f t="shared" si="165"/>
        <v>0</v>
      </c>
      <c r="CER64" s="44">
        <f t="shared" si="165"/>
        <v>0</v>
      </c>
      <c r="CES64" s="44">
        <f t="shared" si="165"/>
        <v>0</v>
      </c>
      <c r="CET64" s="44">
        <f t="shared" si="165"/>
        <v>0</v>
      </c>
      <c r="CEU64" s="44">
        <f t="shared" si="165"/>
        <v>0</v>
      </c>
      <c r="CEV64" s="44">
        <f t="shared" si="165"/>
        <v>0</v>
      </c>
      <c r="CEW64" s="44">
        <f t="shared" si="165"/>
        <v>0</v>
      </c>
      <c r="CEX64" s="44">
        <f t="shared" si="165"/>
        <v>0</v>
      </c>
      <c r="CEY64" s="44">
        <f t="shared" si="165"/>
        <v>0</v>
      </c>
      <c r="CEZ64" s="44">
        <f t="shared" si="165"/>
        <v>0</v>
      </c>
      <c r="CFA64" s="44">
        <f t="shared" si="165"/>
        <v>0</v>
      </c>
      <c r="CFB64" s="44">
        <f t="shared" si="165"/>
        <v>0</v>
      </c>
      <c r="CFC64" s="44">
        <f t="shared" si="165"/>
        <v>0</v>
      </c>
      <c r="CFD64" s="44">
        <f t="shared" si="165"/>
        <v>0</v>
      </c>
      <c r="CFE64" s="44">
        <f t="shared" si="165"/>
        <v>0</v>
      </c>
      <c r="CFF64" s="44">
        <f t="shared" si="165"/>
        <v>0</v>
      </c>
      <c r="CFG64" s="44">
        <f t="shared" si="165"/>
        <v>0</v>
      </c>
      <c r="CFH64" s="44">
        <f t="shared" si="165"/>
        <v>0</v>
      </c>
      <c r="CFI64" s="44">
        <f t="shared" si="165"/>
        <v>0</v>
      </c>
      <c r="CFJ64" s="44">
        <f t="shared" si="165"/>
        <v>0</v>
      </c>
      <c r="CFK64" s="44">
        <f t="shared" si="165"/>
        <v>0</v>
      </c>
      <c r="CFL64" s="44">
        <f t="shared" si="165"/>
        <v>0</v>
      </c>
      <c r="CFM64" s="44">
        <f t="shared" si="165"/>
        <v>0</v>
      </c>
      <c r="CFN64" s="44">
        <f t="shared" ref="CFN64:CHY64" si="166">SUM(CFN56:CFN57)</f>
        <v>0</v>
      </c>
      <c r="CFO64" s="44">
        <f t="shared" si="166"/>
        <v>0</v>
      </c>
      <c r="CFP64" s="44">
        <f t="shared" si="166"/>
        <v>0</v>
      </c>
      <c r="CFQ64" s="44">
        <f t="shared" si="166"/>
        <v>0</v>
      </c>
      <c r="CFR64" s="44">
        <f t="shared" si="166"/>
        <v>0</v>
      </c>
      <c r="CFS64" s="44">
        <f t="shared" si="166"/>
        <v>0</v>
      </c>
      <c r="CFT64" s="44">
        <f t="shared" si="166"/>
        <v>0</v>
      </c>
      <c r="CFU64" s="44">
        <f t="shared" si="166"/>
        <v>0</v>
      </c>
      <c r="CFV64" s="44">
        <f t="shared" si="166"/>
        <v>0</v>
      </c>
      <c r="CFW64" s="44">
        <f t="shared" si="166"/>
        <v>0</v>
      </c>
      <c r="CFX64" s="44">
        <f t="shared" si="166"/>
        <v>0</v>
      </c>
      <c r="CFY64" s="44">
        <f t="shared" si="166"/>
        <v>0</v>
      </c>
      <c r="CFZ64" s="44">
        <f t="shared" si="166"/>
        <v>0</v>
      </c>
      <c r="CGA64" s="44">
        <f t="shared" si="166"/>
        <v>0</v>
      </c>
      <c r="CGB64" s="44">
        <f t="shared" si="166"/>
        <v>0</v>
      </c>
      <c r="CGC64" s="44">
        <f t="shared" si="166"/>
        <v>0</v>
      </c>
      <c r="CGD64" s="44">
        <f t="shared" si="166"/>
        <v>0</v>
      </c>
      <c r="CGE64" s="44">
        <f t="shared" si="166"/>
        <v>0</v>
      </c>
      <c r="CGF64" s="44">
        <f t="shared" si="166"/>
        <v>0</v>
      </c>
      <c r="CGG64" s="44">
        <f t="shared" si="166"/>
        <v>0</v>
      </c>
      <c r="CGH64" s="44">
        <f t="shared" si="166"/>
        <v>0</v>
      </c>
      <c r="CGI64" s="44">
        <f t="shared" si="166"/>
        <v>0</v>
      </c>
      <c r="CGJ64" s="44">
        <f t="shared" si="166"/>
        <v>0</v>
      </c>
      <c r="CGK64" s="44">
        <f t="shared" si="166"/>
        <v>0</v>
      </c>
      <c r="CGL64" s="44">
        <f t="shared" si="166"/>
        <v>0</v>
      </c>
      <c r="CGM64" s="44">
        <f t="shared" si="166"/>
        <v>0</v>
      </c>
      <c r="CGN64" s="44">
        <f t="shared" si="166"/>
        <v>0</v>
      </c>
      <c r="CGO64" s="44">
        <f t="shared" si="166"/>
        <v>0</v>
      </c>
      <c r="CGP64" s="44">
        <f t="shared" si="166"/>
        <v>0</v>
      </c>
      <c r="CGQ64" s="44">
        <f t="shared" si="166"/>
        <v>0</v>
      </c>
      <c r="CGR64" s="44">
        <f t="shared" si="166"/>
        <v>0</v>
      </c>
      <c r="CGS64" s="44">
        <f t="shared" si="166"/>
        <v>0</v>
      </c>
      <c r="CGT64" s="44">
        <f t="shared" si="166"/>
        <v>0</v>
      </c>
      <c r="CGU64" s="44">
        <f t="shared" si="166"/>
        <v>0</v>
      </c>
      <c r="CGV64" s="44">
        <f t="shared" si="166"/>
        <v>0</v>
      </c>
      <c r="CGW64" s="44">
        <f t="shared" si="166"/>
        <v>0</v>
      </c>
      <c r="CGX64" s="44">
        <f t="shared" si="166"/>
        <v>0</v>
      </c>
      <c r="CGY64" s="44">
        <f t="shared" si="166"/>
        <v>0</v>
      </c>
      <c r="CGZ64" s="44">
        <f t="shared" si="166"/>
        <v>0</v>
      </c>
      <c r="CHA64" s="44">
        <f t="shared" si="166"/>
        <v>0</v>
      </c>
      <c r="CHB64" s="44">
        <f t="shared" si="166"/>
        <v>0</v>
      </c>
      <c r="CHC64" s="44">
        <f t="shared" si="166"/>
        <v>0</v>
      </c>
      <c r="CHD64" s="44">
        <f t="shared" si="166"/>
        <v>0</v>
      </c>
      <c r="CHE64" s="44">
        <f t="shared" si="166"/>
        <v>0</v>
      </c>
      <c r="CHF64" s="44">
        <f t="shared" si="166"/>
        <v>0</v>
      </c>
      <c r="CHG64" s="44">
        <f t="shared" si="166"/>
        <v>0</v>
      </c>
      <c r="CHH64" s="44">
        <f t="shared" si="166"/>
        <v>0</v>
      </c>
      <c r="CHI64" s="44">
        <f t="shared" si="166"/>
        <v>0</v>
      </c>
      <c r="CHJ64" s="44">
        <f t="shared" si="166"/>
        <v>0</v>
      </c>
      <c r="CHK64" s="44">
        <f t="shared" si="166"/>
        <v>0</v>
      </c>
      <c r="CHL64" s="44">
        <f t="shared" si="166"/>
        <v>0</v>
      </c>
      <c r="CHM64" s="44">
        <f t="shared" si="166"/>
        <v>0</v>
      </c>
      <c r="CHN64" s="44">
        <f t="shared" si="166"/>
        <v>0</v>
      </c>
      <c r="CHO64" s="44">
        <f t="shared" si="166"/>
        <v>0</v>
      </c>
      <c r="CHP64" s="44">
        <f t="shared" si="166"/>
        <v>0</v>
      </c>
      <c r="CHQ64" s="44">
        <f t="shared" si="166"/>
        <v>0</v>
      </c>
      <c r="CHR64" s="44">
        <f t="shared" si="166"/>
        <v>0</v>
      </c>
      <c r="CHS64" s="44">
        <f t="shared" si="166"/>
        <v>0</v>
      </c>
      <c r="CHT64" s="44">
        <f t="shared" si="166"/>
        <v>0</v>
      </c>
      <c r="CHU64" s="44">
        <f t="shared" si="166"/>
        <v>0</v>
      </c>
      <c r="CHV64" s="44">
        <f t="shared" si="166"/>
        <v>0</v>
      </c>
      <c r="CHW64" s="44">
        <f t="shared" si="166"/>
        <v>0</v>
      </c>
      <c r="CHX64" s="44">
        <f t="shared" si="166"/>
        <v>0</v>
      </c>
      <c r="CHY64" s="44">
        <f t="shared" si="166"/>
        <v>0</v>
      </c>
      <c r="CHZ64" s="44">
        <f t="shared" ref="CHZ64:CKK64" si="167">SUM(CHZ56:CHZ57)</f>
        <v>0</v>
      </c>
      <c r="CIA64" s="44">
        <f t="shared" si="167"/>
        <v>0</v>
      </c>
      <c r="CIB64" s="44">
        <f t="shared" si="167"/>
        <v>0</v>
      </c>
      <c r="CIC64" s="44">
        <f t="shared" si="167"/>
        <v>0</v>
      </c>
      <c r="CID64" s="44">
        <f t="shared" si="167"/>
        <v>0</v>
      </c>
      <c r="CIE64" s="44">
        <f t="shared" si="167"/>
        <v>0</v>
      </c>
      <c r="CIF64" s="44">
        <f t="shared" si="167"/>
        <v>0</v>
      </c>
      <c r="CIG64" s="44">
        <f t="shared" si="167"/>
        <v>0</v>
      </c>
      <c r="CIH64" s="44">
        <f t="shared" si="167"/>
        <v>0</v>
      </c>
      <c r="CII64" s="44">
        <f t="shared" si="167"/>
        <v>0</v>
      </c>
      <c r="CIJ64" s="44">
        <f t="shared" si="167"/>
        <v>0</v>
      </c>
      <c r="CIK64" s="44">
        <f t="shared" si="167"/>
        <v>0</v>
      </c>
      <c r="CIL64" s="44">
        <f t="shared" si="167"/>
        <v>0</v>
      </c>
      <c r="CIM64" s="44">
        <f t="shared" si="167"/>
        <v>0</v>
      </c>
      <c r="CIN64" s="44">
        <f t="shared" si="167"/>
        <v>0</v>
      </c>
      <c r="CIO64" s="44">
        <f t="shared" si="167"/>
        <v>0</v>
      </c>
      <c r="CIP64" s="44">
        <f t="shared" si="167"/>
        <v>0</v>
      </c>
      <c r="CIQ64" s="44">
        <f t="shared" si="167"/>
        <v>0</v>
      </c>
      <c r="CIR64" s="44">
        <f t="shared" si="167"/>
        <v>0</v>
      </c>
      <c r="CIS64" s="44">
        <f t="shared" si="167"/>
        <v>0</v>
      </c>
      <c r="CIT64" s="44">
        <f t="shared" si="167"/>
        <v>0</v>
      </c>
      <c r="CIU64" s="44">
        <f t="shared" si="167"/>
        <v>0</v>
      </c>
      <c r="CIV64" s="44">
        <f t="shared" si="167"/>
        <v>0</v>
      </c>
      <c r="CIW64" s="44">
        <f t="shared" si="167"/>
        <v>0</v>
      </c>
      <c r="CIX64" s="44">
        <f t="shared" si="167"/>
        <v>0</v>
      </c>
      <c r="CIY64" s="44">
        <f t="shared" si="167"/>
        <v>0</v>
      </c>
      <c r="CIZ64" s="44">
        <f t="shared" si="167"/>
        <v>0</v>
      </c>
      <c r="CJA64" s="44">
        <f t="shared" si="167"/>
        <v>0</v>
      </c>
      <c r="CJB64" s="44">
        <f t="shared" si="167"/>
        <v>0</v>
      </c>
      <c r="CJC64" s="44">
        <f t="shared" si="167"/>
        <v>0</v>
      </c>
      <c r="CJD64" s="44">
        <f t="shared" si="167"/>
        <v>0</v>
      </c>
      <c r="CJE64" s="44">
        <f t="shared" si="167"/>
        <v>0</v>
      </c>
      <c r="CJF64" s="44">
        <f t="shared" si="167"/>
        <v>0</v>
      </c>
      <c r="CJG64" s="44">
        <f t="shared" si="167"/>
        <v>0</v>
      </c>
      <c r="CJH64" s="44">
        <f t="shared" si="167"/>
        <v>0</v>
      </c>
      <c r="CJI64" s="44">
        <f t="shared" si="167"/>
        <v>0</v>
      </c>
      <c r="CJJ64" s="44">
        <f t="shared" si="167"/>
        <v>0</v>
      </c>
      <c r="CJK64" s="44">
        <f t="shared" si="167"/>
        <v>0</v>
      </c>
      <c r="CJL64" s="44">
        <f t="shared" si="167"/>
        <v>0</v>
      </c>
      <c r="CJM64" s="44">
        <f t="shared" si="167"/>
        <v>0</v>
      </c>
      <c r="CJN64" s="44">
        <f t="shared" si="167"/>
        <v>0</v>
      </c>
      <c r="CJO64" s="44">
        <f t="shared" si="167"/>
        <v>0</v>
      </c>
      <c r="CJP64" s="44">
        <f t="shared" si="167"/>
        <v>0</v>
      </c>
      <c r="CJQ64" s="44">
        <f t="shared" si="167"/>
        <v>0</v>
      </c>
      <c r="CJR64" s="44">
        <f t="shared" si="167"/>
        <v>0</v>
      </c>
      <c r="CJS64" s="44">
        <f t="shared" si="167"/>
        <v>0</v>
      </c>
      <c r="CJT64" s="44">
        <f t="shared" si="167"/>
        <v>0</v>
      </c>
      <c r="CJU64" s="44">
        <f t="shared" si="167"/>
        <v>0</v>
      </c>
      <c r="CJV64" s="44">
        <f t="shared" si="167"/>
        <v>0</v>
      </c>
      <c r="CJW64" s="44">
        <f t="shared" si="167"/>
        <v>0</v>
      </c>
      <c r="CJX64" s="44">
        <f t="shared" si="167"/>
        <v>0</v>
      </c>
      <c r="CJY64" s="44">
        <f t="shared" si="167"/>
        <v>0</v>
      </c>
      <c r="CJZ64" s="44">
        <f t="shared" si="167"/>
        <v>0</v>
      </c>
      <c r="CKA64" s="44">
        <f t="shared" si="167"/>
        <v>0</v>
      </c>
      <c r="CKB64" s="44">
        <f t="shared" si="167"/>
        <v>0</v>
      </c>
      <c r="CKC64" s="44">
        <f t="shared" si="167"/>
        <v>0</v>
      </c>
      <c r="CKD64" s="44">
        <f t="shared" si="167"/>
        <v>0</v>
      </c>
      <c r="CKE64" s="44">
        <f t="shared" si="167"/>
        <v>0</v>
      </c>
      <c r="CKF64" s="44">
        <f t="shared" si="167"/>
        <v>0</v>
      </c>
      <c r="CKG64" s="44">
        <f t="shared" si="167"/>
        <v>0</v>
      </c>
      <c r="CKH64" s="44">
        <f t="shared" si="167"/>
        <v>0</v>
      </c>
      <c r="CKI64" s="44">
        <f t="shared" si="167"/>
        <v>0</v>
      </c>
      <c r="CKJ64" s="44">
        <f t="shared" si="167"/>
        <v>0</v>
      </c>
      <c r="CKK64" s="44">
        <f t="shared" si="167"/>
        <v>0</v>
      </c>
      <c r="CKL64" s="44">
        <f t="shared" ref="CKL64:CMW64" si="168">SUM(CKL56:CKL57)</f>
        <v>0</v>
      </c>
      <c r="CKM64" s="44">
        <f t="shared" si="168"/>
        <v>0</v>
      </c>
      <c r="CKN64" s="44">
        <f t="shared" si="168"/>
        <v>0</v>
      </c>
      <c r="CKO64" s="44">
        <f t="shared" si="168"/>
        <v>0</v>
      </c>
      <c r="CKP64" s="44">
        <f t="shared" si="168"/>
        <v>0</v>
      </c>
      <c r="CKQ64" s="44">
        <f t="shared" si="168"/>
        <v>0</v>
      </c>
      <c r="CKR64" s="44">
        <f t="shared" si="168"/>
        <v>0</v>
      </c>
      <c r="CKS64" s="44">
        <f t="shared" si="168"/>
        <v>0</v>
      </c>
      <c r="CKT64" s="44">
        <f t="shared" si="168"/>
        <v>0</v>
      </c>
      <c r="CKU64" s="44">
        <f t="shared" si="168"/>
        <v>0</v>
      </c>
      <c r="CKV64" s="44">
        <f t="shared" si="168"/>
        <v>0</v>
      </c>
      <c r="CKW64" s="44">
        <f t="shared" si="168"/>
        <v>0</v>
      </c>
      <c r="CKX64" s="44">
        <f t="shared" si="168"/>
        <v>0</v>
      </c>
      <c r="CKY64" s="44">
        <f t="shared" si="168"/>
        <v>0</v>
      </c>
      <c r="CKZ64" s="44">
        <f t="shared" si="168"/>
        <v>0</v>
      </c>
      <c r="CLA64" s="44">
        <f t="shared" si="168"/>
        <v>0</v>
      </c>
      <c r="CLB64" s="44">
        <f t="shared" si="168"/>
        <v>0</v>
      </c>
      <c r="CLC64" s="44">
        <f t="shared" si="168"/>
        <v>0</v>
      </c>
      <c r="CLD64" s="44">
        <f t="shared" si="168"/>
        <v>0</v>
      </c>
      <c r="CLE64" s="44">
        <f t="shared" si="168"/>
        <v>0</v>
      </c>
      <c r="CLF64" s="44">
        <f t="shared" si="168"/>
        <v>0</v>
      </c>
      <c r="CLG64" s="44">
        <f t="shared" si="168"/>
        <v>0</v>
      </c>
      <c r="CLH64" s="44">
        <f t="shared" si="168"/>
        <v>0</v>
      </c>
      <c r="CLI64" s="44">
        <f t="shared" si="168"/>
        <v>0</v>
      </c>
      <c r="CLJ64" s="44">
        <f t="shared" si="168"/>
        <v>0</v>
      </c>
      <c r="CLK64" s="44">
        <f t="shared" si="168"/>
        <v>0</v>
      </c>
      <c r="CLL64" s="44">
        <f t="shared" si="168"/>
        <v>0</v>
      </c>
      <c r="CLM64" s="44">
        <f t="shared" si="168"/>
        <v>0</v>
      </c>
      <c r="CLN64" s="44">
        <f t="shared" si="168"/>
        <v>0</v>
      </c>
      <c r="CLO64" s="44">
        <f t="shared" si="168"/>
        <v>0</v>
      </c>
      <c r="CLP64" s="44">
        <f t="shared" si="168"/>
        <v>0</v>
      </c>
      <c r="CLQ64" s="44">
        <f t="shared" si="168"/>
        <v>0</v>
      </c>
      <c r="CLR64" s="44">
        <f t="shared" si="168"/>
        <v>0</v>
      </c>
      <c r="CLS64" s="44">
        <f t="shared" si="168"/>
        <v>0</v>
      </c>
      <c r="CLT64" s="44">
        <f t="shared" si="168"/>
        <v>0</v>
      </c>
      <c r="CLU64" s="44">
        <f t="shared" si="168"/>
        <v>0</v>
      </c>
      <c r="CLV64" s="44">
        <f t="shared" si="168"/>
        <v>0</v>
      </c>
      <c r="CLW64" s="44">
        <f t="shared" si="168"/>
        <v>0</v>
      </c>
      <c r="CLX64" s="44">
        <f t="shared" si="168"/>
        <v>0</v>
      </c>
      <c r="CLY64" s="44">
        <f t="shared" si="168"/>
        <v>0</v>
      </c>
      <c r="CLZ64" s="44">
        <f t="shared" si="168"/>
        <v>0</v>
      </c>
      <c r="CMA64" s="44">
        <f t="shared" si="168"/>
        <v>0</v>
      </c>
      <c r="CMB64" s="44">
        <f t="shared" si="168"/>
        <v>0</v>
      </c>
      <c r="CMC64" s="44">
        <f t="shared" si="168"/>
        <v>0</v>
      </c>
      <c r="CMD64" s="44">
        <f t="shared" si="168"/>
        <v>0</v>
      </c>
      <c r="CME64" s="44">
        <f t="shared" si="168"/>
        <v>0</v>
      </c>
      <c r="CMF64" s="44">
        <f t="shared" si="168"/>
        <v>0</v>
      </c>
      <c r="CMG64" s="44">
        <f t="shared" si="168"/>
        <v>0</v>
      </c>
      <c r="CMH64" s="44">
        <f t="shared" si="168"/>
        <v>0</v>
      </c>
      <c r="CMI64" s="44">
        <f t="shared" si="168"/>
        <v>0</v>
      </c>
      <c r="CMJ64" s="44">
        <f t="shared" si="168"/>
        <v>0</v>
      </c>
      <c r="CMK64" s="44">
        <f t="shared" si="168"/>
        <v>0</v>
      </c>
      <c r="CML64" s="44">
        <f t="shared" si="168"/>
        <v>0</v>
      </c>
      <c r="CMM64" s="44">
        <f t="shared" si="168"/>
        <v>0</v>
      </c>
      <c r="CMN64" s="44">
        <f t="shared" si="168"/>
        <v>0</v>
      </c>
      <c r="CMO64" s="44">
        <f t="shared" si="168"/>
        <v>0</v>
      </c>
      <c r="CMP64" s="44">
        <f t="shared" si="168"/>
        <v>0</v>
      </c>
      <c r="CMQ64" s="44">
        <f t="shared" si="168"/>
        <v>0</v>
      </c>
      <c r="CMR64" s="44">
        <f t="shared" si="168"/>
        <v>0</v>
      </c>
      <c r="CMS64" s="44">
        <f t="shared" si="168"/>
        <v>0</v>
      </c>
      <c r="CMT64" s="44">
        <f t="shared" si="168"/>
        <v>0</v>
      </c>
      <c r="CMU64" s="44">
        <f t="shared" si="168"/>
        <v>0</v>
      </c>
      <c r="CMV64" s="44">
        <f t="shared" si="168"/>
        <v>0</v>
      </c>
      <c r="CMW64" s="44">
        <f t="shared" si="168"/>
        <v>0</v>
      </c>
      <c r="CMX64" s="44">
        <f t="shared" ref="CMX64:CPI64" si="169">SUM(CMX56:CMX57)</f>
        <v>0</v>
      </c>
      <c r="CMY64" s="44">
        <f t="shared" si="169"/>
        <v>0</v>
      </c>
      <c r="CMZ64" s="44">
        <f t="shared" si="169"/>
        <v>0</v>
      </c>
      <c r="CNA64" s="44">
        <f t="shared" si="169"/>
        <v>0</v>
      </c>
      <c r="CNB64" s="44">
        <f t="shared" si="169"/>
        <v>0</v>
      </c>
      <c r="CNC64" s="44">
        <f t="shared" si="169"/>
        <v>0</v>
      </c>
      <c r="CND64" s="44">
        <f t="shared" si="169"/>
        <v>0</v>
      </c>
      <c r="CNE64" s="44">
        <f t="shared" si="169"/>
        <v>0</v>
      </c>
      <c r="CNF64" s="44">
        <f t="shared" si="169"/>
        <v>0</v>
      </c>
      <c r="CNG64" s="44">
        <f t="shared" si="169"/>
        <v>0</v>
      </c>
      <c r="CNH64" s="44">
        <f t="shared" si="169"/>
        <v>0</v>
      </c>
      <c r="CNI64" s="44">
        <f t="shared" si="169"/>
        <v>0</v>
      </c>
      <c r="CNJ64" s="44">
        <f t="shared" si="169"/>
        <v>0</v>
      </c>
      <c r="CNK64" s="44">
        <f t="shared" si="169"/>
        <v>0</v>
      </c>
      <c r="CNL64" s="44">
        <f t="shared" si="169"/>
        <v>0</v>
      </c>
      <c r="CNM64" s="44">
        <f t="shared" si="169"/>
        <v>0</v>
      </c>
      <c r="CNN64" s="44">
        <f t="shared" si="169"/>
        <v>0</v>
      </c>
      <c r="CNO64" s="44">
        <f t="shared" si="169"/>
        <v>0</v>
      </c>
      <c r="CNP64" s="44">
        <f t="shared" si="169"/>
        <v>0</v>
      </c>
      <c r="CNQ64" s="44">
        <f t="shared" si="169"/>
        <v>0</v>
      </c>
      <c r="CNR64" s="44">
        <f t="shared" si="169"/>
        <v>0</v>
      </c>
      <c r="CNS64" s="44">
        <f t="shared" si="169"/>
        <v>0</v>
      </c>
      <c r="CNT64" s="44">
        <f t="shared" si="169"/>
        <v>0</v>
      </c>
      <c r="CNU64" s="44">
        <f t="shared" si="169"/>
        <v>0</v>
      </c>
      <c r="CNV64" s="44">
        <f t="shared" si="169"/>
        <v>0</v>
      </c>
      <c r="CNW64" s="44">
        <f t="shared" si="169"/>
        <v>0</v>
      </c>
      <c r="CNX64" s="44">
        <f t="shared" si="169"/>
        <v>0</v>
      </c>
      <c r="CNY64" s="44">
        <f t="shared" si="169"/>
        <v>0</v>
      </c>
      <c r="CNZ64" s="44">
        <f t="shared" si="169"/>
        <v>0</v>
      </c>
      <c r="COA64" s="44">
        <f t="shared" si="169"/>
        <v>0</v>
      </c>
      <c r="COB64" s="44">
        <f t="shared" si="169"/>
        <v>0</v>
      </c>
      <c r="COC64" s="44">
        <f t="shared" si="169"/>
        <v>0</v>
      </c>
      <c r="COD64" s="44">
        <f t="shared" si="169"/>
        <v>0</v>
      </c>
      <c r="COE64" s="44">
        <f t="shared" si="169"/>
        <v>0</v>
      </c>
      <c r="COF64" s="44">
        <f t="shared" si="169"/>
        <v>0</v>
      </c>
      <c r="COG64" s="44">
        <f t="shared" si="169"/>
        <v>0</v>
      </c>
      <c r="COH64" s="44">
        <f t="shared" si="169"/>
        <v>0</v>
      </c>
      <c r="COI64" s="44">
        <f t="shared" si="169"/>
        <v>0</v>
      </c>
      <c r="COJ64" s="44">
        <f t="shared" si="169"/>
        <v>0</v>
      </c>
      <c r="COK64" s="44">
        <f t="shared" si="169"/>
        <v>0</v>
      </c>
      <c r="COL64" s="44">
        <f t="shared" si="169"/>
        <v>0</v>
      </c>
      <c r="COM64" s="44">
        <f t="shared" si="169"/>
        <v>0</v>
      </c>
      <c r="CON64" s="44">
        <f t="shared" si="169"/>
        <v>0</v>
      </c>
      <c r="COO64" s="44">
        <f t="shared" si="169"/>
        <v>0</v>
      </c>
      <c r="COP64" s="44">
        <f t="shared" si="169"/>
        <v>0</v>
      </c>
      <c r="COQ64" s="44">
        <f t="shared" si="169"/>
        <v>0</v>
      </c>
      <c r="COR64" s="44">
        <f t="shared" si="169"/>
        <v>0</v>
      </c>
      <c r="COS64" s="44">
        <f t="shared" si="169"/>
        <v>0</v>
      </c>
      <c r="COT64" s="44">
        <f t="shared" si="169"/>
        <v>0</v>
      </c>
      <c r="COU64" s="44">
        <f t="shared" si="169"/>
        <v>0</v>
      </c>
      <c r="COV64" s="44">
        <f t="shared" si="169"/>
        <v>0</v>
      </c>
      <c r="COW64" s="44">
        <f t="shared" si="169"/>
        <v>0</v>
      </c>
      <c r="COX64" s="44">
        <f t="shared" si="169"/>
        <v>0</v>
      </c>
      <c r="COY64" s="44">
        <f t="shared" si="169"/>
        <v>0</v>
      </c>
      <c r="COZ64" s="44">
        <f t="shared" si="169"/>
        <v>0</v>
      </c>
      <c r="CPA64" s="44">
        <f t="shared" si="169"/>
        <v>0</v>
      </c>
      <c r="CPB64" s="44">
        <f t="shared" si="169"/>
        <v>0</v>
      </c>
      <c r="CPC64" s="44">
        <f t="shared" si="169"/>
        <v>0</v>
      </c>
      <c r="CPD64" s="44">
        <f t="shared" si="169"/>
        <v>0</v>
      </c>
      <c r="CPE64" s="44">
        <f t="shared" si="169"/>
        <v>0</v>
      </c>
      <c r="CPF64" s="44">
        <f t="shared" si="169"/>
        <v>0</v>
      </c>
      <c r="CPG64" s="44">
        <f t="shared" si="169"/>
        <v>0</v>
      </c>
      <c r="CPH64" s="44">
        <f t="shared" si="169"/>
        <v>0</v>
      </c>
      <c r="CPI64" s="44">
        <f t="shared" si="169"/>
        <v>0</v>
      </c>
      <c r="CPJ64" s="44">
        <f t="shared" ref="CPJ64:CRU64" si="170">SUM(CPJ56:CPJ57)</f>
        <v>0</v>
      </c>
      <c r="CPK64" s="44">
        <f t="shared" si="170"/>
        <v>0</v>
      </c>
      <c r="CPL64" s="44">
        <f t="shared" si="170"/>
        <v>0</v>
      </c>
      <c r="CPM64" s="44">
        <f t="shared" si="170"/>
        <v>0</v>
      </c>
      <c r="CPN64" s="44">
        <f t="shared" si="170"/>
        <v>0</v>
      </c>
      <c r="CPO64" s="44">
        <f t="shared" si="170"/>
        <v>0</v>
      </c>
      <c r="CPP64" s="44">
        <f t="shared" si="170"/>
        <v>0</v>
      </c>
      <c r="CPQ64" s="44">
        <f t="shared" si="170"/>
        <v>0</v>
      </c>
      <c r="CPR64" s="44">
        <f t="shared" si="170"/>
        <v>0</v>
      </c>
      <c r="CPS64" s="44">
        <f t="shared" si="170"/>
        <v>0</v>
      </c>
      <c r="CPT64" s="44">
        <f t="shared" si="170"/>
        <v>0</v>
      </c>
      <c r="CPU64" s="44">
        <f t="shared" si="170"/>
        <v>0</v>
      </c>
      <c r="CPV64" s="44">
        <f t="shared" si="170"/>
        <v>0</v>
      </c>
      <c r="CPW64" s="44">
        <f t="shared" si="170"/>
        <v>0</v>
      </c>
      <c r="CPX64" s="44">
        <f t="shared" si="170"/>
        <v>0</v>
      </c>
      <c r="CPY64" s="44">
        <f t="shared" si="170"/>
        <v>0</v>
      </c>
      <c r="CPZ64" s="44">
        <f t="shared" si="170"/>
        <v>0</v>
      </c>
      <c r="CQA64" s="44">
        <f t="shared" si="170"/>
        <v>0</v>
      </c>
      <c r="CQB64" s="44">
        <f t="shared" si="170"/>
        <v>0</v>
      </c>
      <c r="CQC64" s="44">
        <f t="shared" si="170"/>
        <v>0</v>
      </c>
      <c r="CQD64" s="44">
        <f t="shared" si="170"/>
        <v>0</v>
      </c>
      <c r="CQE64" s="44">
        <f t="shared" si="170"/>
        <v>0</v>
      </c>
      <c r="CQF64" s="44">
        <f t="shared" si="170"/>
        <v>0</v>
      </c>
      <c r="CQG64" s="44">
        <f t="shared" si="170"/>
        <v>0</v>
      </c>
      <c r="CQH64" s="44">
        <f t="shared" si="170"/>
        <v>0</v>
      </c>
      <c r="CQI64" s="44">
        <f t="shared" si="170"/>
        <v>0</v>
      </c>
      <c r="CQJ64" s="44">
        <f t="shared" si="170"/>
        <v>0</v>
      </c>
      <c r="CQK64" s="44">
        <f t="shared" si="170"/>
        <v>0</v>
      </c>
      <c r="CQL64" s="44">
        <f t="shared" si="170"/>
        <v>0</v>
      </c>
      <c r="CQM64" s="44">
        <f t="shared" si="170"/>
        <v>0</v>
      </c>
      <c r="CQN64" s="44">
        <f t="shared" si="170"/>
        <v>0</v>
      </c>
      <c r="CQO64" s="44">
        <f t="shared" si="170"/>
        <v>0</v>
      </c>
      <c r="CQP64" s="44">
        <f t="shared" si="170"/>
        <v>0</v>
      </c>
      <c r="CQQ64" s="44">
        <f t="shared" si="170"/>
        <v>0</v>
      </c>
      <c r="CQR64" s="44">
        <f t="shared" si="170"/>
        <v>0</v>
      </c>
      <c r="CQS64" s="44">
        <f t="shared" si="170"/>
        <v>0</v>
      </c>
      <c r="CQT64" s="44">
        <f t="shared" si="170"/>
        <v>0</v>
      </c>
      <c r="CQU64" s="44">
        <f t="shared" si="170"/>
        <v>0</v>
      </c>
      <c r="CQV64" s="44">
        <f t="shared" si="170"/>
        <v>0</v>
      </c>
      <c r="CQW64" s="44">
        <f t="shared" si="170"/>
        <v>0</v>
      </c>
      <c r="CQX64" s="44">
        <f t="shared" si="170"/>
        <v>0</v>
      </c>
      <c r="CQY64" s="44">
        <f t="shared" si="170"/>
        <v>0</v>
      </c>
      <c r="CQZ64" s="44">
        <f t="shared" si="170"/>
        <v>0</v>
      </c>
      <c r="CRA64" s="44">
        <f t="shared" si="170"/>
        <v>0</v>
      </c>
      <c r="CRB64" s="44">
        <f t="shared" si="170"/>
        <v>0</v>
      </c>
      <c r="CRC64" s="44">
        <f t="shared" si="170"/>
        <v>0</v>
      </c>
      <c r="CRD64" s="44">
        <f t="shared" si="170"/>
        <v>0</v>
      </c>
      <c r="CRE64" s="44">
        <f t="shared" si="170"/>
        <v>0</v>
      </c>
      <c r="CRF64" s="44">
        <f t="shared" si="170"/>
        <v>0</v>
      </c>
      <c r="CRG64" s="44">
        <f t="shared" si="170"/>
        <v>0</v>
      </c>
      <c r="CRH64" s="44">
        <f t="shared" si="170"/>
        <v>0</v>
      </c>
      <c r="CRI64" s="44">
        <f t="shared" si="170"/>
        <v>0</v>
      </c>
      <c r="CRJ64" s="44">
        <f t="shared" si="170"/>
        <v>0</v>
      </c>
      <c r="CRK64" s="44">
        <f t="shared" si="170"/>
        <v>0</v>
      </c>
      <c r="CRL64" s="44">
        <f t="shared" si="170"/>
        <v>0</v>
      </c>
      <c r="CRM64" s="44">
        <f t="shared" si="170"/>
        <v>0</v>
      </c>
      <c r="CRN64" s="44">
        <f t="shared" si="170"/>
        <v>0</v>
      </c>
      <c r="CRO64" s="44">
        <f t="shared" si="170"/>
        <v>0</v>
      </c>
      <c r="CRP64" s="44">
        <f t="shared" si="170"/>
        <v>0</v>
      </c>
      <c r="CRQ64" s="44">
        <f t="shared" si="170"/>
        <v>0</v>
      </c>
      <c r="CRR64" s="44">
        <f t="shared" si="170"/>
        <v>0</v>
      </c>
      <c r="CRS64" s="44">
        <f t="shared" si="170"/>
        <v>0</v>
      </c>
      <c r="CRT64" s="44">
        <f t="shared" si="170"/>
        <v>0</v>
      </c>
      <c r="CRU64" s="44">
        <f t="shared" si="170"/>
        <v>0</v>
      </c>
      <c r="CRV64" s="44">
        <f t="shared" ref="CRV64:CUG64" si="171">SUM(CRV56:CRV57)</f>
        <v>0</v>
      </c>
      <c r="CRW64" s="44">
        <f t="shared" si="171"/>
        <v>0</v>
      </c>
      <c r="CRX64" s="44">
        <f t="shared" si="171"/>
        <v>0</v>
      </c>
      <c r="CRY64" s="44">
        <f t="shared" si="171"/>
        <v>0</v>
      </c>
      <c r="CRZ64" s="44">
        <f t="shared" si="171"/>
        <v>0</v>
      </c>
      <c r="CSA64" s="44">
        <f t="shared" si="171"/>
        <v>0</v>
      </c>
      <c r="CSB64" s="44">
        <f t="shared" si="171"/>
        <v>0</v>
      </c>
      <c r="CSC64" s="44">
        <f t="shared" si="171"/>
        <v>0</v>
      </c>
      <c r="CSD64" s="44">
        <f t="shared" si="171"/>
        <v>0</v>
      </c>
      <c r="CSE64" s="44">
        <f t="shared" si="171"/>
        <v>0</v>
      </c>
      <c r="CSF64" s="44">
        <f t="shared" si="171"/>
        <v>0</v>
      </c>
      <c r="CSG64" s="44">
        <f t="shared" si="171"/>
        <v>0</v>
      </c>
      <c r="CSH64" s="44">
        <f t="shared" si="171"/>
        <v>0</v>
      </c>
      <c r="CSI64" s="44">
        <f t="shared" si="171"/>
        <v>0</v>
      </c>
      <c r="CSJ64" s="44">
        <f t="shared" si="171"/>
        <v>0</v>
      </c>
      <c r="CSK64" s="44">
        <f t="shared" si="171"/>
        <v>0</v>
      </c>
      <c r="CSL64" s="44">
        <f t="shared" si="171"/>
        <v>0</v>
      </c>
      <c r="CSM64" s="44">
        <f t="shared" si="171"/>
        <v>0</v>
      </c>
      <c r="CSN64" s="44">
        <f t="shared" si="171"/>
        <v>0</v>
      </c>
      <c r="CSO64" s="44">
        <f t="shared" si="171"/>
        <v>0</v>
      </c>
      <c r="CSP64" s="44">
        <f t="shared" si="171"/>
        <v>0</v>
      </c>
      <c r="CSQ64" s="44">
        <f t="shared" si="171"/>
        <v>0</v>
      </c>
      <c r="CSR64" s="44">
        <f t="shared" si="171"/>
        <v>0</v>
      </c>
      <c r="CSS64" s="44">
        <f t="shared" si="171"/>
        <v>0</v>
      </c>
      <c r="CST64" s="44">
        <f t="shared" si="171"/>
        <v>0</v>
      </c>
      <c r="CSU64" s="44">
        <f t="shared" si="171"/>
        <v>0</v>
      </c>
      <c r="CSV64" s="44">
        <f t="shared" si="171"/>
        <v>0</v>
      </c>
      <c r="CSW64" s="44">
        <f t="shared" si="171"/>
        <v>0</v>
      </c>
      <c r="CSX64" s="44">
        <f t="shared" si="171"/>
        <v>0</v>
      </c>
      <c r="CSY64" s="44">
        <f t="shared" si="171"/>
        <v>0</v>
      </c>
      <c r="CSZ64" s="44">
        <f t="shared" si="171"/>
        <v>0</v>
      </c>
      <c r="CTA64" s="44">
        <f t="shared" si="171"/>
        <v>0</v>
      </c>
      <c r="CTB64" s="44">
        <f t="shared" si="171"/>
        <v>0</v>
      </c>
      <c r="CTC64" s="44">
        <f t="shared" si="171"/>
        <v>0</v>
      </c>
      <c r="CTD64" s="44">
        <f t="shared" si="171"/>
        <v>0</v>
      </c>
      <c r="CTE64" s="44">
        <f t="shared" si="171"/>
        <v>0</v>
      </c>
      <c r="CTF64" s="44">
        <f t="shared" si="171"/>
        <v>0</v>
      </c>
      <c r="CTG64" s="44">
        <f t="shared" si="171"/>
        <v>0</v>
      </c>
      <c r="CTH64" s="44">
        <f t="shared" si="171"/>
        <v>0</v>
      </c>
      <c r="CTI64" s="44">
        <f t="shared" si="171"/>
        <v>0</v>
      </c>
      <c r="CTJ64" s="44">
        <f t="shared" si="171"/>
        <v>0</v>
      </c>
      <c r="CTK64" s="44">
        <f t="shared" si="171"/>
        <v>0</v>
      </c>
      <c r="CTL64" s="44">
        <f t="shared" si="171"/>
        <v>0</v>
      </c>
      <c r="CTM64" s="44">
        <f t="shared" si="171"/>
        <v>0</v>
      </c>
      <c r="CTN64" s="44">
        <f t="shared" si="171"/>
        <v>0</v>
      </c>
      <c r="CTO64" s="44">
        <f t="shared" si="171"/>
        <v>0</v>
      </c>
      <c r="CTP64" s="44">
        <f t="shared" si="171"/>
        <v>0</v>
      </c>
      <c r="CTQ64" s="44">
        <f t="shared" si="171"/>
        <v>0</v>
      </c>
      <c r="CTR64" s="44">
        <f t="shared" si="171"/>
        <v>0</v>
      </c>
      <c r="CTS64" s="44">
        <f t="shared" si="171"/>
        <v>0</v>
      </c>
      <c r="CTT64" s="44">
        <f t="shared" si="171"/>
        <v>0</v>
      </c>
      <c r="CTU64" s="44">
        <f t="shared" si="171"/>
        <v>0</v>
      </c>
      <c r="CTV64" s="44">
        <f t="shared" si="171"/>
        <v>0</v>
      </c>
      <c r="CTW64" s="44">
        <f t="shared" si="171"/>
        <v>0</v>
      </c>
      <c r="CTX64" s="44">
        <f t="shared" si="171"/>
        <v>0</v>
      </c>
      <c r="CTY64" s="44">
        <f t="shared" si="171"/>
        <v>0</v>
      </c>
      <c r="CTZ64" s="44">
        <f t="shared" si="171"/>
        <v>0</v>
      </c>
      <c r="CUA64" s="44">
        <f t="shared" si="171"/>
        <v>0</v>
      </c>
      <c r="CUB64" s="44">
        <f t="shared" si="171"/>
        <v>0</v>
      </c>
      <c r="CUC64" s="44">
        <f t="shared" si="171"/>
        <v>0</v>
      </c>
      <c r="CUD64" s="44">
        <f t="shared" si="171"/>
        <v>0</v>
      </c>
      <c r="CUE64" s="44">
        <f t="shared" si="171"/>
        <v>0</v>
      </c>
      <c r="CUF64" s="44">
        <f t="shared" si="171"/>
        <v>0</v>
      </c>
      <c r="CUG64" s="44">
        <f t="shared" si="171"/>
        <v>0</v>
      </c>
      <c r="CUH64" s="44">
        <f t="shared" ref="CUH64:CWS64" si="172">SUM(CUH56:CUH57)</f>
        <v>0</v>
      </c>
      <c r="CUI64" s="44">
        <f t="shared" si="172"/>
        <v>0</v>
      </c>
      <c r="CUJ64" s="44">
        <f t="shared" si="172"/>
        <v>0</v>
      </c>
      <c r="CUK64" s="44">
        <f t="shared" si="172"/>
        <v>0</v>
      </c>
      <c r="CUL64" s="44">
        <f t="shared" si="172"/>
        <v>0</v>
      </c>
      <c r="CUM64" s="44">
        <f t="shared" si="172"/>
        <v>0</v>
      </c>
      <c r="CUN64" s="44">
        <f t="shared" si="172"/>
        <v>0</v>
      </c>
      <c r="CUO64" s="44">
        <f t="shared" si="172"/>
        <v>0</v>
      </c>
      <c r="CUP64" s="44">
        <f t="shared" si="172"/>
        <v>0</v>
      </c>
      <c r="CUQ64" s="44">
        <f t="shared" si="172"/>
        <v>0</v>
      </c>
      <c r="CUR64" s="44">
        <f t="shared" si="172"/>
        <v>0</v>
      </c>
      <c r="CUS64" s="44">
        <f t="shared" si="172"/>
        <v>0</v>
      </c>
      <c r="CUT64" s="44">
        <f t="shared" si="172"/>
        <v>0</v>
      </c>
      <c r="CUU64" s="44">
        <f t="shared" si="172"/>
        <v>0</v>
      </c>
      <c r="CUV64" s="44">
        <f t="shared" si="172"/>
        <v>0</v>
      </c>
      <c r="CUW64" s="44">
        <f t="shared" si="172"/>
        <v>0</v>
      </c>
      <c r="CUX64" s="44">
        <f t="shared" si="172"/>
        <v>0</v>
      </c>
      <c r="CUY64" s="44">
        <f t="shared" si="172"/>
        <v>0</v>
      </c>
      <c r="CUZ64" s="44">
        <f t="shared" si="172"/>
        <v>0</v>
      </c>
      <c r="CVA64" s="44">
        <f t="shared" si="172"/>
        <v>0</v>
      </c>
      <c r="CVB64" s="44">
        <f t="shared" si="172"/>
        <v>0</v>
      </c>
      <c r="CVC64" s="44">
        <f t="shared" si="172"/>
        <v>0</v>
      </c>
      <c r="CVD64" s="44">
        <f t="shared" si="172"/>
        <v>0</v>
      </c>
      <c r="CVE64" s="44">
        <f t="shared" si="172"/>
        <v>0</v>
      </c>
      <c r="CVF64" s="44">
        <f t="shared" si="172"/>
        <v>0</v>
      </c>
      <c r="CVG64" s="44">
        <f t="shared" si="172"/>
        <v>0</v>
      </c>
      <c r="CVH64" s="44">
        <f t="shared" si="172"/>
        <v>0</v>
      </c>
      <c r="CVI64" s="44">
        <f t="shared" si="172"/>
        <v>0</v>
      </c>
      <c r="CVJ64" s="44">
        <f t="shared" si="172"/>
        <v>0</v>
      </c>
      <c r="CVK64" s="44">
        <f t="shared" si="172"/>
        <v>0</v>
      </c>
      <c r="CVL64" s="44">
        <f t="shared" si="172"/>
        <v>0</v>
      </c>
      <c r="CVM64" s="44">
        <f t="shared" si="172"/>
        <v>0</v>
      </c>
      <c r="CVN64" s="44">
        <f t="shared" si="172"/>
        <v>0</v>
      </c>
      <c r="CVO64" s="44">
        <f t="shared" si="172"/>
        <v>0</v>
      </c>
      <c r="CVP64" s="44">
        <f t="shared" si="172"/>
        <v>0</v>
      </c>
      <c r="CVQ64" s="44">
        <f t="shared" si="172"/>
        <v>0</v>
      </c>
      <c r="CVR64" s="44">
        <f t="shared" si="172"/>
        <v>0</v>
      </c>
      <c r="CVS64" s="44">
        <f t="shared" si="172"/>
        <v>0</v>
      </c>
      <c r="CVT64" s="44">
        <f t="shared" si="172"/>
        <v>0</v>
      </c>
      <c r="CVU64" s="44">
        <f t="shared" si="172"/>
        <v>0</v>
      </c>
      <c r="CVV64" s="44">
        <f t="shared" si="172"/>
        <v>0</v>
      </c>
      <c r="CVW64" s="44">
        <f t="shared" si="172"/>
        <v>0</v>
      </c>
      <c r="CVX64" s="44">
        <f t="shared" si="172"/>
        <v>0</v>
      </c>
      <c r="CVY64" s="44">
        <f t="shared" si="172"/>
        <v>0</v>
      </c>
      <c r="CVZ64" s="44">
        <f t="shared" si="172"/>
        <v>0</v>
      </c>
      <c r="CWA64" s="44">
        <f t="shared" si="172"/>
        <v>0</v>
      </c>
      <c r="CWB64" s="44">
        <f t="shared" si="172"/>
        <v>0</v>
      </c>
      <c r="CWC64" s="44">
        <f t="shared" si="172"/>
        <v>0</v>
      </c>
      <c r="CWD64" s="44">
        <f t="shared" si="172"/>
        <v>0</v>
      </c>
      <c r="CWE64" s="44">
        <f t="shared" si="172"/>
        <v>0</v>
      </c>
      <c r="CWF64" s="44">
        <f t="shared" si="172"/>
        <v>0</v>
      </c>
      <c r="CWG64" s="44">
        <f t="shared" si="172"/>
        <v>0</v>
      </c>
      <c r="CWH64" s="44">
        <f t="shared" si="172"/>
        <v>0</v>
      </c>
      <c r="CWI64" s="44">
        <f t="shared" si="172"/>
        <v>0</v>
      </c>
      <c r="CWJ64" s="44">
        <f t="shared" si="172"/>
        <v>0</v>
      </c>
      <c r="CWK64" s="44">
        <f t="shared" si="172"/>
        <v>0</v>
      </c>
      <c r="CWL64" s="44">
        <f t="shared" si="172"/>
        <v>0</v>
      </c>
      <c r="CWM64" s="44">
        <f t="shared" si="172"/>
        <v>0</v>
      </c>
      <c r="CWN64" s="44">
        <f t="shared" si="172"/>
        <v>0</v>
      </c>
      <c r="CWO64" s="44">
        <f t="shared" si="172"/>
        <v>0</v>
      </c>
      <c r="CWP64" s="44">
        <f t="shared" si="172"/>
        <v>0</v>
      </c>
      <c r="CWQ64" s="44">
        <f t="shared" si="172"/>
        <v>0</v>
      </c>
      <c r="CWR64" s="44">
        <f t="shared" si="172"/>
        <v>0</v>
      </c>
      <c r="CWS64" s="44">
        <f t="shared" si="172"/>
        <v>0</v>
      </c>
      <c r="CWT64" s="44">
        <f t="shared" ref="CWT64:CZE64" si="173">SUM(CWT56:CWT57)</f>
        <v>0</v>
      </c>
      <c r="CWU64" s="44">
        <f t="shared" si="173"/>
        <v>0</v>
      </c>
      <c r="CWV64" s="44">
        <f t="shared" si="173"/>
        <v>0</v>
      </c>
      <c r="CWW64" s="44">
        <f t="shared" si="173"/>
        <v>0</v>
      </c>
      <c r="CWX64" s="44">
        <f t="shared" si="173"/>
        <v>0</v>
      </c>
      <c r="CWY64" s="44">
        <f t="shared" si="173"/>
        <v>0</v>
      </c>
      <c r="CWZ64" s="44">
        <f t="shared" si="173"/>
        <v>0</v>
      </c>
      <c r="CXA64" s="44">
        <f t="shared" si="173"/>
        <v>0</v>
      </c>
      <c r="CXB64" s="44">
        <f t="shared" si="173"/>
        <v>0</v>
      </c>
      <c r="CXC64" s="44">
        <f t="shared" si="173"/>
        <v>0</v>
      </c>
      <c r="CXD64" s="44">
        <f t="shared" si="173"/>
        <v>0</v>
      </c>
      <c r="CXE64" s="44">
        <f t="shared" si="173"/>
        <v>0</v>
      </c>
      <c r="CXF64" s="44">
        <f t="shared" si="173"/>
        <v>0</v>
      </c>
      <c r="CXG64" s="44">
        <f t="shared" si="173"/>
        <v>0</v>
      </c>
      <c r="CXH64" s="44">
        <f t="shared" si="173"/>
        <v>0</v>
      </c>
      <c r="CXI64" s="44">
        <f t="shared" si="173"/>
        <v>0</v>
      </c>
      <c r="CXJ64" s="44">
        <f t="shared" si="173"/>
        <v>0</v>
      </c>
      <c r="CXK64" s="44">
        <f t="shared" si="173"/>
        <v>0</v>
      </c>
      <c r="CXL64" s="44">
        <f t="shared" si="173"/>
        <v>0</v>
      </c>
      <c r="CXM64" s="44">
        <f t="shared" si="173"/>
        <v>0</v>
      </c>
      <c r="CXN64" s="44">
        <f t="shared" si="173"/>
        <v>0</v>
      </c>
      <c r="CXO64" s="44">
        <f t="shared" si="173"/>
        <v>0</v>
      </c>
      <c r="CXP64" s="44">
        <f t="shared" si="173"/>
        <v>0</v>
      </c>
      <c r="CXQ64" s="44">
        <f t="shared" si="173"/>
        <v>0</v>
      </c>
      <c r="CXR64" s="44">
        <f t="shared" si="173"/>
        <v>0</v>
      </c>
      <c r="CXS64" s="44">
        <f t="shared" si="173"/>
        <v>0</v>
      </c>
      <c r="CXT64" s="44">
        <f t="shared" si="173"/>
        <v>0</v>
      </c>
      <c r="CXU64" s="44">
        <f t="shared" si="173"/>
        <v>0</v>
      </c>
      <c r="CXV64" s="44">
        <f t="shared" si="173"/>
        <v>0</v>
      </c>
      <c r="CXW64" s="44">
        <f t="shared" si="173"/>
        <v>0</v>
      </c>
      <c r="CXX64" s="44">
        <f t="shared" si="173"/>
        <v>0</v>
      </c>
      <c r="CXY64" s="44">
        <f t="shared" si="173"/>
        <v>0</v>
      </c>
      <c r="CXZ64" s="44">
        <f t="shared" si="173"/>
        <v>0</v>
      </c>
      <c r="CYA64" s="44">
        <f t="shared" si="173"/>
        <v>0</v>
      </c>
      <c r="CYB64" s="44">
        <f t="shared" si="173"/>
        <v>0</v>
      </c>
      <c r="CYC64" s="44">
        <f t="shared" si="173"/>
        <v>0</v>
      </c>
      <c r="CYD64" s="44">
        <f t="shared" si="173"/>
        <v>0</v>
      </c>
      <c r="CYE64" s="44">
        <f t="shared" si="173"/>
        <v>0</v>
      </c>
      <c r="CYF64" s="44">
        <f t="shared" si="173"/>
        <v>0</v>
      </c>
      <c r="CYG64" s="44">
        <f t="shared" si="173"/>
        <v>0</v>
      </c>
      <c r="CYH64" s="44">
        <f t="shared" si="173"/>
        <v>0</v>
      </c>
      <c r="CYI64" s="44">
        <f t="shared" si="173"/>
        <v>0</v>
      </c>
      <c r="CYJ64" s="44">
        <f t="shared" si="173"/>
        <v>0</v>
      </c>
      <c r="CYK64" s="44">
        <f t="shared" si="173"/>
        <v>0</v>
      </c>
      <c r="CYL64" s="44">
        <f t="shared" si="173"/>
        <v>0</v>
      </c>
      <c r="CYM64" s="44">
        <f t="shared" si="173"/>
        <v>0</v>
      </c>
      <c r="CYN64" s="44">
        <f t="shared" si="173"/>
        <v>0</v>
      </c>
      <c r="CYO64" s="44">
        <f t="shared" si="173"/>
        <v>0</v>
      </c>
      <c r="CYP64" s="44">
        <f t="shared" si="173"/>
        <v>0</v>
      </c>
      <c r="CYQ64" s="44">
        <f t="shared" si="173"/>
        <v>0</v>
      </c>
      <c r="CYR64" s="44">
        <f t="shared" si="173"/>
        <v>0</v>
      </c>
      <c r="CYS64" s="44">
        <f t="shared" si="173"/>
        <v>0</v>
      </c>
      <c r="CYT64" s="44">
        <f t="shared" si="173"/>
        <v>0</v>
      </c>
      <c r="CYU64" s="44">
        <f t="shared" si="173"/>
        <v>0</v>
      </c>
      <c r="CYV64" s="44">
        <f t="shared" si="173"/>
        <v>0</v>
      </c>
      <c r="CYW64" s="44">
        <f t="shared" si="173"/>
        <v>0</v>
      </c>
      <c r="CYX64" s="44">
        <f t="shared" si="173"/>
        <v>0</v>
      </c>
      <c r="CYY64" s="44">
        <f t="shared" si="173"/>
        <v>0</v>
      </c>
      <c r="CYZ64" s="44">
        <f t="shared" si="173"/>
        <v>0</v>
      </c>
      <c r="CZA64" s="44">
        <f t="shared" si="173"/>
        <v>0</v>
      </c>
      <c r="CZB64" s="44">
        <f t="shared" si="173"/>
        <v>0</v>
      </c>
      <c r="CZC64" s="44">
        <f t="shared" si="173"/>
        <v>0</v>
      </c>
      <c r="CZD64" s="44">
        <f t="shared" si="173"/>
        <v>0</v>
      </c>
      <c r="CZE64" s="44">
        <f t="shared" si="173"/>
        <v>0</v>
      </c>
      <c r="CZF64" s="44">
        <f t="shared" ref="CZF64:DBQ64" si="174">SUM(CZF56:CZF57)</f>
        <v>0</v>
      </c>
      <c r="CZG64" s="44">
        <f t="shared" si="174"/>
        <v>0</v>
      </c>
      <c r="CZH64" s="44">
        <f t="shared" si="174"/>
        <v>0</v>
      </c>
      <c r="CZI64" s="44">
        <f t="shared" si="174"/>
        <v>0</v>
      </c>
      <c r="CZJ64" s="44">
        <f t="shared" si="174"/>
        <v>0</v>
      </c>
      <c r="CZK64" s="44">
        <f t="shared" si="174"/>
        <v>0</v>
      </c>
      <c r="CZL64" s="44">
        <f t="shared" si="174"/>
        <v>0</v>
      </c>
      <c r="CZM64" s="44">
        <f t="shared" si="174"/>
        <v>0</v>
      </c>
      <c r="CZN64" s="44">
        <f t="shared" si="174"/>
        <v>0</v>
      </c>
      <c r="CZO64" s="44">
        <f t="shared" si="174"/>
        <v>0</v>
      </c>
      <c r="CZP64" s="44">
        <f t="shared" si="174"/>
        <v>0</v>
      </c>
      <c r="CZQ64" s="44">
        <f t="shared" si="174"/>
        <v>0</v>
      </c>
      <c r="CZR64" s="44">
        <f t="shared" si="174"/>
        <v>0</v>
      </c>
      <c r="CZS64" s="44">
        <f t="shared" si="174"/>
        <v>0</v>
      </c>
      <c r="CZT64" s="44">
        <f t="shared" si="174"/>
        <v>0</v>
      </c>
      <c r="CZU64" s="44">
        <f t="shared" si="174"/>
        <v>0</v>
      </c>
      <c r="CZV64" s="44">
        <f t="shared" si="174"/>
        <v>0</v>
      </c>
      <c r="CZW64" s="44">
        <f t="shared" si="174"/>
        <v>0</v>
      </c>
      <c r="CZX64" s="44">
        <f t="shared" si="174"/>
        <v>0</v>
      </c>
      <c r="CZY64" s="44">
        <f t="shared" si="174"/>
        <v>0</v>
      </c>
      <c r="CZZ64" s="44">
        <f t="shared" si="174"/>
        <v>0</v>
      </c>
      <c r="DAA64" s="44">
        <f t="shared" si="174"/>
        <v>0</v>
      </c>
      <c r="DAB64" s="44">
        <f t="shared" si="174"/>
        <v>0</v>
      </c>
      <c r="DAC64" s="44">
        <f t="shared" si="174"/>
        <v>0</v>
      </c>
      <c r="DAD64" s="44">
        <f t="shared" si="174"/>
        <v>0</v>
      </c>
      <c r="DAE64" s="44">
        <f t="shared" si="174"/>
        <v>0</v>
      </c>
      <c r="DAF64" s="44">
        <f t="shared" si="174"/>
        <v>0</v>
      </c>
      <c r="DAG64" s="44">
        <f t="shared" si="174"/>
        <v>0</v>
      </c>
      <c r="DAH64" s="44">
        <f t="shared" si="174"/>
        <v>0</v>
      </c>
      <c r="DAI64" s="44">
        <f t="shared" si="174"/>
        <v>0</v>
      </c>
      <c r="DAJ64" s="44">
        <f t="shared" si="174"/>
        <v>0</v>
      </c>
      <c r="DAK64" s="44">
        <f t="shared" si="174"/>
        <v>0</v>
      </c>
      <c r="DAL64" s="44">
        <f t="shared" si="174"/>
        <v>0</v>
      </c>
      <c r="DAM64" s="44">
        <f t="shared" si="174"/>
        <v>0</v>
      </c>
      <c r="DAN64" s="44">
        <f t="shared" si="174"/>
        <v>0</v>
      </c>
      <c r="DAO64" s="44">
        <f t="shared" si="174"/>
        <v>0</v>
      </c>
      <c r="DAP64" s="44">
        <f t="shared" si="174"/>
        <v>0</v>
      </c>
      <c r="DAQ64" s="44">
        <f t="shared" si="174"/>
        <v>0</v>
      </c>
      <c r="DAR64" s="44">
        <f t="shared" si="174"/>
        <v>0</v>
      </c>
      <c r="DAS64" s="44">
        <f t="shared" si="174"/>
        <v>0</v>
      </c>
      <c r="DAT64" s="44">
        <f t="shared" si="174"/>
        <v>0</v>
      </c>
      <c r="DAU64" s="44">
        <f t="shared" si="174"/>
        <v>0</v>
      </c>
      <c r="DAV64" s="44">
        <f t="shared" si="174"/>
        <v>0</v>
      </c>
      <c r="DAW64" s="44">
        <f t="shared" si="174"/>
        <v>0</v>
      </c>
      <c r="DAX64" s="44">
        <f t="shared" si="174"/>
        <v>0</v>
      </c>
      <c r="DAY64" s="44">
        <f t="shared" si="174"/>
        <v>0</v>
      </c>
      <c r="DAZ64" s="44">
        <f t="shared" si="174"/>
        <v>0</v>
      </c>
      <c r="DBA64" s="44">
        <f t="shared" si="174"/>
        <v>0</v>
      </c>
      <c r="DBB64" s="44">
        <f t="shared" si="174"/>
        <v>0</v>
      </c>
      <c r="DBC64" s="44">
        <f t="shared" si="174"/>
        <v>0</v>
      </c>
      <c r="DBD64" s="44">
        <f t="shared" si="174"/>
        <v>0</v>
      </c>
      <c r="DBE64" s="44">
        <f t="shared" si="174"/>
        <v>0</v>
      </c>
      <c r="DBF64" s="44">
        <f t="shared" si="174"/>
        <v>0</v>
      </c>
      <c r="DBG64" s="44">
        <f t="shared" si="174"/>
        <v>0</v>
      </c>
      <c r="DBH64" s="44">
        <f t="shared" si="174"/>
        <v>0</v>
      </c>
      <c r="DBI64" s="44">
        <f t="shared" si="174"/>
        <v>0</v>
      </c>
      <c r="DBJ64" s="44">
        <f t="shared" si="174"/>
        <v>0</v>
      </c>
      <c r="DBK64" s="44">
        <f t="shared" si="174"/>
        <v>0</v>
      </c>
      <c r="DBL64" s="44">
        <f t="shared" si="174"/>
        <v>0</v>
      </c>
      <c r="DBM64" s="44">
        <f t="shared" si="174"/>
        <v>0</v>
      </c>
      <c r="DBN64" s="44">
        <f t="shared" si="174"/>
        <v>0</v>
      </c>
      <c r="DBO64" s="44">
        <f t="shared" si="174"/>
        <v>0</v>
      </c>
      <c r="DBP64" s="44">
        <f t="shared" si="174"/>
        <v>0</v>
      </c>
      <c r="DBQ64" s="44">
        <f t="shared" si="174"/>
        <v>0</v>
      </c>
      <c r="DBR64" s="44">
        <f t="shared" ref="DBR64:DEC64" si="175">SUM(DBR56:DBR57)</f>
        <v>0</v>
      </c>
      <c r="DBS64" s="44">
        <f t="shared" si="175"/>
        <v>0</v>
      </c>
      <c r="DBT64" s="44">
        <f t="shared" si="175"/>
        <v>0</v>
      </c>
      <c r="DBU64" s="44">
        <f t="shared" si="175"/>
        <v>0</v>
      </c>
      <c r="DBV64" s="44">
        <f t="shared" si="175"/>
        <v>0</v>
      </c>
      <c r="DBW64" s="44">
        <f t="shared" si="175"/>
        <v>0</v>
      </c>
      <c r="DBX64" s="44">
        <f t="shared" si="175"/>
        <v>0</v>
      </c>
      <c r="DBY64" s="44">
        <f t="shared" si="175"/>
        <v>0</v>
      </c>
      <c r="DBZ64" s="44">
        <f t="shared" si="175"/>
        <v>0</v>
      </c>
      <c r="DCA64" s="44">
        <f t="shared" si="175"/>
        <v>0</v>
      </c>
      <c r="DCB64" s="44">
        <f t="shared" si="175"/>
        <v>0</v>
      </c>
      <c r="DCC64" s="44">
        <f t="shared" si="175"/>
        <v>0</v>
      </c>
      <c r="DCD64" s="44">
        <f t="shared" si="175"/>
        <v>0</v>
      </c>
      <c r="DCE64" s="44">
        <f t="shared" si="175"/>
        <v>0</v>
      </c>
      <c r="DCF64" s="44">
        <f t="shared" si="175"/>
        <v>0</v>
      </c>
      <c r="DCG64" s="44">
        <f t="shared" si="175"/>
        <v>0</v>
      </c>
      <c r="DCH64" s="44">
        <f t="shared" si="175"/>
        <v>0</v>
      </c>
      <c r="DCI64" s="44">
        <f t="shared" si="175"/>
        <v>0</v>
      </c>
      <c r="DCJ64" s="44">
        <f t="shared" si="175"/>
        <v>0</v>
      </c>
      <c r="DCK64" s="44">
        <f t="shared" si="175"/>
        <v>0</v>
      </c>
      <c r="DCL64" s="44">
        <f t="shared" si="175"/>
        <v>0</v>
      </c>
      <c r="DCM64" s="44">
        <f t="shared" si="175"/>
        <v>0</v>
      </c>
      <c r="DCN64" s="44">
        <f t="shared" si="175"/>
        <v>0</v>
      </c>
      <c r="DCO64" s="44">
        <f t="shared" si="175"/>
        <v>0</v>
      </c>
      <c r="DCP64" s="44">
        <f t="shared" si="175"/>
        <v>0</v>
      </c>
      <c r="DCQ64" s="44">
        <f t="shared" si="175"/>
        <v>0</v>
      </c>
      <c r="DCR64" s="44">
        <f t="shared" si="175"/>
        <v>0</v>
      </c>
      <c r="DCS64" s="44">
        <f t="shared" si="175"/>
        <v>0</v>
      </c>
      <c r="DCT64" s="44">
        <f t="shared" si="175"/>
        <v>0</v>
      </c>
      <c r="DCU64" s="44">
        <f t="shared" si="175"/>
        <v>0</v>
      </c>
      <c r="DCV64" s="44">
        <f t="shared" si="175"/>
        <v>0</v>
      </c>
      <c r="DCW64" s="44">
        <f t="shared" si="175"/>
        <v>0</v>
      </c>
      <c r="DCX64" s="44">
        <f t="shared" si="175"/>
        <v>0</v>
      </c>
      <c r="DCY64" s="44">
        <f t="shared" si="175"/>
        <v>0</v>
      </c>
      <c r="DCZ64" s="44">
        <f t="shared" si="175"/>
        <v>0</v>
      </c>
      <c r="DDA64" s="44">
        <f t="shared" si="175"/>
        <v>0</v>
      </c>
      <c r="DDB64" s="44">
        <f t="shared" si="175"/>
        <v>0</v>
      </c>
      <c r="DDC64" s="44">
        <f t="shared" si="175"/>
        <v>0</v>
      </c>
      <c r="DDD64" s="44">
        <f t="shared" si="175"/>
        <v>0</v>
      </c>
      <c r="DDE64" s="44">
        <f t="shared" si="175"/>
        <v>0</v>
      </c>
      <c r="DDF64" s="44">
        <f t="shared" si="175"/>
        <v>0</v>
      </c>
      <c r="DDG64" s="44">
        <f t="shared" si="175"/>
        <v>0</v>
      </c>
      <c r="DDH64" s="44">
        <f t="shared" si="175"/>
        <v>0</v>
      </c>
      <c r="DDI64" s="44">
        <f t="shared" si="175"/>
        <v>0</v>
      </c>
      <c r="DDJ64" s="44">
        <f t="shared" si="175"/>
        <v>0</v>
      </c>
      <c r="DDK64" s="44">
        <f t="shared" si="175"/>
        <v>0</v>
      </c>
      <c r="DDL64" s="44">
        <f t="shared" si="175"/>
        <v>0</v>
      </c>
      <c r="DDM64" s="44">
        <f t="shared" si="175"/>
        <v>0</v>
      </c>
      <c r="DDN64" s="44">
        <f t="shared" si="175"/>
        <v>0</v>
      </c>
      <c r="DDO64" s="44">
        <f t="shared" si="175"/>
        <v>0</v>
      </c>
      <c r="DDP64" s="44">
        <f t="shared" si="175"/>
        <v>0</v>
      </c>
      <c r="DDQ64" s="44">
        <f t="shared" si="175"/>
        <v>0</v>
      </c>
      <c r="DDR64" s="44">
        <f t="shared" si="175"/>
        <v>0</v>
      </c>
      <c r="DDS64" s="44">
        <f t="shared" si="175"/>
        <v>0</v>
      </c>
      <c r="DDT64" s="44">
        <f t="shared" si="175"/>
        <v>0</v>
      </c>
      <c r="DDU64" s="44">
        <f t="shared" si="175"/>
        <v>0</v>
      </c>
      <c r="DDV64" s="44">
        <f t="shared" si="175"/>
        <v>0</v>
      </c>
      <c r="DDW64" s="44">
        <f t="shared" si="175"/>
        <v>0</v>
      </c>
      <c r="DDX64" s="44">
        <f t="shared" si="175"/>
        <v>0</v>
      </c>
      <c r="DDY64" s="44">
        <f t="shared" si="175"/>
        <v>0</v>
      </c>
      <c r="DDZ64" s="44">
        <f t="shared" si="175"/>
        <v>0</v>
      </c>
      <c r="DEA64" s="44">
        <f t="shared" si="175"/>
        <v>0</v>
      </c>
      <c r="DEB64" s="44">
        <f t="shared" si="175"/>
        <v>0</v>
      </c>
      <c r="DEC64" s="44">
        <f t="shared" si="175"/>
        <v>0</v>
      </c>
      <c r="DED64" s="44">
        <f t="shared" ref="DED64:DGO64" si="176">SUM(DED56:DED57)</f>
        <v>0</v>
      </c>
      <c r="DEE64" s="44">
        <f t="shared" si="176"/>
        <v>0</v>
      </c>
      <c r="DEF64" s="44">
        <f t="shared" si="176"/>
        <v>0</v>
      </c>
      <c r="DEG64" s="44">
        <f t="shared" si="176"/>
        <v>0</v>
      </c>
      <c r="DEH64" s="44">
        <f t="shared" si="176"/>
        <v>0</v>
      </c>
      <c r="DEI64" s="44">
        <f t="shared" si="176"/>
        <v>0</v>
      </c>
      <c r="DEJ64" s="44">
        <f t="shared" si="176"/>
        <v>0</v>
      </c>
      <c r="DEK64" s="44">
        <f t="shared" si="176"/>
        <v>0</v>
      </c>
      <c r="DEL64" s="44">
        <f t="shared" si="176"/>
        <v>0</v>
      </c>
      <c r="DEM64" s="44">
        <f t="shared" si="176"/>
        <v>0</v>
      </c>
      <c r="DEN64" s="44">
        <f t="shared" si="176"/>
        <v>0</v>
      </c>
      <c r="DEO64" s="44">
        <f t="shared" si="176"/>
        <v>0</v>
      </c>
      <c r="DEP64" s="44">
        <f t="shared" si="176"/>
        <v>0</v>
      </c>
      <c r="DEQ64" s="44">
        <f t="shared" si="176"/>
        <v>0</v>
      </c>
      <c r="DER64" s="44">
        <f t="shared" si="176"/>
        <v>0</v>
      </c>
      <c r="DES64" s="44">
        <f t="shared" si="176"/>
        <v>0</v>
      </c>
      <c r="DET64" s="44">
        <f t="shared" si="176"/>
        <v>0</v>
      </c>
      <c r="DEU64" s="44">
        <f t="shared" si="176"/>
        <v>0</v>
      </c>
      <c r="DEV64" s="44">
        <f t="shared" si="176"/>
        <v>0</v>
      </c>
      <c r="DEW64" s="44">
        <f t="shared" si="176"/>
        <v>0</v>
      </c>
      <c r="DEX64" s="44">
        <f t="shared" si="176"/>
        <v>0</v>
      </c>
      <c r="DEY64" s="44">
        <f t="shared" si="176"/>
        <v>0</v>
      </c>
      <c r="DEZ64" s="44">
        <f t="shared" si="176"/>
        <v>0</v>
      </c>
      <c r="DFA64" s="44">
        <f t="shared" si="176"/>
        <v>0</v>
      </c>
      <c r="DFB64" s="44">
        <f t="shared" si="176"/>
        <v>0</v>
      </c>
      <c r="DFC64" s="44">
        <f t="shared" si="176"/>
        <v>0</v>
      </c>
      <c r="DFD64" s="44">
        <f t="shared" si="176"/>
        <v>0</v>
      </c>
      <c r="DFE64" s="44">
        <f t="shared" si="176"/>
        <v>0</v>
      </c>
      <c r="DFF64" s="44">
        <f t="shared" si="176"/>
        <v>0</v>
      </c>
      <c r="DFG64" s="44">
        <f t="shared" si="176"/>
        <v>0</v>
      </c>
      <c r="DFH64" s="44">
        <f t="shared" si="176"/>
        <v>0</v>
      </c>
      <c r="DFI64" s="44">
        <f t="shared" si="176"/>
        <v>0</v>
      </c>
      <c r="DFJ64" s="44">
        <f t="shared" si="176"/>
        <v>0</v>
      </c>
      <c r="DFK64" s="44">
        <f t="shared" si="176"/>
        <v>0</v>
      </c>
      <c r="DFL64" s="44">
        <f t="shared" si="176"/>
        <v>0</v>
      </c>
      <c r="DFM64" s="44">
        <f t="shared" si="176"/>
        <v>0</v>
      </c>
      <c r="DFN64" s="44">
        <f t="shared" si="176"/>
        <v>0</v>
      </c>
      <c r="DFO64" s="44">
        <f t="shared" si="176"/>
        <v>0</v>
      </c>
      <c r="DFP64" s="44">
        <f t="shared" si="176"/>
        <v>0</v>
      </c>
      <c r="DFQ64" s="44">
        <f t="shared" si="176"/>
        <v>0</v>
      </c>
      <c r="DFR64" s="44">
        <f t="shared" si="176"/>
        <v>0</v>
      </c>
      <c r="DFS64" s="44">
        <f t="shared" si="176"/>
        <v>0</v>
      </c>
      <c r="DFT64" s="44">
        <f t="shared" si="176"/>
        <v>0</v>
      </c>
      <c r="DFU64" s="44">
        <f t="shared" si="176"/>
        <v>0</v>
      </c>
      <c r="DFV64" s="44">
        <f t="shared" si="176"/>
        <v>0</v>
      </c>
      <c r="DFW64" s="44">
        <f t="shared" si="176"/>
        <v>0</v>
      </c>
      <c r="DFX64" s="44">
        <f t="shared" si="176"/>
        <v>0</v>
      </c>
      <c r="DFY64" s="44">
        <f t="shared" si="176"/>
        <v>0</v>
      </c>
      <c r="DFZ64" s="44">
        <f t="shared" si="176"/>
        <v>0</v>
      </c>
      <c r="DGA64" s="44">
        <f t="shared" si="176"/>
        <v>0</v>
      </c>
      <c r="DGB64" s="44">
        <f t="shared" si="176"/>
        <v>0</v>
      </c>
      <c r="DGC64" s="44">
        <f t="shared" si="176"/>
        <v>0</v>
      </c>
      <c r="DGD64" s="44">
        <f t="shared" si="176"/>
        <v>0</v>
      </c>
      <c r="DGE64" s="44">
        <f t="shared" si="176"/>
        <v>0</v>
      </c>
      <c r="DGF64" s="44">
        <f t="shared" si="176"/>
        <v>0</v>
      </c>
      <c r="DGG64" s="44">
        <f t="shared" si="176"/>
        <v>0</v>
      </c>
      <c r="DGH64" s="44">
        <f t="shared" si="176"/>
        <v>0</v>
      </c>
      <c r="DGI64" s="44">
        <f t="shared" si="176"/>
        <v>0</v>
      </c>
      <c r="DGJ64" s="44">
        <f t="shared" si="176"/>
        <v>0</v>
      </c>
      <c r="DGK64" s="44">
        <f t="shared" si="176"/>
        <v>0</v>
      </c>
      <c r="DGL64" s="44">
        <f t="shared" si="176"/>
        <v>0</v>
      </c>
      <c r="DGM64" s="44">
        <f t="shared" si="176"/>
        <v>0</v>
      </c>
      <c r="DGN64" s="44">
        <f t="shared" si="176"/>
        <v>0</v>
      </c>
      <c r="DGO64" s="44">
        <f t="shared" si="176"/>
        <v>0</v>
      </c>
      <c r="DGP64" s="44">
        <f t="shared" ref="DGP64:DJA64" si="177">SUM(DGP56:DGP57)</f>
        <v>0</v>
      </c>
      <c r="DGQ64" s="44">
        <f t="shared" si="177"/>
        <v>0</v>
      </c>
      <c r="DGR64" s="44">
        <f t="shared" si="177"/>
        <v>0</v>
      </c>
      <c r="DGS64" s="44">
        <f t="shared" si="177"/>
        <v>0</v>
      </c>
      <c r="DGT64" s="44">
        <f t="shared" si="177"/>
        <v>0</v>
      </c>
      <c r="DGU64" s="44">
        <f t="shared" si="177"/>
        <v>0</v>
      </c>
      <c r="DGV64" s="44">
        <f t="shared" si="177"/>
        <v>0</v>
      </c>
      <c r="DGW64" s="44">
        <f t="shared" si="177"/>
        <v>0</v>
      </c>
      <c r="DGX64" s="44">
        <f t="shared" si="177"/>
        <v>0</v>
      </c>
      <c r="DGY64" s="44">
        <f t="shared" si="177"/>
        <v>0</v>
      </c>
      <c r="DGZ64" s="44">
        <f t="shared" si="177"/>
        <v>0</v>
      </c>
      <c r="DHA64" s="44">
        <f t="shared" si="177"/>
        <v>0</v>
      </c>
      <c r="DHB64" s="44">
        <f t="shared" si="177"/>
        <v>0</v>
      </c>
      <c r="DHC64" s="44">
        <f t="shared" si="177"/>
        <v>0</v>
      </c>
      <c r="DHD64" s="44">
        <f t="shared" si="177"/>
        <v>0</v>
      </c>
      <c r="DHE64" s="44">
        <f t="shared" si="177"/>
        <v>0</v>
      </c>
      <c r="DHF64" s="44">
        <f t="shared" si="177"/>
        <v>0</v>
      </c>
      <c r="DHG64" s="44">
        <f t="shared" si="177"/>
        <v>0</v>
      </c>
      <c r="DHH64" s="44">
        <f t="shared" si="177"/>
        <v>0</v>
      </c>
      <c r="DHI64" s="44">
        <f t="shared" si="177"/>
        <v>0</v>
      </c>
      <c r="DHJ64" s="44">
        <f t="shared" si="177"/>
        <v>0</v>
      </c>
      <c r="DHK64" s="44">
        <f t="shared" si="177"/>
        <v>0</v>
      </c>
      <c r="DHL64" s="44">
        <f t="shared" si="177"/>
        <v>0</v>
      </c>
      <c r="DHM64" s="44">
        <f t="shared" si="177"/>
        <v>0</v>
      </c>
      <c r="DHN64" s="44">
        <f t="shared" si="177"/>
        <v>0</v>
      </c>
      <c r="DHO64" s="44">
        <f t="shared" si="177"/>
        <v>0</v>
      </c>
      <c r="DHP64" s="44">
        <f t="shared" si="177"/>
        <v>0</v>
      </c>
      <c r="DHQ64" s="44">
        <f t="shared" si="177"/>
        <v>0</v>
      </c>
      <c r="DHR64" s="44">
        <f t="shared" si="177"/>
        <v>0</v>
      </c>
      <c r="DHS64" s="44">
        <f t="shared" si="177"/>
        <v>0</v>
      </c>
      <c r="DHT64" s="44">
        <f t="shared" si="177"/>
        <v>0</v>
      </c>
      <c r="DHU64" s="44">
        <f t="shared" si="177"/>
        <v>0</v>
      </c>
      <c r="DHV64" s="44">
        <f t="shared" si="177"/>
        <v>0</v>
      </c>
      <c r="DHW64" s="44">
        <f t="shared" si="177"/>
        <v>0</v>
      </c>
      <c r="DHX64" s="44">
        <f t="shared" si="177"/>
        <v>0</v>
      </c>
      <c r="DHY64" s="44">
        <f t="shared" si="177"/>
        <v>0</v>
      </c>
      <c r="DHZ64" s="44">
        <f t="shared" si="177"/>
        <v>0</v>
      </c>
      <c r="DIA64" s="44">
        <f t="shared" si="177"/>
        <v>0</v>
      </c>
      <c r="DIB64" s="44">
        <f t="shared" si="177"/>
        <v>0</v>
      </c>
      <c r="DIC64" s="44">
        <f t="shared" si="177"/>
        <v>0</v>
      </c>
      <c r="DID64" s="44">
        <f t="shared" si="177"/>
        <v>0</v>
      </c>
      <c r="DIE64" s="44">
        <f t="shared" si="177"/>
        <v>0</v>
      </c>
      <c r="DIF64" s="44">
        <f t="shared" si="177"/>
        <v>0</v>
      </c>
      <c r="DIG64" s="44">
        <f t="shared" si="177"/>
        <v>0</v>
      </c>
      <c r="DIH64" s="44">
        <f t="shared" si="177"/>
        <v>0</v>
      </c>
      <c r="DII64" s="44">
        <f t="shared" si="177"/>
        <v>0</v>
      </c>
      <c r="DIJ64" s="44">
        <f t="shared" si="177"/>
        <v>0</v>
      </c>
      <c r="DIK64" s="44">
        <f t="shared" si="177"/>
        <v>0</v>
      </c>
      <c r="DIL64" s="44">
        <f t="shared" si="177"/>
        <v>0</v>
      </c>
      <c r="DIM64" s="44">
        <f t="shared" si="177"/>
        <v>0</v>
      </c>
      <c r="DIN64" s="44">
        <f t="shared" si="177"/>
        <v>0</v>
      </c>
      <c r="DIO64" s="44">
        <f t="shared" si="177"/>
        <v>0</v>
      </c>
      <c r="DIP64" s="44">
        <f t="shared" si="177"/>
        <v>0</v>
      </c>
      <c r="DIQ64" s="44">
        <f t="shared" si="177"/>
        <v>0</v>
      </c>
      <c r="DIR64" s="44">
        <f t="shared" si="177"/>
        <v>0</v>
      </c>
      <c r="DIS64" s="44">
        <f t="shared" si="177"/>
        <v>0</v>
      </c>
      <c r="DIT64" s="44">
        <f t="shared" si="177"/>
        <v>0</v>
      </c>
      <c r="DIU64" s="44">
        <f t="shared" si="177"/>
        <v>0</v>
      </c>
      <c r="DIV64" s="44">
        <f t="shared" si="177"/>
        <v>0</v>
      </c>
      <c r="DIW64" s="44">
        <f t="shared" si="177"/>
        <v>0</v>
      </c>
      <c r="DIX64" s="44">
        <f t="shared" si="177"/>
        <v>0</v>
      </c>
      <c r="DIY64" s="44">
        <f t="shared" si="177"/>
        <v>0</v>
      </c>
      <c r="DIZ64" s="44">
        <f t="shared" si="177"/>
        <v>0</v>
      </c>
      <c r="DJA64" s="44">
        <f t="shared" si="177"/>
        <v>0</v>
      </c>
      <c r="DJB64" s="44">
        <f t="shared" ref="DJB64:DLM64" si="178">SUM(DJB56:DJB57)</f>
        <v>0</v>
      </c>
      <c r="DJC64" s="44">
        <f t="shared" si="178"/>
        <v>0</v>
      </c>
      <c r="DJD64" s="44">
        <f t="shared" si="178"/>
        <v>0</v>
      </c>
      <c r="DJE64" s="44">
        <f t="shared" si="178"/>
        <v>0</v>
      </c>
      <c r="DJF64" s="44">
        <f t="shared" si="178"/>
        <v>0</v>
      </c>
      <c r="DJG64" s="44">
        <f t="shared" si="178"/>
        <v>0</v>
      </c>
      <c r="DJH64" s="44">
        <f t="shared" si="178"/>
        <v>0</v>
      </c>
      <c r="DJI64" s="44">
        <f t="shared" si="178"/>
        <v>0</v>
      </c>
      <c r="DJJ64" s="44">
        <f t="shared" si="178"/>
        <v>0</v>
      </c>
      <c r="DJK64" s="44">
        <f t="shared" si="178"/>
        <v>0</v>
      </c>
      <c r="DJL64" s="44">
        <f t="shared" si="178"/>
        <v>0</v>
      </c>
      <c r="DJM64" s="44">
        <f t="shared" si="178"/>
        <v>0</v>
      </c>
      <c r="DJN64" s="44">
        <f t="shared" si="178"/>
        <v>0</v>
      </c>
      <c r="DJO64" s="44">
        <f t="shared" si="178"/>
        <v>0</v>
      </c>
      <c r="DJP64" s="44">
        <f t="shared" si="178"/>
        <v>0</v>
      </c>
      <c r="DJQ64" s="44">
        <f t="shared" si="178"/>
        <v>0</v>
      </c>
      <c r="DJR64" s="44">
        <f t="shared" si="178"/>
        <v>0</v>
      </c>
      <c r="DJS64" s="44">
        <f t="shared" si="178"/>
        <v>0</v>
      </c>
      <c r="DJT64" s="44">
        <f t="shared" si="178"/>
        <v>0</v>
      </c>
      <c r="DJU64" s="44">
        <f t="shared" si="178"/>
        <v>0</v>
      </c>
      <c r="DJV64" s="44">
        <f t="shared" si="178"/>
        <v>0</v>
      </c>
      <c r="DJW64" s="44">
        <f t="shared" si="178"/>
        <v>0</v>
      </c>
      <c r="DJX64" s="44">
        <f t="shared" si="178"/>
        <v>0</v>
      </c>
      <c r="DJY64" s="44">
        <f t="shared" si="178"/>
        <v>0</v>
      </c>
      <c r="DJZ64" s="44">
        <f t="shared" si="178"/>
        <v>0</v>
      </c>
      <c r="DKA64" s="44">
        <f t="shared" si="178"/>
        <v>0</v>
      </c>
      <c r="DKB64" s="44">
        <f t="shared" si="178"/>
        <v>0</v>
      </c>
      <c r="DKC64" s="44">
        <f t="shared" si="178"/>
        <v>0</v>
      </c>
      <c r="DKD64" s="44">
        <f t="shared" si="178"/>
        <v>0</v>
      </c>
      <c r="DKE64" s="44">
        <f t="shared" si="178"/>
        <v>0</v>
      </c>
      <c r="DKF64" s="44">
        <f t="shared" si="178"/>
        <v>0</v>
      </c>
      <c r="DKG64" s="44">
        <f t="shared" si="178"/>
        <v>0</v>
      </c>
      <c r="DKH64" s="44">
        <f t="shared" si="178"/>
        <v>0</v>
      </c>
      <c r="DKI64" s="44">
        <f t="shared" si="178"/>
        <v>0</v>
      </c>
      <c r="DKJ64" s="44">
        <f t="shared" si="178"/>
        <v>0</v>
      </c>
      <c r="DKK64" s="44">
        <f t="shared" si="178"/>
        <v>0</v>
      </c>
      <c r="DKL64" s="44">
        <f t="shared" si="178"/>
        <v>0</v>
      </c>
      <c r="DKM64" s="44">
        <f t="shared" si="178"/>
        <v>0</v>
      </c>
      <c r="DKN64" s="44">
        <f t="shared" si="178"/>
        <v>0</v>
      </c>
      <c r="DKO64" s="44">
        <f t="shared" si="178"/>
        <v>0</v>
      </c>
      <c r="DKP64" s="44">
        <f t="shared" si="178"/>
        <v>0</v>
      </c>
      <c r="DKQ64" s="44">
        <f t="shared" si="178"/>
        <v>0</v>
      </c>
      <c r="DKR64" s="44">
        <f t="shared" si="178"/>
        <v>0</v>
      </c>
      <c r="DKS64" s="44">
        <f t="shared" si="178"/>
        <v>0</v>
      </c>
      <c r="DKT64" s="44">
        <f t="shared" si="178"/>
        <v>0</v>
      </c>
      <c r="DKU64" s="44">
        <f t="shared" si="178"/>
        <v>0</v>
      </c>
      <c r="DKV64" s="44">
        <f t="shared" si="178"/>
        <v>0</v>
      </c>
      <c r="DKW64" s="44">
        <f t="shared" si="178"/>
        <v>0</v>
      </c>
      <c r="DKX64" s="44">
        <f t="shared" si="178"/>
        <v>0</v>
      </c>
      <c r="DKY64" s="44">
        <f t="shared" si="178"/>
        <v>0</v>
      </c>
      <c r="DKZ64" s="44">
        <f t="shared" si="178"/>
        <v>0</v>
      </c>
      <c r="DLA64" s="44">
        <f t="shared" si="178"/>
        <v>0</v>
      </c>
      <c r="DLB64" s="44">
        <f t="shared" si="178"/>
        <v>0</v>
      </c>
      <c r="DLC64" s="44">
        <f t="shared" si="178"/>
        <v>0</v>
      </c>
      <c r="DLD64" s="44">
        <f t="shared" si="178"/>
        <v>0</v>
      </c>
      <c r="DLE64" s="44">
        <f t="shared" si="178"/>
        <v>0</v>
      </c>
      <c r="DLF64" s="44">
        <f t="shared" si="178"/>
        <v>0</v>
      </c>
      <c r="DLG64" s="44">
        <f t="shared" si="178"/>
        <v>0</v>
      </c>
      <c r="DLH64" s="44">
        <f t="shared" si="178"/>
        <v>0</v>
      </c>
      <c r="DLI64" s="44">
        <f t="shared" si="178"/>
        <v>0</v>
      </c>
      <c r="DLJ64" s="44">
        <f t="shared" si="178"/>
        <v>0</v>
      </c>
      <c r="DLK64" s="44">
        <f t="shared" si="178"/>
        <v>0</v>
      </c>
      <c r="DLL64" s="44">
        <f t="shared" si="178"/>
        <v>0</v>
      </c>
      <c r="DLM64" s="44">
        <f t="shared" si="178"/>
        <v>0</v>
      </c>
      <c r="DLN64" s="44">
        <f t="shared" ref="DLN64:DNY64" si="179">SUM(DLN56:DLN57)</f>
        <v>0</v>
      </c>
      <c r="DLO64" s="44">
        <f t="shared" si="179"/>
        <v>0</v>
      </c>
      <c r="DLP64" s="44">
        <f t="shared" si="179"/>
        <v>0</v>
      </c>
      <c r="DLQ64" s="44">
        <f t="shared" si="179"/>
        <v>0</v>
      </c>
      <c r="DLR64" s="44">
        <f t="shared" si="179"/>
        <v>0</v>
      </c>
      <c r="DLS64" s="44">
        <f t="shared" si="179"/>
        <v>0</v>
      </c>
      <c r="DLT64" s="44">
        <f t="shared" si="179"/>
        <v>0</v>
      </c>
      <c r="DLU64" s="44">
        <f t="shared" si="179"/>
        <v>0</v>
      </c>
      <c r="DLV64" s="44">
        <f t="shared" si="179"/>
        <v>0</v>
      </c>
      <c r="DLW64" s="44">
        <f t="shared" si="179"/>
        <v>0</v>
      </c>
      <c r="DLX64" s="44">
        <f t="shared" si="179"/>
        <v>0</v>
      </c>
      <c r="DLY64" s="44">
        <f t="shared" si="179"/>
        <v>0</v>
      </c>
      <c r="DLZ64" s="44">
        <f t="shared" si="179"/>
        <v>0</v>
      </c>
      <c r="DMA64" s="44">
        <f t="shared" si="179"/>
        <v>0</v>
      </c>
      <c r="DMB64" s="44">
        <f t="shared" si="179"/>
        <v>0</v>
      </c>
      <c r="DMC64" s="44">
        <f t="shared" si="179"/>
        <v>0</v>
      </c>
      <c r="DMD64" s="44">
        <f t="shared" si="179"/>
        <v>0</v>
      </c>
      <c r="DME64" s="44">
        <f t="shared" si="179"/>
        <v>0</v>
      </c>
      <c r="DMF64" s="44">
        <f t="shared" si="179"/>
        <v>0</v>
      </c>
      <c r="DMG64" s="44">
        <f t="shared" si="179"/>
        <v>0</v>
      </c>
      <c r="DMH64" s="44">
        <f t="shared" si="179"/>
        <v>0</v>
      </c>
      <c r="DMI64" s="44">
        <f t="shared" si="179"/>
        <v>0</v>
      </c>
      <c r="DMJ64" s="44">
        <f t="shared" si="179"/>
        <v>0</v>
      </c>
      <c r="DMK64" s="44">
        <f t="shared" si="179"/>
        <v>0</v>
      </c>
      <c r="DML64" s="44">
        <f t="shared" si="179"/>
        <v>0</v>
      </c>
      <c r="DMM64" s="44">
        <f t="shared" si="179"/>
        <v>0</v>
      </c>
      <c r="DMN64" s="44">
        <f t="shared" si="179"/>
        <v>0</v>
      </c>
      <c r="DMO64" s="44">
        <f t="shared" si="179"/>
        <v>0</v>
      </c>
      <c r="DMP64" s="44">
        <f t="shared" si="179"/>
        <v>0</v>
      </c>
      <c r="DMQ64" s="44">
        <f t="shared" si="179"/>
        <v>0</v>
      </c>
      <c r="DMR64" s="44">
        <f t="shared" si="179"/>
        <v>0</v>
      </c>
      <c r="DMS64" s="44">
        <f t="shared" si="179"/>
        <v>0</v>
      </c>
      <c r="DMT64" s="44">
        <f t="shared" si="179"/>
        <v>0</v>
      </c>
      <c r="DMU64" s="44">
        <f t="shared" si="179"/>
        <v>0</v>
      </c>
      <c r="DMV64" s="44">
        <f t="shared" si="179"/>
        <v>0</v>
      </c>
      <c r="DMW64" s="44">
        <f t="shared" si="179"/>
        <v>0</v>
      </c>
      <c r="DMX64" s="44">
        <f t="shared" si="179"/>
        <v>0</v>
      </c>
      <c r="DMY64" s="44">
        <f t="shared" si="179"/>
        <v>0</v>
      </c>
      <c r="DMZ64" s="44">
        <f t="shared" si="179"/>
        <v>0</v>
      </c>
      <c r="DNA64" s="44">
        <f t="shared" si="179"/>
        <v>0</v>
      </c>
      <c r="DNB64" s="44">
        <f t="shared" si="179"/>
        <v>0</v>
      </c>
      <c r="DNC64" s="44">
        <f t="shared" si="179"/>
        <v>0</v>
      </c>
      <c r="DND64" s="44">
        <f t="shared" si="179"/>
        <v>0</v>
      </c>
      <c r="DNE64" s="44">
        <f t="shared" si="179"/>
        <v>0</v>
      </c>
      <c r="DNF64" s="44">
        <f t="shared" si="179"/>
        <v>0</v>
      </c>
      <c r="DNG64" s="44">
        <f t="shared" si="179"/>
        <v>0</v>
      </c>
      <c r="DNH64" s="44">
        <f t="shared" si="179"/>
        <v>0</v>
      </c>
      <c r="DNI64" s="44">
        <f t="shared" si="179"/>
        <v>0</v>
      </c>
      <c r="DNJ64" s="44">
        <f t="shared" si="179"/>
        <v>0</v>
      </c>
      <c r="DNK64" s="44">
        <f t="shared" si="179"/>
        <v>0</v>
      </c>
      <c r="DNL64" s="44">
        <f t="shared" si="179"/>
        <v>0</v>
      </c>
      <c r="DNM64" s="44">
        <f t="shared" si="179"/>
        <v>0</v>
      </c>
      <c r="DNN64" s="44">
        <f t="shared" si="179"/>
        <v>0</v>
      </c>
      <c r="DNO64" s="44">
        <f t="shared" si="179"/>
        <v>0</v>
      </c>
      <c r="DNP64" s="44">
        <f t="shared" si="179"/>
        <v>0</v>
      </c>
      <c r="DNQ64" s="44">
        <f t="shared" si="179"/>
        <v>0</v>
      </c>
      <c r="DNR64" s="44">
        <f t="shared" si="179"/>
        <v>0</v>
      </c>
      <c r="DNS64" s="44">
        <f t="shared" si="179"/>
        <v>0</v>
      </c>
      <c r="DNT64" s="44">
        <f t="shared" si="179"/>
        <v>0</v>
      </c>
      <c r="DNU64" s="44">
        <f t="shared" si="179"/>
        <v>0</v>
      </c>
      <c r="DNV64" s="44">
        <f t="shared" si="179"/>
        <v>0</v>
      </c>
      <c r="DNW64" s="44">
        <f t="shared" si="179"/>
        <v>0</v>
      </c>
      <c r="DNX64" s="44">
        <f t="shared" si="179"/>
        <v>0</v>
      </c>
      <c r="DNY64" s="44">
        <f t="shared" si="179"/>
        <v>0</v>
      </c>
      <c r="DNZ64" s="44">
        <f t="shared" ref="DNZ64:DQK64" si="180">SUM(DNZ56:DNZ57)</f>
        <v>0</v>
      </c>
      <c r="DOA64" s="44">
        <f t="shared" si="180"/>
        <v>0</v>
      </c>
      <c r="DOB64" s="44">
        <f t="shared" si="180"/>
        <v>0</v>
      </c>
      <c r="DOC64" s="44">
        <f t="shared" si="180"/>
        <v>0</v>
      </c>
      <c r="DOD64" s="44">
        <f t="shared" si="180"/>
        <v>0</v>
      </c>
      <c r="DOE64" s="44">
        <f t="shared" si="180"/>
        <v>0</v>
      </c>
      <c r="DOF64" s="44">
        <f t="shared" si="180"/>
        <v>0</v>
      </c>
      <c r="DOG64" s="44">
        <f t="shared" si="180"/>
        <v>0</v>
      </c>
      <c r="DOH64" s="44">
        <f t="shared" si="180"/>
        <v>0</v>
      </c>
      <c r="DOI64" s="44">
        <f t="shared" si="180"/>
        <v>0</v>
      </c>
      <c r="DOJ64" s="44">
        <f t="shared" si="180"/>
        <v>0</v>
      </c>
      <c r="DOK64" s="44">
        <f t="shared" si="180"/>
        <v>0</v>
      </c>
      <c r="DOL64" s="44">
        <f t="shared" si="180"/>
        <v>0</v>
      </c>
      <c r="DOM64" s="44">
        <f t="shared" si="180"/>
        <v>0</v>
      </c>
      <c r="DON64" s="44">
        <f t="shared" si="180"/>
        <v>0</v>
      </c>
      <c r="DOO64" s="44">
        <f t="shared" si="180"/>
        <v>0</v>
      </c>
      <c r="DOP64" s="44">
        <f t="shared" si="180"/>
        <v>0</v>
      </c>
      <c r="DOQ64" s="44">
        <f t="shared" si="180"/>
        <v>0</v>
      </c>
      <c r="DOR64" s="44">
        <f t="shared" si="180"/>
        <v>0</v>
      </c>
      <c r="DOS64" s="44">
        <f t="shared" si="180"/>
        <v>0</v>
      </c>
      <c r="DOT64" s="44">
        <f t="shared" si="180"/>
        <v>0</v>
      </c>
      <c r="DOU64" s="44">
        <f t="shared" si="180"/>
        <v>0</v>
      </c>
      <c r="DOV64" s="44">
        <f t="shared" si="180"/>
        <v>0</v>
      </c>
      <c r="DOW64" s="44">
        <f t="shared" si="180"/>
        <v>0</v>
      </c>
      <c r="DOX64" s="44">
        <f t="shared" si="180"/>
        <v>0</v>
      </c>
      <c r="DOY64" s="44">
        <f t="shared" si="180"/>
        <v>0</v>
      </c>
      <c r="DOZ64" s="44">
        <f t="shared" si="180"/>
        <v>0</v>
      </c>
      <c r="DPA64" s="44">
        <f t="shared" si="180"/>
        <v>0</v>
      </c>
      <c r="DPB64" s="44">
        <f t="shared" si="180"/>
        <v>0</v>
      </c>
      <c r="DPC64" s="44">
        <f t="shared" si="180"/>
        <v>0</v>
      </c>
      <c r="DPD64" s="44">
        <f t="shared" si="180"/>
        <v>0</v>
      </c>
      <c r="DPE64" s="44">
        <f t="shared" si="180"/>
        <v>0</v>
      </c>
      <c r="DPF64" s="44">
        <f t="shared" si="180"/>
        <v>0</v>
      </c>
      <c r="DPG64" s="44">
        <f t="shared" si="180"/>
        <v>0</v>
      </c>
      <c r="DPH64" s="44">
        <f t="shared" si="180"/>
        <v>0</v>
      </c>
      <c r="DPI64" s="44">
        <f t="shared" si="180"/>
        <v>0</v>
      </c>
      <c r="DPJ64" s="44">
        <f t="shared" si="180"/>
        <v>0</v>
      </c>
      <c r="DPK64" s="44">
        <f t="shared" si="180"/>
        <v>0</v>
      </c>
      <c r="DPL64" s="44">
        <f t="shared" si="180"/>
        <v>0</v>
      </c>
      <c r="DPM64" s="44">
        <f t="shared" si="180"/>
        <v>0</v>
      </c>
      <c r="DPN64" s="44">
        <f t="shared" si="180"/>
        <v>0</v>
      </c>
      <c r="DPO64" s="44">
        <f t="shared" si="180"/>
        <v>0</v>
      </c>
      <c r="DPP64" s="44">
        <f t="shared" si="180"/>
        <v>0</v>
      </c>
      <c r="DPQ64" s="44">
        <f t="shared" si="180"/>
        <v>0</v>
      </c>
      <c r="DPR64" s="44">
        <f t="shared" si="180"/>
        <v>0</v>
      </c>
      <c r="DPS64" s="44">
        <f t="shared" si="180"/>
        <v>0</v>
      </c>
      <c r="DPT64" s="44">
        <f t="shared" si="180"/>
        <v>0</v>
      </c>
      <c r="DPU64" s="44">
        <f t="shared" si="180"/>
        <v>0</v>
      </c>
      <c r="DPV64" s="44">
        <f t="shared" si="180"/>
        <v>0</v>
      </c>
      <c r="DPW64" s="44">
        <f t="shared" si="180"/>
        <v>0</v>
      </c>
      <c r="DPX64" s="44">
        <f t="shared" si="180"/>
        <v>0</v>
      </c>
      <c r="DPY64" s="44">
        <f t="shared" si="180"/>
        <v>0</v>
      </c>
      <c r="DPZ64" s="44">
        <f t="shared" si="180"/>
        <v>0</v>
      </c>
      <c r="DQA64" s="44">
        <f t="shared" si="180"/>
        <v>0</v>
      </c>
      <c r="DQB64" s="44">
        <f t="shared" si="180"/>
        <v>0</v>
      </c>
      <c r="DQC64" s="44">
        <f t="shared" si="180"/>
        <v>0</v>
      </c>
      <c r="DQD64" s="44">
        <f t="shared" si="180"/>
        <v>0</v>
      </c>
      <c r="DQE64" s="44">
        <f t="shared" si="180"/>
        <v>0</v>
      </c>
      <c r="DQF64" s="44">
        <f t="shared" si="180"/>
        <v>0</v>
      </c>
      <c r="DQG64" s="44">
        <f t="shared" si="180"/>
        <v>0</v>
      </c>
      <c r="DQH64" s="44">
        <f t="shared" si="180"/>
        <v>0</v>
      </c>
      <c r="DQI64" s="44">
        <f t="shared" si="180"/>
        <v>0</v>
      </c>
      <c r="DQJ64" s="44">
        <f t="shared" si="180"/>
        <v>0</v>
      </c>
      <c r="DQK64" s="44">
        <f t="shared" si="180"/>
        <v>0</v>
      </c>
      <c r="DQL64" s="44">
        <f t="shared" ref="DQL64:DSW64" si="181">SUM(DQL56:DQL57)</f>
        <v>0</v>
      </c>
      <c r="DQM64" s="44">
        <f t="shared" si="181"/>
        <v>0</v>
      </c>
      <c r="DQN64" s="44">
        <f t="shared" si="181"/>
        <v>0</v>
      </c>
      <c r="DQO64" s="44">
        <f t="shared" si="181"/>
        <v>0</v>
      </c>
      <c r="DQP64" s="44">
        <f t="shared" si="181"/>
        <v>0</v>
      </c>
      <c r="DQQ64" s="44">
        <f t="shared" si="181"/>
        <v>0</v>
      </c>
      <c r="DQR64" s="44">
        <f t="shared" si="181"/>
        <v>0</v>
      </c>
      <c r="DQS64" s="44">
        <f t="shared" si="181"/>
        <v>0</v>
      </c>
      <c r="DQT64" s="44">
        <f t="shared" si="181"/>
        <v>0</v>
      </c>
      <c r="DQU64" s="44">
        <f t="shared" si="181"/>
        <v>0</v>
      </c>
      <c r="DQV64" s="44">
        <f t="shared" si="181"/>
        <v>0</v>
      </c>
      <c r="DQW64" s="44">
        <f t="shared" si="181"/>
        <v>0</v>
      </c>
      <c r="DQX64" s="44">
        <f t="shared" si="181"/>
        <v>0</v>
      </c>
      <c r="DQY64" s="44">
        <f t="shared" si="181"/>
        <v>0</v>
      </c>
      <c r="DQZ64" s="44">
        <f t="shared" si="181"/>
        <v>0</v>
      </c>
      <c r="DRA64" s="44">
        <f t="shared" si="181"/>
        <v>0</v>
      </c>
      <c r="DRB64" s="44">
        <f t="shared" si="181"/>
        <v>0</v>
      </c>
      <c r="DRC64" s="44">
        <f t="shared" si="181"/>
        <v>0</v>
      </c>
      <c r="DRD64" s="44">
        <f t="shared" si="181"/>
        <v>0</v>
      </c>
      <c r="DRE64" s="44">
        <f t="shared" si="181"/>
        <v>0</v>
      </c>
      <c r="DRF64" s="44">
        <f t="shared" si="181"/>
        <v>0</v>
      </c>
      <c r="DRG64" s="44">
        <f t="shared" si="181"/>
        <v>0</v>
      </c>
      <c r="DRH64" s="44">
        <f t="shared" si="181"/>
        <v>0</v>
      </c>
      <c r="DRI64" s="44">
        <f t="shared" si="181"/>
        <v>0</v>
      </c>
      <c r="DRJ64" s="44">
        <f t="shared" si="181"/>
        <v>0</v>
      </c>
      <c r="DRK64" s="44">
        <f t="shared" si="181"/>
        <v>0</v>
      </c>
      <c r="DRL64" s="44">
        <f t="shared" si="181"/>
        <v>0</v>
      </c>
      <c r="DRM64" s="44">
        <f t="shared" si="181"/>
        <v>0</v>
      </c>
      <c r="DRN64" s="44">
        <f t="shared" si="181"/>
        <v>0</v>
      </c>
      <c r="DRO64" s="44">
        <f t="shared" si="181"/>
        <v>0</v>
      </c>
      <c r="DRP64" s="44">
        <f t="shared" si="181"/>
        <v>0</v>
      </c>
      <c r="DRQ64" s="44">
        <f t="shared" si="181"/>
        <v>0</v>
      </c>
      <c r="DRR64" s="44">
        <f t="shared" si="181"/>
        <v>0</v>
      </c>
      <c r="DRS64" s="44">
        <f t="shared" si="181"/>
        <v>0</v>
      </c>
      <c r="DRT64" s="44">
        <f t="shared" si="181"/>
        <v>0</v>
      </c>
      <c r="DRU64" s="44">
        <f t="shared" si="181"/>
        <v>0</v>
      </c>
      <c r="DRV64" s="44">
        <f t="shared" si="181"/>
        <v>0</v>
      </c>
      <c r="DRW64" s="44">
        <f t="shared" si="181"/>
        <v>0</v>
      </c>
      <c r="DRX64" s="44">
        <f t="shared" si="181"/>
        <v>0</v>
      </c>
      <c r="DRY64" s="44">
        <f t="shared" si="181"/>
        <v>0</v>
      </c>
      <c r="DRZ64" s="44">
        <f t="shared" si="181"/>
        <v>0</v>
      </c>
      <c r="DSA64" s="44">
        <f t="shared" si="181"/>
        <v>0</v>
      </c>
      <c r="DSB64" s="44">
        <f t="shared" si="181"/>
        <v>0</v>
      </c>
      <c r="DSC64" s="44">
        <f t="shared" si="181"/>
        <v>0</v>
      </c>
      <c r="DSD64" s="44">
        <f t="shared" si="181"/>
        <v>0</v>
      </c>
      <c r="DSE64" s="44">
        <f t="shared" si="181"/>
        <v>0</v>
      </c>
      <c r="DSF64" s="44">
        <f t="shared" si="181"/>
        <v>0</v>
      </c>
      <c r="DSG64" s="44">
        <f t="shared" si="181"/>
        <v>0</v>
      </c>
      <c r="DSH64" s="44">
        <f t="shared" si="181"/>
        <v>0</v>
      </c>
      <c r="DSI64" s="44">
        <f t="shared" si="181"/>
        <v>0</v>
      </c>
      <c r="DSJ64" s="44">
        <f t="shared" si="181"/>
        <v>0</v>
      </c>
      <c r="DSK64" s="44">
        <f t="shared" si="181"/>
        <v>0</v>
      </c>
      <c r="DSL64" s="44">
        <f t="shared" si="181"/>
        <v>0</v>
      </c>
      <c r="DSM64" s="44">
        <f t="shared" si="181"/>
        <v>0</v>
      </c>
      <c r="DSN64" s="44">
        <f t="shared" si="181"/>
        <v>0</v>
      </c>
      <c r="DSO64" s="44">
        <f t="shared" si="181"/>
        <v>0</v>
      </c>
      <c r="DSP64" s="44">
        <f t="shared" si="181"/>
        <v>0</v>
      </c>
      <c r="DSQ64" s="44">
        <f t="shared" si="181"/>
        <v>0</v>
      </c>
      <c r="DSR64" s="44">
        <f t="shared" si="181"/>
        <v>0</v>
      </c>
      <c r="DSS64" s="44">
        <f t="shared" si="181"/>
        <v>0</v>
      </c>
      <c r="DST64" s="44">
        <f t="shared" si="181"/>
        <v>0</v>
      </c>
      <c r="DSU64" s="44">
        <f t="shared" si="181"/>
        <v>0</v>
      </c>
      <c r="DSV64" s="44">
        <f t="shared" si="181"/>
        <v>0</v>
      </c>
      <c r="DSW64" s="44">
        <f t="shared" si="181"/>
        <v>0</v>
      </c>
      <c r="DSX64" s="44">
        <f t="shared" ref="DSX64:DVI64" si="182">SUM(DSX56:DSX57)</f>
        <v>0</v>
      </c>
      <c r="DSY64" s="44">
        <f t="shared" si="182"/>
        <v>0</v>
      </c>
      <c r="DSZ64" s="44">
        <f t="shared" si="182"/>
        <v>0</v>
      </c>
      <c r="DTA64" s="44">
        <f t="shared" si="182"/>
        <v>0</v>
      </c>
      <c r="DTB64" s="44">
        <f t="shared" si="182"/>
        <v>0</v>
      </c>
      <c r="DTC64" s="44">
        <f t="shared" si="182"/>
        <v>0</v>
      </c>
      <c r="DTD64" s="44">
        <f t="shared" si="182"/>
        <v>0</v>
      </c>
      <c r="DTE64" s="44">
        <f t="shared" si="182"/>
        <v>0</v>
      </c>
      <c r="DTF64" s="44">
        <f t="shared" si="182"/>
        <v>0</v>
      </c>
      <c r="DTG64" s="44">
        <f t="shared" si="182"/>
        <v>0</v>
      </c>
      <c r="DTH64" s="44">
        <f t="shared" si="182"/>
        <v>0</v>
      </c>
      <c r="DTI64" s="44">
        <f t="shared" si="182"/>
        <v>0</v>
      </c>
      <c r="DTJ64" s="44">
        <f t="shared" si="182"/>
        <v>0</v>
      </c>
      <c r="DTK64" s="44">
        <f t="shared" si="182"/>
        <v>0</v>
      </c>
      <c r="DTL64" s="44">
        <f t="shared" si="182"/>
        <v>0</v>
      </c>
      <c r="DTM64" s="44">
        <f t="shared" si="182"/>
        <v>0</v>
      </c>
      <c r="DTN64" s="44">
        <f t="shared" si="182"/>
        <v>0</v>
      </c>
      <c r="DTO64" s="44">
        <f t="shared" si="182"/>
        <v>0</v>
      </c>
      <c r="DTP64" s="44">
        <f t="shared" si="182"/>
        <v>0</v>
      </c>
      <c r="DTQ64" s="44">
        <f t="shared" si="182"/>
        <v>0</v>
      </c>
      <c r="DTR64" s="44">
        <f t="shared" si="182"/>
        <v>0</v>
      </c>
      <c r="DTS64" s="44">
        <f t="shared" si="182"/>
        <v>0</v>
      </c>
      <c r="DTT64" s="44">
        <f t="shared" si="182"/>
        <v>0</v>
      </c>
      <c r="DTU64" s="44">
        <f t="shared" si="182"/>
        <v>0</v>
      </c>
      <c r="DTV64" s="44">
        <f t="shared" si="182"/>
        <v>0</v>
      </c>
      <c r="DTW64" s="44">
        <f t="shared" si="182"/>
        <v>0</v>
      </c>
      <c r="DTX64" s="44">
        <f t="shared" si="182"/>
        <v>0</v>
      </c>
      <c r="DTY64" s="44">
        <f t="shared" si="182"/>
        <v>0</v>
      </c>
      <c r="DTZ64" s="44">
        <f t="shared" si="182"/>
        <v>0</v>
      </c>
      <c r="DUA64" s="44">
        <f t="shared" si="182"/>
        <v>0</v>
      </c>
      <c r="DUB64" s="44">
        <f t="shared" si="182"/>
        <v>0</v>
      </c>
      <c r="DUC64" s="44">
        <f t="shared" si="182"/>
        <v>0</v>
      </c>
      <c r="DUD64" s="44">
        <f t="shared" si="182"/>
        <v>0</v>
      </c>
      <c r="DUE64" s="44">
        <f t="shared" si="182"/>
        <v>0</v>
      </c>
      <c r="DUF64" s="44">
        <f t="shared" si="182"/>
        <v>0</v>
      </c>
      <c r="DUG64" s="44">
        <f t="shared" si="182"/>
        <v>0</v>
      </c>
      <c r="DUH64" s="44">
        <f t="shared" si="182"/>
        <v>0</v>
      </c>
      <c r="DUI64" s="44">
        <f t="shared" si="182"/>
        <v>0</v>
      </c>
      <c r="DUJ64" s="44">
        <f t="shared" si="182"/>
        <v>0</v>
      </c>
      <c r="DUK64" s="44">
        <f t="shared" si="182"/>
        <v>0</v>
      </c>
      <c r="DUL64" s="44">
        <f t="shared" si="182"/>
        <v>0</v>
      </c>
      <c r="DUM64" s="44">
        <f t="shared" si="182"/>
        <v>0</v>
      </c>
      <c r="DUN64" s="44">
        <f t="shared" si="182"/>
        <v>0</v>
      </c>
      <c r="DUO64" s="44">
        <f t="shared" si="182"/>
        <v>0</v>
      </c>
      <c r="DUP64" s="44">
        <f t="shared" si="182"/>
        <v>0</v>
      </c>
      <c r="DUQ64" s="44">
        <f t="shared" si="182"/>
        <v>0</v>
      </c>
      <c r="DUR64" s="44">
        <f t="shared" si="182"/>
        <v>0</v>
      </c>
      <c r="DUS64" s="44">
        <f t="shared" si="182"/>
        <v>0</v>
      </c>
      <c r="DUT64" s="44">
        <f t="shared" si="182"/>
        <v>0</v>
      </c>
      <c r="DUU64" s="44">
        <f t="shared" si="182"/>
        <v>0</v>
      </c>
      <c r="DUV64" s="44">
        <f t="shared" si="182"/>
        <v>0</v>
      </c>
      <c r="DUW64" s="44">
        <f t="shared" si="182"/>
        <v>0</v>
      </c>
      <c r="DUX64" s="44">
        <f t="shared" si="182"/>
        <v>0</v>
      </c>
      <c r="DUY64" s="44">
        <f t="shared" si="182"/>
        <v>0</v>
      </c>
      <c r="DUZ64" s="44">
        <f t="shared" si="182"/>
        <v>0</v>
      </c>
      <c r="DVA64" s="44">
        <f t="shared" si="182"/>
        <v>0</v>
      </c>
      <c r="DVB64" s="44">
        <f t="shared" si="182"/>
        <v>0</v>
      </c>
      <c r="DVC64" s="44">
        <f t="shared" si="182"/>
        <v>0</v>
      </c>
      <c r="DVD64" s="44">
        <f t="shared" si="182"/>
        <v>0</v>
      </c>
      <c r="DVE64" s="44">
        <f t="shared" si="182"/>
        <v>0</v>
      </c>
      <c r="DVF64" s="44">
        <f t="shared" si="182"/>
        <v>0</v>
      </c>
      <c r="DVG64" s="44">
        <f t="shared" si="182"/>
        <v>0</v>
      </c>
      <c r="DVH64" s="44">
        <f t="shared" si="182"/>
        <v>0</v>
      </c>
      <c r="DVI64" s="44">
        <f t="shared" si="182"/>
        <v>0</v>
      </c>
      <c r="DVJ64" s="44">
        <f t="shared" ref="DVJ64:DXU64" si="183">SUM(DVJ56:DVJ57)</f>
        <v>0</v>
      </c>
      <c r="DVK64" s="44">
        <f t="shared" si="183"/>
        <v>0</v>
      </c>
      <c r="DVL64" s="44">
        <f t="shared" si="183"/>
        <v>0</v>
      </c>
      <c r="DVM64" s="44">
        <f t="shared" si="183"/>
        <v>0</v>
      </c>
      <c r="DVN64" s="44">
        <f t="shared" si="183"/>
        <v>0</v>
      </c>
      <c r="DVO64" s="44">
        <f t="shared" si="183"/>
        <v>0</v>
      </c>
      <c r="DVP64" s="44">
        <f t="shared" si="183"/>
        <v>0</v>
      </c>
      <c r="DVQ64" s="44">
        <f t="shared" si="183"/>
        <v>0</v>
      </c>
      <c r="DVR64" s="44">
        <f t="shared" si="183"/>
        <v>0</v>
      </c>
      <c r="DVS64" s="44">
        <f t="shared" si="183"/>
        <v>0</v>
      </c>
      <c r="DVT64" s="44">
        <f t="shared" si="183"/>
        <v>0</v>
      </c>
      <c r="DVU64" s="44">
        <f t="shared" si="183"/>
        <v>0</v>
      </c>
      <c r="DVV64" s="44">
        <f t="shared" si="183"/>
        <v>0</v>
      </c>
      <c r="DVW64" s="44">
        <f t="shared" si="183"/>
        <v>0</v>
      </c>
      <c r="DVX64" s="44">
        <f t="shared" si="183"/>
        <v>0</v>
      </c>
      <c r="DVY64" s="44">
        <f t="shared" si="183"/>
        <v>0</v>
      </c>
      <c r="DVZ64" s="44">
        <f t="shared" si="183"/>
        <v>0</v>
      </c>
      <c r="DWA64" s="44">
        <f t="shared" si="183"/>
        <v>0</v>
      </c>
      <c r="DWB64" s="44">
        <f t="shared" si="183"/>
        <v>0</v>
      </c>
      <c r="DWC64" s="44">
        <f t="shared" si="183"/>
        <v>0</v>
      </c>
      <c r="DWD64" s="44">
        <f t="shared" si="183"/>
        <v>0</v>
      </c>
      <c r="DWE64" s="44">
        <f t="shared" si="183"/>
        <v>0</v>
      </c>
      <c r="DWF64" s="44">
        <f t="shared" si="183"/>
        <v>0</v>
      </c>
      <c r="DWG64" s="44">
        <f t="shared" si="183"/>
        <v>0</v>
      </c>
      <c r="DWH64" s="44">
        <f t="shared" si="183"/>
        <v>0</v>
      </c>
      <c r="DWI64" s="44">
        <f t="shared" si="183"/>
        <v>0</v>
      </c>
      <c r="DWJ64" s="44">
        <f t="shared" si="183"/>
        <v>0</v>
      </c>
      <c r="DWK64" s="44">
        <f t="shared" si="183"/>
        <v>0</v>
      </c>
      <c r="DWL64" s="44">
        <f t="shared" si="183"/>
        <v>0</v>
      </c>
      <c r="DWM64" s="44">
        <f t="shared" si="183"/>
        <v>0</v>
      </c>
      <c r="DWN64" s="44">
        <f t="shared" si="183"/>
        <v>0</v>
      </c>
      <c r="DWO64" s="44">
        <f t="shared" si="183"/>
        <v>0</v>
      </c>
      <c r="DWP64" s="44">
        <f t="shared" si="183"/>
        <v>0</v>
      </c>
      <c r="DWQ64" s="44">
        <f t="shared" si="183"/>
        <v>0</v>
      </c>
      <c r="DWR64" s="44">
        <f t="shared" si="183"/>
        <v>0</v>
      </c>
      <c r="DWS64" s="44">
        <f t="shared" si="183"/>
        <v>0</v>
      </c>
      <c r="DWT64" s="44">
        <f t="shared" si="183"/>
        <v>0</v>
      </c>
      <c r="DWU64" s="44">
        <f t="shared" si="183"/>
        <v>0</v>
      </c>
      <c r="DWV64" s="44">
        <f t="shared" si="183"/>
        <v>0</v>
      </c>
      <c r="DWW64" s="44">
        <f t="shared" si="183"/>
        <v>0</v>
      </c>
      <c r="DWX64" s="44">
        <f t="shared" si="183"/>
        <v>0</v>
      </c>
      <c r="DWY64" s="44">
        <f t="shared" si="183"/>
        <v>0</v>
      </c>
      <c r="DWZ64" s="44">
        <f t="shared" si="183"/>
        <v>0</v>
      </c>
      <c r="DXA64" s="44">
        <f t="shared" si="183"/>
        <v>0</v>
      </c>
      <c r="DXB64" s="44">
        <f t="shared" si="183"/>
        <v>0</v>
      </c>
      <c r="DXC64" s="44">
        <f t="shared" si="183"/>
        <v>0</v>
      </c>
      <c r="DXD64" s="44">
        <f t="shared" si="183"/>
        <v>0</v>
      </c>
      <c r="DXE64" s="44">
        <f t="shared" si="183"/>
        <v>0</v>
      </c>
      <c r="DXF64" s="44">
        <f t="shared" si="183"/>
        <v>0</v>
      </c>
      <c r="DXG64" s="44">
        <f t="shared" si="183"/>
        <v>0</v>
      </c>
      <c r="DXH64" s="44">
        <f t="shared" si="183"/>
        <v>0</v>
      </c>
      <c r="DXI64" s="44">
        <f t="shared" si="183"/>
        <v>0</v>
      </c>
      <c r="DXJ64" s="44">
        <f t="shared" si="183"/>
        <v>0</v>
      </c>
      <c r="DXK64" s="44">
        <f t="shared" si="183"/>
        <v>0</v>
      </c>
      <c r="DXL64" s="44">
        <f t="shared" si="183"/>
        <v>0</v>
      </c>
      <c r="DXM64" s="44">
        <f t="shared" si="183"/>
        <v>0</v>
      </c>
      <c r="DXN64" s="44">
        <f t="shared" si="183"/>
        <v>0</v>
      </c>
      <c r="DXO64" s="44">
        <f t="shared" si="183"/>
        <v>0</v>
      </c>
      <c r="DXP64" s="44">
        <f t="shared" si="183"/>
        <v>0</v>
      </c>
      <c r="DXQ64" s="44">
        <f t="shared" si="183"/>
        <v>0</v>
      </c>
      <c r="DXR64" s="44">
        <f t="shared" si="183"/>
        <v>0</v>
      </c>
      <c r="DXS64" s="44">
        <f t="shared" si="183"/>
        <v>0</v>
      </c>
      <c r="DXT64" s="44">
        <f t="shared" si="183"/>
        <v>0</v>
      </c>
      <c r="DXU64" s="44">
        <f t="shared" si="183"/>
        <v>0</v>
      </c>
      <c r="DXV64" s="44">
        <f t="shared" ref="DXV64:EAG64" si="184">SUM(DXV56:DXV57)</f>
        <v>0</v>
      </c>
      <c r="DXW64" s="44">
        <f t="shared" si="184"/>
        <v>0</v>
      </c>
      <c r="DXX64" s="44">
        <f t="shared" si="184"/>
        <v>0</v>
      </c>
      <c r="DXY64" s="44">
        <f t="shared" si="184"/>
        <v>0</v>
      </c>
      <c r="DXZ64" s="44">
        <f t="shared" si="184"/>
        <v>0</v>
      </c>
      <c r="DYA64" s="44">
        <f t="shared" si="184"/>
        <v>0</v>
      </c>
      <c r="DYB64" s="44">
        <f t="shared" si="184"/>
        <v>0</v>
      </c>
      <c r="DYC64" s="44">
        <f t="shared" si="184"/>
        <v>0</v>
      </c>
      <c r="DYD64" s="44">
        <f t="shared" si="184"/>
        <v>0</v>
      </c>
      <c r="DYE64" s="44">
        <f t="shared" si="184"/>
        <v>0</v>
      </c>
      <c r="DYF64" s="44">
        <f t="shared" si="184"/>
        <v>0</v>
      </c>
      <c r="DYG64" s="44">
        <f t="shared" si="184"/>
        <v>0</v>
      </c>
      <c r="DYH64" s="44">
        <f t="shared" si="184"/>
        <v>0</v>
      </c>
      <c r="DYI64" s="44">
        <f t="shared" si="184"/>
        <v>0</v>
      </c>
      <c r="DYJ64" s="44">
        <f t="shared" si="184"/>
        <v>0</v>
      </c>
      <c r="DYK64" s="44">
        <f t="shared" si="184"/>
        <v>0</v>
      </c>
      <c r="DYL64" s="44">
        <f t="shared" si="184"/>
        <v>0</v>
      </c>
      <c r="DYM64" s="44">
        <f t="shared" si="184"/>
        <v>0</v>
      </c>
      <c r="DYN64" s="44">
        <f t="shared" si="184"/>
        <v>0</v>
      </c>
      <c r="DYO64" s="44">
        <f t="shared" si="184"/>
        <v>0</v>
      </c>
      <c r="DYP64" s="44">
        <f t="shared" si="184"/>
        <v>0</v>
      </c>
      <c r="DYQ64" s="44">
        <f t="shared" si="184"/>
        <v>0</v>
      </c>
      <c r="DYR64" s="44">
        <f t="shared" si="184"/>
        <v>0</v>
      </c>
      <c r="DYS64" s="44">
        <f t="shared" si="184"/>
        <v>0</v>
      </c>
      <c r="DYT64" s="44">
        <f t="shared" si="184"/>
        <v>0</v>
      </c>
      <c r="DYU64" s="44">
        <f t="shared" si="184"/>
        <v>0</v>
      </c>
      <c r="DYV64" s="44">
        <f t="shared" si="184"/>
        <v>0</v>
      </c>
      <c r="DYW64" s="44">
        <f t="shared" si="184"/>
        <v>0</v>
      </c>
      <c r="DYX64" s="44">
        <f t="shared" si="184"/>
        <v>0</v>
      </c>
      <c r="DYY64" s="44">
        <f t="shared" si="184"/>
        <v>0</v>
      </c>
      <c r="DYZ64" s="44">
        <f t="shared" si="184"/>
        <v>0</v>
      </c>
      <c r="DZA64" s="44">
        <f t="shared" si="184"/>
        <v>0</v>
      </c>
      <c r="DZB64" s="44">
        <f t="shared" si="184"/>
        <v>0</v>
      </c>
      <c r="DZC64" s="44">
        <f t="shared" si="184"/>
        <v>0</v>
      </c>
      <c r="DZD64" s="44">
        <f t="shared" si="184"/>
        <v>0</v>
      </c>
      <c r="DZE64" s="44">
        <f t="shared" si="184"/>
        <v>0</v>
      </c>
      <c r="DZF64" s="44">
        <f t="shared" si="184"/>
        <v>0</v>
      </c>
      <c r="DZG64" s="44">
        <f t="shared" si="184"/>
        <v>0</v>
      </c>
      <c r="DZH64" s="44">
        <f t="shared" si="184"/>
        <v>0</v>
      </c>
      <c r="DZI64" s="44">
        <f t="shared" si="184"/>
        <v>0</v>
      </c>
      <c r="DZJ64" s="44">
        <f t="shared" si="184"/>
        <v>0</v>
      </c>
      <c r="DZK64" s="44">
        <f t="shared" si="184"/>
        <v>0</v>
      </c>
      <c r="DZL64" s="44">
        <f t="shared" si="184"/>
        <v>0</v>
      </c>
      <c r="DZM64" s="44">
        <f t="shared" si="184"/>
        <v>0</v>
      </c>
      <c r="DZN64" s="44">
        <f t="shared" si="184"/>
        <v>0</v>
      </c>
      <c r="DZO64" s="44">
        <f t="shared" si="184"/>
        <v>0</v>
      </c>
      <c r="DZP64" s="44">
        <f t="shared" si="184"/>
        <v>0</v>
      </c>
      <c r="DZQ64" s="44">
        <f t="shared" si="184"/>
        <v>0</v>
      </c>
      <c r="DZR64" s="44">
        <f t="shared" si="184"/>
        <v>0</v>
      </c>
      <c r="DZS64" s="44">
        <f t="shared" si="184"/>
        <v>0</v>
      </c>
      <c r="DZT64" s="44">
        <f t="shared" si="184"/>
        <v>0</v>
      </c>
      <c r="DZU64" s="44">
        <f t="shared" si="184"/>
        <v>0</v>
      </c>
      <c r="DZV64" s="44">
        <f t="shared" si="184"/>
        <v>0</v>
      </c>
      <c r="DZW64" s="44">
        <f t="shared" si="184"/>
        <v>0</v>
      </c>
      <c r="DZX64" s="44">
        <f t="shared" si="184"/>
        <v>0</v>
      </c>
      <c r="DZY64" s="44">
        <f t="shared" si="184"/>
        <v>0</v>
      </c>
      <c r="DZZ64" s="44">
        <f t="shared" si="184"/>
        <v>0</v>
      </c>
      <c r="EAA64" s="44">
        <f t="shared" si="184"/>
        <v>0</v>
      </c>
      <c r="EAB64" s="44">
        <f t="shared" si="184"/>
        <v>0</v>
      </c>
      <c r="EAC64" s="44">
        <f t="shared" si="184"/>
        <v>0</v>
      </c>
      <c r="EAD64" s="44">
        <f t="shared" si="184"/>
        <v>0</v>
      </c>
      <c r="EAE64" s="44">
        <f t="shared" si="184"/>
        <v>0</v>
      </c>
      <c r="EAF64" s="44">
        <f t="shared" si="184"/>
        <v>0</v>
      </c>
      <c r="EAG64" s="44">
        <f t="shared" si="184"/>
        <v>0</v>
      </c>
      <c r="EAH64" s="44">
        <f t="shared" ref="EAH64:ECS64" si="185">SUM(EAH56:EAH57)</f>
        <v>0</v>
      </c>
      <c r="EAI64" s="44">
        <f t="shared" si="185"/>
        <v>0</v>
      </c>
      <c r="EAJ64" s="44">
        <f t="shared" si="185"/>
        <v>0</v>
      </c>
      <c r="EAK64" s="44">
        <f t="shared" si="185"/>
        <v>0</v>
      </c>
      <c r="EAL64" s="44">
        <f t="shared" si="185"/>
        <v>0</v>
      </c>
      <c r="EAM64" s="44">
        <f t="shared" si="185"/>
        <v>0</v>
      </c>
      <c r="EAN64" s="44">
        <f t="shared" si="185"/>
        <v>0</v>
      </c>
      <c r="EAO64" s="44">
        <f t="shared" si="185"/>
        <v>0</v>
      </c>
      <c r="EAP64" s="44">
        <f t="shared" si="185"/>
        <v>0</v>
      </c>
      <c r="EAQ64" s="44">
        <f t="shared" si="185"/>
        <v>0</v>
      </c>
      <c r="EAR64" s="44">
        <f t="shared" si="185"/>
        <v>0</v>
      </c>
      <c r="EAS64" s="44">
        <f t="shared" si="185"/>
        <v>0</v>
      </c>
      <c r="EAT64" s="44">
        <f t="shared" si="185"/>
        <v>0</v>
      </c>
      <c r="EAU64" s="44">
        <f t="shared" si="185"/>
        <v>0</v>
      </c>
      <c r="EAV64" s="44">
        <f t="shared" si="185"/>
        <v>0</v>
      </c>
      <c r="EAW64" s="44">
        <f t="shared" si="185"/>
        <v>0</v>
      </c>
      <c r="EAX64" s="44">
        <f t="shared" si="185"/>
        <v>0</v>
      </c>
      <c r="EAY64" s="44">
        <f t="shared" si="185"/>
        <v>0</v>
      </c>
      <c r="EAZ64" s="44">
        <f t="shared" si="185"/>
        <v>0</v>
      </c>
      <c r="EBA64" s="44">
        <f t="shared" si="185"/>
        <v>0</v>
      </c>
      <c r="EBB64" s="44">
        <f t="shared" si="185"/>
        <v>0</v>
      </c>
      <c r="EBC64" s="44">
        <f t="shared" si="185"/>
        <v>0</v>
      </c>
      <c r="EBD64" s="44">
        <f t="shared" si="185"/>
        <v>0</v>
      </c>
      <c r="EBE64" s="44">
        <f t="shared" si="185"/>
        <v>0</v>
      </c>
      <c r="EBF64" s="44">
        <f t="shared" si="185"/>
        <v>0</v>
      </c>
      <c r="EBG64" s="44">
        <f t="shared" si="185"/>
        <v>0</v>
      </c>
      <c r="EBH64" s="44">
        <f t="shared" si="185"/>
        <v>0</v>
      </c>
      <c r="EBI64" s="44">
        <f t="shared" si="185"/>
        <v>0</v>
      </c>
      <c r="EBJ64" s="44">
        <f t="shared" si="185"/>
        <v>0</v>
      </c>
      <c r="EBK64" s="44">
        <f t="shared" si="185"/>
        <v>0</v>
      </c>
      <c r="EBL64" s="44">
        <f t="shared" si="185"/>
        <v>0</v>
      </c>
      <c r="EBM64" s="44">
        <f t="shared" si="185"/>
        <v>0</v>
      </c>
      <c r="EBN64" s="44">
        <f t="shared" si="185"/>
        <v>0</v>
      </c>
      <c r="EBO64" s="44">
        <f t="shared" si="185"/>
        <v>0</v>
      </c>
      <c r="EBP64" s="44">
        <f t="shared" si="185"/>
        <v>0</v>
      </c>
      <c r="EBQ64" s="44">
        <f t="shared" si="185"/>
        <v>0</v>
      </c>
      <c r="EBR64" s="44">
        <f t="shared" si="185"/>
        <v>0</v>
      </c>
      <c r="EBS64" s="44">
        <f t="shared" si="185"/>
        <v>0</v>
      </c>
      <c r="EBT64" s="44">
        <f t="shared" si="185"/>
        <v>0</v>
      </c>
      <c r="EBU64" s="44">
        <f t="shared" si="185"/>
        <v>0</v>
      </c>
      <c r="EBV64" s="44">
        <f t="shared" si="185"/>
        <v>0</v>
      </c>
      <c r="EBW64" s="44">
        <f t="shared" si="185"/>
        <v>0</v>
      </c>
      <c r="EBX64" s="44">
        <f t="shared" si="185"/>
        <v>0</v>
      </c>
      <c r="EBY64" s="44">
        <f t="shared" si="185"/>
        <v>0</v>
      </c>
      <c r="EBZ64" s="44">
        <f t="shared" si="185"/>
        <v>0</v>
      </c>
      <c r="ECA64" s="44">
        <f t="shared" si="185"/>
        <v>0</v>
      </c>
      <c r="ECB64" s="44">
        <f t="shared" si="185"/>
        <v>0</v>
      </c>
      <c r="ECC64" s="44">
        <f t="shared" si="185"/>
        <v>0</v>
      </c>
      <c r="ECD64" s="44">
        <f t="shared" si="185"/>
        <v>0</v>
      </c>
      <c r="ECE64" s="44">
        <f t="shared" si="185"/>
        <v>0</v>
      </c>
      <c r="ECF64" s="44">
        <f t="shared" si="185"/>
        <v>0</v>
      </c>
      <c r="ECG64" s="44">
        <f t="shared" si="185"/>
        <v>0</v>
      </c>
      <c r="ECH64" s="44">
        <f t="shared" si="185"/>
        <v>0</v>
      </c>
      <c r="ECI64" s="44">
        <f t="shared" si="185"/>
        <v>0</v>
      </c>
      <c r="ECJ64" s="44">
        <f t="shared" si="185"/>
        <v>0</v>
      </c>
      <c r="ECK64" s="44">
        <f t="shared" si="185"/>
        <v>0</v>
      </c>
      <c r="ECL64" s="44">
        <f t="shared" si="185"/>
        <v>0</v>
      </c>
      <c r="ECM64" s="44">
        <f t="shared" si="185"/>
        <v>0</v>
      </c>
      <c r="ECN64" s="44">
        <f t="shared" si="185"/>
        <v>0</v>
      </c>
      <c r="ECO64" s="44">
        <f t="shared" si="185"/>
        <v>0</v>
      </c>
      <c r="ECP64" s="44">
        <f t="shared" si="185"/>
        <v>0</v>
      </c>
      <c r="ECQ64" s="44">
        <f t="shared" si="185"/>
        <v>0</v>
      </c>
      <c r="ECR64" s="44">
        <f t="shared" si="185"/>
        <v>0</v>
      </c>
      <c r="ECS64" s="44">
        <f t="shared" si="185"/>
        <v>0</v>
      </c>
      <c r="ECT64" s="44">
        <f t="shared" ref="ECT64:EFE64" si="186">SUM(ECT56:ECT57)</f>
        <v>0</v>
      </c>
      <c r="ECU64" s="44">
        <f t="shared" si="186"/>
        <v>0</v>
      </c>
      <c r="ECV64" s="44">
        <f t="shared" si="186"/>
        <v>0</v>
      </c>
      <c r="ECW64" s="44">
        <f t="shared" si="186"/>
        <v>0</v>
      </c>
      <c r="ECX64" s="44">
        <f t="shared" si="186"/>
        <v>0</v>
      </c>
      <c r="ECY64" s="44">
        <f t="shared" si="186"/>
        <v>0</v>
      </c>
      <c r="ECZ64" s="44">
        <f t="shared" si="186"/>
        <v>0</v>
      </c>
      <c r="EDA64" s="44">
        <f t="shared" si="186"/>
        <v>0</v>
      </c>
      <c r="EDB64" s="44">
        <f t="shared" si="186"/>
        <v>0</v>
      </c>
      <c r="EDC64" s="44">
        <f t="shared" si="186"/>
        <v>0</v>
      </c>
      <c r="EDD64" s="44">
        <f t="shared" si="186"/>
        <v>0</v>
      </c>
      <c r="EDE64" s="44">
        <f t="shared" si="186"/>
        <v>0</v>
      </c>
      <c r="EDF64" s="44">
        <f t="shared" si="186"/>
        <v>0</v>
      </c>
      <c r="EDG64" s="44">
        <f t="shared" si="186"/>
        <v>0</v>
      </c>
      <c r="EDH64" s="44">
        <f t="shared" si="186"/>
        <v>0</v>
      </c>
      <c r="EDI64" s="44">
        <f t="shared" si="186"/>
        <v>0</v>
      </c>
      <c r="EDJ64" s="44">
        <f t="shared" si="186"/>
        <v>0</v>
      </c>
      <c r="EDK64" s="44">
        <f t="shared" si="186"/>
        <v>0</v>
      </c>
      <c r="EDL64" s="44">
        <f t="shared" si="186"/>
        <v>0</v>
      </c>
      <c r="EDM64" s="44">
        <f t="shared" si="186"/>
        <v>0</v>
      </c>
      <c r="EDN64" s="44">
        <f t="shared" si="186"/>
        <v>0</v>
      </c>
      <c r="EDO64" s="44">
        <f t="shared" si="186"/>
        <v>0</v>
      </c>
      <c r="EDP64" s="44">
        <f t="shared" si="186"/>
        <v>0</v>
      </c>
      <c r="EDQ64" s="44">
        <f t="shared" si="186"/>
        <v>0</v>
      </c>
      <c r="EDR64" s="44">
        <f t="shared" si="186"/>
        <v>0</v>
      </c>
      <c r="EDS64" s="44">
        <f t="shared" si="186"/>
        <v>0</v>
      </c>
      <c r="EDT64" s="44">
        <f t="shared" si="186"/>
        <v>0</v>
      </c>
      <c r="EDU64" s="44">
        <f t="shared" si="186"/>
        <v>0</v>
      </c>
      <c r="EDV64" s="44">
        <f t="shared" si="186"/>
        <v>0</v>
      </c>
      <c r="EDW64" s="44">
        <f t="shared" si="186"/>
        <v>0</v>
      </c>
      <c r="EDX64" s="44">
        <f t="shared" si="186"/>
        <v>0</v>
      </c>
      <c r="EDY64" s="44">
        <f t="shared" si="186"/>
        <v>0</v>
      </c>
      <c r="EDZ64" s="44">
        <f t="shared" si="186"/>
        <v>0</v>
      </c>
      <c r="EEA64" s="44">
        <f t="shared" si="186"/>
        <v>0</v>
      </c>
      <c r="EEB64" s="44">
        <f t="shared" si="186"/>
        <v>0</v>
      </c>
      <c r="EEC64" s="44">
        <f t="shared" si="186"/>
        <v>0</v>
      </c>
      <c r="EED64" s="44">
        <f t="shared" si="186"/>
        <v>0</v>
      </c>
      <c r="EEE64" s="44">
        <f t="shared" si="186"/>
        <v>0</v>
      </c>
      <c r="EEF64" s="44">
        <f t="shared" si="186"/>
        <v>0</v>
      </c>
      <c r="EEG64" s="44">
        <f t="shared" si="186"/>
        <v>0</v>
      </c>
      <c r="EEH64" s="44">
        <f t="shared" si="186"/>
        <v>0</v>
      </c>
      <c r="EEI64" s="44">
        <f t="shared" si="186"/>
        <v>0</v>
      </c>
      <c r="EEJ64" s="44">
        <f t="shared" si="186"/>
        <v>0</v>
      </c>
      <c r="EEK64" s="44">
        <f t="shared" si="186"/>
        <v>0</v>
      </c>
      <c r="EEL64" s="44">
        <f t="shared" si="186"/>
        <v>0</v>
      </c>
      <c r="EEM64" s="44">
        <f t="shared" si="186"/>
        <v>0</v>
      </c>
      <c r="EEN64" s="44">
        <f t="shared" si="186"/>
        <v>0</v>
      </c>
      <c r="EEO64" s="44">
        <f t="shared" si="186"/>
        <v>0</v>
      </c>
      <c r="EEP64" s="44">
        <f t="shared" si="186"/>
        <v>0</v>
      </c>
      <c r="EEQ64" s="44">
        <f t="shared" si="186"/>
        <v>0</v>
      </c>
      <c r="EER64" s="44">
        <f t="shared" si="186"/>
        <v>0</v>
      </c>
      <c r="EES64" s="44">
        <f t="shared" si="186"/>
        <v>0</v>
      </c>
      <c r="EET64" s="44">
        <f t="shared" si="186"/>
        <v>0</v>
      </c>
      <c r="EEU64" s="44">
        <f t="shared" si="186"/>
        <v>0</v>
      </c>
      <c r="EEV64" s="44">
        <f t="shared" si="186"/>
        <v>0</v>
      </c>
      <c r="EEW64" s="44">
        <f t="shared" si="186"/>
        <v>0</v>
      </c>
      <c r="EEX64" s="44">
        <f t="shared" si="186"/>
        <v>0</v>
      </c>
      <c r="EEY64" s="44">
        <f t="shared" si="186"/>
        <v>0</v>
      </c>
      <c r="EEZ64" s="44">
        <f t="shared" si="186"/>
        <v>0</v>
      </c>
      <c r="EFA64" s="44">
        <f t="shared" si="186"/>
        <v>0</v>
      </c>
      <c r="EFB64" s="44">
        <f t="shared" si="186"/>
        <v>0</v>
      </c>
      <c r="EFC64" s="44">
        <f t="shared" si="186"/>
        <v>0</v>
      </c>
      <c r="EFD64" s="44">
        <f t="shared" si="186"/>
        <v>0</v>
      </c>
      <c r="EFE64" s="44">
        <f t="shared" si="186"/>
        <v>0</v>
      </c>
      <c r="EFF64" s="44">
        <f t="shared" ref="EFF64:EHQ64" si="187">SUM(EFF56:EFF57)</f>
        <v>0</v>
      </c>
      <c r="EFG64" s="44">
        <f t="shared" si="187"/>
        <v>0</v>
      </c>
      <c r="EFH64" s="44">
        <f t="shared" si="187"/>
        <v>0</v>
      </c>
      <c r="EFI64" s="44">
        <f t="shared" si="187"/>
        <v>0</v>
      </c>
      <c r="EFJ64" s="44">
        <f t="shared" si="187"/>
        <v>0</v>
      </c>
      <c r="EFK64" s="44">
        <f t="shared" si="187"/>
        <v>0</v>
      </c>
      <c r="EFL64" s="44">
        <f t="shared" si="187"/>
        <v>0</v>
      </c>
      <c r="EFM64" s="44">
        <f t="shared" si="187"/>
        <v>0</v>
      </c>
      <c r="EFN64" s="44">
        <f t="shared" si="187"/>
        <v>0</v>
      </c>
      <c r="EFO64" s="44">
        <f t="shared" si="187"/>
        <v>0</v>
      </c>
      <c r="EFP64" s="44">
        <f t="shared" si="187"/>
        <v>0</v>
      </c>
      <c r="EFQ64" s="44">
        <f t="shared" si="187"/>
        <v>0</v>
      </c>
      <c r="EFR64" s="44">
        <f t="shared" si="187"/>
        <v>0</v>
      </c>
      <c r="EFS64" s="44">
        <f t="shared" si="187"/>
        <v>0</v>
      </c>
      <c r="EFT64" s="44">
        <f t="shared" si="187"/>
        <v>0</v>
      </c>
      <c r="EFU64" s="44">
        <f t="shared" si="187"/>
        <v>0</v>
      </c>
      <c r="EFV64" s="44">
        <f t="shared" si="187"/>
        <v>0</v>
      </c>
      <c r="EFW64" s="44">
        <f t="shared" si="187"/>
        <v>0</v>
      </c>
      <c r="EFX64" s="44">
        <f t="shared" si="187"/>
        <v>0</v>
      </c>
      <c r="EFY64" s="44">
        <f t="shared" si="187"/>
        <v>0</v>
      </c>
      <c r="EFZ64" s="44">
        <f t="shared" si="187"/>
        <v>0</v>
      </c>
      <c r="EGA64" s="44">
        <f t="shared" si="187"/>
        <v>0</v>
      </c>
      <c r="EGB64" s="44">
        <f t="shared" si="187"/>
        <v>0</v>
      </c>
      <c r="EGC64" s="44">
        <f t="shared" si="187"/>
        <v>0</v>
      </c>
      <c r="EGD64" s="44">
        <f t="shared" si="187"/>
        <v>0</v>
      </c>
      <c r="EGE64" s="44">
        <f t="shared" si="187"/>
        <v>0</v>
      </c>
      <c r="EGF64" s="44">
        <f t="shared" si="187"/>
        <v>0</v>
      </c>
      <c r="EGG64" s="44">
        <f t="shared" si="187"/>
        <v>0</v>
      </c>
      <c r="EGH64" s="44">
        <f t="shared" si="187"/>
        <v>0</v>
      </c>
      <c r="EGI64" s="44">
        <f t="shared" si="187"/>
        <v>0</v>
      </c>
      <c r="EGJ64" s="44">
        <f t="shared" si="187"/>
        <v>0</v>
      </c>
      <c r="EGK64" s="44">
        <f t="shared" si="187"/>
        <v>0</v>
      </c>
      <c r="EGL64" s="44">
        <f t="shared" si="187"/>
        <v>0</v>
      </c>
      <c r="EGM64" s="44">
        <f t="shared" si="187"/>
        <v>0</v>
      </c>
      <c r="EGN64" s="44">
        <f t="shared" si="187"/>
        <v>0</v>
      </c>
      <c r="EGO64" s="44">
        <f t="shared" si="187"/>
        <v>0</v>
      </c>
      <c r="EGP64" s="44">
        <f t="shared" si="187"/>
        <v>0</v>
      </c>
      <c r="EGQ64" s="44">
        <f t="shared" si="187"/>
        <v>0</v>
      </c>
      <c r="EGR64" s="44">
        <f t="shared" si="187"/>
        <v>0</v>
      </c>
      <c r="EGS64" s="44">
        <f t="shared" si="187"/>
        <v>0</v>
      </c>
      <c r="EGT64" s="44">
        <f t="shared" si="187"/>
        <v>0</v>
      </c>
      <c r="EGU64" s="44">
        <f t="shared" si="187"/>
        <v>0</v>
      </c>
      <c r="EGV64" s="44">
        <f t="shared" si="187"/>
        <v>0</v>
      </c>
      <c r="EGW64" s="44">
        <f t="shared" si="187"/>
        <v>0</v>
      </c>
      <c r="EGX64" s="44">
        <f t="shared" si="187"/>
        <v>0</v>
      </c>
      <c r="EGY64" s="44">
        <f t="shared" si="187"/>
        <v>0</v>
      </c>
      <c r="EGZ64" s="44">
        <f t="shared" si="187"/>
        <v>0</v>
      </c>
      <c r="EHA64" s="44">
        <f t="shared" si="187"/>
        <v>0</v>
      </c>
      <c r="EHB64" s="44">
        <f t="shared" si="187"/>
        <v>0</v>
      </c>
      <c r="EHC64" s="44">
        <f t="shared" si="187"/>
        <v>0</v>
      </c>
      <c r="EHD64" s="44">
        <f t="shared" si="187"/>
        <v>0</v>
      </c>
      <c r="EHE64" s="44">
        <f t="shared" si="187"/>
        <v>0</v>
      </c>
      <c r="EHF64" s="44">
        <f t="shared" si="187"/>
        <v>0</v>
      </c>
      <c r="EHG64" s="44">
        <f t="shared" si="187"/>
        <v>0</v>
      </c>
      <c r="EHH64" s="44">
        <f t="shared" si="187"/>
        <v>0</v>
      </c>
      <c r="EHI64" s="44">
        <f t="shared" si="187"/>
        <v>0</v>
      </c>
      <c r="EHJ64" s="44">
        <f t="shared" si="187"/>
        <v>0</v>
      </c>
      <c r="EHK64" s="44">
        <f t="shared" si="187"/>
        <v>0</v>
      </c>
      <c r="EHL64" s="44">
        <f t="shared" si="187"/>
        <v>0</v>
      </c>
      <c r="EHM64" s="44">
        <f t="shared" si="187"/>
        <v>0</v>
      </c>
      <c r="EHN64" s="44">
        <f t="shared" si="187"/>
        <v>0</v>
      </c>
      <c r="EHO64" s="44">
        <f t="shared" si="187"/>
        <v>0</v>
      </c>
      <c r="EHP64" s="44">
        <f t="shared" si="187"/>
        <v>0</v>
      </c>
      <c r="EHQ64" s="44">
        <f t="shared" si="187"/>
        <v>0</v>
      </c>
      <c r="EHR64" s="44">
        <f t="shared" ref="EHR64:EKC64" si="188">SUM(EHR56:EHR57)</f>
        <v>0</v>
      </c>
      <c r="EHS64" s="44">
        <f t="shared" si="188"/>
        <v>0</v>
      </c>
      <c r="EHT64" s="44">
        <f t="shared" si="188"/>
        <v>0</v>
      </c>
      <c r="EHU64" s="44">
        <f t="shared" si="188"/>
        <v>0</v>
      </c>
      <c r="EHV64" s="44">
        <f t="shared" si="188"/>
        <v>0</v>
      </c>
      <c r="EHW64" s="44">
        <f t="shared" si="188"/>
        <v>0</v>
      </c>
      <c r="EHX64" s="44">
        <f t="shared" si="188"/>
        <v>0</v>
      </c>
      <c r="EHY64" s="44">
        <f t="shared" si="188"/>
        <v>0</v>
      </c>
      <c r="EHZ64" s="44">
        <f t="shared" si="188"/>
        <v>0</v>
      </c>
      <c r="EIA64" s="44">
        <f t="shared" si="188"/>
        <v>0</v>
      </c>
      <c r="EIB64" s="44">
        <f t="shared" si="188"/>
        <v>0</v>
      </c>
      <c r="EIC64" s="44">
        <f t="shared" si="188"/>
        <v>0</v>
      </c>
      <c r="EID64" s="44">
        <f t="shared" si="188"/>
        <v>0</v>
      </c>
      <c r="EIE64" s="44">
        <f t="shared" si="188"/>
        <v>0</v>
      </c>
      <c r="EIF64" s="44">
        <f t="shared" si="188"/>
        <v>0</v>
      </c>
      <c r="EIG64" s="44">
        <f t="shared" si="188"/>
        <v>0</v>
      </c>
      <c r="EIH64" s="44">
        <f t="shared" si="188"/>
        <v>0</v>
      </c>
      <c r="EII64" s="44">
        <f t="shared" si="188"/>
        <v>0</v>
      </c>
      <c r="EIJ64" s="44">
        <f t="shared" si="188"/>
        <v>0</v>
      </c>
      <c r="EIK64" s="44">
        <f t="shared" si="188"/>
        <v>0</v>
      </c>
      <c r="EIL64" s="44">
        <f t="shared" si="188"/>
        <v>0</v>
      </c>
      <c r="EIM64" s="44">
        <f t="shared" si="188"/>
        <v>0</v>
      </c>
      <c r="EIN64" s="44">
        <f t="shared" si="188"/>
        <v>0</v>
      </c>
      <c r="EIO64" s="44">
        <f t="shared" si="188"/>
        <v>0</v>
      </c>
      <c r="EIP64" s="44">
        <f t="shared" si="188"/>
        <v>0</v>
      </c>
      <c r="EIQ64" s="44">
        <f t="shared" si="188"/>
        <v>0</v>
      </c>
      <c r="EIR64" s="44">
        <f t="shared" si="188"/>
        <v>0</v>
      </c>
      <c r="EIS64" s="44">
        <f t="shared" si="188"/>
        <v>0</v>
      </c>
      <c r="EIT64" s="44">
        <f t="shared" si="188"/>
        <v>0</v>
      </c>
      <c r="EIU64" s="44">
        <f t="shared" si="188"/>
        <v>0</v>
      </c>
      <c r="EIV64" s="44">
        <f t="shared" si="188"/>
        <v>0</v>
      </c>
      <c r="EIW64" s="44">
        <f t="shared" si="188"/>
        <v>0</v>
      </c>
      <c r="EIX64" s="44">
        <f t="shared" si="188"/>
        <v>0</v>
      </c>
      <c r="EIY64" s="44">
        <f t="shared" si="188"/>
        <v>0</v>
      </c>
      <c r="EIZ64" s="44">
        <f t="shared" si="188"/>
        <v>0</v>
      </c>
      <c r="EJA64" s="44">
        <f t="shared" si="188"/>
        <v>0</v>
      </c>
      <c r="EJB64" s="44">
        <f t="shared" si="188"/>
        <v>0</v>
      </c>
      <c r="EJC64" s="44">
        <f t="shared" si="188"/>
        <v>0</v>
      </c>
      <c r="EJD64" s="44">
        <f t="shared" si="188"/>
        <v>0</v>
      </c>
      <c r="EJE64" s="44">
        <f t="shared" si="188"/>
        <v>0</v>
      </c>
      <c r="EJF64" s="44">
        <f t="shared" si="188"/>
        <v>0</v>
      </c>
      <c r="EJG64" s="44">
        <f t="shared" si="188"/>
        <v>0</v>
      </c>
      <c r="EJH64" s="44">
        <f t="shared" si="188"/>
        <v>0</v>
      </c>
      <c r="EJI64" s="44">
        <f t="shared" si="188"/>
        <v>0</v>
      </c>
      <c r="EJJ64" s="44">
        <f t="shared" si="188"/>
        <v>0</v>
      </c>
      <c r="EJK64" s="44">
        <f t="shared" si="188"/>
        <v>0</v>
      </c>
      <c r="EJL64" s="44">
        <f t="shared" si="188"/>
        <v>0</v>
      </c>
      <c r="EJM64" s="44">
        <f t="shared" si="188"/>
        <v>0</v>
      </c>
      <c r="EJN64" s="44">
        <f t="shared" si="188"/>
        <v>0</v>
      </c>
      <c r="EJO64" s="44">
        <f t="shared" si="188"/>
        <v>0</v>
      </c>
      <c r="EJP64" s="44">
        <f t="shared" si="188"/>
        <v>0</v>
      </c>
      <c r="EJQ64" s="44">
        <f t="shared" si="188"/>
        <v>0</v>
      </c>
      <c r="EJR64" s="44">
        <f t="shared" si="188"/>
        <v>0</v>
      </c>
      <c r="EJS64" s="44">
        <f t="shared" si="188"/>
        <v>0</v>
      </c>
      <c r="EJT64" s="44">
        <f t="shared" si="188"/>
        <v>0</v>
      </c>
      <c r="EJU64" s="44">
        <f t="shared" si="188"/>
        <v>0</v>
      </c>
      <c r="EJV64" s="44">
        <f t="shared" si="188"/>
        <v>0</v>
      </c>
      <c r="EJW64" s="44">
        <f t="shared" si="188"/>
        <v>0</v>
      </c>
      <c r="EJX64" s="44">
        <f t="shared" si="188"/>
        <v>0</v>
      </c>
      <c r="EJY64" s="44">
        <f t="shared" si="188"/>
        <v>0</v>
      </c>
      <c r="EJZ64" s="44">
        <f t="shared" si="188"/>
        <v>0</v>
      </c>
      <c r="EKA64" s="44">
        <f t="shared" si="188"/>
        <v>0</v>
      </c>
      <c r="EKB64" s="44">
        <f t="shared" si="188"/>
        <v>0</v>
      </c>
      <c r="EKC64" s="44">
        <f t="shared" si="188"/>
        <v>0</v>
      </c>
      <c r="EKD64" s="44">
        <f t="shared" ref="EKD64:EMO64" si="189">SUM(EKD56:EKD57)</f>
        <v>0</v>
      </c>
      <c r="EKE64" s="44">
        <f t="shared" si="189"/>
        <v>0</v>
      </c>
      <c r="EKF64" s="44">
        <f t="shared" si="189"/>
        <v>0</v>
      </c>
      <c r="EKG64" s="44">
        <f t="shared" si="189"/>
        <v>0</v>
      </c>
      <c r="EKH64" s="44">
        <f t="shared" si="189"/>
        <v>0</v>
      </c>
      <c r="EKI64" s="44">
        <f t="shared" si="189"/>
        <v>0</v>
      </c>
      <c r="EKJ64" s="44">
        <f t="shared" si="189"/>
        <v>0</v>
      </c>
      <c r="EKK64" s="44">
        <f t="shared" si="189"/>
        <v>0</v>
      </c>
      <c r="EKL64" s="44">
        <f t="shared" si="189"/>
        <v>0</v>
      </c>
      <c r="EKM64" s="44">
        <f t="shared" si="189"/>
        <v>0</v>
      </c>
      <c r="EKN64" s="44">
        <f t="shared" si="189"/>
        <v>0</v>
      </c>
      <c r="EKO64" s="44">
        <f t="shared" si="189"/>
        <v>0</v>
      </c>
      <c r="EKP64" s="44">
        <f t="shared" si="189"/>
        <v>0</v>
      </c>
      <c r="EKQ64" s="44">
        <f t="shared" si="189"/>
        <v>0</v>
      </c>
      <c r="EKR64" s="44">
        <f t="shared" si="189"/>
        <v>0</v>
      </c>
      <c r="EKS64" s="44">
        <f t="shared" si="189"/>
        <v>0</v>
      </c>
      <c r="EKT64" s="44">
        <f t="shared" si="189"/>
        <v>0</v>
      </c>
      <c r="EKU64" s="44">
        <f t="shared" si="189"/>
        <v>0</v>
      </c>
      <c r="EKV64" s="44">
        <f t="shared" si="189"/>
        <v>0</v>
      </c>
      <c r="EKW64" s="44">
        <f t="shared" si="189"/>
        <v>0</v>
      </c>
      <c r="EKX64" s="44">
        <f t="shared" si="189"/>
        <v>0</v>
      </c>
      <c r="EKY64" s="44">
        <f t="shared" si="189"/>
        <v>0</v>
      </c>
      <c r="EKZ64" s="44">
        <f t="shared" si="189"/>
        <v>0</v>
      </c>
      <c r="ELA64" s="44">
        <f t="shared" si="189"/>
        <v>0</v>
      </c>
      <c r="ELB64" s="44">
        <f t="shared" si="189"/>
        <v>0</v>
      </c>
      <c r="ELC64" s="44">
        <f t="shared" si="189"/>
        <v>0</v>
      </c>
      <c r="ELD64" s="44">
        <f t="shared" si="189"/>
        <v>0</v>
      </c>
      <c r="ELE64" s="44">
        <f t="shared" si="189"/>
        <v>0</v>
      </c>
      <c r="ELF64" s="44">
        <f t="shared" si="189"/>
        <v>0</v>
      </c>
      <c r="ELG64" s="44">
        <f t="shared" si="189"/>
        <v>0</v>
      </c>
      <c r="ELH64" s="44">
        <f t="shared" si="189"/>
        <v>0</v>
      </c>
      <c r="ELI64" s="44">
        <f t="shared" si="189"/>
        <v>0</v>
      </c>
      <c r="ELJ64" s="44">
        <f t="shared" si="189"/>
        <v>0</v>
      </c>
      <c r="ELK64" s="44">
        <f t="shared" si="189"/>
        <v>0</v>
      </c>
      <c r="ELL64" s="44">
        <f t="shared" si="189"/>
        <v>0</v>
      </c>
      <c r="ELM64" s="44">
        <f t="shared" si="189"/>
        <v>0</v>
      </c>
      <c r="ELN64" s="44">
        <f t="shared" si="189"/>
        <v>0</v>
      </c>
      <c r="ELO64" s="44">
        <f t="shared" si="189"/>
        <v>0</v>
      </c>
      <c r="ELP64" s="44">
        <f t="shared" si="189"/>
        <v>0</v>
      </c>
      <c r="ELQ64" s="44">
        <f t="shared" si="189"/>
        <v>0</v>
      </c>
      <c r="ELR64" s="44">
        <f t="shared" si="189"/>
        <v>0</v>
      </c>
      <c r="ELS64" s="44">
        <f t="shared" si="189"/>
        <v>0</v>
      </c>
      <c r="ELT64" s="44">
        <f t="shared" si="189"/>
        <v>0</v>
      </c>
      <c r="ELU64" s="44">
        <f t="shared" si="189"/>
        <v>0</v>
      </c>
      <c r="ELV64" s="44">
        <f t="shared" si="189"/>
        <v>0</v>
      </c>
      <c r="ELW64" s="44">
        <f t="shared" si="189"/>
        <v>0</v>
      </c>
      <c r="ELX64" s="44">
        <f t="shared" si="189"/>
        <v>0</v>
      </c>
      <c r="ELY64" s="44">
        <f t="shared" si="189"/>
        <v>0</v>
      </c>
      <c r="ELZ64" s="44">
        <f t="shared" si="189"/>
        <v>0</v>
      </c>
      <c r="EMA64" s="44">
        <f t="shared" si="189"/>
        <v>0</v>
      </c>
      <c r="EMB64" s="44">
        <f t="shared" si="189"/>
        <v>0</v>
      </c>
      <c r="EMC64" s="44">
        <f t="shared" si="189"/>
        <v>0</v>
      </c>
      <c r="EMD64" s="44">
        <f t="shared" si="189"/>
        <v>0</v>
      </c>
      <c r="EME64" s="44">
        <f t="shared" si="189"/>
        <v>0</v>
      </c>
      <c r="EMF64" s="44">
        <f t="shared" si="189"/>
        <v>0</v>
      </c>
      <c r="EMG64" s="44">
        <f t="shared" si="189"/>
        <v>0</v>
      </c>
      <c r="EMH64" s="44">
        <f t="shared" si="189"/>
        <v>0</v>
      </c>
      <c r="EMI64" s="44">
        <f t="shared" si="189"/>
        <v>0</v>
      </c>
      <c r="EMJ64" s="44">
        <f t="shared" si="189"/>
        <v>0</v>
      </c>
      <c r="EMK64" s="44">
        <f t="shared" si="189"/>
        <v>0</v>
      </c>
      <c r="EML64" s="44">
        <f t="shared" si="189"/>
        <v>0</v>
      </c>
      <c r="EMM64" s="44">
        <f t="shared" si="189"/>
        <v>0</v>
      </c>
      <c r="EMN64" s="44">
        <f t="shared" si="189"/>
        <v>0</v>
      </c>
      <c r="EMO64" s="44">
        <f t="shared" si="189"/>
        <v>0</v>
      </c>
      <c r="EMP64" s="44">
        <f t="shared" ref="EMP64:EPA64" si="190">SUM(EMP56:EMP57)</f>
        <v>0</v>
      </c>
      <c r="EMQ64" s="44">
        <f t="shared" si="190"/>
        <v>0</v>
      </c>
      <c r="EMR64" s="44">
        <f t="shared" si="190"/>
        <v>0</v>
      </c>
      <c r="EMS64" s="44">
        <f t="shared" si="190"/>
        <v>0</v>
      </c>
      <c r="EMT64" s="44">
        <f t="shared" si="190"/>
        <v>0</v>
      </c>
      <c r="EMU64" s="44">
        <f t="shared" si="190"/>
        <v>0</v>
      </c>
      <c r="EMV64" s="44">
        <f t="shared" si="190"/>
        <v>0</v>
      </c>
      <c r="EMW64" s="44">
        <f t="shared" si="190"/>
        <v>0</v>
      </c>
      <c r="EMX64" s="44">
        <f t="shared" si="190"/>
        <v>0</v>
      </c>
      <c r="EMY64" s="44">
        <f t="shared" si="190"/>
        <v>0</v>
      </c>
      <c r="EMZ64" s="44">
        <f t="shared" si="190"/>
        <v>0</v>
      </c>
      <c r="ENA64" s="44">
        <f t="shared" si="190"/>
        <v>0</v>
      </c>
      <c r="ENB64" s="44">
        <f t="shared" si="190"/>
        <v>0</v>
      </c>
      <c r="ENC64" s="44">
        <f t="shared" si="190"/>
        <v>0</v>
      </c>
      <c r="END64" s="44">
        <f t="shared" si="190"/>
        <v>0</v>
      </c>
      <c r="ENE64" s="44">
        <f t="shared" si="190"/>
        <v>0</v>
      </c>
      <c r="ENF64" s="44">
        <f t="shared" si="190"/>
        <v>0</v>
      </c>
      <c r="ENG64" s="44">
        <f t="shared" si="190"/>
        <v>0</v>
      </c>
      <c r="ENH64" s="44">
        <f t="shared" si="190"/>
        <v>0</v>
      </c>
      <c r="ENI64" s="44">
        <f t="shared" si="190"/>
        <v>0</v>
      </c>
      <c r="ENJ64" s="44">
        <f t="shared" si="190"/>
        <v>0</v>
      </c>
      <c r="ENK64" s="44">
        <f t="shared" si="190"/>
        <v>0</v>
      </c>
      <c r="ENL64" s="44">
        <f t="shared" si="190"/>
        <v>0</v>
      </c>
      <c r="ENM64" s="44">
        <f t="shared" si="190"/>
        <v>0</v>
      </c>
      <c r="ENN64" s="44">
        <f t="shared" si="190"/>
        <v>0</v>
      </c>
      <c r="ENO64" s="44">
        <f t="shared" si="190"/>
        <v>0</v>
      </c>
      <c r="ENP64" s="44">
        <f t="shared" si="190"/>
        <v>0</v>
      </c>
      <c r="ENQ64" s="44">
        <f t="shared" si="190"/>
        <v>0</v>
      </c>
      <c r="ENR64" s="44">
        <f t="shared" si="190"/>
        <v>0</v>
      </c>
      <c r="ENS64" s="44">
        <f t="shared" si="190"/>
        <v>0</v>
      </c>
      <c r="ENT64" s="44">
        <f t="shared" si="190"/>
        <v>0</v>
      </c>
      <c r="ENU64" s="44">
        <f t="shared" si="190"/>
        <v>0</v>
      </c>
      <c r="ENV64" s="44">
        <f t="shared" si="190"/>
        <v>0</v>
      </c>
      <c r="ENW64" s="44">
        <f t="shared" si="190"/>
        <v>0</v>
      </c>
      <c r="ENX64" s="44">
        <f t="shared" si="190"/>
        <v>0</v>
      </c>
      <c r="ENY64" s="44">
        <f t="shared" si="190"/>
        <v>0</v>
      </c>
      <c r="ENZ64" s="44">
        <f t="shared" si="190"/>
        <v>0</v>
      </c>
      <c r="EOA64" s="44">
        <f t="shared" si="190"/>
        <v>0</v>
      </c>
      <c r="EOB64" s="44">
        <f t="shared" si="190"/>
        <v>0</v>
      </c>
      <c r="EOC64" s="44">
        <f t="shared" si="190"/>
        <v>0</v>
      </c>
      <c r="EOD64" s="44">
        <f t="shared" si="190"/>
        <v>0</v>
      </c>
      <c r="EOE64" s="44">
        <f t="shared" si="190"/>
        <v>0</v>
      </c>
      <c r="EOF64" s="44">
        <f t="shared" si="190"/>
        <v>0</v>
      </c>
      <c r="EOG64" s="44">
        <f t="shared" si="190"/>
        <v>0</v>
      </c>
      <c r="EOH64" s="44">
        <f t="shared" si="190"/>
        <v>0</v>
      </c>
      <c r="EOI64" s="44">
        <f t="shared" si="190"/>
        <v>0</v>
      </c>
      <c r="EOJ64" s="44">
        <f t="shared" si="190"/>
        <v>0</v>
      </c>
      <c r="EOK64" s="44">
        <f t="shared" si="190"/>
        <v>0</v>
      </c>
      <c r="EOL64" s="44">
        <f t="shared" si="190"/>
        <v>0</v>
      </c>
      <c r="EOM64" s="44">
        <f t="shared" si="190"/>
        <v>0</v>
      </c>
      <c r="EON64" s="44">
        <f t="shared" si="190"/>
        <v>0</v>
      </c>
      <c r="EOO64" s="44">
        <f t="shared" si="190"/>
        <v>0</v>
      </c>
      <c r="EOP64" s="44">
        <f t="shared" si="190"/>
        <v>0</v>
      </c>
      <c r="EOQ64" s="44">
        <f t="shared" si="190"/>
        <v>0</v>
      </c>
      <c r="EOR64" s="44">
        <f t="shared" si="190"/>
        <v>0</v>
      </c>
      <c r="EOS64" s="44">
        <f t="shared" si="190"/>
        <v>0</v>
      </c>
      <c r="EOT64" s="44">
        <f t="shared" si="190"/>
        <v>0</v>
      </c>
      <c r="EOU64" s="44">
        <f t="shared" si="190"/>
        <v>0</v>
      </c>
      <c r="EOV64" s="44">
        <f t="shared" si="190"/>
        <v>0</v>
      </c>
      <c r="EOW64" s="44">
        <f t="shared" si="190"/>
        <v>0</v>
      </c>
      <c r="EOX64" s="44">
        <f t="shared" si="190"/>
        <v>0</v>
      </c>
      <c r="EOY64" s="44">
        <f t="shared" si="190"/>
        <v>0</v>
      </c>
      <c r="EOZ64" s="44">
        <f t="shared" si="190"/>
        <v>0</v>
      </c>
      <c r="EPA64" s="44">
        <f t="shared" si="190"/>
        <v>0</v>
      </c>
      <c r="EPB64" s="44">
        <f t="shared" ref="EPB64:ERM64" si="191">SUM(EPB56:EPB57)</f>
        <v>0</v>
      </c>
      <c r="EPC64" s="44">
        <f t="shared" si="191"/>
        <v>0</v>
      </c>
      <c r="EPD64" s="44">
        <f t="shared" si="191"/>
        <v>0</v>
      </c>
      <c r="EPE64" s="44">
        <f t="shared" si="191"/>
        <v>0</v>
      </c>
      <c r="EPF64" s="44">
        <f t="shared" si="191"/>
        <v>0</v>
      </c>
      <c r="EPG64" s="44">
        <f t="shared" si="191"/>
        <v>0</v>
      </c>
      <c r="EPH64" s="44">
        <f t="shared" si="191"/>
        <v>0</v>
      </c>
      <c r="EPI64" s="44">
        <f t="shared" si="191"/>
        <v>0</v>
      </c>
      <c r="EPJ64" s="44">
        <f t="shared" si="191"/>
        <v>0</v>
      </c>
      <c r="EPK64" s="44">
        <f t="shared" si="191"/>
        <v>0</v>
      </c>
      <c r="EPL64" s="44">
        <f t="shared" si="191"/>
        <v>0</v>
      </c>
      <c r="EPM64" s="44">
        <f t="shared" si="191"/>
        <v>0</v>
      </c>
      <c r="EPN64" s="44">
        <f t="shared" si="191"/>
        <v>0</v>
      </c>
      <c r="EPO64" s="44">
        <f t="shared" si="191"/>
        <v>0</v>
      </c>
      <c r="EPP64" s="44">
        <f t="shared" si="191"/>
        <v>0</v>
      </c>
      <c r="EPQ64" s="44">
        <f t="shared" si="191"/>
        <v>0</v>
      </c>
      <c r="EPR64" s="44">
        <f t="shared" si="191"/>
        <v>0</v>
      </c>
      <c r="EPS64" s="44">
        <f t="shared" si="191"/>
        <v>0</v>
      </c>
      <c r="EPT64" s="44">
        <f t="shared" si="191"/>
        <v>0</v>
      </c>
      <c r="EPU64" s="44">
        <f t="shared" si="191"/>
        <v>0</v>
      </c>
      <c r="EPV64" s="44">
        <f t="shared" si="191"/>
        <v>0</v>
      </c>
      <c r="EPW64" s="44">
        <f t="shared" si="191"/>
        <v>0</v>
      </c>
      <c r="EPX64" s="44">
        <f t="shared" si="191"/>
        <v>0</v>
      </c>
      <c r="EPY64" s="44">
        <f t="shared" si="191"/>
        <v>0</v>
      </c>
      <c r="EPZ64" s="44">
        <f t="shared" si="191"/>
        <v>0</v>
      </c>
      <c r="EQA64" s="44">
        <f t="shared" si="191"/>
        <v>0</v>
      </c>
      <c r="EQB64" s="44">
        <f t="shared" si="191"/>
        <v>0</v>
      </c>
      <c r="EQC64" s="44">
        <f t="shared" si="191"/>
        <v>0</v>
      </c>
      <c r="EQD64" s="44">
        <f t="shared" si="191"/>
        <v>0</v>
      </c>
      <c r="EQE64" s="44">
        <f t="shared" si="191"/>
        <v>0</v>
      </c>
      <c r="EQF64" s="44">
        <f t="shared" si="191"/>
        <v>0</v>
      </c>
      <c r="EQG64" s="44">
        <f t="shared" si="191"/>
        <v>0</v>
      </c>
      <c r="EQH64" s="44">
        <f t="shared" si="191"/>
        <v>0</v>
      </c>
      <c r="EQI64" s="44">
        <f t="shared" si="191"/>
        <v>0</v>
      </c>
      <c r="EQJ64" s="44">
        <f t="shared" si="191"/>
        <v>0</v>
      </c>
      <c r="EQK64" s="44">
        <f t="shared" si="191"/>
        <v>0</v>
      </c>
      <c r="EQL64" s="44">
        <f t="shared" si="191"/>
        <v>0</v>
      </c>
      <c r="EQM64" s="44">
        <f t="shared" si="191"/>
        <v>0</v>
      </c>
      <c r="EQN64" s="44">
        <f t="shared" si="191"/>
        <v>0</v>
      </c>
      <c r="EQO64" s="44">
        <f t="shared" si="191"/>
        <v>0</v>
      </c>
      <c r="EQP64" s="44">
        <f t="shared" si="191"/>
        <v>0</v>
      </c>
      <c r="EQQ64" s="44">
        <f t="shared" si="191"/>
        <v>0</v>
      </c>
      <c r="EQR64" s="44">
        <f t="shared" si="191"/>
        <v>0</v>
      </c>
      <c r="EQS64" s="44">
        <f t="shared" si="191"/>
        <v>0</v>
      </c>
      <c r="EQT64" s="44">
        <f t="shared" si="191"/>
        <v>0</v>
      </c>
      <c r="EQU64" s="44">
        <f t="shared" si="191"/>
        <v>0</v>
      </c>
      <c r="EQV64" s="44">
        <f t="shared" si="191"/>
        <v>0</v>
      </c>
      <c r="EQW64" s="44">
        <f t="shared" si="191"/>
        <v>0</v>
      </c>
      <c r="EQX64" s="44">
        <f t="shared" si="191"/>
        <v>0</v>
      </c>
      <c r="EQY64" s="44">
        <f t="shared" si="191"/>
        <v>0</v>
      </c>
      <c r="EQZ64" s="44">
        <f t="shared" si="191"/>
        <v>0</v>
      </c>
      <c r="ERA64" s="44">
        <f t="shared" si="191"/>
        <v>0</v>
      </c>
      <c r="ERB64" s="44">
        <f t="shared" si="191"/>
        <v>0</v>
      </c>
      <c r="ERC64" s="44">
        <f t="shared" si="191"/>
        <v>0</v>
      </c>
      <c r="ERD64" s="44">
        <f t="shared" si="191"/>
        <v>0</v>
      </c>
      <c r="ERE64" s="44">
        <f t="shared" si="191"/>
        <v>0</v>
      </c>
      <c r="ERF64" s="44">
        <f t="shared" si="191"/>
        <v>0</v>
      </c>
      <c r="ERG64" s="44">
        <f t="shared" si="191"/>
        <v>0</v>
      </c>
      <c r="ERH64" s="44">
        <f t="shared" si="191"/>
        <v>0</v>
      </c>
      <c r="ERI64" s="44">
        <f t="shared" si="191"/>
        <v>0</v>
      </c>
      <c r="ERJ64" s="44">
        <f t="shared" si="191"/>
        <v>0</v>
      </c>
      <c r="ERK64" s="44">
        <f t="shared" si="191"/>
        <v>0</v>
      </c>
      <c r="ERL64" s="44">
        <f t="shared" si="191"/>
        <v>0</v>
      </c>
      <c r="ERM64" s="44">
        <f t="shared" si="191"/>
        <v>0</v>
      </c>
      <c r="ERN64" s="44">
        <f t="shared" ref="ERN64:ETY64" si="192">SUM(ERN56:ERN57)</f>
        <v>0</v>
      </c>
      <c r="ERO64" s="44">
        <f t="shared" si="192"/>
        <v>0</v>
      </c>
      <c r="ERP64" s="44">
        <f t="shared" si="192"/>
        <v>0</v>
      </c>
      <c r="ERQ64" s="44">
        <f t="shared" si="192"/>
        <v>0</v>
      </c>
      <c r="ERR64" s="44">
        <f t="shared" si="192"/>
        <v>0</v>
      </c>
      <c r="ERS64" s="44">
        <f t="shared" si="192"/>
        <v>0</v>
      </c>
      <c r="ERT64" s="44">
        <f t="shared" si="192"/>
        <v>0</v>
      </c>
      <c r="ERU64" s="44">
        <f t="shared" si="192"/>
        <v>0</v>
      </c>
      <c r="ERV64" s="44">
        <f t="shared" si="192"/>
        <v>0</v>
      </c>
      <c r="ERW64" s="44">
        <f t="shared" si="192"/>
        <v>0</v>
      </c>
      <c r="ERX64" s="44">
        <f t="shared" si="192"/>
        <v>0</v>
      </c>
      <c r="ERY64" s="44">
        <f t="shared" si="192"/>
        <v>0</v>
      </c>
      <c r="ERZ64" s="44">
        <f t="shared" si="192"/>
        <v>0</v>
      </c>
      <c r="ESA64" s="44">
        <f t="shared" si="192"/>
        <v>0</v>
      </c>
      <c r="ESB64" s="44">
        <f t="shared" si="192"/>
        <v>0</v>
      </c>
      <c r="ESC64" s="44">
        <f t="shared" si="192"/>
        <v>0</v>
      </c>
      <c r="ESD64" s="44">
        <f t="shared" si="192"/>
        <v>0</v>
      </c>
      <c r="ESE64" s="44">
        <f t="shared" si="192"/>
        <v>0</v>
      </c>
      <c r="ESF64" s="44">
        <f t="shared" si="192"/>
        <v>0</v>
      </c>
      <c r="ESG64" s="44">
        <f t="shared" si="192"/>
        <v>0</v>
      </c>
      <c r="ESH64" s="44">
        <f t="shared" si="192"/>
        <v>0</v>
      </c>
      <c r="ESI64" s="44">
        <f t="shared" si="192"/>
        <v>0</v>
      </c>
      <c r="ESJ64" s="44">
        <f t="shared" si="192"/>
        <v>0</v>
      </c>
      <c r="ESK64" s="44">
        <f t="shared" si="192"/>
        <v>0</v>
      </c>
      <c r="ESL64" s="44">
        <f t="shared" si="192"/>
        <v>0</v>
      </c>
      <c r="ESM64" s="44">
        <f t="shared" si="192"/>
        <v>0</v>
      </c>
      <c r="ESN64" s="44">
        <f t="shared" si="192"/>
        <v>0</v>
      </c>
      <c r="ESO64" s="44">
        <f t="shared" si="192"/>
        <v>0</v>
      </c>
      <c r="ESP64" s="44">
        <f t="shared" si="192"/>
        <v>0</v>
      </c>
      <c r="ESQ64" s="44">
        <f t="shared" si="192"/>
        <v>0</v>
      </c>
      <c r="ESR64" s="44">
        <f t="shared" si="192"/>
        <v>0</v>
      </c>
      <c r="ESS64" s="44">
        <f t="shared" si="192"/>
        <v>0</v>
      </c>
      <c r="EST64" s="44">
        <f t="shared" si="192"/>
        <v>0</v>
      </c>
      <c r="ESU64" s="44">
        <f t="shared" si="192"/>
        <v>0</v>
      </c>
      <c r="ESV64" s="44">
        <f t="shared" si="192"/>
        <v>0</v>
      </c>
      <c r="ESW64" s="44">
        <f t="shared" si="192"/>
        <v>0</v>
      </c>
      <c r="ESX64" s="44">
        <f t="shared" si="192"/>
        <v>0</v>
      </c>
      <c r="ESY64" s="44">
        <f t="shared" si="192"/>
        <v>0</v>
      </c>
      <c r="ESZ64" s="44">
        <f t="shared" si="192"/>
        <v>0</v>
      </c>
      <c r="ETA64" s="44">
        <f t="shared" si="192"/>
        <v>0</v>
      </c>
      <c r="ETB64" s="44">
        <f t="shared" si="192"/>
        <v>0</v>
      </c>
      <c r="ETC64" s="44">
        <f t="shared" si="192"/>
        <v>0</v>
      </c>
      <c r="ETD64" s="44">
        <f t="shared" si="192"/>
        <v>0</v>
      </c>
      <c r="ETE64" s="44">
        <f t="shared" si="192"/>
        <v>0</v>
      </c>
      <c r="ETF64" s="44">
        <f t="shared" si="192"/>
        <v>0</v>
      </c>
      <c r="ETG64" s="44">
        <f t="shared" si="192"/>
        <v>0</v>
      </c>
      <c r="ETH64" s="44">
        <f t="shared" si="192"/>
        <v>0</v>
      </c>
      <c r="ETI64" s="44">
        <f t="shared" si="192"/>
        <v>0</v>
      </c>
      <c r="ETJ64" s="44">
        <f t="shared" si="192"/>
        <v>0</v>
      </c>
      <c r="ETK64" s="44">
        <f t="shared" si="192"/>
        <v>0</v>
      </c>
      <c r="ETL64" s="44">
        <f t="shared" si="192"/>
        <v>0</v>
      </c>
      <c r="ETM64" s="44">
        <f t="shared" si="192"/>
        <v>0</v>
      </c>
      <c r="ETN64" s="44">
        <f t="shared" si="192"/>
        <v>0</v>
      </c>
      <c r="ETO64" s="44">
        <f t="shared" si="192"/>
        <v>0</v>
      </c>
      <c r="ETP64" s="44">
        <f t="shared" si="192"/>
        <v>0</v>
      </c>
      <c r="ETQ64" s="44">
        <f t="shared" si="192"/>
        <v>0</v>
      </c>
      <c r="ETR64" s="44">
        <f t="shared" si="192"/>
        <v>0</v>
      </c>
      <c r="ETS64" s="44">
        <f t="shared" si="192"/>
        <v>0</v>
      </c>
      <c r="ETT64" s="44">
        <f t="shared" si="192"/>
        <v>0</v>
      </c>
      <c r="ETU64" s="44">
        <f t="shared" si="192"/>
        <v>0</v>
      </c>
      <c r="ETV64" s="44">
        <f t="shared" si="192"/>
        <v>0</v>
      </c>
      <c r="ETW64" s="44">
        <f t="shared" si="192"/>
        <v>0</v>
      </c>
      <c r="ETX64" s="44">
        <f t="shared" si="192"/>
        <v>0</v>
      </c>
      <c r="ETY64" s="44">
        <f t="shared" si="192"/>
        <v>0</v>
      </c>
      <c r="ETZ64" s="44">
        <f t="shared" ref="ETZ64:EWK64" si="193">SUM(ETZ56:ETZ57)</f>
        <v>0</v>
      </c>
      <c r="EUA64" s="44">
        <f t="shared" si="193"/>
        <v>0</v>
      </c>
      <c r="EUB64" s="44">
        <f t="shared" si="193"/>
        <v>0</v>
      </c>
      <c r="EUC64" s="44">
        <f t="shared" si="193"/>
        <v>0</v>
      </c>
      <c r="EUD64" s="44">
        <f t="shared" si="193"/>
        <v>0</v>
      </c>
      <c r="EUE64" s="44">
        <f t="shared" si="193"/>
        <v>0</v>
      </c>
      <c r="EUF64" s="44">
        <f t="shared" si="193"/>
        <v>0</v>
      </c>
      <c r="EUG64" s="44">
        <f t="shared" si="193"/>
        <v>0</v>
      </c>
      <c r="EUH64" s="44">
        <f t="shared" si="193"/>
        <v>0</v>
      </c>
      <c r="EUI64" s="44">
        <f t="shared" si="193"/>
        <v>0</v>
      </c>
      <c r="EUJ64" s="44">
        <f t="shared" si="193"/>
        <v>0</v>
      </c>
      <c r="EUK64" s="44">
        <f t="shared" si="193"/>
        <v>0</v>
      </c>
      <c r="EUL64" s="44">
        <f t="shared" si="193"/>
        <v>0</v>
      </c>
      <c r="EUM64" s="44">
        <f t="shared" si="193"/>
        <v>0</v>
      </c>
      <c r="EUN64" s="44">
        <f t="shared" si="193"/>
        <v>0</v>
      </c>
      <c r="EUO64" s="44">
        <f t="shared" si="193"/>
        <v>0</v>
      </c>
      <c r="EUP64" s="44">
        <f t="shared" si="193"/>
        <v>0</v>
      </c>
      <c r="EUQ64" s="44">
        <f t="shared" si="193"/>
        <v>0</v>
      </c>
      <c r="EUR64" s="44">
        <f t="shared" si="193"/>
        <v>0</v>
      </c>
      <c r="EUS64" s="44">
        <f t="shared" si="193"/>
        <v>0</v>
      </c>
      <c r="EUT64" s="44">
        <f t="shared" si="193"/>
        <v>0</v>
      </c>
      <c r="EUU64" s="44">
        <f t="shared" si="193"/>
        <v>0</v>
      </c>
      <c r="EUV64" s="44">
        <f t="shared" si="193"/>
        <v>0</v>
      </c>
      <c r="EUW64" s="44">
        <f t="shared" si="193"/>
        <v>0</v>
      </c>
      <c r="EUX64" s="44">
        <f t="shared" si="193"/>
        <v>0</v>
      </c>
      <c r="EUY64" s="44">
        <f t="shared" si="193"/>
        <v>0</v>
      </c>
      <c r="EUZ64" s="44">
        <f t="shared" si="193"/>
        <v>0</v>
      </c>
      <c r="EVA64" s="44">
        <f t="shared" si="193"/>
        <v>0</v>
      </c>
      <c r="EVB64" s="44">
        <f t="shared" si="193"/>
        <v>0</v>
      </c>
      <c r="EVC64" s="44">
        <f t="shared" si="193"/>
        <v>0</v>
      </c>
      <c r="EVD64" s="44">
        <f t="shared" si="193"/>
        <v>0</v>
      </c>
      <c r="EVE64" s="44">
        <f t="shared" si="193"/>
        <v>0</v>
      </c>
      <c r="EVF64" s="44">
        <f t="shared" si="193"/>
        <v>0</v>
      </c>
      <c r="EVG64" s="44">
        <f t="shared" si="193"/>
        <v>0</v>
      </c>
      <c r="EVH64" s="44">
        <f t="shared" si="193"/>
        <v>0</v>
      </c>
      <c r="EVI64" s="44">
        <f t="shared" si="193"/>
        <v>0</v>
      </c>
      <c r="EVJ64" s="44">
        <f t="shared" si="193"/>
        <v>0</v>
      </c>
      <c r="EVK64" s="44">
        <f t="shared" si="193"/>
        <v>0</v>
      </c>
      <c r="EVL64" s="44">
        <f t="shared" si="193"/>
        <v>0</v>
      </c>
      <c r="EVM64" s="44">
        <f t="shared" si="193"/>
        <v>0</v>
      </c>
      <c r="EVN64" s="44">
        <f t="shared" si="193"/>
        <v>0</v>
      </c>
      <c r="EVO64" s="44">
        <f t="shared" si="193"/>
        <v>0</v>
      </c>
      <c r="EVP64" s="44">
        <f t="shared" si="193"/>
        <v>0</v>
      </c>
      <c r="EVQ64" s="44">
        <f t="shared" si="193"/>
        <v>0</v>
      </c>
      <c r="EVR64" s="44">
        <f t="shared" si="193"/>
        <v>0</v>
      </c>
      <c r="EVS64" s="44">
        <f t="shared" si="193"/>
        <v>0</v>
      </c>
      <c r="EVT64" s="44">
        <f t="shared" si="193"/>
        <v>0</v>
      </c>
      <c r="EVU64" s="44">
        <f t="shared" si="193"/>
        <v>0</v>
      </c>
      <c r="EVV64" s="44">
        <f t="shared" si="193"/>
        <v>0</v>
      </c>
      <c r="EVW64" s="44">
        <f t="shared" si="193"/>
        <v>0</v>
      </c>
      <c r="EVX64" s="44">
        <f t="shared" si="193"/>
        <v>0</v>
      </c>
      <c r="EVY64" s="44">
        <f t="shared" si="193"/>
        <v>0</v>
      </c>
      <c r="EVZ64" s="44">
        <f t="shared" si="193"/>
        <v>0</v>
      </c>
      <c r="EWA64" s="44">
        <f t="shared" si="193"/>
        <v>0</v>
      </c>
      <c r="EWB64" s="44">
        <f t="shared" si="193"/>
        <v>0</v>
      </c>
      <c r="EWC64" s="44">
        <f t="shared" si="193"/>
        <v>0</v>
      </c>
      <c r="EWD64" s="44">
        <f t="shared" si="193"/>
        <v>0</v>
      </c>
      <c r="EWE64" s="44">
        <f t="shared" si="193"/>
        <v>0</v>
      </c>
      <c r="EWF64" s="44">
        <f t="shared" si="193"/>
        <v>0</v>
      </c>
      <c r="EWG64" s="44">
        <f t="shared" si="193"/>
        <v>0</v>
      </c>
      <c r="EWH64" s="44">
        <f t="shared" si="193"/>
        <v>0</v>
      </c>
      <c r="EWI64" s="44">
        <f t="shared" si="193"/>
        <v>0</v>
      </c>
      <c r="EWJ64" s="44">
        <f t="shared" si="193"/>
        <v>0</v>
      </c>
      <c r="EWK64" s="44">
        <f t="shared" si="193"/>
        <v>0</v>
      </c>
      <c r="EWL64" s="44">
        <f t="shared" ref="EWL64:EYW64" si="194">SUM(EWL56:EWL57)</f>
        <v>0</v>
      </c>
      <c r="EWM64" s="44">
        <f t="shared" si="194"/>
        <v>0</v>
      </c>
      <c r="EWN64" s="44">
        <f t="shared" si="194"/>
        <v>0</v>
      </c>
      <c r="EWO64" s="44">
        <f t="shared" si="194"/>
        <v>0</v>
      </c>
      <c r="EWP64" s="44">
        <f t="shared" si="194"/>
        <v>0</v>
      </c>
      <c r="EWQ64" s="44">
        <f t="shared" si="194"/>
        <v>0</v>
      </c>
      <c r="EWR64" s="44">
        <f t="shared" si="194"/>
        <v>0</v>
      </c>
      <c r="EWS64" s="44">
        <f t="shared" si="194"/>
        <v>0</v>
      </c>
      <c r="EWT64" s="44">
        <f t="shared" si="194"/>
        <v>0</v>
      </c>
      <c r="EWU64" s="44">
        <f t="shared" si="194"/>
        <v>0</v>
      </c>
      <c r="EWV64" s="44">
        <f t="shared" si="194"/>
        <v>0</v>
      </c>
      <c r="EWW64" s="44">
        <f t="shared" si="194"/>
        <v>0</v>
      </c>
      <c r="EWX64" s="44">
        <f t="shared" si="194"/>
        <v>0</v>
      </c>
      <c r="EWY64" s="44">
        <f t="shared" si="194"/>
        <v>0</v>
      </c>
      <c r="EWZ64" s="44">
        <f t="shared" si="194"/>
        <v>0</v>
      </c>
      <c r="EXA64" s="44">
        <f t="shared" si="194"/>
        <v>0</v>
      </c>
      <c r="EXB64" s="44">
        <f t="shared" si="194"/>
        <v>0</v>
      </c>
      <c r="EXC64" s="44">
        <f t="shared" si="194"/>
        <v>0</v>
      </c>
      <c r="EXD64" s="44">
        <f t="shared" si="194"/>
        <v>0</v>
      </c>
      <c r="EXE64" s="44">
        <f t="shared" si="194"/>
        <v>0</v>
      </c>
      <c r="EXF64" s="44">
        <f t="shared" si="194"/>
        <v>0</v>
      </c>
      <c r="EXG64" s="44">
        <f t="shared" si="194"/>
        <v>0</v>
      </c>
      <c r="EXH64" s="44">
        <f t="shared" si="194"/>
        <v>0</v>
      </c>
      <c r="EXI64" s="44">
        <f t="shared" si="194"/>
        <v>0</v>
      </c>
      <c r="EXJ64" s="44">
        <f t="shared" si="194"/>
        <v>0</v>
      </c>
      <c r="EXK64" s="44">
        <f t="shared" si="194"/>
        <v>0</v>
      </c>
      <c r="EXL64" s="44">
        <f t="shared" si="194"/>
        <v>0</v>
      </c>
      <c r="EXM64" s="44">
        <f t="shared" si="194"/>
        <v>0</v>
      </c>
      <c r="EXN64" s="44">
        <f t="shared" si="194"/>
        <v>0</v>
      </c>
      <c r="EXO64" s="44">
        <f t="shared" si="194"/>
        <v>0</v>
      </c>
      <c r="EXP64" s="44">
        <f t="shared" si="194"/>
        <v>0</v>
      </c>
      <c r="EXQ64" s="44">
        <f t="shared" si="194"/>
        <v>0</v>
      </c>
      <c r="EXR64" s="44">
        <f t="shared" si="194"/>
        <v>0</v>
      </c>
      <c r="EXS64" s="44">
        <f t="shared" si="194"/>
        <v>0</v>
      </c>
      <c r="EXT64" s="44">
        <f t="shared" si="194"/>
        <v>0</v>
      </c>
      <c r="EXU64" s="44">
        <f t="shared" si="194"/>
        <v>0</v>
      </c>
      <c r="EXV64" s="44">
        <f t="shared" si="194"/>
        <v>0</v>
      </c>
      <c r="EXW64" s="44">
        <f t="shared" si="194"/>
        <v>0</v>
      </c>
      <c r="EXX64" s="44">
        <f t="shared" si="194"/>
        <v>0</v>
      </c>
      <c r="EXY64" s="44">
        <f t="shared" si="194"/>
        <v>0</v>
      </c>
      <c r="EXZ64" s="44">
        <f t="shared" si="194"/>
        <v>0</v>
      </c>
      <c r="EYA64" s="44">
        <f t="shared" si="194"/>
        <v>0</v>
      </c>
      <c r="EYB64" s="44">
        <f t="shared" si="194"/>
        <v>0</v>
      </c>
      <c r="EYC64" s="44">
        <f t="shared" si="194"/>
        <v>0</v>
      </c>
      <c r="EYD64" s="44">
        <f t="shared" si="194"/>
        <v>0</v>
      </c>
      <c r="EYE64" s="44">
        <f t="shared" si="194"/>
        <v>0</v>
      </c>
      <c r="EYF64" s="44">
        <f t="shared" si="194"/>
        <v>0</v>
      </c>
      <c r="EYG64" s="44">
        <f t="shared" si="194"/>
        <v>0</v>
      </c>
      <c r="EYH64" s="44">
        <f t="shared" si="194"/>
        <v>0</v>
      </c>
      <c r="EYI64" s="44">
        <f t="shared" si="194"/>
        <v>0</v>
      </c>
      <c r="EYJ64" s="44">
        <f t="shared" si="194"/>
        <v>0</v>
      </c>
      <c r="EYK64" s="44">
        <f t="shared" si="194"/>
        <v>0</v>
      </c>
      <c r="EYL64" s="44">
        <f t="shared" si="194"/>
        <v>0</v>
      </c>
      <c r="EYM64" s="44">
        <f t="shared" si="194"/>
        <v>0</v>
      </c>
      <c r="EYN64" s="44">
        <f t="shared" si="194"/>
        <v>0</v>
      </c>
      <c r="EYO64" s="44">
        <f t="shared" si="194"/>
        <v>0</v>
      </c>
      <c r="EYP64" s="44">
        <f t="shared" si="194"/>
        <v>0</v>
      </c>
      <c r="EYQ64" s="44">
        <f t="shared" si="194"/>
        <v>0</v>
      </c>
      <c r="EYR64" s="44">
        <f t="shared" si="194"/>
        <v>0</v>
      </c>
      <c r="EYS64" s="44">
        <f t="shared" si="194"/>
        <v>0</v>
      </c>
      <c r="EYT64" s="44">
        <f t="shared" si="194"/>
        <v>0</v>
      </c>
      <c r="EYU64" s="44">
        <f t="shared" si="194"/>
        <v>0</v>
      </c>
      <c r="EYV64" s="44">
        <f t="shared" si="194"/>
        <v>0</v>
      </c>
      <c r="EYW64" s="44">
        <f t="shared" si="194"/>
        <v>0</v>
      </c>
      <c r="EYX64" s="44">
        <f t="shared" ref="EYX64:FBI64" si="195">SUM(EYX56:EYX57)</f>
        <v>0</v>
      </c>
      <c r="EYY64" s="44">
        <f t="shared" si="195"/>
        <v>0</v>
      </c>
      <c r="EYZ64" s="44">
        <f t="shared" si="195"/>
        <v>0</v>
      </c>
      <c r="EZA64" s="44">
        <f t="shared" si="195"/>
        <v>0</v>
      </c>
      <c r="EZB64" s="44">
        <f t="shared" si="195"/>
        <v>0</v>
      </c>
      <c r="EZC64" s="44">
        <f t="shared" si="195"/>
        <v>0</v>
      </c>
      <c r="EZD64" s="44">
        <f t="shared" si="195"/>
        <v>0</v>
      </c>
      <c r="EZE64" s="44">
        <f t="shared" si="195"/>
        <v>0</v>
      </c>
      <c r="EZF64" s="44">
        <f t="shared" si="195"/>
        <v>0</v>
      </c>
      <c r="EZG64" s="44">
        <f t="shared" si="195"/>
        <v>0</v>
      </c>
      <c r="EZH64" s="44">
        <f t="shared" si="195"/>
        <v>0</v>
      </c>
      <c r="EZI64" s="44">
        <f t="shared" si="195"/>
        <v>0</v>
      </c>
      <c r="EZJ64" s="44">
        <f t="shared" si="195"/>
        <v>0</v>
      </c>
      <c r="EZK64" s="44">
        <f t="shared" si="195"/>
        <v>0</v>
      </c>
      <c r="EZL64" s="44">
        <f t="shared" si="195"/>
        <v>0</v>
      </c>
      <c r="EZM64" s="44">
        <f t="shared" si="195"/>
        <v>0</v>
      </c>
      <c r="EZN64" s="44">
        <f t="shared" si="195"/>
        <v>0</v>
      </c>
      <c r="EZO64" s="44">
        <f t="shared" si="195"/>
        <v>0</v>
      </c>
      <c r="EZP64" s="44">
        <f t="shared" si="195"/>
        <v>0</v>
      </c>
      <c r="EZQ64" s="44">
        <f t="shared" si="195"/>
        <v>0</v>
      </c>
      <c r="EZR64" s="44">
        <f t="shared" si="195"/>
        <v>0</v>
      </c>
      <c r="EZS64" s="44">
        <f t="shared" si="195"/>
        <v>0</v>
      </c>
      <c r="EZT64" s="44">
        <f t="shared" si="195"/>
        <v>0</v>
      </c>
      <c r="EZU64" s="44">
        <f t="shared" si="195"/>
        <v>0</v>
      </c>
      <c r="EZV64" s="44">
        <f t="shared" si="195"/>
        <v>0</v>
      </c>
      <c r="EZW64" s="44">
        <f t="shared" si="195"/>
        <v>0</v>
      </c>
      <c r="EZX64" s="44">
        <f t="shared" si="195"/>
        <v>0</v>
      </c>
      <c r="EZY64" s="44">
        <f t="shared" si="195"/>
        <v>0</v>
      </c>
      <c r="EZZ64" s="44">
        <f t="shared" si="195"/>
        <v>0</v>
      </c>
      <c r="FAA64" s="44">
        <f t="shared" si="195"/>
        <v>0</v>
      </c>
      <c r="FAB64" s="44">
        <f t="shared" si="195"/>
        <v>0</v>
      </c>
      <c r="FAC64" s="44">
        <f t="shared" si="195"/>
        <v>0</v>
      </c>
      <c r="FAD64" s="44">
        <f t="shared" si="195"/>
        <v>0</v>
      </c>
      <c r="FAE64" s="44">
        <f t="shared" si="195"/>
        <v>0</v>
      </c>
      <c r="FAF64" s="44">
        <f t="shared" si="195"/>
        <v>0</v>
      </c>
      <c r="FAG64" s="44">
        <f t="shared" si="195"/>
        <v>0</v>
      </c>
      <c r="FAH64" s="44">
        <f t="shared" si="195"/>
        <v>0</v>
      </c>
      <c r="FAI64" s="44">
        <f t="shared" si="195"/>
        <v>0</v>
      </c>
      <c r="FAJ64" s="44">
        <f t="shared" si="195"/>
        <v>0</v>
      </c>
      <c r="FAK64" s="44">
        <f t="shared" si="195"/>
        <v>0</v>
      </c>
      <c r="FAL64" s="44">
        <f t="shared" si="195"/>
        <v>0</v>
      </c>
      <c r="FAM64" s="44">
        <f t="shared" si="195"/>
        <v>0</v>
      </c>
      <c r="FAN64" s="44">
        <f t="shared" si="195"/>
        <v>0</v>
      </c>
      <c r="FAO64" s="44">
        <f t="shared" si="195"/>
        <v>0</v>
      </c>
      <c r="FAP64" s="44">
        <f t="shared" si="195"/>
        <v>0</v>
      </c>
      <c r="FAQ64" s="44">
        <f t="shared" si="195"/>
        <v>0</v>
      </c>
      <c r="FAR64" s="44">
        <f t="shared" si="195"/>
        <v>0</v>
      </c>
      <c r="FAS64" s="44">
        <f t="shared" si="195"/>
        <v>0</v>
      </c>
      <c r="FAT64" s="44">
        <f t="shared" si="195"/>
        <v>0</v>
      </c>
      <c r="FAU64" s="44">
        <f t="shared" si="195"/>
        <v>0</v>
      </c>
      <c r="FAV64" s="44">
        <f t="shared" si="195"/>
        <v>0</v>
      </c>
      <c r="FAW64" s="44">
        <f t="shared" si="195"/>
        <v>0</v>
      </c>
      <c r="FAX64" s="44">
        <f t="shared" si="195"/>
        <v>0</v>
      </c>
      <c r="FAY64" s="44">
        <f t="shared" si="195"/>
        <v>0</v>
      </c>
      <c r="FAZ64" s="44">
        <f t="shared" si="195"/>
        <v>0</v>
      </c>
      <c r="FBA64" s="44">
        <f t="shared" si="195"/>
        <v>0</v>
      </c>
      <c r="FBB64" s="44">
        <f t="shared" si="195"/>
        <v>0</v>
      </c>
      <c r="FBC64" s="44">
        <f t="shared" si="195"/>
        <v>0</v>
      </c>
      <c r="FBD64" s="44">
        <f t="shared" si="195"/>
        <v>0</v>
      </c>
      <c r="FBE64" s="44">
        <f t="shared" si="195"/>
        <v>0</v>
      </c>
      <c r="FBF64" s="44">
        <f t="shared" si="195"/>
        <v>0</v>
      </c>
      <c r="FBG64" s="44">
        <f t="shared" si="195"/>
        <v>0</v>
      </c>
      <c r="FBH64" s="44">
        <f t="shared" si="195"/>
        <v>0</v>
      </c>
      <c r="FBI64" s="44">
        <f t="shared" si="195"/>
        <v>0</v>
      </c>
      <c r="FBJ64" s="44">
        <f t="shared" ref="FBJ64:FDU64" si="196">SUM(FBJ56:FBJ57)</f>
        <v>0</v>
      </c>
      <c r="FBK64" s="44">
        <f t="shared" si="196"/>
        <v>0</v>
      </c>
      <c r="FBL64" s="44">
        <f t="shared" si="196"/>
        <v>0</v>
      </c>
      <c r="FBM64" s="44">
        <f t="shared" si="196"/>
        <v>0</v>
      </c>
      <c r="FBN64" s="44">
        <f t="shared" si="196"/>
        <v>0</v>
      </c>
      <c r="FBO64" s="44">
        <f t="shared" si="196"/>
        <v>0</v>
      </c>
      <c r="FBP64" s="44">
        <f t="shared" si="196"/>
        <v>0</v>
      </c>
      <c r="FBQ64" s="44">
        <f t="shared" si="196"/>
        <v>0</v>
      </c>
      <c r="FBR64" s="44">
        <f t="shared" si="196"/>
        <v>0</v>
      </c>
      <c r="FBS64" s="44">
        <f t="shared" si="196"/>
        <v>0</v>
      </c>
      <c r="FBT64" s="44">
        <f t="shared" si="196"/>
        <v>0</v>
      </c>
      <c r="FBU64" s="44">
        <f t="shared" si="196"/>
        <v>0</v>
      </c>
      <c r="FBV64" s="44">
        <f t="shared" si="196"/>
        <v>0</v>
      </c>
      <c r="FBW64" s="44">
        <f t="shared" si="196"/>
        <v>0</v>
      </c>
      <c r="FBX64" s="44">
        <f t="shared" si="196"/>
        <v>0</v>
      </c>
      <c r="FBY64" s="44">
        <f t="shared" si="196"/>
        <v>0</v>
      </c>
      <c r="FBZ64" s="44">
        <f t="shared" si="196"/>
        <v>0</v>
      </c>
      <c r="FCA64" s="44">
        <f t="shared" si="196"/>
        <v>0</v>
      </c>
      <c r="FCB64" s="44">
        <f t="shared" si="196"/>
        <v>0</v>
      </c>
      <c r="FCC64" s="44">
        <f t="shared" si="196"/>
        <v>0</v>
      </c>
      <c r="FCD64" s="44">
        <f t="shared" si="196"/>
        <v>0</v>
      </c>
      <c r="FCE64" s="44">
        <f t="shared" si="196"/>
        <v>0</v>
      </c>
      <c r="FCF64" s="44">
        <f t="shared" si="196"/>
        <v>0</v>
      </c>
      <c r="FCG64" s="44">
        <f t="shared" si="196"/>
        <v>0</v>
      </c>
      <c r="FCH64" s="44">
        <f t="shared" si="196"/>
        <v>0</v>
      </c>
      <c r="FCI64" s="44">
        <f t="shared" si="196"/>
        <v>0</v>
      </c>
      <c r="FCJ64" s="44">
        <f t="shared" si="196"/>
        <v>0</v>
      </c>
      <c r="FCK64" s="44">
        <f t="shared" si="196"/>
        <v>0</v>
      </c>
      <c r="FCL64" s="44">
        <f t="shared" si="196"/>
        <v>0</v>
      </c>
      <c r="FCM64" s="44">
        <f t="shared" si="196"/>
        <v>0</v>
      </c>
      <c r="FCN64" s="44">
        <f t="shared" si="196"/>
        <v>0</v>
      </c>
      <c r="FCO64" s="44">
        <f t="shared" si="196"/>
        <v>0</v>
      </c>
      <c r="FCP64" s="44">
        <f t="shared" si="196"/>
        <v>0</v>
      </c>
      <c r="FCQ64" s="44">
        <f t="shared" si="196"/>
        <v>0</v>
      </c>
      <c r="FCR64" s="44">
        <f t="shared" si="196"/>
        <v>0</v>
      </c>
      <c r="FCS64" s="44">
        <f t="shared" si="196"/>
        <v>0</v>
      </c>
      <c r="FCT64" s="44">
        <f t="shared" si="196"/>
        <v>0</v>
      </c>
      <c r="FCU64" s="44">
        <f t="shared" si="196"/>
        <v>0</v>
      </c>
      <c r="FCV64" s="44">
        <f t="shared" si="196"/>
        <v>0</v>
      </c>
      <c r="FCW64" s="44">
        <f t="shared" si="196"/>
        <v>0</v>
      </c>
      <c r="FCX64" s="44">
        <f t="shared" si="196"/>
        <v>0</v>
      </c>
      <c r="FCY64" s="44">
        <f t="shared" si="196"/>
        <v>0</v>
      </c>
      <c r="FCZ64" s="44">
        <f t="shared" si="196"/>
        <v>0</v>
      </c>
      <c r="FDA64" s="44">
        <f t="shared" si="196"/>
        <v>0</v>
      </c>
      <c r="FDB64" s="44">
        <f t="shared" si="196"/>
        <v>0</v>
      </c>
      <c r="FDC64" s="44">
        <f t="shared" si="196"/>
        <v>0</v>
      </c>
      <c r="FDD64" s="44">
        <f t="shared" si="196"/>
        <v>0</v>
      </c>
      <c r="FDE64" s="44">
        <f t="shared" si="196"/>
        <v>0</v>
      </c>
      <c r="FDF64" s="44">
        <f t="shared" si="196"/>
        <v>0</v>
      </c>
      <c r="FDG64" s="44">
        <f t="shared" si="196"/>
        <v>0</v>
      </c>
      <c r="FDH64" s="44">
        <f t="shared" si="196"/>
        <v>0</v>
      </c>
      <c r="FDI64" s="44">
        <f t="shared" si="196"/>
        <v>0</v>
      </c>
      <c r="FDJ64" s="44">
        <f t="shared" si="196"/>
        <v>0</v>
      </c>
      <c r="FDK64" s="44">
        <f t="shared" si="196"/>
        <v>0</v>
      </c>
      <c r="FDL64" s="44">
        <f t="shared" si="196"/>
        <v>0</v>
      </c>
      <c r="FDM64" s="44">
        <f t="shared" si="196"/>
        <v>0</v>
      </c>
      <c r="FDN64" s="44">
        <f t="shared" si="196"/>
        <v>0</v>
      </c>
      <c r="FDO64" s="44">
        <f t="shared" si="196"/>
        <v>0</v>
      </c>
      <c r="FDP64" s="44">
        <f t="shared" si="196"/>
        <v>0</v>
      </c>
      <c r="FDQ64" s="44">
        <f t="shared" si="196"/>
        <v>0</v>
      </c>
      <c r="FDR64" s="44">
        <f t="shared" si="196"/>
        <v>0</v>
      </c>
      <c r="FDS64" s="44">
        <f t="shared" si="196"/>
        <v>0</v>
      </c>
      <c r="FDT64" s="44">
        <f t="shared" si="196"/>
        <v>0</v>
      </c>
      <c r="FDU64" s="44">
        <f t="shared" si="196"/>
        <v>0</v>
      </c>
      <c r="FDV64" s="44">
        <f t="shared" ref="FDV64:FGG64" si="197">SUM(FDV56:FDV57)</f>
        <v>0</v>
      </c>
      <c r="FDW64" s="44">
        <f t="shared" si="197"/>
        <v>0</v>
      </c>
      <c r="FDX64" s="44">
        <f t="shared" si="197"/>
        <v>0</v>
      </c>
      <c r="FDY64" s="44">
        <f t="shared" si="197"/>
        <v>0</v>
      </c>
      <c r="FDZ64" s="44">
        <f t="shared" si="197"/>
        <v>0</v>
      </c>
      <c r="FEA64" s="44">
        <f t="shared" si="197"/>
        <v>0</v>
      </c>
      <c r="FEB64" s="44">
        <f t="shared" si="197"/>
        <v>0</v>
      </c>
      <c r="FEC64" s="44">
        <f t="shared" si="197"/>
        <v>0</v>
      </c>
      <c r="FED64" s="44">
        <f t="shared" si="197"/>
        <v>0</v>
      </c>
      <c r="FEE64" s="44">
        <f t="shared" si="197"/>
        <v>0</v>
      </c>
      <c r="FEF64" s="44">
        <f t="shared" si="197"/>
        <v>0</v>
      </c>
      <c r="FEG64" s="44">
        <f t="shared" si="197"/>
        <v>0</v>
      </c>
      <c r="FEH64" s="44">
        <f t="shared" si="197"/>
        <v>0</v>
      </c>
      <c r="FEI64" s="44">
        <f t="shared" si="197"/>
        <v>0</v>
      </c>
      <c r="FEJ64" s="44">
        <f t="shared" si="197"/>
        <v>0</v>
      </c>
      <c r="FEK64" s="44">
        <f t="shared" si="197"/>
        <v>0</v>
      </c>
      <c r="FEL64" s="44">
        <f t="shared" si="197"/>
        <v>0</v>
      </c>
      <c r="FEM64" s="44">
        <f t="shared" si="197"/>
        <v>0</v>
      </c>
      <c r="FEN64" s="44">
        <f t="shared" si="197"/>
        <v>0</v>
      </c>
      <c r="FEO64" s="44">
        <f t="shared" si="197"/>
        <v>0</v>
      </c>
      <c r="FEP64" s="44">
        <f t="shared" si="197"/>
        <v>0</v>
      </c>
      <c r="FEQ64" s="44">
        <f t="shared" si="197"/>
        <v>0</v>
      </c>
      <c r="FER64" s="44">
        <f t="shared" si="197"/>
        <v>0</v>
      </c>
      <c r="FES64" s="44">
        <f t="shared" si="197"/>
        <v>0</v>
      </c>
      <c r="FET64" s="44">
        <f t="shared" si="197"/>
        <v>0</v>
      </c>
      <c r="FEU64" s="44">
        <f t="shared" si="197"/>
        <v>0</v>
      </c>
      <c r="FEV64" s="44">
        <f t="shared" si="197"/>
        <v>0</v>
      </c>
      <c r="FEW64" s="44">
        <f t="shared" si="197"/>
        <v>0</v>
      </c>
      <c r="FEX64" s="44">
        <f t="shared" si="197"/>
        <v>0</v>
      </c>
      <c r="FEY64" s="44">
        <f t="shared" si="197"/>
        <v>0</v>
      </c>
      <c r="FEZ64" s="44">
        <f t="shared" si="197"/>
        <v>0</v>
      </c>
      <c r="FFA64" s="44">
        <f t="shared" si="197"/>
        <v>0</v>
      </c>
      <c r="FFB64" s="44">
        <f t="shared" si="197"/>
        <v>0</v>
      </c>
      <c r="FFC64" s="44">
        <f t="shared" si="197"/>
        <v>0</v>
      </c>
      <c r="FFD64" s="44">
        <f t="shared" si="197"/>
        <v>0</v>
      </c>
      <c r="FFE64" s="44">
        <f t="shared" si="197"/>
        <v>0</v>
      </c>
      <c r="FFF64" s="44">
        <f t="shared" si="197"/>
        <v>0</v>
      </c>
      <c r="FFG64" s="44">
        <f t="shared" si="197"/>
        <v>0</v>
      </c>
      <c r="FFH64" s="44">
        <f t="shared" si="197"/>
        <v>0</v>
      </c>
      <c r="FFI64" s="44">
        <f t="shared" si="197"/>
        <v>0</v>
      </c>
      <c r="FFJ64" s="44">
        <f t="shared" si="197"/>
        <v>0</v>
      </c>
      <c r="FFK64" s="44">
        <f t="shared" si="197"/>
        <v>0</v>
      </c>
      <c r="FFL64" s="44">
        <f t="shared" si="197"/>
        <v>0</v>
      </c>
      <c r="FFM64" s="44">
        <f t="shared" si="197"/>
        <v>0</v>
      </c>
      <c r="FFN64" s="44">
        <f t="shared" si="197"/>
        <v>0</v>
      </c>
      <c r="FFO64" s="44">
        <f t="shared" si="197"/>
        <v>0</v>
      </c>
      <c r="FFP64" s="44">
        <f t="shared" si="197"/>
        <v>0</v>
      </c>
      <c r="FFQ64" s="44">
        <f t="shared" si="197"/>
        <v>0</v>
      </c>
      <c r="FFR64" s="44">
        <f t="shared" si="197"/>
        <v>0</v>
      </c>
      <c r="FFS64" s="44">
        <f t="shared" si="197"/>
        <v>0</v>
      </c>
      <c r="FFT64" s="44">
        <f t="shared" si="197"/>
        <v>0</v>
      </c>
      <c r="FFU64" s="44">
        <f t="shared" si="197"/>
        <v>0</v>
      </c>
      <c r="FFV64" s="44">
        <f t="shared" si="197"/>
        <v>0</v>
      </c>
      <c r="FFW64" s="44">
        <f t="shared" si="197"/>
        <v>0</v>
      </c>
      <c r="FFX64" s="44">
        <f t="shared" si="197"/>
        <v>0</v>
      </c>
      <c r="FFY64" s="44">
        <f t="shared" si="197"/>
        <v>0</v>
      </c>
      <c r="FFZ64" s="44">
        <f t="shared" si="197"/>
        <v>0</v>
      </c>
      <c r="FGA64" s="44">
        <f t="shared" si="197"/>
        <v>0</v>
      </c>
      <c r="FGB64" s="44">
        <f t="shared" si="197"/>
        <v>0</v>
      </c>
      <c r="FGC64" s="44">
        <f t="shared" si="197"/>
        <v>0</v>
      </c>
      <c r="FGD64" s="44">
        <f t="shared" si="197"/>
        <v>0</v>
      </c>
      <c r="FGE64" s="44">
        <f t="shared" si="197"/>
        <v>0</v>
      </c>
      <c r="FGF64" s="44">
        <f t="shared" si="197"/>
        <v>0</v>
      </c>
      <c r="FGG64" s="44">
        <f t="shared" si="197"/>
        <v>0</v>
      </c>
      <c r="FGH64" s="44">
        <f t="shared" ref="FGH64:FIS64" si="198">SUM(FGH56:FGH57)</f>
        <v>0</v>
      </c>
      <c r="FGI64" s="44">
        <f t="shared" si="198"/>
        <v>0</v>
      </c>
      <c r="FGJ64" s="44">
        <f t="shared" si="198"/>
        <v>0</v>
      </c>
      <c r="FGK64" s="44">
        <f t="shared" si="198"/>
        <v>0</v>
      </c>
      <c r="FGL64" s="44">
        <f t="shared" si="198"/>
        <v>0</v>
      </c>
      <c r="FGM64" s="44">
        <f t="shared" si="198"/>
        <v>0</v>
      </c>
      <c r="FGN64" s="44">
        <f t="shared" si="198"/>
        <v>0</v>
      </c>
      <c r="FGO64" s="44">
        <f t="shared" si="198"/>
        <v>0</v>
      </c>
      <c r="FGP64" s="44">
        <f t="shared" si="198"/>
        <v>0</v>
      </c>
      <c r="FGQ64" s="44">
        <f t="shared" si="198"/>
        <v>0</v>
      </c>
      <c r="FGR64" s="44">
        <f t="shared" si="198"/>
        <v>0</v>
      </c>
      <c r="FGS64" s="44">
        <f t="shared" si="198"/>
        <v>0</v>
      </c>
      <c r="FGT64" s="44">
        <f t="shared" si="198"/>
        <v>0</v>
      </c>
      <c r="FGU64" s="44">
        <f t="shared" si="198"/>
        <v>0</v>
      </c>
      <c r="FGV64" s="44">
        <f t="shared" si="198"/>
        <v>0</v>
      </c>
      <c r="FGW64" s="44">
        <f t="shared" si="198"/>
        <v>0</v>
      </c>
      <c r="FGX64" s="44">
        <f t="shared" si="198"/>
        <v>0</v>
      </c>
      <c r="FGY64" s="44">
        <f t="shared" si="198"/>
        <v>0</v>
      </c>
      <c r="FGZ64" s="44">
        <f t="shared" si="198"/>
        <v>0</v>
      </c>
      <c r="FHA64" s="44">
        <f t="shared" si="198"/>
        <v>0</v>
      </c>
      <c r="FHB64" s="44">
        <f t="shared" si="198"/>
        <v>0</v>
      </c>
      <c r="FHC64" s="44">
        <f t="shared" si="198"/>
        <v>0</v>
      </c>
      <c r="FHD64" s="44">
        <f t="shared" si="198"/>
        <v>0</v>
      </c>
      <c r="FHE64" s="44">
        <f t="shared" si="198"/>
        <v>0</v>
      </c>
      <c r="FHF64" s="44">
        <f t="shared" si="198"/>
        <v>0</v>
      </c>
      <c r="FHG64" s="44">
        <f t="shared" si="198"/>
        <v>0</v>
      </c>
      <c r="FHH64" s="44">
        <f t="shared" si="198"/>
        <v>0</v>
      </c>
      <c r="FHI64" s="44">
        <f t="shared" si="198"/>
        <v>0</v>
      </c>
      <c r="FHJ64" s="44">
        <f t="shared" si="198"/>
        <v>0</v>
      </c>
      <c r="FHK64" s="44">
        <f t="shared" si="198"/>
        <v>0</v>
      </c>
      <c r="FHL64" s="44">
        <f t="shared" si="198"/>
        <v>0</v>
      </c>
      <c r="FHM64" s="44">
        <f t="shared" si="198"/>
        <v>0</v>
      </c>
      <c r="FHN64" s="44">
        <f t="shared" si="198"/>
        <v>0</v>
      </c>
      <c r="FHO64" s="44">
        <f t="shared" si="198"/>
        <v>0</v>
      </c>
      <c r="FHP64" s="44">
        <f t="shared" si="198"/>
        <v>0</v>
      </c>
      <c r="FHQ64" s="44">
        <f t="shared" si="198"/>
        <v>0</v>
      </c>
      <c r="FHR64" s="44">
        <f t="shared" si="198"/>
        <v>0</v>
      </c>
      <c r="FHS64" s="44">
        <f t="shared" si="198"/>
        <v>0</v>
      </c>
      <c r="FHT64" s="44">
        <f t="shared" si="198"/>
        <v>0</v>
      </c>
      <c r="FHU64" s="44">
        <f t="shared" si="198"/>
        <v>0</v>
      </c>
      <c r="FHV64" s="44">
        <f t="shared" si="198"/>
        <v>0</v>
      </c>
      <c r="FHW64" s="44">
        <f t="shared" si="198"/>
        <v>0</v>
      </c>
      <c r="FHX64" s="44">
        <f t="shared" si="198"/>
        <v>0</v>
      </c>
      <c r="FHY64" s="44">
        <f t="shared" si="198"/>
        <v>0</v>
      </c>
      <c r="FHZ64" s="44">
        <f t="shared" si="198"/>
        <v>0</v>
      </c>
      <c r="FIA64" s="44">
        <f t="shared" si="198"/>
        <v>0</v>
      </c>
      <c r="FIB64" s="44">
        <f t="shared" si="198"/>
        <v>0</v>
      </c>
      <c r="FIC64" s="44">
        <f t="shared" si="198"/>
        <v>0</v>
      </c>
      <c r="FID64" s="44">
        <f t="shared" si="198"/>
        <v>0</v>
      </c>
      <c r="FIE64" s="44">
        <f t="shared" si="198"/>
        <v>0</v>
      </c>
      <c r="FIF64" s="44">
        <f t="shared" si="198"/>
        <v>0</v>
      </c>
      <c r="FIG64" s="44">
        <f t="shared" si="198"/>
        <v>0</v>
      </c>
      <c r="FIH64" s="44">
        <f t="shared" si="198"/>
        <v>0</v>
      </c>
      <c r="FII64" s="44">
        <f t="shared" si="198"/>
        <v>0</v>
      </c>
      <c r="FIJ64" s="44">
        <f t="shared" si="198"/>
        <v>0</v>
      </c>
      <c r="FIK64" s="44">
        <f t="shared" si="198"/>
        <v>0</v>
      </c>
      <c r="FIL64" s="44">
        <f t="shared" si="198"/>
        <v>0</v>
      </c>
      <c r="FIM64" s="44">
        <f t="shared" si="198"/>
        <v>0</v>
      </c>
      <c r="FIN64" s="44">
        <f t="shared" si="198"/>
        <v>0</v>
      </c>
      <c r="FIO64" s="44">
        <f t="shared" si="198"/>
        <v>0</v>
      </c>
      <c r="FIP64" s="44">
        <f t="shared" si="198"/>
        <v>0</v>
      </c>
      <c r="FIQ64" s="44">
        <f t="shared" si="198"/>
        <v>0</v>
      </c>
      <c r="FIR64" s="44">
        <f t="shared" si="198"/>
        <v>0</v>
      </c>
      <c r="FIS64" s="44">
        <f t="shared" si="198"/>
        <v>0</v>
      </c>
      <c r="FIT64" s="44">
        <f t="shared" ref="FIT64:FLE64" si="199">SUM(FIT56:FIT57)</f>
        <v>0</v>
      </c>
      <c r="FIU64" s="44">
        <f t="shared" si="199"/>
        <v>0</v>
      </c>
      <c r="FIV64" s="44">
        <f t="shared" si="199"/>
        <v>0</v>
      </c>
      <c r="FIW64" s="44">
        <f t="shared" si="199"/>
        <v>0</v>
      </c>
      <c r="FIX64" s="44">
        <f t="shared" si="199"/>
        <v>0</v>
      </c>
      <c r="FIY64" s="44">
        <f t="shared" si="199"/>
        <v>0</v>
      </c>
      <c r="FIZ64" s="44">
        <f t="shared" si="199"/>
        <v>0</v>
      </c>
      <c r="FJA64" s="44">
        <f t="shared" si="199"/>
        <v>0</v>
      </c>
      <c r="FJB64" s="44">
        <f t="shared" si="199"/>
        <v>0</v>
      </c>
      <c r="FJC64" s="44">
        <f t="shared" si="199"/>
        <v>0</v>
      </c>
      <c r="FJD64" s="44">
        <f t="shared" si="199"/>
        <v>0</v>
      </c>
      <c r="FJE64" s="44">
        <f t="shared" si="199"/>
        <v>0</v>
      </c>
      <c r="FJF64" s="44">
        <f t="shared" si="199"/>
        <v>0</v>
      </c>
      <c r="FJG64" s="44">
        <f t="shared" si="199"/>
        <v>0</v>
      </c>
      <c r="FJH64" s="44">
        <f t="shared" si="199"/>
        <v>0</v>
      </c>
      <c r="FJI64" s="44">
        <f t="shared" si="199"/>
        <v>0</v>
      </c>
      <c r="FJJ64" s="44">
        <f t="shared" si="199"/>
        <v>0</v>
      </c>
      <c r="FJK64" s="44">
        <f t="shared" si="199"/>
        <v>0</v>
      </c>
      <c r="FJL64" s="44">
        <f t="shared" si="199"/>
        <v>0</v>
      </c>
      <c r="FJM64" s="44">
        <f t="shared" si="199"/>
        <v>0</v>
      </c>
      <c r="FJN64" s="44">
        <f t="shared" si="199"/>
        <v>0</v>
      </c>
      <c r="FJO64" s="44">
        <f t="shared" si="199"/>
        <v>0</v>
      </c>
      <c r="FJP64" s="44">
        <f t="shared" si="199"/>
        <v>0</v>
      </c>
      <c r="FJQ64" s="44">
        <f t="shared" si="199"/>
        <v>0</v>
      </c>
      <c r="FJR64" s="44">
        <f t="shared" si="199"/>
        <v>0</v>
      </c>
      <c r="FJS64" s="44">
        <f t="shared" si="199"/>
        <v>0</v>
      </c>
      <c r="FJT64" s="44">
        <f t="shared" si="199"/>
        <v>0</v>
      </c>
      <c r="FJU64" s="44">
        <f t="shared" si="199"/>
        <v>0</v>
      </c>
      <c r="FJV64" s="44">
        <f t="shared" si="199"/>
        <v>0</v>
      </c>
      <c r="FJW64" s="44">
        <f t="shared" si="199"/>
        <v>0</v>
      </c>
      <c r="FJX64" s="44">
        <f t="shared" si="199"/>
        <v>0</v>
      </c>
      <c r="FJY64" s="44">
        <f t="shared" si="199"/>
        <v>0</v>
      </c>
      <c r="FJZ64" s="44">
        <f t="shared" si="199"/>
        <v>0</v>
      </c>
      <c r="FKA64" s="44">
        <f t="shared" si="199"/>
        <v>0</v>
      </c>
      <c r="FKB64" s="44">
        <f t="shared" si="199"/>
        <v>0</v>
      </c>
      <c r="FKC64" s="44">
        <f t="shared" si="199"/>
        <v>0</v>
      </c>
      <c r="FKD64" s="44">
        <f t="shared" si="199"/>
        <v>0</v>
      </c>
      <c r="FKE64" s="44">
        <f t="shared" si="199"/>
        <v>0</v>
      </c>
      <c r="FKF64" s="44">
        <f t="shared" si="199"/>
        <v>0</v>
      </c>
      <c r="FKG64" s="44">
        <f t="shared" si="199"/>
        <v>0</v>
      </c>
      <c r="FKH64" s="44">
        <f t="shared" si="199"/>
        <v>0</v>
      </c>
      <c r="FKI64" s="44">
        <f t="shared" si="199"/>
        <v>0</v>
      </c>
      <c r="FKJ64" s="44">
        <f t="shared" si="199"/>
        <v>0</v>
      </c>
      <c r="FKK64" s="44">
        <f t="shared" si="199"/>
        <v>0</v>
      </c>
      <c r="FKL64" s="44">
        <f t="shared" si="199"/>
        <v>0</v>
      </c>
      <c r="FKM64" s="44">
        <f t="shared" si="199"/>
        <v>0</v>
      </c>
      <c r="FKN64" s="44">
        <f t="shared" si="199"/>
        <v>0</v>
      </c>
      <c r="FKO64" s="44">
        <f t="shared" si="199"/>
        <v>0</v>
      </c>
      <c r="FKP64" s="44">
        <f t="shared" si="199"/>
        <v>0</v>
      </c>
      <c r="FKQ64" s="44">
        <f t="shared" si="199"/>
        <v>0</v>
      </c>
      <c r="FKR64" s="44">
        <f t="shared" si="199"/>
        <v>0</v>
      </c>
      <c r="FKS64" s="44">
        <f t="shared" si="199"/>
        <v>0</v>
      </c>
      <c r="FKT64" s="44">
        <f t="shared" si="199"/>
        <v>0</v>
      </c>
      <c r="FKU64" s="44">
        <f t="shared" si="199"/>
        <v>0</v>
      </c>
      <c r="FKV64" s="44">
        <f t="shared" si="199"/>
        <v>0</v>
      </c>
      <c r="FKW64" s="44">
        <f t="shared" si="199"/>
        <v>0</v>
      </c>
      <c r="FKX64" s="44">
        <f t="shared" si="199"/>
        <v>0</v>
      </c>
      <c r="FKY64" s="44">
        <f t="shared" si="199"/>
        <v>0</v>
      </c>
      <c r="FKZ64" s="44">
        <f t="shared" si="199"/>
        <v>0</v>
      </c>
      <c r="FLA64" s="44">
        <f t="shared" si="199"/>
        <v>0</v>
      </c>
      <c r="FLB64" s="44">
        <f t="shared" si="199"/>
        <v>0</v>
      </c>
      <c r="FLC64" s="44">
        <f t="shared" si="199"/>
        <v>0</v>
      </c>
      <c r="FLD64" s="44">
        <f t="shared" si="199"/>
        <v>0</v>
      </c>
      <c r="FLE64" s="44">
        <f t="shared" si="199"/>
        <v>0</v>
      </c>
      <c r="FLF64" s="44">
        <f t="shared" ref="FLF64:FNQ64" si="200">SUM(FLF56:FLF57)</f>
        <v>0</v>
      </c>
      <c r="FLG64" s="44">
        <f t="shared" si="200"/>
        <v>0</v>
      </c>
      <c r="FLH64" s="44">
        <f t="shared" si="200"/>
        <v>0</v>
      </c>
      <c r="FLI64" s="44">
        <f t="shared" si="200"/>
        <v>0</v>
      </c>
      <c r="FLJ64" s="44">
        <f t="shared" si="200"/>
        <v>0</v>
      </c>
      <c r="FLK64" s="44">
        <f t="shared" si="200"/>
        <v>0</v>
      </c>
      <c r="FLL64" s="44">
        <f t="shared" si="200"/>
        <v>0</v>
      </c>
      <c r="FLM64" s="44">
        <f t="shared" si="200"/>
        <v>0</v>
      </c>
      <c r="FLN64" s="44">
        <f t="shared" si="200"/>
        <v>0</v>
      </c>
      <c r="FLO64" s="44">
        <f t="shared" si="200"/>
        <v>0</v>
      </c>
      <c r="FLP64" s="44">
        <f t="shared" si="200"/>
        <v>0</v>
      </c>
      <c r="FLQ64" s="44">
        <f t="shared" si="200"/>
        <v>0</v>
      </c>
      <c r="FLR64" s="44">
        <f t="shared" si="200"/>
        <v>0</v>
      </c>
      <c r="FLS64" s="44">
        <f t="shared" si="200"/>
        <v>0</v>
      </c>
      <c r="FLT64" s="44">
        <f t="shared" si="200"/>
        <v>0</v>
      </c>
      <c r="FLU64" s="44">
        <f t="shared" si="200"/>
        <v>0</v>
      </c>
      <c r="FLV64" s="44">
        <f t="shared" si="200"/>
        <v>0</v>
      </c>
      <c r="FLW64" s="44">
        <f t="shared" si="200"/>
        <v>0</v>
      </c>
      <c r="FLX64" s="44">
        <f t="shared" si="200"/>
        <v>0</v>
      </c>
      <c r="FLY64" s="44">
        <f t="shared" si="200"/>
        <v>0</v>
      </c>
      <c r="FLZ64" s="44">
        <f t="shared" si="200"/>
        <v>0</v>
      </c>
      <c r="FMA64" s="44">
        <f t="shared" si="200"/>
        <v>0</v>
      </c>
      <c r="FMB64" s="44">
        <f t="shared" si="200"/>
        <v>0</v>
      </c>
      <c r="FMC64" s="44">
        <f t="shared" si="200"/>
        <v>0</v>
      </c>
      <c r="FMD64" s="44">
        <f t="shared" si="200"/>
        <v>0</v>
      </c>
      <c r="FME64" s="44">
        <f t="shared" si="200"/>
        <v>0</v>
      </c>
      <c r="FMF64" s="44">
        <f t="shared" si="200"/>
        <v>0</v>
      </c>
      <c r="FMG64" s="44">
        <f t="shared" si="200"/>
        <v>0</v>
      </c>
      <c r="FMH64" s="44">
        <f t="shared" si="200"/>
        <v>0</v>
      </c>
      <c r="FMI64" s="44">
        <f t="shared" si="200"/>
        <v>0</v>
      </c>
      <c r="FMJ64" s="44">
        <f t="shared" si="200"/>
        <v>0</v>
      </c>
      <c r="FMK64" s="44">
        <f t="shared" si="200"/>
        <v>0</v>
      </c>
      <c r="FML64" s="44">
        <f t="shared" si="200"/>
        <v>0</v>
      </c>
      <c r="FMM64" s="44">
        <f t="shared" si="200"/>
        <v>0</v>
      </c>
      <c r="FMN64" s="44">
        <f t="shared" si="200"/>
        <v>0</v>
      </c>
      <c r="FMO64" s="44">
        <f t="shared" si="200"/>
        <v>0</v>
      </c>
      <c r="FMP64" s="44">
        <f t="shared" si="200"/>
        <v>0</v>
      </c>
      <c r="FMQ64" s="44">
        <f t="shared" si="200"/>
        <v>0</v>
      </c>
      <c r="FMR64" s="44">
        <f t="shared" si="200"/>
        <v>0</v>
      </c>
      <c r="FMS64" s="44">
        <f t="shared" si="200"/>
        <v>0</v>
      </c>
      <c r="FMT64" s="44">
        <f t="shared" si="200"/>
        <v>0</v>
      </c>
      <c r="FMU64" s="44">
        <f t="shared" si="200"/>
        <v>0</v>
      </c>
      <c r="FMV64" s="44">
        <f t="shared" si="200"/>
        <v>0</v>
      </c>
      <c r="FMW64" s="44">
        <f t="shared" si="200"/>
        <v>0</v>
      </c>
      <c r="FMX64" s="44">
        <f t="shared" si="200"/>
        <v>0</v>
      </c>
      <c r="FMY64" s="44">
        <f t="shared" si="200"/>
        <v>0</v>
      </c>
      <c r="FMZ64" s="44">
        <f t="shared" si="200"/>
        <v>0</v>
      </c>
      <c r="FNA64" s="44">
        <f t="shared" si="200"/>
        <v>0</v>
      </c>
      <c r="FNB64" s="44">
        <f t="shared" si="200"/>
        <v>0</v>
      </c>
      <c r="FNC64" s="44">
        <f t="shared" si="200"/>
        <v>0</v>
      </c>
      <c r="FND64" s="44">
        <f t="shared" si="200"/>
        <v>0</v>
      </c>
      <c r="FNE64" s="44">
        <f t="shared" si="200"/>
        <v>0</v>
      </c>
      <c r="FNF64" s="44">
        <f t="shared" si="200"/>
        <v>0</v>
      </c>
      <c r="FNG64" s="44">
        <f t="shared" si="200"/>
        <v>0</v>
      </c>
      <c r="FNH64" s="44">
        <f t="shared" si="200"/>
        <v>0</v>
      </c>
      <c r="FNI64" s="44">
        <f t="shared" si="200"/>
        <v>0</v>
      </c>
      <c r="FNJ64" s="44">
        <f t="shared" si="200"/>
        <v>0</v>
      </c>
      <c r="FNK64" s="44">
        <f t="shared" si="200"/>
        <v>0</v>
      </c>
      <c r="FNL64" s="44">
        <f t="shared" si="200"/>
        <v>0</v>
      </c>
      <c r="FNM64" s="44">
        <f t="shared" si="200"/>
        <v>0</v>
      </c>
      <c r="FNN64" s="44">
        <f t="shared" si="200"/>
        <v>0</v>
      </c>
      <c r="FNO64" s="44">
        <f t="shared" si="200"/>
        <v>0</v>
      </c>
      <c r="FNP64" s="44">
        <f t="shared" si="200"/>
        <v>0</v>
      </c>
      <c r="FNQ64" s="44">
        <f t="shared" si="200"/>
        <v>0</v>
      </c>
      <c r="FNR64" s="44">
        <f t="shared" ref="FNR64:FQC64" si="201">SUM(FNR56:FNR57)</f>
        <v>0</v>
      </c>
      <c r="FNS64" s="44">
        <f t="shared" si="201"/>
        <v>0</v>
      </c>
      <c r="FNT64" s="44">
        <f t="shared" si="201"/>
        <v>0</v>
      </c>
      <c r="FNU64" s="44">
        <f t="shared" si="201"/>
        <v>0</v>
      </c>
      <c r="FNV64" s="44">
        <f t="shared" si="201"/>
        <v>0</v>
      </c>
      <c r="FNW64" s="44">
        <f t="shared" si="201"/>
        <v>0</v>
      </c>
      <c r="FNX64" s="44">
        <f t="shared" si="201"/>
        <v>0</v>
      </c>
      <c r="FNY64" s="44">
        <f t="shared" si="201"/>
        <v>0</v>
      </c>
      <c r="FNZ64" s="44">
        <f t="shared" si="201"/>
        <v>0</v>
      </c>
      <c r="FOA64" s="44">
        <f t="shared" si="201"/>
        <v>0</v>
      </c>
      <c r="FOB64" s="44">
        <f t="shared" si="201"/>
        <v>0</v>
      </c>
      <c r="FOC64" s="44">
        <f t="shared" si="201"/>
        <v>0</v>
      </c>
      <c r="FOD64" s="44">
        <f t="shared" si="201"/>
        <v>0</v>
      </c>
      <c r="FOE64" s="44">
        <f t="shared" si="201"/>
        <v>0</v>
      </c>
      <c r="FOF64" s="44">
        <f t="shared" si="201"/>
        <v>0</v>
      </c>
      <c r="FOG64" s="44">
        <f t="shared" si="201"/>
        <v>0</v>
      </c>
      <c r="FOH64" s="44">
        <f t="shared" si="201"/>
        <v>0</v>
      </c>
      <c r="FOI64" s="44">
        <f t="shared" si="201"/>
        <v>0</v>
      </c>
      <c r="FOJ64" s="44">
        <f t="shared" si="201"/>
        <v>0</v>
      </c>
      <c r="FOK64" s="44">
        <f t="shared" si="201"/>
        <v>0</v>
      </c>
      <c r="FOL64" s="44">
        <f t="shared" si="201"/>
        <v>0</v>
      </c>
      <c r="FOM64" s="44">
        <f t="shared" si="201"/>
        <v>0</v>
      </c>
      <c r="FON64" s="44">
        <f t="shared" si="201"/>
        <v>0</v>
      </c>
      <c r="FOO64" s="44">
        <f t="shared" si="201"/>
        <v>0</v>
      </c>
      <c r="FOP64" s="44">
        <f t="shared" si="201"/>
        <v>0</v>
      </c>
      <c r="FOQ64" s="44">
        <f t="shared" si="201"/>
        <v>0</v>
      </c>
      <c r="FOR64" s="44">
        <f t="shared" si="201"/>
        <v>0</v>
      </c>
      <c r="FOS64" s="44">
        <f t="shared" si="201"/>
        <v>0</v>
      </c>
      <c r="FOT64" s="44">
        <f t="shared" si="201"/>
        <v>0</v>
      </c>
      <c r="FOU64" s="44">
        <f t="shared" si="201"/>
        <v>0</v>
      </c>
      <c r="FOV64" s="44">
        <f t="shared" si="201"/>
        <v>0</v>
      </c>
      <c r="FOW64" s="44">
        <f t="shared" si="201"/>
        <v>0</v>
      </c>
      <c r="FOX64" s="44">
        <f t="shared" si="201"/>
        <v>0</v>
      </c>
      <c r="FOY64" s="44">
        <f t="shared" si="201"/>
        <v>0</v>
      </c>
      <c r="FOZ64" s="44">
        <f t="shared" si="201"/>
        <v>0</v>
      </c>
      <c r="FPA64" s="44">
        <f t="shared" si="201"/>
        <v>0</v>
      </c>
      <c r="FPB64" s="44">
        <f t="shared" si="201"/>
        <v>0</v>
      </c>
      <c r="FPC64" s="44">
        <f t="shared" si="201"/>
        <v>0</v>
      </c>
      <c r="FPD64" s="44">
        <f t="shared" si="201"/>
        <v>0</v>
      </c>
      <c r="FPE64" s="44">
        <f t="shared" si="201"/>
        <v>0</v>
      </c>
      <c r="FPF64" s="44">
        <f t="shared" si="201"/>
        <v>0</v>
      </c>
      <c r="FPG64" s="44">
        <f t="shared" si="201"/>
        <v>0</v>
      </c>
      <c r="FPH64" s="44">
        <f t="shared" si="201"/>
        <v>0</v>
      </c>
      <c r="FPI64" s="44">
        <f t="shared" si="201"/>
        <v>0</v>
      </c>
      <c r="FPJ64" s="44">
        <f t="shared" si="201"/>
        <v>0</v>
      </c>
      <c r="FPK64" s="44">
        <f t="shared" si="201"/>
        <v>0</v>
      </c>
      <c r="FPL64" s="44">
        <f t="shared" si="201"/>
        <v>0</v>
      </c>
      <c r="FPM64" s="44">
        <f t="shared" si="201"/>
        <v>0</v>
      </c>
      <c r="FPN64" s="44">
        <f t="shared" si="201"/>
        <v>0</v>
      </c>
      <c r="FPO64" s="44">
        <f t="shared" si="201"/>
        <v>0</v>
      </c>
      <c r="FPP64" s="44">
        <f t="shared" si="201"/>
        <v>0</v>
      </c>
      <c r="FPQ64" s="44">
        <f t="shared" si="201"/>
        <v>0</v>
      </c>
      <c r="FPR64" s="44">
        <f t="shared" si="201"/>
        <v>0</v>
      </c>
      <c r="FPS64" s="44">
        <f t="shared" si="201"/>
        <v>0</v>
      </c>
      <c r="FPT64" s="44">
        <f t="shared" si="201"/>
        <v>0</v>
      </c>
      <c r="FPU64" s="44">
        <f t="shared" si="201"/>
        <v>0</v>
      </c>
      <c r="FPV64" s="44">
        <f t="shared" si="201"/>
        <v>0</v>
      </c>
      <c r="FPW64" s="44">
        <f t="shared" si="201"/>
        <v>0</v>
      </c>
      <c r="FPX64" s="44">
        <f t="shared" si="201"/>
        <v>0</v>
      </c>
      <c r="FPY64" s="44">
        <f t="shared" si="201"/>
        <v>0</v>
      </c>
      <c r="FPZ64" s="44">
        <f t="shared" si="201"/>
        <v>0</v>
      </c>
      <c r="FQA64" s="44">
        <f t="shared" si="201"/>
        <v>0</v>
      </c>
      <c r="FQB64" s="44">
        <f t="shared" si="201"/>
        <v>0</v>
      </c>
      <c r="FQC64" s="44">
        <f t="shared" si="201"/>
        <v>0</v>
      </c>
      <c r="FQD64" s="44">
        <f t="shared" ref="FQD64:FSO64" si="202">SUM(FQD56:FQD57)</f>
        <v>0</v>
      </c>
      <c r="FQE64" s="44">
        <f t="shared" si="202"/>
        <v>0</v>
      </c>
      <c r="FQF64" s="44">
        <f t="shared" si="202"/>
        <v>0</v>
      </c>
      <c r="FQG64" s="44">
        <f t="shared" si="202"/>
        <v>0</v>
      </c>
      <c r="FQH64" s="44">
        <f t="shared" si="202"/>
        <v>0</v>
      </c>
      <c r="FQI64" s="44">
        <f t="shared" si="202"/>
        <v>0</v>
      </c>
      <c r="FQJ64" s="44">
        <f t="shared" si="202"/>
        <v>0</v>
      </c>
      <c r="FQK64" s="44">
        <f t="shared" si="202"/>
        <v>0</v>
      </c>
      <c r="FQL64" s="44">
        <f t="shared" si="202"/>
        <v>0</v>
      </c>
      <c r="FQM64" s="44">
        <f t="shared" si="202"/>
        <v>0</v>
      </c>
      <c r="FQN64" s="44">
        <f t="shared" si="202"/>
        <v>0</v>
      </c>
      <c r="FQO64" s="44">
        <f t="shared" si="202"/>
        <v>0</v>
      </c>
      <c r="FQP64" s="44">
        <f t="shared" si="202"/>
        <v>0</v>
      </c>
      <c r="FQQ64" s="44">
        <f t="shared" si="202"/>
        <v>0</v>
      </c>
      <c r="FQR64" s="44">
        <f t="shared" si="202"/>
        <v>0</v>
      </c>
      <c r="FQS64" s="44">
        <f t="shared" si="202"/>
        <v>0</v>
      </c>
      <c r="FQT64" s="44">
        <f t="shared" si="202"/>
        <v>0</v>
      </c>
      <c r="FQU64" s="44">
        <f t="shared" si="202"/>
        <v>0</v>
      </c>
      <c r="FQV64" s="44">
        <f t="shared" si="202"/>
        <v>0</v>
      </c>
      <c r="FQW64" s="44">
        <f t="shared" si="202"/>
        <v>0</v>
      </c>
      <c r="FQX64" s="44">
        <f t="shared" si="202"/>
        <v>0</v>
      </c>
      <c r="FQY64" s="44">
        <f t="shared" si="202"/>
        <v>0</v>
      </c>
      <c r="FQZ64" s="44">
        <f t="shared" si="202"/>
        <v>0</v>
      </c>
      <c r="FRA64" s="44">
        <f t="shared" si="202"/>
        <v>0</v>
      </c>
      <c r="FRB64" s="44">
        <f t="shared" si="202"/>
        <v>0</v>
      </c>
      <c r="FRC64" s="44">
        <f t="shared" si="202"/>
        <v>0</v>
      </c>
      <c r="FRD64" s="44">
        <f t="shared" si="202"/>
        <v>0</v>
      </c>
      <c r="FRE64" s="44">
        <f t="shared" si="202"/>
        <v>0</v>
      </c>
      <c r="FRF64" s="44">
        <f t="shared" si="202"/>
        <v>0</v>
      </c>
      <c r="FRG64" s="44">
        <f t="shared" si="202"/>
        <v>0</v>
      </c>
      <c r="FRH64" s="44">
        <f t="shared" si="202"/>
        <v>0</v>
      </c>
      <c r="FRI64" s="44">
        <f t="shared" si="202"/>
        <v>0</v>
      </c>
      <c r="FRJ64" s="44">
        <f t="shared" si="202"/>
        <v>0</v>
      </c>
      <c r="FRK64" s="44">
        <f t="shared" si="202"/>
        <v>0</v>
      </c>
      <c r="FRL64" s="44">
        <f t="shared" si="202"/>
        <v>0</v>
      </c>
      <c r="FRM64" s="44">
        <f t="shared" si="202"/>
        <v>0</v>
      </c>
      <c r="FRN64" s="44">
        <f t="shared" si="202"/>
        <v>0</v>
      </c>
      <c r="FRO64" s="44">
        <f t="shared" si="202"/>
        <v>0</v>
      </c>
      <c r="FRP64" s="44">
        <f t="shared" si="202"/>
        <v>0</v>
      </c>
      <c r="FRQ64" s="44">
        <f t="shared" si="202"/>
        <v>0</v>
      </c>
      <c r="FRR64" s="44">
        <f t="shared" si="202"/>
        <v>0</v>
      </c>
      <c r="FRS64" s="44">
        <f t="shared" si="202"/>
        <v>0</v>
      </c>
      <c r="FRT64" s="44">
        <f t="shared" si="202"/>
        <v>0</v>
      </c>
      <c r="FRU64" s="44">
        <f t="shared" si="202"/>
        <v>0</v>
      </c>
      <c r="FRV64" s="44">
        <f t="shared" si="202"/>
        <v>0</v>
      </c>
      <c r="FRW64" s="44">
        <f t="shared" si="202"/>
        <v>0</v>
      </c>
      <c r="FRX64" s="44">
        <f t="shared" si="202"/>
        <v>0</v>
      </c>
      <c r="FRY64" s="44">
        <f t="shared" si="202"/>
        <v>0</v>
      </c>
      <c r="FRZ64" s="44">
        <f t="shared" si="202"/>
        <v>0</v>
      </c>
      <c r="FSA64" s="44">
        <f t="shared" si="202"/>
        <v>0</v>
      </c>
      <c r="FSB64" s="44">
        <f t="shared" si="202"/>
        <v>0</v>
      </c>
      <c r="FSC64" s="44">
        <f t="shared" si="202"/>
        <v>0</v>
      </c>
      <c r="FSD64" s="44">
        <f t="shared" si="202"/>
        <v>0</v>
      </c>
      <c r="FSE64" s="44">
        <f t="shared" si="202"/>
        <v>0</v>
      </c>
      <c r="FSF64" s="44">
        <f t="shared" si="202"/>
        <v>0</v>
      </c>
      <c r="FSG64" s="44">
        <f t="shared" si="202"/>
        <v>0</v>
      </c>
      <c r="FSH64" s="44">
        <f t="shared" si="202"/>
        <v>0</v>
      </c>
      <c r="FSI64" s="44">
        <f t="shared" si="202"/>
        <v>0</v>
      </c>
      <c r="FSJ64" s="44">
        <f t="shared" si="202"/>
        <v>0</v>
      </c>
      <c r="FSK64" s="44">
        <f t="shared" si="202"/>
        <v>0</v>
      </c>
      <c r="FSL64" s="44">
        <f t="shared" si="202"/>
        <v>0</v>
      </c>
      <c r="FSM64" s="44">
        <f t="shared" si="202"/>
        <v>0</v>
      </c>
      <c r="FSN64" s="44">
        <f t="shared" si="202"/>
        <v>0</v>
      </c>
      <c r="FSO64" s="44">
        <f t="shared" si="202"/>
        <v>0</v>
      </c>
      <c r="FSP64" s="44">
        <f t="shared" ref="FSP64:FVA64" si="203">SUM(FSP56:FSP57)</f>
        <v>0</v>
      </c>
      <c r="FSQ64" s="44">
        <f t="shared" si="203"/>
        <v>0</v>
      </c>
      <c r="FSR64" s="44">
        <f t="shared" si="203"/>
        <v>0</v>
      </c>
      <c r="FSS64" s="44">
        <f t="shared" si="203"/>
        <v>0</v>
      </c>
      <c r="FST64" s="44">
        <f t="shared" si="203"/>
        <v>0</v>
      </c>
      <c r="FSU64" s="44">
        <f t="shared" si="203"/>
        <v>0</v>
      </c>
      <c r="FSV64" s="44">
        <f t="shared" si="203"/>
        <v>0</v>
      </c>
      <c r="FSW64" s="44">
        <f t="shared" si="203"/>
        <v>0</v>
      </c>
      <c r="FSX64" s="44">
        <f t="shared" si="203"/>
        <v>0</v>
      </c>
      <c r="FSY64" s="44">
        <f t="shared" si="203"/>
        <v>0</v>
      </c>
      <c r="FSZ64" s="44">
        <f t="shared" si="203"/>
        <v>0</v>
      </c>
      <c r="FTA64" s="44">
        <f t="shared" si="203"/>
        <v>0</v>
      </c>
      <c r="FTB64" s="44">
        <f t="shared" si="203"/>
        <v>0</v>
      </c>
      <c r="FTC64" s="44">
        <f t="shared" si="203"/>
        <v>0</v>
      </c>
      <c r="FTD64" s="44">
        <f t="shared" si="203"/>
        <v>0</v>
      </c>
      <c r="FTE64" s="44">
        <f t="shared" si="203"/>
        <v>0</v>
      </c>
      <c r="FTF64" s="44">
        <f t="shared" si="203"/>
        <v>0</v>
      </c>
      <c r="FTG64" s="44">
        <f t="shared" si="203"/>
        <v>0</v>
      </c>
      <c r="FTH64" s="44">
        <f t="shared" si="203"/>
        <v>0</v>
      </c>
      <c r="FTI64" s="44">
        <f t="shared" si="203"/>
        <v>0</v>
      </c>
      <c r="FTJ64" s="44">
        <f t="shared" si="203"/>
        <v>0</v>
      </c>
      <c r="FTK64" s="44">
        <f t="shared" si="203"/>
        <v>0</v>
      </c>
      <c r="FTL64" s="44">
        <f t="shared" si="203"/>
        <v>0</v>
      </c>
      <c r="FTM64" s="44">
        <f t="shared" si="203"/>
        <v>0</v>
      </c>
      <c r="FTN64" s="44">
        <f t="shared" si="203"/>
        <v>0</v>
      </c>
      <c r="FTO64" s="44">
        <f t="shared" si="203"/>
        <v>0</v>
      </c>
      <c r="FTP64" s="44">
        <f t="shared" si="203"/>
        <v>0</v>
      </c>
      <c r="FTQ64" s="44">
        <f t="shared" si="203"/>
        <v>0</v>
      </c>
      <c r="FTR64" s="44">
        <f t="shared" si="203"/>
        <v>0</v>
      </c>
      <c r="FTS64" s="44">
        <f t="shared" si="203"/>
        <v>0</v>
      </c>
      <c r="FTT64" s="44">
        <f t="shared" si="203"/>
        <v>0</v>
      </c>
      <c r="FTU64" s="44">
        <f t="shared" si="203"/>
        <v>0</v>
      </c>
      <c r="FTV64" s="44">
        <f t="shared" si="203"/>
        <v>0</v>
      </c>
      <c r="FTW64" s="44">
        <f t="shared" si="203"/>
        <v>0</v>
      </c>
      <c r="FTX64" s="44">
        <f t="shared" si="203"/>
        <v>0</v>
      </c>
      <c r="FTY64" s="44">
        <f t="shared" si="203"/>
        <v>0</v>
      </c>
      <c r="FTZ64" s="44">
        <f t="shared" si="203"/>
        <v>0</v>
      </c>
      <c r="FUA64" s="44">
        <f t="shared" si="203"/>
        <v>0</v>
      </c>
      <c r="FUB64" s="44">
        <f t="shared" si="203"/>
        <v>0</v>
      </c>
      <c r="FUC64" s="44">
        <f t="shared" si="203"/>
        <v>0</v>
      </c>
      <c r="FUD64" s="44">
        <f t="shared" si="203"/>
        <v>0</v>
      </c>
      <c r="FUE64" s="44">
        <f t="shared" si="203"/>
        <v>0</v>
      </c>
      <c r="FUF64" s="44">
        <f t="shared" si="203"/>
        <v>0</v>
      </c>
      <c r="FUG64" s="44">
        <f t="shared" si="203"/>
        <v>0</v>
      </c>
      <c r="FUH64" s="44">
        <f t="shared" si="203"/>
        <v>0</v>
      </c>
      <c r="FUI64" s="44">
        <f t="shared" si="203"/>
        <v>0</v>
      </c>
      <c r="FUJ64" s="44">
        <f t="shared" si="203"/>
        <v>0</v>
      </c>
      <c r="FUK64" s="44">
        <f t="shared" si="203"/>
        <v>0</v>
      </c>
      <c r="FUL64" s="44">
        <f t="shared" si="203"/>
        <v>0</v>
      </c>
      <c r="FUM64" s="44">
        <f t="shared" si="203"/>
        <v>0</v>
      </c>
      <c r="FUN64" s="44">
        <f t="shared" si="203"/>
        <v>0</v>
      </c>
      <c r="FUO64" s="44">
        <f t="shared" si="203"/>
        <v>0</v>
      </c>
      <c r="FUP64" s="44">
        <f t="shared" si="203"/>
        <v>0</v>
      </c>
      <c r="FUQ64" s="44">
        <f t="shared" si="203"/>
        <v>0</v>
      </c>
      <c r="FUR64" s="44">
        <f t="shared" si="203"/>
        <v>0</v>
      </c>
      <c r="FUS64" s="44">
        <f t="shared" si="203"/>
        <v>0</v>
      </c>
      <c r="FUT64" s="44">
        <f t="shared" si="203"/>
        <v>0</v>
      </c>
      <c r="FUU64" s="44">
        <f t="shared" si="203"/>
        <v>0</v>
      </c>
      <c r="FUV64" s="44">
        <f t="shared" si="203"/>
        <v>0</v>
      </c>
      <c r="FUW64" s="44">
        <f t="shared" si="203"/>
        <v>0</v>
      </c>
      <c r="FUX64" s="44">
        <f t="shared" si="203"/>
        <v>0</v>
      </c>
      <c r="FUY64" s="44">
        <f t="shared" si="203"/>
        <v>0</v>
      </c>
      <c r="FUZ64" s="44">
        <f t="shared" si="203"/>
        <v>0</v>
      </c>
      <c r="FVA64" s="44">
        <f t="shared" si="203"/>
        <v>0</v>
      </c>
      <c r="FVB64" s="44">
        <f t="shared" ref="FVB64:FXM64" si="204">SUM(FVB56:FVB57)</f>
        <v>0</v>
      </c>
      <c r="FVC64" s="44">
        <f t="shared" si="204"/>
        <v>0</v>
      </c>
      <c r="FVD64" s="44">
        <f t="shared" si="204"/>
        <v>0</v>
      </c>
      <c r="FVE64" s="44">
        <f t="shared" si="204"/>
        <v>0</v>
      </c>
      <c r="FVF64" s="44">
        <f t="shared" si="204"/>
        <v>0</v>
      </c>
      <c r="FVG64" s="44">
        <f t="shared" si="204"/>
        <v>0</v>
      </c>
      <c r="FVH64" s="44">
        <f t="shared" si="204"/>
        <v>0</v>
      </c>
      <c r="FVI64" s="44">
        <f t="shared" si="204"/>
        <v>0</v>
      </c>
      <c r="FVJ64" s="44">
        <f t="shared" si="204"/>
        <v>0</v>
      </c>
      <c r="FVK64" s="44">
        <f t="shared" si="204"/>
        <v>0</v>
      </c>
      <c r="FVL64" s="44">
        <f t="shared" si="204"/>
        <v>0</v>
      </c>
      <c r="FVM64" s="44">
        <f t="shared" si="204"/>
        <v>0</v>
      </c>
      <c r="FVN64" s="44">
        <f t="shared" si="204"/>
        <v>0</v>
      </c>
      <c r="FVO64" s="44">
        <f t="shared" si="204"/>
        <v>0</v>
      </c>
      <c r="FVP64" s="44">
        <f t="shared" si="204"/>
        <v>0</v>
      </c>
      <c r="FVQ64" s="44">
        <f t="shared" si="204"/>
        <v>0</v>
      </c>
      <c r="FVR64" s="44">
        <f t="shared" si="204"/>
        <v>0</v>
      </c>
      <c r="FVS64" s="44">
        <f t="shared" si="204"/>
        <v>0</v>
      </c>
      <c r="FVT64" s="44">
        <f t="shared" si="204"/>
        <v>0</v>
      </c>
      <c r="FVU64" s="44">
        <f t="shared" si="204"/>
        <v>0</v>
      </c>
      <c r="FVV64" s="44">
        <f t="shared" si="204"/>
        <v>0</v>
      </c>
      <c r="FVW64" s="44">
        <f t="shared" si="204"/>
        <v>0</v>
      </c>
      <c r="FVX64" s="44">
        <f t="shared" si="204"/>
        <v>0</v>
      </c>
      <c r="FVY64" s="44">
        <f t="shared" si="204"/>
        <v>0</v>
      </c>
      <c r="FVZ64" s="44">
        <f t="shared" si="204"/>
        <v>0</v>
      </c>
      <c r="FWA64" s="44">
        <f t="shared" si="204"/>
        <v>0</v>
      </c>
      <c r="FWB64" s="44">
        <f t="shared" si="204"/>
        <v>0</v>
      </c>
      <c r="FWC64" s="44">
        <f t="shared" si="204"/>
        <v>0</v>
      </c>
      <c r="FWD64" s="44">
        <f t="shared" si="204"/>
        <v>0</v>
      </c>
      <c r="FWE64" s="44">
        <f t="shared" si="204"/>
        <v>0</v>
      </c>
      <c r="FWF64" s="44">
        <f t="shared" si="204"/>
        <v>0</v>
      </c>
      <c r="FWG64" s="44">
        <f t="shared" si="204"/>
        <v>0</v>
      </c>
      <c r="FWH64" s="44">
        <f t="shared" si="204"/>
        <v>0</v>
      </c>
      <c r="FWI64" s="44">
        <f t="shared" si="204"/>
        <v>0</v>
      </c>
      <c r="FWJ64" s="44">
        <f t="shared" si="204"/>
        <v>0</v>
      </c>
      <c r="FWK64" s="44">
        <f t="shared" si="204"/>
        <v>0</v>
      </c>
      <c r="FWL64" s="44">
        <f t="shared" si="204"/>
        <v>0</v>
      </c>
      <c r="FWM64" s="44">
        <f t="shared" si="204"/>
        <v>0</v>
      </c>
      <c r="FWN64" s="44">
        <f t="shared" si="204"/>
        <v>0</v>
      </c>
      <c r="FWO64" s="44">
        <f t="shared" si="204"/>
        <v>0</v>
      </c>
      <c r="FWP64" s="44">
        <f t="shared" si="204"/>
        <v>0</v>
      </c>
      <c r="FWQ64" s="44">
        <f t="shared" si="204"/>
        <v>0</v>
      </c>
      <c r="FWR64" s="44">
        <f t="shared" si="204"/>
        <v>0</v>
      </c>
      <c r="FWS64" s="44">
        <f t="shared" si="204"/>
        <v>0</v>
      </c>
      <c r="FWT64" s="44">
        <f t="shared" si="204"/>
        <v>0</v>
      </c>
      <c r="FWU64" s="44">
        <f t="shared" si="204"/>
        <v>0</v>
      </c>
      <c r="FWV64" s="44">
        <f t="shared" si="204"/>
        <v>0</v>
      </c>
      <c r="FWW64" s="44">
        <f t="shared" si="204"/>
        <v>0</v>
      </c>
      <c r="FWX64" s="44">
        <f t="shared" si="204"/>
        <v>0</v>
      </c>
      <c r="FWY64" s="44">
        <f t="shared" si="204"/>
        <v>0</v>
      </c>
      <c r="FWZ64" s="44">
        <f t="shared" si="204"/>
        <v>0</v>
      </c>
      <c r="FXA64" s="44">
        <f t="shared" si="204"/>
        <v>0</v>
      </c>
      <c r="FXB64" s="44">
        <f t="shared" si="204"/>
        <v>0</v>
      </c>
      <c r="FXC64" s="44">
        <f t="shared" si="204"/>
        <v>0</v>
      </c>
      <c r="FXD64" s="44">
        <f t="shared" si="204"/>
        <v>0</v>
      </c>
      <c r="FXE64" s="44">
        <f t="shared" si="204"/>
        <v>0</v>
      </c>
      <c r="FXF64" s="44">
        <f t="shared" si="204"/>
        <v>0</v>
      </c>
      <c r="FXG64" s="44">
        <f t="shared" si="204"/>
        <v>0</v>
      </c>
      <c r="FXH64" s="44">
        <f t="shared" si="204"/>
        <v>0</v>
      </c>
      <c r="FXI64" s="44">
        <f t="shared" si="204"/>
        <v>0</v>
      </c>
      <c r="FXJ64" s="44">
        <f t="shared" si="204"/>
        <v>0</v>
      </c>
      <c r="FXK64" s="44">
        <f t="shared" si="204"/>
        <v>0</v>
      </c>
      <c r="FXL64" s="44">
        <f t="shared" si="204"/>
        <v>0</v>
      </c>
      <c r="FXM64" s="44">
        <f t="shared" si="204"/>
        <v>0</v>
      </c>
      <c r="FXN64" s="44">
        <f t="shared" ref="FXN64:FZY64" si="205">SUM(FXN56:FXN57)</f>
        <v>0</v>
      </c>
      <c r="FXO64" s="44">
        <f t="shared" si="205"/>
        <v>0</v>
      </c>
      <c r="FXP64" s="44">
        <f t="shared" si="205"/>
        <v>0</v>
      </c>
      <c r="FXQ64" s="44">
        <f t="shared" si="205"/>
        <v>0</v>
      </c>
      <c r="FXR64" s="44">
        <f t="shared" si="205"/>
        <v>0</v>
      </c>
      <c r="FXS64" s="44">
        <f t="shared" si="205"/>
        <v>0</v>
      </c>
      <c r="FXT64" s="44">
        <f t="shared" si="205"/>
        <v>0</v>
      </c>
      <c r="FXU64" s="44">
        <f t="shared" si="205"/>
        <v>0</v>
      </c>
      <c r="FXV64" s="44">
        <f t="shared" si="205"/>
        <v>0</v>
      </c>
      <c r="FXW64" s="44">
        <f t="shared" si="205"/>
        <v>0</v>
      </c>
      <c r="FXX64" s="44">
        <f t="shared" si="205"/>
        <v>0</v>
      </c>
      <c r="FXY64" s="44">
        <f t="shared" si="205"/>
        <v>0</v>
      </c>
      <c r="FXZ64" s="44">
        <f t="shared" si="205"/>
        <v>0</v>
      </c>
      <c r="FYA64" s="44">
        <f t="shared" si="205"/>
        <v>0</v>
      </c>
      <c r="FYB64" s="44">
        <f t="shared" si="205"/>
        <v>0</v>
      </c>
      <c r="FYC64" s="44">
        <f t="shared" si="205"/>
        <v>0</v>
      </c>
      <c r="FYD64" s="44">
        <f t="shared" si="205"/>
        <v>0</v>
      </c>
      <c r="FYE64" s="44">
        <f t="shared" si="205"/>
        <v>0</v>
      </c>
      <c r="FYF64" s="44">
        <f t="shared" si="205"/>
        <v>0</v>
      </c>
      <c r="FYG64" s="44">
        <f t="shared" si="205"/>
        <v>0</v>
      </c>
      <c r="FYH64" s="44">
        <f t="shared" si="205"/>
        <v>0</v>
      </c>
      <c r="FYI64" s="44">
        <f t="shared" si="205"/>
        <v>0</v>
      </c>
      <c r="FYJ64" s="44">
        <f t="shared" si="205"/>
        <v>0</v>
      </c>
      <c r="FYK64" s="44">
        <f t="shared" si="205"/>
        <v>0</v>
      </c>
      <c r="FYL64" s="44">
        <f t="shared" si="205"/>
        <v>0</v>
      </c>
      <c r="FYM64" s="44">
        <f t="shared" si="205"/>
        <v>0</v>
      </c>
      <c r="FYN64" s="44">
        <f t="shared" si="205"/>
        <v>0</v>
      </c>
      <c r="FYO64" s="44">
        <f t="shared" si="205"/>
        <v>0</v>
      </c>
      <c r="FYP64" s="44">
        <f t="shared" si="205"/>
        <v>0</v>
      </c>
      <c r="FYQ64" s="44">
        <f t="shared" si="205"/>
        <v>0</v>
      </c>
      <c r="FYR64" s="44">
        <f t="shared" si="205"/>
        <v>0</v>
      </c>
      <c r="FYS64" s="44">
        <f t="shared" si="205"/>
        <v>0</v>
      </c>
      <c r="FYT64" s="44">
        <f t="shared" si="205"/>
        <v>0</v>
      </c>
      <c r="FYU64" s="44">
        <f t="shared" si="205"/>
        <v>0</v>
      </c>
      <c r="FYV64" s="44">
        <f t="shared" si="205"/>
        <v>0</v>
      </c>
      <c r="FYW64" s="44">
        <f t="shared" si="205"/>
        <v>0</v>
      </c>
      <c r="FYX64" s="44">
        <f t="shared" si="205"/>
        <v>0</v>
      </c>
      <c r="FYY64" s="44">
        <f t="shared" si="205"/>
        <v>0</v>
      </c>
      <c r="FYZ64" s="44">
        <f t="shared" si="205"/>
        <v>0</v>
      </c>
      <c r="FZA64" s="44">
        <f t="shared" si="205"/>
        <v>0</v>
      </c>
      <c r="FZB64" s="44">
        <f t="shared" si="205"/>
        <v>0</v>
      </c>
      <c r="FZC64" s="44">
        <f t="shared" si="205"/>
        <v>0</v>
      </c>
      <c r="FZD64" s="44">
        <f t="shared" si="205"/>
        <v>0</v>
      </c>
      <c r="FZE64" s="44">
        <f t="shared" si="205"/>
        <v>0</v>
      </c>
      <c r="FZF64" s="44">
        <f t="shared" si="205"/>
        <v>0</v>
      </c>
      <c r="FZG64" s="44">
        <f t="shared" si="205"/>
        <v>0</v>
      </c>
      <c r="FZH64" s="44">
        <f t="shared" si="205"/>
        <v>0</v>
      </c>
      <c r="FZI64" s="44">
        <f t="shared" si="205"/>
        <v>0</v>
      </c>
      <c r="FZJ64" s="44">
        <f t="shared" si="205"/>
        <v>0</v>
      </c>
      <c r="FZK64" s="44">
        <f t="shared" si="205"/>
        <v>0</v>
      </c>
      <c r="FZL64" s="44">
        <f t="shared" si="205"/>
        <v>0</v>
      </c>
      <c r="FZM64" s="44">
        <f t="shared" si="205"/>
        <v>0</v>
      </c>
      <c r="FZN64" s="44">
        <f t="shared" si="205"/>
        <v>0</v>
      </c>
      <c r="FZO64" s="44">
        <f t="shared" si="205"/>
        <v>0</v>
      </c>
      <c r="FZP64" s="44">
        <f t="shared" si="205"/>
        <v>0</v>
      </c>
      <c r="FZQ64" s="44">
        <f t="shared" si="205"/>
        <v>0</v>
      </c>
      <c r="FZR64" s="44">
        <f t="shared" si="205"/>
        <v>0</v>
      </c>
      <c r="FZS64" s="44">
        <f t="shared" si="205"/>
        <v>0</v>
      </c>
      <c r="FZT64" s="44">
        <f t="shared" si="205"/>
        <v>0</v>
      </c>
      <c r="FZU64" s="44">
        <f t="shared" si="205"/>
        <v>0</v>
      </c>
      <c r="FZV64" s="44">
        <f t="shared" si="205"/>
        <v>0</v>
      </c>
      <c r="FZW64" s="44">
        <f t="shared" si="205"/>
        <v>0</v>
      </c>
      <c r="FZX64" s="44">
        <f t="shared" si="205"/>
        <v>0</v>
      </c>
      <c r="FZY64" s="44">
        <f t="shared" si="205"/>
        <v>0</v>
      </c>
      <c r="FZZ64" s="44">
        <f t="shared" ref="FZZ64:GCK64" si="206">SUM(FZZ56:FZZ57)</f>
        <v>0</v>
      </c>
      <c r="GAA64" s="44">
        <f t="shared" si="206"/>
        <v>0</v>
      </c>
      <c r="GAB64" s="44">
        <f t="shared" si="206"/>
        <v>0</v>
      </c>
      <c r="GAC64" s="44">
        <f t="shared" si="206"/>
        <v>0</v>
      </c>
      <c r="GAD64" s="44">
        <f t="shared" si="206"/>
        <v>0</v>
      </c>
      <c r="GAE64" s="44">
        <f t="shared" si="206"/>
        <v>0</v>
      </c>
      <c r="GAF64" s="44">
        <f t="shared" si="206"/>
        <v>0</v>
      </c>
      <c r="GAG64" s="44">
        <f t="shared" si="206"/>
        <v>0</v>
      </c>
      <c r="GAH64" s="44">
        <f t="shared" si="206"/>
        <v>0</v>
      </c>
      <c r="GAI64" s="44">
        <f t="shared" si="206"/>
        <v>0</v>
      </c>
      <c r="GAJ64" s="44">
        <f t="shared" si="206"/>
        <v>0</v>
      </c>
      <c r="GAK64" s="44">
        <f t="shared" si="206"/>
        <v>0</v>
      </c>
      <c r="GAL64" s="44">
        <f t="shared" si="206"/>
        <v>0</v>
      </c>
      <c r="GAM64" s="44">
        <f t="shared" si="206"/>
        <v>0</v>
      </c>
      <c r="GAN64" s="44">
        <f t="shared" si="206"/>
        <v>0</v>
      </c>
      <c r="GAO64" s="44">
        <f t="shared" si="206"/>
        <v>0</v>
      </c>
      <c r="GAP64" s="44">
        <f t="shared" si="206"/>
        <v>0</v>
      </c>
      <c r="GAQ64" s="44">
        <f t="shared" si="206"/>
        <v>0</v>
      </c>
      <c r="GAR64" s="44">
        <f t="shared" si="206"/>
        <v>0</v>
      </c>
      <c r="GAS64" s="44">
        <f t="shared" si="206"/>
        <v>0</v>
      </c>
      <c r="GAT64" s="44">
        <f t="shared" si="206"/>
        <v>0</v>
      </c>
      <c r="GAU64" s="44">
        <f t="shared" si="206"/>
        <v>0</v>
      </c>
      <c r="GAV64" s="44">
        <f t="shared" si="206"/>
        <v>0</v>
      </c>
      <c r="GAW64" s="44">
        <f t="shared" si="206"/>
        <v>0</v>
      </c>
      <c r="GAX64" s="44">
        <f t="shared" si="206"/>
        <v>0</v>
      </c>
      <c r="GAY64" s="44">
        <f t="shared" si="206"/>
        <v>0</v>
      </c>
      <c r="GAZ64" s="44">
        <f t="shared" si="206"/>
        <v>0</v>
      </c>
      <c r="GBA64" s="44">
        <f t="shared" si="206"/>
        <v>0</v>
      </c>
      <c r="GBB64" s="44">
        <f t="shared" si="206"/>
        <v>0</v>
      </c>
      <c r="GBC64" s="44">
        <f t="shared" si="206"/>
        <v>0</v>
      </c>
      <c r="GBD64" s="44">
        <f t="shared" si="206"/>
        <v>0</v>
      </c>
      <c r="GBE64" s="44">
        <f t="shared" si="206"/>
        <v>0</v>
      </c>
      <c r="GBF64" s="44">
        <f t="shared" si="206"/>
        <v>0</v>
      </c>
      <c r="GBG64" s="44">
        <f t="shared" si="206"/>
        <v>0</v>
      </c>
      <c r="GBH64" s="44">
        <f t="shared" si="206"/>
        <v>0</v>
      </c>
      <c r="GBI64" s="44">
        <f t="shared" si="206"/>
        <v>0</v>
      </c>
      <c r="GBJ64" s="44">
        <f t="shared" si="206"/>
        <v>0</v>
      </c>
      <c r="GBK64" s="44">
        <f t="shared" si="206"/>
        <v>0</v>
      </c>
      <c r="GBL64" s="44">
        <f t="shared" si="206"/>
        <v>0</v>
      </c>
      <c r="GBM64" s="44">
        <f t="shared" si="206"/>
        <v>0</v>
      </c>
      <c r="GBN64" s="44">
        <f t="shared" si="206"/>
        <v>0</v>
      </c>
      <c r="GBO64" s="44">
        <f t="shared" si="206"/>
        <v>0</v>
      </c>
      <c r="GBP64" s="44">
        <f t="shared" si="206"/>
        <v>0</v>
      </c>
      <c r="GBQ64" s="44">
        <f t="shared" si="206"/>
        <v>0</v>
      </c>
      <c r="GBR64" s="44">
        <f t="shared" si="206"/>
        <v>0</v>
      </c>
      <c r="GBS64" s="44">
        <f t="shared" si="206"/>
        <v>0</v>
      </c>
      <c r="GBT64" s="44">
        <f t="shared" si="206"/>
        <v>0</v>
      </c>
      <c r="GBU64" s="44">
        <f t="shared" si="206"/>
        <v>0</v>
      </c>
      <c r="GBV64" s="44">
        <f t="shared" si="206"/>
        <v>0</v>
      </c>
      <c r="GBW64" s="44">
        <f t="shared" si="206"/>
        <v>0</v>
      </c>
      <c r="GBX64" s="44">
        <f t="shared" si="206"/>
        <v>0</v>
      </c>
      <c r="GBY64" s="44">
        <f t="shared" si="206"/>
        <v>0</v>
      </c>
      <c r="GBZ64" s="44">
        <f t="shared" si="206"/>
        <v>0</v>
      </c>
      <c r="GCA64" s="44">
        <f t="shared" si="206"/>
        <v>0</v>
      </c>
      <c r="GCB64" s="44">
        <f t="shared" si="206"/>
        <v>0</v>
      </c>
      <c r="GCC64" s="44">
        <f t="shared" si="206"/>
        <v>0</v>
      </c>
      <c r="GCD64" s="44">
        <f t="shared" si="206"/>
        <v>0</v>
      </c>
      <c r="GCE64" s="44">
        <f t="shared" si="206"/>
        <v>0</v>
      </c>
      <c r="GCF64" s="44">
        <f t="shared" si="206"/>
        <v>0</v>
      </c>
      <c r="GCG64" s="44">
        <f t="shared" si="206"/>
        <v>0</v>
      </c>
      <c r="GCH64" s="44">
        <f t="shared" si="206"/>
        <v>0</v>
      </c>
      <c r="GCI64" s="44">
        <f t="shared" si="206"/>
        <v>0</v>
      </c>
      <c r="GCJ64" s="44">
        <f t="shared" si="206"/>
        <v>0</v>
      </c>
      <c r="GCK64" s="44">
        <f t="shared" si="206"/>
        <v>0</v>
      </c>
      <c r="GCL64" s="44">
        <f t="shared" ref="GCL64:GEW64" si="207">SUM(GCL56:GCL57)</f>
        <v>0</v>
      </c>
      <c r="GCM64" s="44">
        <f t="shared" si="207"/>
        <v>0</v>
      </c>
      <c r="GCN64" s="44">
        <f t="shared" si="207"/>
        <v>0</v>
      </c>
      <c r="GCO64" s="44">
        <f t="shared" si="207"/>
        <v>0</v>
      </c>
      <c r="GCP64" s="44">
        <f t="shared" si="207"/>
        <v>0</v>
      </c>
      <c r="GCQ64" s="44">
        <f t="shared" si="207"/>
        <v>0</v>
      </c>
      <c r="GCR64" s="44">
        <f t="shared" si="207"/>
        <v>0</v>
      </c>
      <c r="GCS64" s="44">
        <f t="shared" si="207"/>
        <v>0</v>
      </c>
      <c r="GCT64" s="44">
        <f t="shared" si="207"/>
        <v>0</v>
      </c>
      <c r="GCU64" s="44">
        <f t="shared" si="207"/>
        <v>0</v>
      </c>
      <c r="GCV64" s="44">
        <f t="shared" si="207"/>
        <v>0</v>
      </c>
      <c r="GCW64" s="44">
        <f t="shared" si="207"/>
        <v>0</v>
      </c>
      <c r="GCX64" s="44">
        <f t="shared" si="207"/>
        <v>0</v>
      </c>
      <c r="GCY64" s="44">
        <f t="shared" si="207"/>
        <v>0</v>
      </c>
      <c r="GCZ64" s="44">
        <f t="shared" si="207"/>
        <v>0</v>
      </c>
      <c r="GDA64" s="44">
        <f t="shared" si="207"/>
        <v>0</v>
      </c>
      <c r="GDB64" s="44">
        <f t="shared" si="207"/>
        <v>0</v>
      </c>
      <c r="GDC64" s="44">
        <f t="shared" si="207"/>
        <v>0</v>
      </c>
      <c r="GDD64" s="44">
        <f t="shared" si="207"/>
        <v>0</v>
      </c>
      <c r="GDE64" s="44">
        <f t="shared" si="207"/>
        <v>0</v>
      </c>
      <c r="GDF64" s="44">
        <f t="shared" si="207"/>
        <v>0</v>
      </c>
      <c r="GDG64" s="44">
        <f t="shared" si="207"/>
        <v>0</v>
      </c>
      <c r="GDH64" s="44">
        <f t="shared" si="207"/>
        <v>0</v>
      </c>
      <c r="GDI64" s="44">
        <f t="shared" si="207"/>
        <v>0</v>
      </c>
      <c r="GDJ64" s="44">
        <f t="shared" si="207"/>
        <v>0</v>
      </c>
      <c r="GDK64" s="44">
        <f t="shared" si="207"/>
        <v>0</v>
      </c>
      <c r="GDL64" s="44">
        <f t="shared" si="207"/>
        <v>0</v>
      </c>
      <c r="GDM64" s="44">
        <f t="shared" si="207"/>
        <v>0</v>
      </c>
      <c r="GDN64" s="44">
        <f t="shared" si="207"/>
        <v>0</v>
      </c>
      <c r="GDO64" s="44">
        <f t="shared" si="207"/>
        <v>0</v>
      </c>
      <c r="GDP64" s="44">
        <f t="shared" si="207"/>
        <v>0</v>
      </c>
      <c r="GDQ64" s="44">
        <f t="shared" si="207"/>
        <v>0</v>
      </c>
      <c r="GDR64" s="44">
        <f t="shared" si="207"/>
        <v>0</v>
      </c>
      <c r="GDS64" s="44">
        <f t="shared" si="207"/>
        <v>0</v>
      </c>
      <c r="GDT64" s="44">
        <f t="shared" si="207"/>
        <v>0</v>
      </c>
      <c r="GDU64" s="44">
        <f t="shared" si="207"/>
        <v>0</v>
      </c>
      <c r="GDV64" s="44">
        <f t="shared" si="207"/>
        <v>0</v>
      </c>
      <c r="GDW64" s="44">
        <f t="shared" si="207"/>
        <v>0</v>
      </c>
      <c r="GDX64" s="44">
        <f t="shared" si="207"/>
        <v>0</v>
      </c>
      <c r="GDY64" s="44">
        <f t="shared" si="207"/>
        <v>0</v>
      </c>
      <c r="GDZ64" s="44">
        <f t="shared" si="207"/>
        <v>0</v>
      </c>
      <c r="GEA64" s="44">
        <f t="shared" si="207"/>
        <v>0</v>
      </c>
      <c r="GEB64" s="44">
        <f t="shared" si="207"/>
        <v>0</v>
      </c>
      <c r="GEC64" s="44">
        <f t="shared" si="207"/>
        <v>0</v>
      </c>
      <c r="GED64" s="44">
        <f t="shared" si="207"/>
        <v>0</v>
      </c>
      <c r="GEE64" s="44">
        <f t="shared" si="207"/>
        <v>0</v>
      </c>
      <c r="GEF64" s="44">
        <f t="shared" si="207"/>
        <v>0</v>
      </c>
      <c r="GEG64" s="44">
        <f t="shared" si="207"/>
        <v>0</v>
      </c>
      <c r="GEH64" s="44">
        <f t="shared" si="207"/>
        <v>0</v>
      </c>
      <c r="GEI64" s="44">
        <f t="shared" si="207"/>
        <v>0</v>
      </c>
      <c r="GEJ64" s="44">
        <f t="shared" si="207"/>
        <v>0</v>
      </c>
      <c r="GEK64" s="44">
        <f t="shared" si="207"/>
        <v>0</v>
      </c>
      <c r="GEL64" s="44">
        <f t="shared" si="207"/>
        <v>0</v>
      </c>
      <c r="GEM64" s="44">
        <f t="shared" si="207"/>
        <v>0</v>
      </c>
      <c r="GEN64" s="44">
        <f t="shared" si="207"/>
        <v>0</v>
      </c>
      <c r="GEO64" s="44">
        <f t="shared" si="207"/>
        <v>0</v>
      </c>
      <c r="GEP64" s="44">
        <f t="shared" si="207"/>
        <v>0</v>
      </c>
      <c r="GEQ64" s="44">
        <f t="shared" si="207"/>
        <v>0</v>
      </c>
      <c r="GER64" s="44">
        <f t="shared" si="207"/>
        <v>0</v>
      </c>
      <c r="GES64" s="44">
        <f t="shared" si="207"/>
        <v>0</v>
      </c>
      <c r="GET64" s="44">
        <f t="shared" si="207"/>
        <v>0</v>
      </c>
      <c r="GEU64" s="44">
        <f t="shared" si="207"/>
        <v>0</v>
      </c>
      <c r="GEV64" s="44">
        <f t="shared" si="207"/>
        <v>0</v>
      </c>
      <c r="GEW64" s="44">
        <f t="shared" si="207"/>
        <v>0</v>
      </c>
      <c r="GEX64" s="44">
        <f t="shared" ref="GEX64:GHI64" si="208">SUM(GEX56:GEX57)</f>
        <v>0</v>
      </c>
      <c r="GEY64" s="44">
        <f t="shared" si="208"/>
        <v>0</v>
      </c>
      <c r="GEZ64" s="44">
        <f t="shared" si="208"/>
        <v>0</v>
      </c>
      <c r="GFA64" s="44">
        <f t="shared" si="208"/>
        <v>0</v>
      </c>
      <c r="GFB64" s="44">
        <f t="shared" si="208"/>
        <v>0</v>
      </c>
      <c r="GFC64" s="44">
        <f t="shared" si="208"/>
        <v>0</v>
      </c>
      <c r="GFD64" s="44">
        <f t="shared" si="208"/>
        <v>0</v>
      </c>
      <c r="GFE64" s="44">
        <f t="shared" si="208"/>
        <v>0</v>
      </c>
      <c r="GFF64" s="44">
        <f t="shared" si="208"/>
        <v>0</v>
      </c>
      <c r="GFG64" s="44">
        <f t="shared" si="208"/>
        <v>0</v>
      </c>
      <c r="GFH64" s="44">
        <f t="shared" si="208"/>
        <v>0</v>
      </c>
      <c r="GFI64" s="44">
        <f t="shared" si="208"/>
        <v>0</v>
      </c>
      <c r="GFJ64" s="44">
        <f t="shared" si="208"/>
        <v>0</v>
      </c>
      <c r="GFK64" s="44">
        <f t="shared" si="208"/>
        <v>0</v>
      </c>
      <c r="GFL64" s="44">
        <f t="shared" si="208"/>
        <v>0</v>
      </c>
      <c r="GFM64" s="44">
        <f t="shared" si="208"/>
        <v>0</v>
      </c>
      <c r="GFN64" s="44">
        <f t="shared" si="208"/>
        <v>0</v>
      </c>
      <c r="GFO64" s="44">
        <f t="shared" si="208"/>
        <v>0</v>
      </c>
      <c r="GFP64" s="44">
        <f t="shared" si="208"/>
        <v>0</v>
      </c>
      <c r="GFQ64" s="44">
        <f t="shared" si="208"/>
        <v>0</v>
      </c>
      <c r="GFR64" s="44">
        <f t="shared" si="208"/>
        <v>0</v>
      </c>
      <c r="GFS64" s="44">
        <f t="shared" si="208"/>
        <v>0</v>
      </c>
      <c r="GFT64" s="44">
        <f t="shared" si="208"/>
        <v>0</v>
      </c>
      <c r="GFU64" s="44">
        <f t="shared" si="208"/>
        <v>0</v>
      </c>
      <c r="GFV64" s="44">
        <f t="shared" si="208"/>
        <v>0</v>
      </c>
      <c r="GFW64" s="44">
        <f t="shared" si="208"/>
        <v>0</v>
      </c>
      <c r="GFX64" s="44">
        <f t="shared" si="208"/>
        <v>0</v>
      </c>
      <c r="GFY64" s="44">
        <f t="shared" si="208"/>
        <v>0</v>
      </c>
      <c r="GFZ64" s="44">
        <f t="shared" si="208"/>
        <v>0</v>
      </c>
      <c r="GGA64" s="44">
        <f t="shared" si="208"/>
        <v>0</v>
      </c>
      <c r="GGB64" s="44">
        <f t="shared" si="208"/>
        <v>0</v>
      </c>
      <c r="GGC64" s="44">
        <f t="shared" si="208"/>
        <v>0</v>
      </c>
      <c r="GGD64" s="44">
        <f t="shared" si="208"/>
        <v>0</v>
      </c>
      <c r="GGE64" s="44">
        <f t="shared" si="208"/>
        <v>0</v>
      </c>
      <c r="GGF64" s="44">
        <f t="shared" si="208"/>
        <v>0</v>
      </c>
      <c r="GGG64" s="44">
        <f t="shared" si="208"/>
        <v>0</v>
      </c>
      <c r="GGH64" s="44">
        <f t="shared" si="208"/>
        <v>0</v>
      </c>
      <c r="GGI64" s="44">
        <f t="shared" si="208"/>
        <v>0</v>
      </c>
      <c r="GGJ64" s="44">
        <f t="shared" si="208"/>
        <v>0</v>
      </c>
      <c r="GGK64" s="44">
        <f t="shared" si="208"/>
        <v>0</v>
      </c>
      <c r="GGL64" s="44">
        <f t="shared" si="208"/>
        <v>0</v>
      </c>
      <c r="GGM64" s="44">
        <f t="shared" si="208"/>
        <v>0</v>
      </c>
      <c r="GGN64" s="44">
        <f t="shared" si="208"/>
        <v>0</v>
      </c>
      <c r="GGO64" s="44">
        <f t="shared" si="208"/>
        <v>0</v>
      </c>
      <c r="GGP64" s="44">
        <f t="shared" si="208"/>
        <v>0</v>
      </c>
      <c r="GGQ64" s="44">
        <f t="shared" si="208"/>
        <v>0</v>
      </c>
      <c r="GGR64" s="44">
        <f t="shared" si="208"/>
        <v>0</v>
      </c>
      <c r="GGS64" s="44">
        <f t="shared" si="208"/>
        <v>0</v>
      </c>
      <c r="GGT64" s="44">
        <f t="shared" si="208"/>
        <v>0</v>
      </c>
      <c r="GGU64" s="44">
        <f t="shared" si="208"/>
        <v>0</v>
      </c>
      <c r="GGV64" s="44">
        <f t="shared" si="208"/>
        <v>0</v>
      </c>
      <c r="GGW64" s="44">
        <f t="shared" si="208"/>
        <v>0</v>
      </c>
      <c r="GGX64" s="44">
        <f t="shared" si="208"/>
        <v>0</v>
      </c>
      <c r="GGY64" s="44">
        <f t="shared" si="208"/>
        <v>0</v>
      </c>
      <c r="GGZ64" s="44">
        <f t="shared" si="208"/>
        <v>0</v>
      </c>
      <c r="GHA64" s="44">
        <f t="shared" si="208"/>
        <v>0</v>
      </c>
      <c r="GHB64" s="44">
        <f t="shared" si="208"/>
        <v>0</v>
      </c>
      <c r="GHC64" s="44">
        <f t="shared" si="208"/>
        <v>0</v>
      </c>
      <c r="GHD64" s="44">
        <f t="shared" si="208"/>
        <v>0</v>
      </c>
      <c r="GHE64" s="44">
        <f t="shared" si="208"/>
        <v>0</v>
      </c>
      <c r="GHF64" s="44">
        <f t="shared" si="208"/>
        <v>0</v>
      </c>
      <c r="GHG64" s="44">
        <f t="shared" si="208"/>
        <v>0</v>
      </c>
      <c r="GHH64" s="44">
        <f t="shared" si="208"/>
        <v>0</v>
      </c>
      <c r="GHI64" s="44">
        <f t="shared" si="208"/>
        <v>0</v>
      </c>
      <c r="GHJ64" s="44">
        <f t="shared" ref="GHJ64:GJU64" si="209">SUM(GHJ56:GHJ57)</f>
        <v>0</v>
      </c>
      <c r="GHK64" s="44">
        <f t="shared" si="209"/>
        <v>0</v>
      </c>
      <c r="GHL64" s="44">
        <f t="shared" si="209"/>
        <v>0</v>
      </c>
      <c r="GHM64" s="44">
        <f t="shared" si="209"/>
        <v>0</v>
      </c>
      <c r="GHN64" s="44">
        <f t="shared" si="209"/>
        <v>0</v>
      </c>
      <c r="GHO64" s="44">
        <f t="shared" si="209"/>
        <v>0</v>
      </c>
      <c r="GHP64" s="44">
        <f t="shared" si="209"/>
        <v>0</v>
      </c>
      <c r="GHQ64" s="44">
        <f t="shared" si="209"/>
        <v>0</v>
      </c>
      <c r="GHR64" s="44">
        <f t="shared" si="209"/>
        <v>0</v>
      </c>
      <c r="GHS64" s="44">
        <f t="shared" si="209"/>
        <v>0</v>
      </c>
      <c r="GHT64" s="44">
        <f t="shared" si="209"/>
        <v>0</v>
      </c>
      <c r="GHU64" s="44">
        <f t="shared" si="209"/>
        <v>0</v>
      </c>
      <c r="GHV64" s="44">
        <f t="shared" si="209"/>
        <v>0</v>
      </c>
      <c r="GHW64" s="44">
        <f t="shared" si="209"/>
        <v>0</v>
      </c>
      <c r="GHX64" s="44">
        <f t="shared" si="209"/>
        <v>0</v>
      </c>
      <c r="GHY64" s="44">
        <f t="shared" si="209"/>
        <v>0</v>
      </c>
      <c r="GHZ64" s="44">
        <f t="shared" si="209"/>
        <v>0</v>
      </c>
      <c r="GIA64" s="44">
        <f t="shared" si="209"/>
        <v>0</v>
      </c>
      <c r="GIB64" s="44">
        <f t="shared" si="209"/>
        <v>0</v>
      </c>
      <c r="GIC64" s="44">
        <f t="shared" si="209"/>
        <v>0</v>
      </c>
      <c r="GID64" s="44">
        <f t="shared" si="209"/>
        <v>0</v>
      </c>
      <c r="GIE64" s="44">
        <f t="shared" si="209"/>
        <v>0</v>
      </c>
      <c r="GIF64" s="44">
        <f t="shared" si="209"/>
        <v>0</v>
      </c>
      <c r="GIG64" s="44">
        <f t="shared" si="209"/>
        <v>0</v>
      </c>
      <c r="GIH64" s="44">
        <f t="shared" si="209"/>
        <v>0</v>
      </c>
      <c r="GII64" s="44">
        <f t="shared" si="209"/>
        <v>0</v>
      </c>
      <c r="GIJ64" s="44">
        <f t="shared" si="209"/>
        <v>0</v>
      </c>
      <c r="GIK64" s="44">
        <f t="shared" si="209"/>
        <v>0</v>
      </c>
      <c r="GIL64" s="44">
        <f t="shared" si="209"/>
        <v>0</v>
      </c>
      <c r="GIM64" s="44">
        <f t="shared" si="209"/>
        <v>0</v>
      </c>
      <c r="GIN64" s="44">
        <f t="shared" si="209"/>
        <v>0</v>
      </c>
      <c r="GIO64" s="44">
        <f t="shared" si="209"/>
        <v>0</v>
      </c>
      <c r="GIP64" s="44">
        <f t="shared" si="209"/>
        <v>0</v>
      </c>
      <c r="GIQ64" s="44">
        <f t="shared" si="209"/>
        <v>0</v>
      </c>
      <c r="GIR64" s="44">
        <f t="shared" si="209"/>
        <v>0</v>
      </c>
      <c r="GIS64" s="44">
        <f t="shared" si="209"/>
        <v>0</v>
      </c>
      <c r="GIT64" s="44">
        <f t="shared" si="209"/>
        <v>0</v>
      </c>
      <c r="GIU64" s="44">
        <f t="shared" si="209"/>
        <v>0</v>
      </c>
      <c r="GIV64" s="44">
        <f t="shared" si="209"/>
        <v>0</v>
      </c>
      <c r="GIW64" s="44">
        <f t="shared" si="209"/>
        <v>0</v>
      </c>
      <c r="GIX64" s="44">
        <f t="shared" si="209"/>
        <v>0</v>
      </c>
      <c r="GIY64" s="44">
        <f t="shared" si="209"/>
        <v>0</v>
      </c>
      <c r="GIZ64" s="44">
        <f t="shared" si="209"/>
        <v>0</v>
      </c>
      <c r="GJA64" s="44">
        <f t="shared" si="209"/>
        <v>0</v>
      </c>
      <c r="GJB64" s="44">
        <f t="shared" si="209"/>
        <v>0</v>
      </c>
      <c r="GJC64" s="44">
        <f t="shared" si="209"/>
        <v>0</v>
      </c>
      <c r="GJD64" s="44">
        <f t="shared" si="209"/>
        <v>0</v>
      </c>
      <c r="GJE64" s="44">
        <f t="shared" si="209"/>
        <v>0</v>
      </c>
      <c r="GJF64" s="44">
        <f t="shared" si="209"/>
        <v>0</v>
      </c>
      <c r="GJG64" s="44">
        <f t="shared" si="209"/>
        <v>0</v>
      </c>
      <c r="GJH64" s="44">
        <f t="shared" si="209"/>
        <v>0</v>
      </c>
      <c r="GJI64" s="44">
        <f t="shared" si="209"/>
        <v>0</v>
      </c>
      <c r="GJJ64" s="44">
        <f t="shared" si="209"/>
        <v>0</v>
      </c>
      <c r="GJK64" s="44">
        <f t="shared" si="209"/>
        <v>0</v>
      </c>
      <c r="GJL64" s="44">
        <f t="shared" si="209"/>
        <v>0</v>
      </c>
      <c r="GJM64" s="44">
        <f t="shared" si="209"/>
        <v>0</v>
      </c>
      <c r="GJN64" s="44">
        <f t="shared" si="209"/>
        <v>0</v>
      </c>
      <c r="GJO64" s="44">
        <f t="shared" si="209"/>
        <v>0</v>
      </c>
      <c r="GJP64" s="44">
        <f t="shared" si="209"/>
        <v>0</v>
      </c>
      <c r="GJQ64" s="44">
        <f t="shared" si="209"/>
        <v>0</v>
      </c>
      <c r="GJR64" s="44">
        <f t="shared" si="209"/>
        <v>0</v>
      </c>
      <c r="GJS64" s="44">
        <f t="shared" si="209"/>
        <v>0</v>
      </c>
      <c r="GJT64" s="44">
        <f t="shared" si="209"/>
        <v>0</v>
      </c>
      <c r="GJU64" s="44">
        <f t="shared" si="209"/>
        <v>0</v>
      </c>
      <c r="GJV64" s="44">
        <f t="shared" ref="GJV64:GMG64" si="210">SUM(GJV56:GJV57)</f>
        <v>0</v>
      </c>
      <c r="GJW64" s="44">
        <f t="shared" si="210"/>
        <v>0</v>
      </c>
      <c r="GJX64" s="44">
        <f t="shared" si="210"/>
        <v>0</v>
      </c>
      <c r="GJY64" s="44">
        <f t="shared" si="210"/>
        <v>0</v>
      </c>
      <c r="GJZ64" s="44">
        <f t="shared" si="210"/>
        <v>0</v>
      </c>
      <c r="GKA64" s="44">
        <f t="shared" si="210"/>
        <v>0</v>
      </c>
      <c r="GKB64" s="44">
        <f t="shared" si="210"/>
        <v>0</v>
      </c>
      <c r="GKC64" s="44">
        <f t="shared" si="210"/>
        <v>0</v>
      </c>
      <c r="GKD64" s="44">
        <f t="shared" si="210"/>
        <v>0</v>
      </c>
      <c r="GKE64" s="44">
        <f t="shared" si="210"/>
        <v>0</v>
      </c>
      <c r="GKF64" s="44">
        <f t="shared" si="210"/>
        <v>0</v>
      </c>
      <c r="GKG64" s="44">
        <f t="shared" si="210"/>
        <v>0</v>
      </c>
      <c r="GKH64" s="44">
        <f t="shared" si="210"/>
        <v>0</v>
      </c>
      <c r="GKI64" s="44">
        <f t="shared" si="210"/>
        <v>0</v>
      </c>
      <c r="GKJ64" s="44">
        <f t="shared" si="210"/>
        <v>0</v>
      </c>
      <c r="GKK64" s="44">
        <f t="shared" si="210"/>
        <v>0</v>
      </c>
      <c r="GKL64" s="44">
        <f t="shared" si="210"/>
        <v>0</v>
      </c>
      <c r="GKM64" s="44">
        <f t="shared" si="210"/>
        <v>0</v>
      </c>
      <c r="GKN64" s="44">
        <f t="shared" si="210"/>
        <v>0</v>
      </c>
      <c r="GKO64" s="44">
        <f t="shared" si="210"/>
        <v>0</v>
      </c>
      <c r="GKP64" s="44">
        <f t="shared" si="210"/>
        <v>0</v>
      </c>
      <c r="GKQ64" s="44">
        <f t="shared" si="210"/>
        <v>0</v>
      </c>
      <c r="GKR64" s="44">
        <f t="shared" si="210"/>
        <v>0</v>
      </c>
      <c r="GKS64" s="44">
        <f t="shared" si="210"/>
        <v>0</v>
      </c>
      <c r="GKT64" s="44">
        <f t="shared" si="210"/>
        <v>0</v>
      </c>
      <c r="GKU64" s="44">
        <f t="shared" si="210"/>
        <v>0</v>
      </c>
      <c r="GKV64" s="44">
        <f t="shared" si="210"/>
        <v>0</v>
      </c>
      <c r="GKW64" s="44">
        <f t="shared" si="210"/>
        <v>0</v>
      </c>
      <c r="GKX64" s="44">
        <f t="shared" si="210"/>
        <v>0</v>
      </c>
      <c r="GKY64" s="44">
        <f t="shared" si="210"/>
        <v>0</v>
      </c>
      <c r="GKZ64" s="44">
        <f t="shared" si="210"/>
        <v>0</v>
      </c>
      <c r="GLA64" s="44">
        <f t="shared" si="210"/>
        <v>0</v>
      </c>
      <c r="GLB64" s="44">
        <f t="shared" si="210"/>
        <v>0</v>
      </c>
      <c r="GLC64" s="44">
        <f t="shared" si="210"/>
        <v>0</v>
      </c>
      <c r="GLD64" s="44">
        <f t="shared" si="210"/>
        <v>0</v>
      </c>
      <c r="GLE64" s="44">
        <f t="shared" si="210"/>
        <v>0</v>
      </c>
      <c r="GLF64" s="44">
        <f t="shared" si="210"/>
        <v>0</v>
      </c>
      <c r="GLG64" s="44">
        <f t="shared" si="210"/>
        <v>0</v>
      </c>
      <c r="GLH64" s="44">
        <f t="shared" si="210"/>
        <v>0</v>
      </c>
      <c r="GLI64" s="44">
        <f t="shared" si="210"/>
        <v>0</v>
      </c>
      <c r="GLJ64" s="44">
        <f t="shared" si="210"/>
        <v>0</v>
      </c>
      <c r="GLK64" s="44">
        <f t="shared" si="210"/>
        <v>0</v>
      </c>
      <c r="GLL64" s="44">
        <f t="shared" si="210"/>
        <v>0</v>
      </c>
      <c r="GLM64" s="44">
        <f t="shared" si="210"/>
        <v>0</v>
      </c>
      <c r="GLN64" s="44">
        <f t="shared" si="210"/>
        <v>0</v>
      </c>
      <c r="GLO64" s="44">
        <f t="shared" si="210"/>
        <v>0</v>
      </c>
      <c r="GLP64" s="44">
        <f t="shared" si="210"/>
        <v>0</v>
      </c>
      <c r="GLQ64" s="44">
        <f t="shared" si="210"/>
        <v>0</v>
      </c>
      <c r="GLR64" s="44">
        <f t="shared" si="210"/>
        <v>0</v>
      </c>
      <c r="GLS64" s="44">
        <f t="shared" si="210"/>
        <v>0</v>
      </c>
      <c r="GLT64" s="44">
        <f t="shared" si="210"/>
        <v>0</v>
      </c>
      <c r="GLU64" s="44">
        <f t="shared" si="210"/>
        <v>0</v>
      </c>
      <c r="GLV64" s="44">
        <f t="shared" si="210"/>
        <v>0</v>
      </c>
      <c r="GLW64" s="44">
        <f t="shared" si="210"/>
        <v>0</v>
      </c>
      <c r="GLX64" s="44">
        <f t="shared" si="210"/>
        <v>0</v>
      </c>
      <c r="GLY64" s="44">
        <f t="shared" si="210"/>
        <v>0</v>
      </c>
      <c r="GLZ64" s="44">
        <f t="shared" si="210"/>
        <v>0</v>
      </c>
      <c r="GMA64" s="44">
        <f t="shared" si="210"/>
        <v>0</v>
      </c>
      <c r="GMB64" s="44">
        <f t="shared" si="210"/>
        <v>0</v>
      </c>
      <c r="GMC64" s="44">
        <f t="shared" si="210"/>
        <v>0</v>
      </c>
      <c r="GMD64" s="44">
        <f t="shared" si="210"/>
        <v>0</v>
      </c>
      <c r="GME64" s="44">
        <f t="shared" si="210"/>
        <v>0</v>
      </c>
      <c r="GMF64" s="44">
        <f t="shared" si="210"/>
        <v>0</v>
      </c>
      <c r="GMG64" s="44">
        <f t="shared" si="210"/>
        <v>0</v>
      </c>
      <c r="GMH64" s="44">
        <f t="shared" ref="GMH64:GOS64" si="211">SUM(GMH56:GMH57)</f>
        <v>0</v>
      </c>
      <c r="GMI64" s="44">
        <f t="shared" si="211"/>
        <v>0</v>
      </c>
      <c r="GMJ64" s="44">
        <f t="shared" si="211"/>
        <v>0</v>
      </c>
      <c r="GMK64" s="44">
        <f t="shared" si="211"/>
        <v>0</v>
      </c>
      <c r="GML64" s="44">
        <f t="shared" si="211"/>
        <v>0</v>
      </c>
      <c r="GMM64" s="44">
        <f t="shared" si="211"/>
        <v>0</v>
      </c>
      <c r="GMN64" s="44">
        <f t="shared" si="211"/>
        <v>0</v>
      </c>
      <c r="GMO64" s="44">
        <f t="shared" si="211"/>
        <v>0</v>
      </c>
      <c r="GMP64" s="44">
        <f t="shared" si="211"/>
        <v>0</v>
      </c>
      <c r="GMQ64" s="44">
        <f t="shared" si="211"/>
        <v>0</v>
      </c>
      <c r="GMR64" s="44">
        <f t="shared" si="211"/>
        <v>0</v>
      </c>
      <c r="GMS64" s="44">
        <f t="shared" si="211"/>
        <v>0</v>
      </c>
      <c r="GMT64" s="44">
        <f t="shared" si="211"/>
        <v>0</v>
      </c>
      <c r="GMU64" s="44">
        <f t="shared" si="211"/>
        <v>0</v>
      </c>
      <c r="GMV64" s="44">
        <f t="shared" si="211"/>
        <v>0</v>
      </c>
      <c r="GMW64" s="44">
        <f t="shared" si="211"/>
        <v>0</v>
      </c>
      <c r="GMX64" s="44">
        <f t="shared" si="211"/>
        <v>0</v>
      </c>
      <c r="GMY64" s="44">
        <f t="shared" si="211"/>
        <v>0</v>
      </c>
      <c r="GMZ64" s="44">
        <f t="shared" si="211"/>
        <v>0</v>
      </c>
      <c r="GNA64" s="44">
        <f t="shared" si="211"/>
        <v>0</v>
      </c>
      <c r="GNB64" s="44">
        <f t="shared" si="211"/>
        <v>0</v>
      </c>
      <c r="GNC64" s="44">
        <f t="shared" si="211"/>
        <v>0</v>
      </c>
      <c r="GND64" s="44">
        <f t="shared" si="211"/>
        <v>0</v>
      </c>
      <c r="GNE64" s="44">
        <f t="shared" si="211"/>
        <v>0</v>
      </c>
      <c r="GNF64" s="44">
        <f t="shared" si="211"/>
        <v>0</v>
      </c>
      <c r="GNG64" s="44">
        <f t="shared" si="211"/>
        <v>0</v>
      </c>
      <c r="GNH64" s="44">
        <f t="shared" si="211"/>
        <v>0</v>
      </c>
      <c r="GNI64" s="44">
        <f t="shared" si="211"/>
        <v>0</v>
      </c>
      <c r="GNJ64" s="44">
        <f t="shared" si="211"/>
        <v>0</v>
      </c>
      <c r="GNK64" s="44">
        <f t="shared" si="211"/>
        <v>0</v>
      </c>
      <c r="GNL64" s="44">
        <f t="shared" si="211"/>
        <v>0</v>
      </c>
      <c r="GNM64" s="44">
        <f t="shared" si="211"/>
        <v>0</v>
      </c>
      <c r="GNN64" s="44">
        <f t="shared" si="211"/>
        <v>0</v>
      </c>
      <c r="GNO64" s="44">
        <f t="shared" si="211"/>
        <v>0</v>
      </c>
      <c r="GNP64" s="44">
        <f t="shared" si="211"/>
        <v>0</v>
      </c>
      <c r="GNQ64" s="44">
        <f t="shared" si="211"/>
        <v>0</v>
      </c>
      <c r="GNR64" s="44">
        <f t="shared" si="211"/>
        <v>0</v>
      </c>
      <c r="GNS64" s="44">
        <f t="shared" si="211"/>
        <v>0</v>
      </c>
      <c r="GNT64" s="44">
        <f t="shared" si="211"/>
        <v>0</v>
      </c>
      <c r="GNU64" s="44">
        <f t="shared" si="211"/>
        <v>0</v>
      </c>
      <c r="GNV64" s="44">
        <f t="shared" si="211"/>
        <v>0</v>
      </c>
      <c r="GNW64" s="44">
        <f t="shared" si="211"/>
        <v>0</v>
      </c>
      <c r="GNX64" s="44">
        <f t="shared" si="211"/>
        <v>0</v>
      </c>
      <c r="GNY64" s="44">
        <f t="shared" si="211"/>
        <v>0</v>
      </c>
      <c r="GNZ64" s="44">
        <f t="shared" si="211"/>
        <v>0</v>
      </c>
      <c r="GOA64" s="44">
        <f t="shared" si="211"/>
        <v>0</v>
      </c>
      <c r="GOB64" s="44">
        <f t="shared" si="211"/>
        <v>0</v>
      </c>
      <c r="GOC64" s="44">
        <f t="shared" si="211"/>
        <v>0</v>
      </c>
      <c r="GOD64" s="44">
        <f t="shared" si="211"/>
        <v>0</v>
      </c>
      <c r="GOE64" s="44">
        <f t="shared" si="211"/>
        <v>0</v>
      </c>
      <c r="GOF64" s="44">
        <f t="shared" si="211"/>
        <v>0</v>
      </c>
      <c r="GOG64" s="44">
        <f t="shared" si="211"/>
        <v>0</v>
      </c>
      <c r="GOH64" s="44">
        <f t="shared" si="211"/>
        <v>0</v>
      </c>
      <c r="GOI64" s="44">
        <f t="shared" si="211"/>
        <v>0</v>
      </c>
      <c r="GOJ64" s="44">
        <f t="shared" si="211"/>
        <v>0</v>
      </c>
      <c r="GOK64" s="44">
        <f t="shared" si="211"/>
        <v>0</v>
      </c>
      <c r="GOL64" s="44">
        <f t="shared" si="211"/>
        <v>0</v>
      </c>
      <c r="GOM64" s="44">
        <f t="shared" si="211"/>
        <v>0</v>
      </c>
      <c r="GON64" s="44">
        <f t="shared" si="211"/>
        <v>0</v>
      </c>
      <c r="GOO64" s="44">
        <f t="shared" si="211"/>
        <v>0</v>
      </c>
      <c r="GOP64" s="44">
        <f t="shared" si="211"/>
        <v>0</v>
      </c>
      <c r="GOQ64" s="44">
        <f t="shared" si="211"/>
        <v>0</v>
      </c>
      <c r="GOR64" s="44">
        <f t="shared" si="211"/>
        <v>0</v>
      </c>
      <c r="GOS64" s="44">
        <f t="shared" si="211"/>
        <v>0</v>
      </c>
      <c r="GOT64" s="44">
        <f t="shared" ref="GOT64:GRE64" si="212">SUM(GOT56:GOT57)</f>
        <v>0</v>
      </c>
      <c r="GOU64" s="44">
        <f t="shared" si="212"/>
        <v>0</v>
      </c>
      <c r="GOV64" s="44">
        <f t="shared" si="212"/>
        <v>0</v>
      </c>
      <c r="GOW64" s="44">
        <f t="shared" si="212"/>
        <v>0</v>
      </c>
      <c r="GOX64" s="44">
        <f t="shared" si="212"/>
        <v>0</v>
      </c>
      <c r="GOY64" s="44">
        <f t="shared" si="212"/>
        <v>0</v>
      </c>
      <c r="GOZ64" s="44">
        <f t="shared" si="212"/>
        <v>0</v>
      </c>
      <c r="GPA64" s="44">
        <f t="shared" si="212"/>
        <v>0</v>
      </c>
      <c r="GPB64" s="44">
        <f t="shared" si="212"/>
        <v>0</v>
      </c>
      <c r="GPC64" s="44">
        <f t="shared" si="212"/>
        <v>0</v>
      </c>
      <c r="GPD64" s="44">
        <f t="shared" si="212"/>
        <v>0</v>
      </c>
      <c r="GPE64" s="44">
        <f t="shared" si="212"/>
        <v>0</v>
      </c>
      <c r="GPF64" s="44">
        <f t="shared" si="212"/>
        <v>0</v>
      </c>
      <c r="GPG64" s="44">
        <f t="shared" si="212"/>
        <v>0</v>
      </c>
      <c r="GPH64" s="44">
        <f t="shared" si="212"/>
        <v>0</v>
      </c>
      <c r="GPI64" s="44">
        <f t="shared" si="212"/>
        <v>0</v>
      </c>
      <c r="GPJ64" s="44">
        <f t="shared" si="212"/>
        <v>0</v>
      </c>
      <c r="GPK64" s="44">
        <f t="shared" si="212"/>
        <v>0</v>
      </c>
      <c r="GPL64" s="44">
        <f t="shared" si="212"/>
        <v>0</v>
      </c>
      <c r="GPM64" s="44">
        <f t="shared" si="212"/>
        <v>0</v>
      </c>
      <c r="GPN64" s="44">
        <f t="shared" si="212"/>
        <v>0</v>
      </c>
      <c r="GPO64" s="44">
        <f t="shared" si="212"/>
        <v>0</v>
      </c>
      <c r="GPP64" s="44">
        <f t="shared" si="212"/>
        <v>0</v>
      </c>
      <c r="GPQ64" s="44">
        <f t="shared" si="212"/>
        <v>0</v>
      </c>
      <c r="GPR64" s="44">
        <f t="shared" si="212"/>
        <v>0</v>
      </c>
      <c r="GPS64" s="44">
        <f t="shared" si="212"/>
        <v>0</v>
      </c>
      <c r="GPT64" s="44">
        <f t="shared" si="212"/>
        <v>0</v>
      </c>
      <c r="GPU64" s="44">
        <f t="shared" si="212"/>
        <v>0</v>
      </c>
      <c r="GPV64" s="44">
        <f t="shared" si="212"/>
        <v>0</v>
      </c>
      <c r="GPW64" s="44">
        <f t="shared" si="212"/>
        <v>0</v>
      </c>
      <c r="GPX64" s="44">
        <f t="shared" si="212"/>
        <v>0</v>
      </c>
      <c r="GPY64" s="44">
        <f t="shared" si="212"/>
        <v>0</v>
      </c>
      <c r="GPZ64" s="44">
        <f t="shared" si="212"/>
        <v>0</v>
      </c>
      <c r="GQA64" s="44">
        <f t="shared" si="212"/>
        <v>0</v>
      </c>
      <c r="GQB64" s="44">
        <f t="shared" si="212"/>
        <v>0</v>
      </c>
      <c r="GQC64" s="44">
        <f t="shared" si="212"/>
        <v>0</v>
      </c>
      <c r="GQD64" s="44">
        <f t="shared" si="212"/>
        <v>0</v>
      </c>
      <c r="GQE64" s="44">
        <f t="shared" si="212"/>
        <v>0</v>
      </c>
      <c r="GQF64" s="44">
        <f t="shared" si="212"/>
        <v>0</v>
      </c>
      <c r="GQG64" s="44">
        <f t="shared" si="212"/>
        <v>0</v>
      </c>
      <c r="GQH64" s="44">
        <f t="shared" si="212"/>
        <v>0</v>
      </c>
      <c r="GQI64" s="44">
        <f t="shared" si="212"/>
        <v>0</v>
      </c>
      <c r="GQJ64" s="44">
        <f t="shared" si="212"/>
        <v>0</v>
      </c>
      <c r="GQK64" s="44">
        <f t="shared" si="212"/>
        <v>0</v>
      </c>
      <c r="GQL64" s="44">
        <f t="shared" si="212"/>
        <v>0</v>
      </c>
      <c r="GQM64" s="44">
        <f t="shared" si="212"/>
        <v>0</v>
      </c>
      <c r="GQN64" s="44">
        <f t="shared" si="212"/>
        <v>0</v>
      </c>
      <c r="GQO64" s="44">
        <f t="shared" si="212"/>
        <v>0</v>
      </c>
      <c r="GQP64" s="44">
        <f t="shared" si="212"/>
        <v>0</v>
      </c>
      <c r="GQQ64" s="44">
        <f t="shared" si="212"/>
        <v>0</v>
      </c>
      <c r="GQR64" s="44">
        <f t="shared" si="212"/>
        <v>0</v>
      </c>
      <c r="GQS64" s="44">
        <f t="shared" si="212"/>
        <v>0</v>
      </c>
      <c r="GQT64" s="44">
        <f t="shared" si="212"/>
        <v>0</v>
      </c>
      <c r="GQU64" s="44">
        <f t="shared" si="212"/>
        <v>0</v>
      </c>
      <c r="GQV64" s="44">
        <f t="shared" si="212"/>
        <v>0</v>
      </c>
      <c r="GQW64" s="44">
        <f t="shared" si="212"/>
        <v>0</v>
      </c>
      <c r="GQX64" s="44">
        <f t="shared" si="212"/>
        <v>0</v>
      </c>
      <c r="GQY64" s="44">
        <f t="shared" si="212"/>
        <v>0</v>
      </c>
      <c r="GQZ64" s="44">
        <f t="shared" si="212"/>
        <v>0</v>
      </c>
      <c r="GRA64" s="44">
        <f t="shared" si="212"/>
        <v>0</v>
      </c>
      <c r="GRB64" s="44">
        <f t="shared" si="212"/>
        <v>0</v>
      </c>
      <c r="GRC64" s="44">
        <f t="shared" si="212"/>
        <v>0</v>
      </c>
      <c r="GRD64" s="44">
        <f t="shared" si="212"/>
        <v>0</v>
      </c>
      <c r="GRE64" s="44">
        <f t="shared" si="212"/>
        <v>0</v>
      </c>
      <c r="GRF64" s="44">
        <f t="shared" ref="GRF64:GTQ64" si="213">SUM(GRF56:GRF57)</f>
        <v>0</v>
      </c>
      <c r="GRG64" s="44">
        <f t="shared" si="213"/>
        <v>0</v>
      </c>
      <c r="GRH64" s="44">
        <f t="shared" si="213"/>
        <v>0</v>
      </c>
      <c r="GRI64" s="44">
        <f t="shared" si="213"/>
        <v>0</v>
      </c>
      <c r="GRJ64" s="44">
        <f t="shared" si="213"/>
        <v>0</v>
      </c>
      <c r="GRK64" s="44">
        <f t="shared" si="213"/>
        <v>0</v>
      </c>
      <c r="GRL64" s="44">
        <f t="shared" si="213"/>
        <v>0</v>
      </c>
      <c r="GRM64" s="44">
        <f t="shared" si="213"/>
        <v>0</v>
      </c>
      <c r="GRN64" s="44">
        <f t="shared" si="213"/>
        <v>0</v>
      </c>
      <c r="GRO64" s="44">
        <f t="shared" si="213"/>
        <v>0</v>
      </c>
      <c r="GRP64" s="44">
        <f t="shared" si="213"/>
        <v>0</v>
      </c>
      <c r="GRQ64" s="44">
        <f t="shared" si="213"/>
        <v>0</v>
      </c>
      <c r="GRR64" s="44">
        <f t="shared" si="213"/>
        <v>0</v>
      </c>
      <c r="GRS64" s="44">
        <f t="shared" si="213"/>
        <v>0</v>
      </c>
      <c r="GRT64" s="44">
        <f t="shared" si="213"/>
        <v>0</v>
      </c>
      <c r="GRU64" s="44">
        <f t="shared" si="213"/>
        <v>0</v>
      </c>
      <c r="GRV64" s="44">
        <f t="shared" si="213"/>
        <v>0</v>
      </c>
      <c r="GRW64" s="44">
        <f t="shared" si="213"/>
        <v>0</v>
      </c>
      <c r="GRX64" s="44">
        <f t="shared" si="213"/>
        <v>0</v>
      </c>
      <c r="GRY64" s="44">
        <f t="shared" si="213"/>
        <v>0</v>
      </c>
      <c r="GRZ64" s="44">
        <f t="shared" si="213"/>
        <v>0</v>
      </c>
      <c r="GSA64" s="44">
        <f t="shared" si="213"/>
        <v>0</v>
      </c>
      <c r="GSB64" s="44">
        <f t="shared" si="213"/>
        <v>0</v>
      </c>
      <c r="GSC64" s="44">
        <f t="shared" si="213"/>
        <v>0</v>
      </c>
      <c r="GSD64" s="44">
        <f t="shared" si="213"/>
        <v>0</v>
      </c>
      <c r="GSE64" s="44">
        <f t="shared" si="213"/>
        <v>0</v>
      </c>
      <c r="GSF64" s="44">
        <f t="shared" si="213"/>
        <v>0</v>
      </c>
      <c r="GSG64" s="44">
        <f t="shared" si="213"/>
        <v>0</v>
      </c>
      <c r="GSH64" s="44">
        <f t="shared" si="213"/>
        <v>0</v>
      </c>
      <c r="GSI64" s="44">
        <f t="shared" si="213"/>
        <v>0</v>
      </c>
      <c r="GSJ64" s="44">
        <f t="shared" si="213"/>
        <v>0</v>
      </c>
      <c r="GSK64" s="44">
        <f t="shared" si="213"/>
        <v>0</v>
      </c>
      <c r="GSL64" s="44">
        <f t="shared" si="213"/>
        <v>0</v>
      </c>
      <c r="GSM64" s="44">
        <f t="shared" si="213"/>
        <v>0</v>
      </c>
      <c r="GSN64" s="44">
        <f t="shared" si="213"/>
        <v>0</v>
      </c>
      <c r="GSO64" s="44">
        <f t="shared" si="213"/>
        <v>0</v>
      </c>
      <c r="GSP64" s="44">
        <f t="shared" si="213"/>
        <v>0</v>
      </c>
      <c r="GSQ64" s="44">
        <f t="shared" si="213"/>
        <v>0</v>
      </c>
      <c r="GSR64" s="44">
        <f t="shared" si="213"/>
        <v>0</v>
      </c>
      <c r="GSS64" s="44">
        <f t="shared" si="213"/>
        <v>0</v>
      </c>
      <c r="GST64" s="44">
        <f t="shared" si="213"/>
        <v>0</v>
      </c>
      <c r="GSU64" s="44">
        <f t="shared" si="213"/>
        <v>0</v>
      </c>
      <c r="GSV64" s="44">
        <f t="shared" si="213"/>
        <v>0</v>
      </c>
      <c r="GSW64" s="44">
        <f t="shared" si="213"/>
        <v>0</v>
      </c>
      <c r="GSX64" s="44">
        <f t="shared" si="213"/>
        <v>0</v>
      </c>
      <c r="GSY64" s="44">
        <f t="shared" si="213"/>
        <v>0</v>
      </c>
      <c r="GSZ64" s="44">
        <f t="shared" si="213"/>
        <v>0</v>
      </c>
      <c r="GTA64" s="44">
        <f t="shared" si="213"/>
        <v>0</v>
      </c>
      <c r="GTB64" s="44">
        <f t="shared" si="213"/>
        <v>0</v>
      </c>
      <c r="GTC64" s="44">
        <f t="shared" si="213"/>
        <v>0</v>
      </c>
      <c r="GTD64" s="44">
        <f t="shared" si="213"/>
        <v>0</v>
      </c>
      <c r="GTE64" s="44">
        <f t="shared" si="213"/>
        <v>0</v>
      </c>
      <c r="GTF64" s="44">
        <f t="shared" si="213"/>
        <v>0</v>
      </c>
      <c r="GTG64" s="44">
        <f t="shared" si="213"/>
        <v>0</v>
      </c>
      <c r="GTH64" s="44">
        <f t="shared" si="213"/>
        <v>0</v>
      </c>
      <c r="GTI64" s="44">
        <f t="shared" si="213"/>
        <v>0</v>
      </c>
      <c r="GTJ64" s="44">
        <f t="shared" si="213"/>
        <v>0</v>
      </c>
      <c r="GTK64" s="44">
        <f t="shared" si="213"/>
        <v>0</v>
      </c>
      <c r="GTL64" s="44">
        <f t="shared" si="213"/>
        <v>0</v>
      </c>
      <c r="GTM64" s="44">
        <f t="shared" si="213"/>
        <v>0</v>
      </c>
      <c r="GTN64" s="44">
        <f t="shared" si="213"/>
        <v>0</v>
      </c>
      <c r="GTO64" s="44">
        <f t="shared" si="213"/>
        <v>0</v>
      </c>
      <c r="GTP64" s="44">
        <f t="shared" si="213"/>
        <v>0</v>
      </c>
      <c r="GTQ64" s="44">
        <f t="shared" si="213"/>
        <v>0</v>
      </c>
      <c r="GTR64" s="44">
        <f t="shared" ref="GTR64:GWC64" si="214">SUM(GTR56:GTR57)</f>
        <v>0</v>
      </c>
      <c r="GTS64" s="44">
        <f t="shared" si="214"/>
        <v>0</v>
      </c>
      <c r="GTT64" s="44">
        <f t="shared" si="214"/>
        <v>0</v>
      </c>
      <c r="GTU64" s="44">
        <f t="shared" si="214"/>
        <v>0</v>
      </c>
      <c r="GTV64" s="44">
        <f t="shared" si="214"/>
        <v>0</v>
      </c>
      <c r="GTW64" s="44">
        <f t="shared" si="214"/>
        <v>0</v>
      </c>
      <c r="GTX64" s="44">
        <f t="shared" si="214"/>
        <v>0</v>
      </c>
      <c r="GTY64" s="44">
        <f t="shared" si="214"/>
        <v>0</v>
      </c>
      <c r="GTZ64" s="44">
        <f t="shared" si="214"/>
        <v>0</v>
      </c>
      <c r="GUA64" s="44">
        <f t="shared" si="214"/>
        <v>0</v>
      </c>
      <c r="GUB64" s="44">
        <f t="shared" si="214"/>
        <v>0</v>
      </c>
      <c r="GUC64" s="44">
        <f t="shared" si="214"/>
        <v>0</v>
      </c>
      <c r="GUD64" s="44">
        <f t="shared" si="214"/>
        <v>0</v>
      </c>
      <c r="GUE64" s="44">
        <f t="shared" si="214"/>
        <v>0</v>
      </c>
      <c r="GUF64" s="44">
        <f t="shared" si="214"/>
        <v>0</v>
      </c>
      <c r="GUG64" s="44">
        <f t="shared" si="214"/>
        <v>0</v>
      </c>
      <c r="GUH64" s="44">
        <f t="shared" si="214"/>
        <v>0</v>
      </c>
      <c r="GUI64" s="44">
        <f t="shared" si="214"/>
        <v>0</v>
      </c>
      <c r="GUJ64" s="44">
        <f t="shared" si="214"/>
        <v>0</v>
      </c>
      <c r="GUK64" s="44">
        <f t="shared" si="214"/>
        <v>0</v>
      </c>
      <c r="GUL64" s="44">
        <f t="shared" si="214"/>
        <v>0</v>
      </c>
      <c r="GUM64" s="44">
        <f t="shared" si="214"/>
        <v>0</v>
      </c>
      <c r="GUN64" s="44">
        <f t="shared" si="214"/>
        <v>0</v>
      </c>
      <c r="GUO64" s="44">
        <f t="shared" si="214"/>
        <v>0</v>
      </c>
      <c r="GUP64" s="44">
        <f t="shared" si="214"/>
        <v>0</v>
      </c>
      <c r="GUQ64" s="44">
        <f t="shared" si="214"/>
        <v>0</v>
      </c>
      <c r="GUR64" s="44">
        <f t="shared" si="214"/>
        <v>0</v>
      </c>
      <c r="GUS64" s="44">
        <f t="shared" si="214"/>
        <v>0</v>
      </c>
      <c r="GUT64" s="44">
        <f t="shared" si="214"/>
        <v>0</v>
      </c>
      <c r="GUU64" s="44">
        <f t="shared" si="214"/>
        <v>0</v>
      </c>
      <c r="GUV64" s="44">
        <f t="shared" si="214"/>
        <v>0</v>
      </c>
      <c r="GUW64" s="44">
        <f t="shared" si="214"/>
        <v>0</v>
      </c>
      <c r="GUX64" s="44">
        <f t="shared" si="214"/>
        <v>0</v>
      </c>
      <c r="GUY64" s="44">
        <f t="shared" si="214"/>
        <v>0</v>
      </c>
      <c r="GUZ64" s="44">
        <f t="shared" si="214"/>
        <v>0</v>
      </c>
      <c r="GVA64" s="44">
        <f t="shared" si="214"/>
        <v>0</v>
      </c>
      <c r="GVB64" s="44">
        <f t="shared" si="214"/>
        <v>0</v>
      </c>
      <c r="GVC64" s="44">
        <f t="shared" si="214"/>
        <v>0</v>
      </c>
      <c r="GVD64" s="44">
        <f t="shared" si="214"/>
        <v>0</v>
      </c>
      <c r="GVE64" s="44">
        <f t="shared" si="214"/>
        <v>0</v>
      </c>
      <c r="GVF64" s="44">
        <f t="shared" si="214"/>
        <v>0</v>
      </c>
      <c r="GVG64" s="44">
        <f t="shared" si="214"/>
        <v>0</v>
      </c>
      <c r="GVH64" s="44">
        <f t="shared" si="214"/>
        <v>0</v>
      </c>
      <c r="GVI64" s="44">
        <f t="shared" si="214"/>
        <v>0</v>
      </c>
      <c r="GVJ64" s="44">
        <f t="shared" si="214"/>
        <v>0</v>
      </c>
      <c r="GVK64" s="44">
        <f t="shared" si="214"/>
        <v>0</v>
      </c>
      <c r="GVL64" s="44">
        <f t="shared" si="214"/>
        <v>0</v>
      </c>
      <c r="GVM64" s="44">
        <f t="shared" si="214"/>
        <v>0</v>
      </c>
      <c r="GVN64" s="44">
        <f t="shared" si="214"/>
        <v>0</v>
      </c>
      <c r="GVO64" s="44">
        <f t="shared" si="214"/>
        <v>0</v>
      </c>
      <c r="GVP64" s="44">
        <f t="shared" si="214"/>
        <v>0</v>
      </c>
      <c r="GVQ64" s="44">
        <f t="shared" si="214"/>
        <v>0</v>
      </c>
      <c r="GVR64" s="44">
        <f t="shared" si="214"/>
        <v>0</v>
      </c>
      <c r="GVS64" s="44">
        <f t="shared" si="214"/>
        <v>0</v>
      </c>
      <c r="GVT64" s="44">
        <f t="shared" si="214"/>
        <v>0</v>
      </c>
      <c r="GVU64" s="44">
        <f t="shared" si="214"/>
        <v>0</v>
      </c>
      <c r="GVV64" s="44">
        <f t="shared" si="214"/>
        <v>0</v>
      </c>
      <c r="GVW64" s="44">
        <f t="shared" si="214"/>
        <v>0</v>
      </c>
      <c r="GVX64" s="44">
        <f t="shared" si="214"/>
        <v>0</v>
      </c>
      <c r="GVY64" s="44">
        <f t="shared" si="214"/>
        <v>0</v>
      </c>
      <c r="GVZ64" s="44">
        <f t="shared" si="214"/>
        <v>0</v>
      </c>
      <c r="GWA64" s="44">
        <f t="shared" si="214"/>
        <v>0</v>
      </c>
      <c r="GWB64" s="44">
        <f t="shared" si="214"/>
        <v>0</v>
      </c>
      <c r="GWC64" s="44">
        <f t="shared" si="214"/>
        <v>0</v>
      </c>
      <c r="GWD64" s="44">
        <f t="shared" ref="GWD64:GYO64" si="215">SUM(GWD56:GWD57)</f>
        <v>0</v>
      </c>
      <c r="GWE64" s="44">
        <f t="shared" si="215"/>
        <v>0</v>
      </c>
      <c r="GWF64" s="44">
        <f t="shared" si="215"/>
        <v>0</v>
      </c>
      <c r="GWG64" s="44">
        <f t="shared" si="215"/>
        <v>0</v>
      </c>
      <c r="GWH64" s="44">
        <f t="shared" si="215"/>
        <v>0</v>
      </c>
      <c r="GWI64" s="44">
        <f t="shared" si="215"/>
        <v>0</v>
      </c>
      <c r="GWJ64" s="44">
        <f t="shared" si="215"/>
        <v>0</v>
      </c>
      <c r="GWK64" s="44">
        <f t="shared" si="215"/>
        <v>0</v>
      </c>
      <c r="GWL64" s="44">
        <f t="shared" si="215"/>
        <v>0</v>
      </c>
      <c r="GWM64" s="44">
        <f t="shared" si="215"/>
        <v>0</v>
      </c>
      <c r="GWN64" s="44">
        <f t="shared" si="215"/>
        <v>0</v>
      </c>
      <c r="GWO64" s="44">
        <f t="shared" si="215"/>
        <v>0</v>
      </c>
      <c r="GWP64" s="44">
        <f t="shared" si="215"/>
        <v>0</v>
      </c>
      <c r="GWQ64" s="44">
        <f t="shared" si="215"/>
        <v>0</v>
      </c>
      <c r="GWR64" s="44">
        <f t="shared" si="215"/>
        <v>0</v>
      </c>
      <c r="GWS64" s="44">
        <f t="shared" si="215"/>
        <v>0</v>
      </c>
      <c r="GWT64" s="44">
        <f t="shared" si="215"/>
        <v>0</v>
      </c>
      <c r="GWU64" s="44">
        <f t="shared" si="215"/>
        <v>0</v>
      </c>
      <c r="GWV64" s="44">
        <f t="shared" si="215"/>
        <v>0</v>
      </c>
      <c r="GWW64" s="44">
        <f t="shared" si="215"/>
        <v>0</v>
      </c>
      <c r="GWX64" s="44">
        <f t="shared" si="215"/>
        <v>0</v>
      </c>
      <c r="GWY64" s="44">
        <f t="shared" si="215"/>
        <v>0</v>
      </c>
      <c r="GWZ64" s="44">
        <f t="shared" si="215"/>
        <v>0</v>
      </c>
      <c r="GXA64" s="44">
        <f t="shared" si="215"/>
        <v>0</v>
      </c>
      <c r="GXB64" s="44">
        <f t="shared" si="215"/>
        <v>0</v>
      </c>
      <c r="GXC64" s="44">
        <f t="shared" si="215"/>
        <v>0</v>
      </c>
      <c r="GXD64" s="44">
        <f t="shared" si="215"/>
        <v>0</v>
      </c>
      <c r="GXE64" s="44">
        <f t="shared" si="215"/>
        <v>0</v>
      </c>
      <c r="GXF64" s="44">
        <f t="shared" si="215"/>
        <v>0</v>
      </c>
      <c r="GXG64" s="44">
        <f t="shared" si="215"/>
        <v>0</v>
      </c>
      <c r="GXH64" s="44">
        <f t="shared" si="215"/>
        <v>0</v>
      </c>
      <c r="GXI64" s="44">
        <f t="shared" si="215"/>
        <v>0</v>
      </c>
      <c r="GXJ64" s="44">
        <f t="shared" si="215"/>
        <v>0</v>
      </c>
      <c r="GXK64" s="44">
        <f t="shared" si="215"/>
        <v>0</v>
      </c>
      <c r="GXL64" s="44">
        <f t="shared" si="215"/>
        <v>0</v>
      </c>
      <c r="GXM64" s="44">
        <f t="shared" si="215"/>
        <v>0</v>
      </c>
      <c r="GXN64" s="44">
        <f t="shared" si="215"/>
        <v>0</v>
      </c>
      <c r="GXO64" s="44">
        <f t="shared" si="215"/>
        <v>0</v>
      </c>
      <c r="GXP64" s="44">
        <f t="shared" si="215"/>
        <v>0</v>
      </c>
      <c r="GXQ64" s="44">
        <f t="shared" si="215"/>
        <v>0</v>
      </c>
      <c r="GXR64" s="44">
        <f t="shared" si="215"/>
        <v>0</v>
      </c>
      <c r="GXS64" s="44">
        <f t="shared" si="215"/>
        <v>0</v>
      </c>
      <c r="GXT64" s="44">
        <f t="shared" si="215"/>
        <v>0</v>
      </c>
      <c r="GXU64" s="44">
        <f t="shared" si="215"/>
        <v>0</v>
      </c>
      <c r="GXV64" s="44">
        <f t="shared" si="215"/>
        <v>0</v>
      </c>
      <c r="GXW64" s="44">
        <f t="shared" si="215"/>
        <v>0</v>
      </c>
      <c r="GXX64" s="44">
        <f t="shared" si="215"/>
        <v>0</v>
      </c>
      <c r="GXY64" s="44">
        <f t="shared" si="215"/>
        <v>0</v>
      </c>
      <c r="GXZ64" s="44">
        <f t="shared" si="215"/>
        <v>0</v>
      </c>
      <c r="GYA64" s="44">
        <f t="shared" si="215"/>
        <v>0</v>
      </c>
      <c r="GYB64" s="44">
        <f t="shared" si="215"/>
        <v>0</v>
      </c>
      <c r="GYC64" s="44">
        <f t="shared" si="215"/>
        <v>0</v>
      </c>
      <c r="GYD64" s="44">
        <f t="shared" si="215"/>
        <v>0</v>
      </c>
      <c r="GYE64" s="44">
        <f t="shared" si="215"/>
        <v>0</v>
      </c>
      <c r="GYF64" s="44">
        <f t="shared" si="215"/>
        <v>0</v>
      </c>
      <c r="GYG64" s="44">
        <f t="shared" si="215"/>
        <v>0</v>
      </c>
      <c r="GYH64" s="44">
        <f t="shared" si="215"/>
        <v>0</v>
      </c>
      <c r="GYI64" s="44">
        <f t="shared" si="215"/>
        <v>0</v>
      </c>
      <c r="GYJ64" s="44">
        <f t="shared" si="215"/>
        <v>0</v>
      </c>
      <c r="GYK64" s="44">
        <f t="shared" si="215"/>
        <v>0</v>
      </c>
      <c r="GYL64" s="44">
        <f t="shared" si="215"/>
        <v>0</v>
      </c>
      <c r="GYM64" s="44">
        <f t="shared" si="215"/>
        <v>0</v>
      </c>
      <c r="GYN64" s="44">
        <f t="shared" si="215"/>
        <v>0</v>
      </c>
      <c r="GYO64" s="44">
        <f t="shared" si="215"/>
        <v>0</v>
      </c>
      <c r="GYP64" s="44">
        <f t="shared" ref="GYP64:HBA64" si="216">SUM(GYP56:GYP57)</f>
        <v>0</v>
      </c>
      <c r="GYQ64" s="44">
        <f t="shared" si="216"/>
        <v>0</v>
      </c>
      <c r="GYR64" s="44">
        <f t="shared" si="216"/>
        <v>0</v>
      </c>
      <c r="GYS64" s="44">
        <f t="shared" si="216"/>
        <v>0</v>
      </c>
      <c r="GYT64" s="44">
        <f t="shared" si="216"/>
        <v>0</v>
      </c>
      <c r="GYU64" s="44">
        <f t="shared" si="216"/>
        <v>0</v>
      </c>
      <c r="GYV64" s="44">
        <f t="shared" si="216"/>
        <v>0</v>
      </c>
      <c r="GYW64" s="44">
        <f t="shared" si="216"/>
        <v>0</v>
      </c>
      <c r="GYX64" s="44">
        <f t="shared" si="216"/>
        <v>0</v>
      </c>
      <c r="GYY64" s="44">
        <f t="shared" si="216"/>
        <v>0</v>
      </c>
      <c r="GYZ64" s="44">
        <f t="shared" si="216"/>
        <v>0</v>
      </c>
      <c r="GZA64" s="44">
        <f t="shared" si="216"/>
        <v>0</v>
      </c>
      <c r="GZB64" s="44">
        <f t="shared" si="216"/>
        <v>0</v>
      </c>
      <c r="GZC64" s="44">
        <f t="shared" si="216"/>
        <v>0</v>
      </c>
      <c r="GZD64" s="44">
        <f t="shared" si="216"/>
        <v>0</v>
      </c>
      <c r="GZE64" s="44">
        <f t="shared" si="216"/>
        <v>0</v>
      </c>
      <c r="GZF64" s="44">
        <f t="shared" si="216"/>
        <v>0</v>
      </c>
      <c r="GZG64" s="44">
        <f t="shared" si="216"/>
        <v>0</v>
      </c>
      <c r="GZH64" s="44">
        <f t="shared" si="216"/>
        <v>0</v>
      </c>
      <c r="GZI64" s="44">
        <f t="shared" si="216"/>
        <v>0</v>
      </c>
      <c r="GZJ64" s="44">
        <f t="shared" si="216"/>
        <v>0</v>
      </c>
      <c r="GZK64" s="44">
        <f t="shared" si="216"/>
        <v>0</v>
      </c>
      <c r="GZL64" s="44">
        <f t="shared" si="216"/>
        <v>0</v>
      </c>
      <c r="GZM64" s="44">
        <f t="shared" si="216"/>
        <v>0</v>
      </c>
      <c r="GZN64" s="44">
        <f t="shared" si="216"/>
        <v>0</v>
      </c>
      <c r="GZO64" s="44">
        <f t="shared" si="216"/>
        <v>0</v>
      </c>
      <c r="GZP64" s="44">
        <f t="shared" si="216"/>
        <v>0</v>
      </c>
      <c r="GZQ64" s="44">
        <f t="shared" si="216"/>
        <v>0</v>
      </c>
      <c r="GZR64" s="44">
        <f t="shared" si="216"/>
        <v>0</v>
      </c>
      <c r="GZS64" s="44">
        <f t="shared" si="216"/>
        <v>0</v>
      </c>
      <c r="GZT64" s="44">
        <f t="shared" si="216"/>
        <v>0</v>
      </c>
      <c r="GZU64" s="44">
        <f t="shared" si="216"/>
        <v>0</v>
      </c>
      <c r="GZV64" s="44">
        <f t="shared" si="216"/>
        <v>0</v>
      </c>
      <c r="GZW64" s="44">
        <f t="shared" si="216"/>
        <v>0</v>
      </c>
      <c r="GZX64" s="44">
        <f t="shared" si="216"/>
        <v>0</v>
      </c>
      <c r="GZY64" s="44">
        <f t="shared" si="216"/>
        <v>0</v>
      </c>
      <c r="GZZ64" s="44">
        <f t="shared" si="216"/>
        <v>0</v>
      </c>
      <c r="HAA64" s="44">
        <f t="shared" si="216"/>
        <v>0</v>
      </c>
      <c r="HAB64" s="44">
        <f t="shared" si="216"/>
        <v>0</v>
      </c>
      <c r="HAC64" s="44">
        <f t="shared" si="216"/>
        <v>0</v>
      </c>
      <c r="HAD64" s="44">
        <f t="shared" si="216"/>
        <v>0</v>
      </c>
      <c r="HAE64" s="44">
        <f t="shared" si="216"/>
        <v>0</v>
      </c>
      <c r="HAF64" s="44">
        <f t="shared" si="216"/>
        <v>0</v>
      </c>
      <c r="HAG64" s="44">
        <f t="shared" si="216"/>
        <v>0</v>
      </c>
      <c r="HAH64" s="44">
        <f t="shared" si="216"/>
        <v>0</v>
      </c>
      <c r="HAI64" s="44">
        <f t="shared" si="216"/>
        <v>0</v>
      </c>
      <c r="HAJ64" s="44">
        <f t="shared" si="216"/>
        <v>0</v>
      </c>
      <c r="HAK64" s="44">
        <f t="shared" si="216"/>
        <v>0</v>
      </c>
      <c r="HAL64" s="44">
        <f t="shared" si="216"/>
        <v>0</v>
      </c>
      <c r="HAM64" s="44">
        <f t="shared" si="216"/>
        <v>0</v>
      </c>
      <c r="HAN64" s="44">
        <f t="shared" si="216"/>
        <v>0</v>
      </c>
      <c r="HAO64" s="44">
        <f t="shared" si="216"/>
        <v>0</v>
      </c>
      <c r="HAP64" s="44">
        <f t="shared" si="216"/>
        <v>0</v>
      </c>
      <c r="HAQ64" s="44">
        <f t="shared" si="216"/>
        <v>0</v>
      </c>
      <c r="HAR64" s="44">
        <f t="shared" si="216"/>
        <v>0</v>
      </c>
      <c r="HAS64" s="44">
        <f t="shared" si="216"/>
        <v>0</v>
      </c>
      <c r="HAT64" s="44">
        <f t="shared" si="216"/>
        <v>0</v>
      </c>
      <c r="HAU64" s="44">
        <f t="shared" si="216"/>
        <v>0</v>
      </c>
      <c r="HAV64" s="44">
        <f t="shared" si="216"/>
        <v>0</v>
      </c>
      <c r="HAW64" s="44">
        <f t="shared" si="216"/>
        <v>0</v>
      </c>
      <c r="HAX64" s="44">
        <f t="shared" si="216"/>
        <v>0</v>
      </c>
      <c r="HAY64" s="44">
        <f t="shared" si="216"/>
        <v>0</v>
      </c>
      <c r="HAZ64" s="44">
        <f t="shared" si="216"/>
        <v>0</v>
      </c>
      <c r="HBA64" s="44">
        <f t="shared" si="216"/>
        <v>0</v>
      </c>
      <c r="HBB64" s="44">
        <f t="shared" ref="HBB64:HDM64" si="217">SUM(HBB56:HBB57)</f>
        <v>0</v>
      </c>
      <c r="HBC64" s="44">
        <f t="shared" si="217"/>
        <v>0</v>
      </c>
      <c r="HBD64" s="44">
        <f t="shared" si="217"/>
        <v>0</v>
      </c>
      <c r="HBE64" s="44">
        <f t="shared" si="217"/>
        <v>0</v>
      </c>
      <c r="HBF64" s="44">
        <f t="shared" si="217"/>
        <v>0</v>
      </c>
      <c r="HBG64" s="44">
        <f t="shared" si="217"/>
        <v>0</v>
      </c>
      <c r="HBH64" s="44">
        <f t="shared" si="217"/>
        <v>0</v>
      </c>
      <c r="HBI64" s="44">
        <f t="shared" si="217"/>
        <v>0</v>
      </c>
      <c r="HBJ64" s="44">
        <f t="shared" si="217"/>
        <v>0</v>
      </c>
      <c r="HBK64" s="44">
        <f t="shared" si="217"/>
        <v>0</v>
      </c>
      <c r="HBL64" s="44">
        <f t="shared" si="217"/>
        <v>0</v>
      </c>
      <c r="HBM64" s="44">
        <f t="shared" si="217"/>
        <v>0</v>
      </c>
      <c r="HBN64" s="44">
        <f t="shared" si="217"/>
        <v>0</v>
      </c>
      <c r="HBO64" s="44">
        <f t="shared" si="217"/>
        <v>0</v>
      </c>
      <c r="HBP64" s="44">
        <f t="shared" si="217"/>
        <v>0</v>
      </c>
      <c r="HBQ64" s="44">
        <f t="shared" si="217"/>
        <v>0</v>
      </c>
      <c r="HBR64" s="44">
        <f t="shared" si="217"/>
        <v>0</v>
      </c>
      <c r="HBS64" s="44">
        <f t="shared" si="217"/>
        <v>0</v>
      </c>
      <c r="HBT64" s="44">
        <f t="shared" si="217"/>
        <v>0</v>
      </c>
      <c r="HBU64" s="44">
        <f t="shared" si="217"/>
        <v>0</v>
      </c>
      <c r="HBV64" s="44">
        <f t="shared" si="217"/>
        <v>0</v>
      </c>
      <c r="HBW64" s="44">
        <f t="shared" si="217"/>
        <v>0</v>
      </c>
      <c r="HBX64" s="44">
        <f t="shared" si="217"/>
        <v>0</v>
      </c>
      <c r="HBY64" s="44">
        <f t="shared" si="217"/>
        <v>0</v>
      </c>
      <c r="HBZ64" s="44">
        <f t="shared" si="217"/>
        <v>0</v>
      </c>
      <c r="HCA64" s="44">
        <f t="shared" si="217"/>
        <v>0</v>
      </c>
      <c r="HCB64" s="44">
        <f t="shared" si="217"/>
        <v>0</v>
      </c>
      <c r="HCC64" s="44">
        <f t="shared" si="217"/>
        <v>0</v>
      </c>
      <c r="HCD64" s="44">
        <f t="shared" si="217"/>
        <v>0</v>
      </c>
      <c r="HCE64" s="44">
        <f t="shared" si="217"/>
        <v>0</v>
      </c>
      <c r="HCF64" s="44">
        <f t="shared" si="217"/>
        <v>0</v>
      </c>
      <c r="HCG64" s="44">
        <f t="shared" si="217"/>
        <v>0</v>
      </c>
      <c r="HCH64" s="44">
        <f t="shared" si="217"/>
        <v>0</v>
      </c>
      <c r="HCI64" s="44">
        <f t="shared" si="217"/>
        <v>0</v>
      </c>
      <c r="HCJ64" s="44">
        <f t="shared" si="217"/>
        <v>0</v>
      </c>
      <c r="HCK64" s="44">
        <f t="shared" si="217"/>
        <v>0</v>
      </c>
      <c r="HCL64" s="44">
        <f t="shared" si="217"/>
        <v>0</v>
      </c>
      <c r="HCM64" s="44">
        <f t="shared" si="217"/>
        <v>0</v>
      </c>
      <c r="HCN64" s="44">
        <f t="shared" si="217"/>
        <v>0</v>
      </c>
      <c r="HCO64" s="44">
        <f t="shared" si="217"/>
        <v>0</v>
      </c>
      <c r="HCP64" s="44">
        <f t="shared" si="217"/>
        <v>0</v>
      </c>
      <c r="HCQ64" s="44">
        <f t="shared" si="217"/>
        <v>0</v>
      </c>
      <c r="HCR64" s="44">
        <f t="shared" si="217"/>
        <v>0</v>
      </c>
      <c r="HCS64" s="44">
        <f t="shared" si="217"/>
        <v>0</v>
      </c>
      <c r="HCT64" s="44">
        <f t="shared" si="217"/>
        <v>0</v>
      </c>
      <c r="HCU64" s="44">
        <f t="shared" si="217"/>
        <v>0</v>
      </c>
      <c r="HCV64" s="44">
        <f t="shared" si="217"/>
        <v>0</v>
      </c>
      <c r="HCW64" s="44">
        <f t="shared" si="217"/>
        <v>0</v>
      </c>
      <c r="HCX64" s="44">
        <f t="shared" si="217"/>
        <v>0</v>
      </c>
      <c r="HCY64" s="44">
        <f t="shared" si="217"/>
        <v>0</v>
      </c>
      <c r="HCZ64" s="44">
        <f t="shared" si="217"/>
        <v>0</v>
      </c>
      <c r="HDA64" s="44">
        <f t="shared" si="217"/>
        <v>0</v>
      </c>
      <c r="HDB64" s="44">
        <f t="shared" si="217"/>
        <v>0</v>
      </c>
      <c r="HDC64" s="44">
        <f t="shared" si="217"/>
        <v>0</v>
      </c>
      <c r="HDD64" s="44">
        <f t="shared" si="217"/>
        <v>0</v>
      </c>
      <c r="HDE64" s="44">
        <f t="shared" si="217"/>
        <v>0</v>
      </c>
      <c r="HDF64" s="44">
        <f t="shared" si="217"/>
        <v>0</v>
      </c>
      <c r="HDG64" s="44">
        <f t="shared" si="217"/>
        <v>0</v>
      </c>
      <c r="HDH64" s="44">
        <f t="shared" si="217"/>
        <v>0</v>
      </c>
      <c r="HDI64" s="44">
        <f t="shared" si="217"/>
        <v>0</v>
      </c>
      <c r="HDJ64" s="44">
        <f t="shared" si="217"/>
        <v>0</v>
      </c>
      <c r="HDK64" s="44">
        <f t="shared" si="217"/>
        <v>0</v>
      </c>
      <c r="HDL64" s="44">
        <f t="shared" si="217"/>
        <v>0</v>
      </c>
      <c r="HDM64" s="44">
        <f t="shared" si="217"/>
        <v>0</v>
      </c>
      <c r="HDN64" s="44">
        <f t="shared" ref="HDN64:HFY64" si="218">SUM(HDN56:HDN57)</f>
        <v>0</v>
      </c>
      <c r="HDO64" s="44">
        <f t="shared" si="218"/>
        <v>0</v>
      </c>
      <c r="HDP64" s="44">
        <f t="shared" si="218"/>
        <v>0</v>
      </c>
      <c r="HDQ64" s="44">
        <f t="shared" si="218"/>
        <v>0</v>
      </c>
      <c r="HDR64" s="44">
        <f t="shared" si="218"/>
        <v>0</v>
      </c>
      <c r="HDS64" s="44">
        <f t="shared" si="218"/>
        <v>0</v>
      </c>
      <c r="HDT64" s="44">
        <f t="shared" si="218"/>
        <v>0</v>
      </c>
      <c r="HDU64" s="44">
        <f t="shared" si="218"/>
        <v>0</v>
      </c>
      <c r="HDV64" s="44">
        <f t="shared" si="218"/>
        <v>0</v>
      </c>
      <c r="HDW64" s="44">
        <f t="shared" si="218"/>
        <v>0</v>
      </c>
      <c r="HDX64" s="44">
        <f t="shared" si="218"/>
        <v>0</v>
      </c>
      <c r="HDY64" s="44">
        <f t="shared" si="218"/>
        <v>0</v>
      </c>
      <c r="HDZ64" s="44">
        <f t="shared" si="218"/>
        <v>0</v>
      </c>
      <c r="HEA64" s="44">
        <f t="shared" si="218"/>
        <v>0</v>
      </c>
      <c r="HEB64" s="44">
        <f t="shared" si="218"/>
        <v>0</v>
      </c>
      <c r="HEC64" s="44">
        <f t="shared" si="218"/>
        <v>0</v>
      </c>
      <c r="HED64" s="44">
        <f t="shared" si="218"/>
        <v>0</v>
      </c>
      <c r="HEE64" s="44">
        <f t="shared" si="218"/>
        <v>0</v>
      </c>
      <c r="HEF64" s="44">
        <f t="shared" si="218"/>
        <v>0</v>
      </c>
      <c r="HEG64" s="44">
        <f t="shared" si="218"/>
        <v>0</v>
      </c>
      <c r="HEH64" s="44">
        <f t="shared" si="218"/>
        <v>0</v>
      </c>
      <c r="HEI64" s="44">
        <f t="shared" si="218"/>
        <v>0</v>
      </c>
      <c r="HEJ64" s="44">
        <f t="shared" si="218"/>
        <v>0</v>
      </c>
      <c r="HEK64" s="44">
        <f t="shared" si="218"/>
        <v>0</v>
      </c>
      <c r="HEL64" s="44">
        <f t="shared" si="218"/>
        <v>0</v>
      </c>
      <c r="HEM64" s="44">
        <f t="shared" si="218"/>
        <v>0</v>
      </c>
      <c r="HEN64" s="44">
        <f t="shared" si="218"/>
        <v>0</v>
      </c>
      <c r="HEO64" s="44">
        <f t="shared" si="218"/>
        <v>0</v>
      </c>
      <c r="HEP64" s="44">
        <f t="shared" si="218"/>
        <v>0</v>
      </c>
      <c r="HEQ64" s="44">
        <f t="shared" si="218"/>
        <v>0</v>
      </c>
      <c r="HER64" s="44">
        <f t="shared" si="218"/>
        <v>0</v>
      </c>
      <c r="HES64" s="44">
        <f t="shared" si="218"/>
        <v>0</v>
      </c>
      <c r="HET64" s="44">
        <f t="shared" si="218"/>
        <v>0</v>
      </c>
      <c r="HEU64" s="44">
        <f t="shared" si="218"/>
        <v>0</v>
      </c>
      <c r="HEV64" s="44">
        <f t="shared" si="218"/>
        <v>0</v>
      </c>
      <c r="HEW64" s="44">
        <f t="shared" si="218"/>
        <v>0</v>
      </c>
      <c r="HEX64" s="44">
        <f t="shared" si="218"/>
        <v>0</v>
      </c>
      <c r="HEY64" s="44">
        <f t="shared" si="218"/>
        <v>0</v>
      </c>
      <c r="HEZ64" s="44">
        <f t="shared" si="218"/>
        <v>0</v>
      </c>
      <c r="HFA64" s="44">
        <f t="shared" si="218"/>
        <v>0</v>
      </c>
      <c r="HFB64" s="44">
        <f t="shared" si="218"/>
        <v>0</v>
      </c>
      <c r="HFC64" s="44">
        <f t="shared" si="218"/>
        <v>0</v>
      </c>
      <c r="HFD64" s="44">
        <f t="shared" si="218"/>
        <v>0</v>
      </c>
      <c r="HFE64" s="44">
        <f t="shared" si="218"/>
        <v>0</v>
      </c>
      <c r="HFF64" s="44">
        <f t="shared" si="218"/>
        <v>0</v>
      </c>
      <c r="HFG64" s="44">
        <f t="shared" si="218"/>
        <v>0</v>
      </c>
      <c r="HFH64" s="44">
        <f t="shared" si="218"/>
        <v>0</v>
      </c>
      <c r="HFI64" s="44">
        <f t="shared" si="218"/>
        <v>0</v>
      </c>
      <c r="HFJ64" s="44">
        <f t="shared" si="218"/>
        <v>0</v>
      </c>
      <c r="HFK64" s="44">
        <f t="shared" si="218"/>
        <v>0</v>
      </c>
      <c r="HFL64" s="44">
        <f t="shared" si="218"/>
        <v>0</v>
      </c>
      <c r="HFM64" s="44">
        <f t="shared" si="218"/>
        <v>0</v>
      </c>
      <c r="HFN64" s="44">
        <f t="shared" si="218"/>
        <v>0</v>
      </c>
      <c r="HFO64" s="44">
        <f t="shared" si="218"/>
        <v>0</v>
      </c>
      <c r="HFP64" s="44">
        <f t="shared" si="218"/>
        <v>0</v>
      </c>
      <c r="HFQ64" s="44">
        <f t="shared" si="218"/>
        <v>0</v>
      </c>
      <c r="HFR64" s="44">
        <f t="shared" si="218"/>
        <v>0</v>
      </c>
      <c r="HFS64" s="44">
        <f t="shared" si="218"/>
        <v>0</v>
      </c>
      <c r="HFT64" s="44">
        <f t="shared" si="218"/>
        <v>0</v>
      </c>
      <c r="HFU64" s="44">
        <f t="shared" si="218"/>
        <v>0</v>
      </c>
      <c r="HFV64" s="44">
        <f t="shared" si="218"/>
        <v>0</v>
      </c>
      <c r="HFW64" s="44">
        <f t="shared" si="218"/>
        <v>0</v>
      </c>
      <c r="HFX64" s="44">
        <f t="shared" si="218"/>
        <v>0</v>
      </c>
      <c r="HFY64" s="44">
        <f t="shared" si="218"/>
        <v>0</v>
      </c>
      <c r="HFZ64" s="44">
        <f t="shared" ref="HFZ64:HIK64" si="219">SUM(HFZ56:HFZ57)</f>
        <v>0</v>
      </c>
      <c r="HGA64" s="44">
        <f t="shared" si="219"/>
        <v>0</v>
      </c>
      <c r="HGB64" s="44">
        <f t="shared" si="219"/>
        <v>0</v>
      </c>
      <c r="HGC64" s="44">
        <f t="shared" si="219"/>
        <v>0</v>
      </c>
      <c r="HGD64" s="44">
        <f t="shared" si="219"/>
        <v>0</v>
      </c>
      <c r="HGE64" s="44">
        <f t="shared" si="219"/>
        <v>0</v>
      </c>
      <c r="HGF64" s="44">
        <f t="shared" si="219"/>
        <v>0</v>
      </c>
      <c r="HGG64" s="44">
        <f t="shared" si="219"/>
        <v>0</v>
      </c>
      <c r="HGH64" s="44">
        <f t="shared" si="219"/>
        <v>0</v>
      </c>
      <c r="HGI64" s="44">
        <f t="shared" si="219"/>
        <v>0</v>
      </c>
      <c r="HGJ64" s="44">
        <f t="shared" si="219"/>
        <v>0</v>
      </c>
      <c r="HGK64" s="44">
        <f t="shared" si="219"/>
        <v>0</v>
      </c>
      <c r="HGL64" s="44">
        <f t="shared" si="219"/>
        <v>0</v>
      </c>
      <c r="HGM64" s="44">
        <f t="shared" si="219"/>
        <v>0</v>
      </c>
      <c r="HGN64" s="44">
        <f t="shared" si="219"/>
        <v>0</v>
      </c>
      <c r="HGO64" s="44">
        <f t="shared" si="219"/>
        <v>0</v>
      </c>
      <c r="HGP64" s="44">
        <f t="shared" si="219"/>
        <v>0</v>
      </c>
      <c r="HGQ64" s="44">
        <f t="shared" si="219"/>
        <v>0</v>
      </c>
      <c r="HGR64" s="44">
        <f t="shared" si="219"/>
        <v>0</v>
      </c>
      <c r="HGS64" s="44">
        <f t="shared" si="219"/>
        <v>0</v>
      </c>
      <c r="HGT64" s="44">
        <f t="shared" si="219"/>
        <v>0</v>
      </c>
      <c r="HGU64" s="44">
        <f t="shared" si="219"/>
        <v>0</v>
      </c>
      <c r="HGV64" s="44">
        <f t="shared" si="219"/>
        <v>0</v>
      </c>
      <c r="HGW64" s="44">
        <f t="shared" si="219"/>
        <v>0</v>
      </c>
      <c r="HGX64" s="44">
        <f t="shared" si="219"/>
        <v>0</v>
      </c>
      <c r="HGY64" s="44">
        <f t="shared" si="219"/>
        <v>0</v>
      </c>
      <c r="HGZ64" s="44">
        <f t="shared" si="219"/>
        <v>0</v>
      </c>
      <c r="HHA64" s="44">
        <f t="shared" si="219"/>
        <v>0</v>
      </c>
      <c r="HHB64" s="44">
        <f t="shared" si="219"/>
        <v>0</v>
      </c>
      <c r="HHC64" s="44">
        <f t="shared" si="219"/>
        <v>0</v>
      </c>
      <c r="HHD64" s="44">
        <f t="shared" si="219"/>
        <v>0</v>
      </c>
      <c r="HHE64" s="44">
        <f t="shared" si="219"/>
        <v>0</v>
      </c>
      <c r="HHF64" s="44">
        <f t="shared" si="219"/>
        <v>0</v>
      </c>
      <c r="HHG64" s="44">
        <f t="shared" si="219"/>
        <v>0</v>
      </c>
      <c r="HHH64" s="44">
        <f t="shared" si="219"/>
        <v>0</v>
      </c>
      <c r="HHI64" s="44">
        <f t="shared" si="219"/>
        <v>0</v>
      </c>
      <c r="HHJ64" s="44">
        <f t="shared" si="219"/>
        <v>0</v>
      </c>
      <c r="HHK64" s="44">
        <f t="shared" si="219"/>
        <v>0</v>
      </c>
      <c r="HHL64" s="44">
        <f t="shared" si="219"/>
        <v>0</v>
      </c>
      <c r="HHM64" s="44">
        <f t="shared" si="219"/>
        <v>0</v>
      </c>
      <c r="HHN64" s="44">
        <f t="shared" si="219"/>
        <v>0</v>
      </c>
      <c r="HHO64" s="44">
        <f t="shared" si="219"/>
        <v>0</v>
      </c>
      <c r="HHP64" s="44">
        <f t="shared" si="219"/>
        <v>0</v>
      </c>
      <c r="HHQ64" s="44">
        <f t="shared" si="219"/>
        <v>0</v>
      </c>
      <c r="HHR64" s="44">
        <f t="shared" si="219"/>
        <v>0</v>
      </c>
      <c r="HHS64" s="44">
        <f t="shared" si="219"/>
        <v>0</v>
      </c>
      <c r="HHT64" s="44">
        <f t="shared" si="219"/>
        <v>0</v>
      </c>
      <c r="HHU64" s="44">
        <f t="shared" si="219"/>
        <v>0</v>
      </c>
      <c r="HHV64" s="44">
        <f t="shared" si="219"/>
        <v>0</v>
      </c>
      <c r="HHW64" s="44">
        <f t="shared" si="219"/>
        <v>0</v>
      </c>
      <c r="HHX64" s="44">
        <f t="shared" si="219"/>
        <v>0</v>
      </c>
      <c r="HHY64" s="44">
        <f t="shared" si="219"/>
        <v>0</v>
      </c>
      <c r="HHZ64" s="44">
        <f t="shared" si="219"/>
        <v>0</v>
      </c>
      <c r="HIA64" s="44">
        <f t="shared" si="219"/>
        <v>0</v>
      </c>
      <c r="HIB64" s="44">
        <f t="shared" si="219"/>
        <v>0</v>
      </c>
      <c r="HIC64" s="44">
        <f t="shared" si="219"/>
        <v>0</v>
      </c>
      <c r="HID64" s="44">
        <f t="shared" si="219"/>
        <v>0</v>
      </c>
      <c r="HIE64" s="44">
        <f t="shared" si="219"/>
        <v>0</v>
      </c>
      <c r="HIF64" s="44">
        <f t="shared" si="219"/>
        <v>0</v>
      </c>
      <c r="HIG64" s="44">
        <f t="shared" si="219"/>
        <v>0</v>
      </c>
      <c r="HIH64" s="44">
        <f t="shared" si="219"/>
        <v>0</v>
      </c>
      <c r="HII64" s="44">
        <f t="shared" si="219"/>
        <v>0</v>
      </c>
      <c r="HIJ64" s="44">
        <f t="shared" si="219"/>
        <v>0</v>
      </c>
      <c r="HIK64" s="44">
        <f t="shared" si="219"/>
        <v>0</v>
      </c>
      <c r="HIL64" s="44">
        <f t="shared" ref="HIL64:HKW64" si="220">SUM(HIL56:HIL57)</f>
        <v>0</v>
      </c>
      <c r="HIM64" s="44">
        <f t="shared" si="220"/>
        <v>0</v>
      </c>
      <c r="HIN64" s="44">
        <f t="shared" si="220"/>
        <v>0</v>
      </c>
      <c r="HIO64" s="44">
        <f t="shared" si="220"/>
        <v>0</v>
      </c>
      <c r="HIP64" s="44">
        <f t="shared" si="220"/>
        <v>0</v>
      </c>
      <c r="HIQ64" s="44">
        <f t="shared" si="220"/>
        <v>0</v>
      </c>
      <c r="HIR64" s="44">
        <f t="shared" si="220"/>
        <v>0</v>
      </c>
      <c r="HIS64" s="44">
        <f t="shared" si="220"/>
        <v>0</v>
      </c>
      <c r="HIT64" s="44">
        <f t="shared" si="220"/>
        <v>0</v>
      </c>
      <c r="HIU64" s="44">
        <f t="shared" si="220"/>
        <v>0</v>
      </c>
      <c r="HIV64" s="44">
        <f t="shared" si="220"/>
        <v>0</v>
      </c>
      <c r="HIW64" s="44">
        <f t="shared" si="220"/>
        <v>0</v>
      </c>
      <c r="HIX64" s="44">
        <f t="shared" si="220"/>
        <v>0</v>
      </c>
      <c r="HIY64" s="44">
        <f t="shared" si="220"/>
        <v>0</v>
      </c>
      <c r="HIZ64" s="44">
        <f t="shared" si="220"/>
        <v>0</v>
      </c>
      <c r="HJA64" s="44">
        <f t="shared" si="220"/>
        <v>0</v>
      </c>
      <c r="HJB64" s="44">
        <f t="shared" si="220"/>
        <v>0</v>
      </c>
      <c r="HJC64" s="44">
        <f t="shared" si="220"/>
        <v>0</v>
      </c>
      <c r="HJD64" s="44">
        <f t="shared" si="220"/>
        <v>0</v>
      </c>
      <c r="HJE64" s="44">
        <f t="shared" si="220"/>
        <v>0</v>
      </c>
      <c r="HJF64" s="44">
        <f t="shared" si="220"/>
        <v>0</v>
      </c>
      <c r="HJG64" s="44">
        <f t="shared" si="220"/>
        <v>0</v>
      </c>
      <c r="HJH64" s="44">
        <f t="shared" si="220"/>
        <v>0</v>
      </c>
      <c r="HJI64" s="44">
        <f t="shared" si="220"/>
        <v>0</v>
      </c>
      <c r="HJJ64" s="44">
        <f t="shared" si="220"/>
        <v>0</v>
      </c>
      <c r="HJK64" s="44">
        <f t="shared" si="220"/>
        <v>0</v>
      </c>
      <c r="HJL64" s="44">
        <f t="shared" si="220"/>
        <v>0</v>
      </c>
      <c r="HJM64" s="44">
        <f t="shared" si="220"/>
        <v>0</v>
      </c>
      <c r="HJN64" s="44">
        <f t="shared" si="220"/>
        <v>0</v>
      </c>
      <c r="HJO64" s="44">
        <f t="shared" si="220"/>
        <v>0</v>
      </c>
      <c r="HJP64" s="44">
        <f t="shared" si="220"/>
        <v>0</v>
      </c>
      <c r="HJQ64" s="44">
        <f t="shared" si="220"/>
        <v>0</v>
      </c>
      <c r="HJR64" s="44">
        <f t="shared" si="220"/>
        <v>0</v>
      </c>
      <c r="HJS64" s="44">
        <f t="shared" si="220"/>
        <v>0</v>
      </c>
      <c r="HJT64" s="44">
        <f t="shared" si="220"/>
        <v>0</v>
      </c>
      <c r="HJU64" s="44">
        <f t="shared" si="220"/>
        <v>0</v>
      </c>
      <c r="HJV64" s="44">
        <f t="shared" si="220"/>
        <v>0</v>
      </c>
      <c r="HJW64" s="44">
        <f t="shared" si="220"/>
        <v>0</v>
      </c>
      <c r="HJX64" s="44">
        <f t="shared" si="220"/>
        <v>0</v>
      </c>
      <c r="HJY64" s="44">
        <f t="shared" si="220"/>
        <v>0</v>
      </c>
      <c r="HJZ64" s="44">
        <f t="shared" si="220"/>
        <v>0</v>
      </c>
      <c r="HKA64" s="44">
        <f t="shared" si="220"/>
        <v>0</v>
      </c>
      <c r="HKB64" s="44">
        <f t="shared" si="220"/>
        <v>0</v>
      </c>
      <c r="HKC64" s="44">
        <f t="shared" si="220"/>
        <v>0</v>
      </c>
      <c r="HKD64" s="44">
        <f t="shared" si="220"/>
        <v>0</v>
      </c>
      <c r="HKE64" s="44">
        <f t="shared" si="220"/>
        <v>0</v>
      </c>
      <c r="HKF64" s="44">
        <f t="shared" si="220"/>
        <v>0</v>
      </c>
      <c r="HKG64" s="44">
        <f t="shared" si="220"/>
        <v>0</v>
      </c>
      <c r="HKH64" s="44">
        <f t="shared" si="220"/>
        <v>0</v>
      </c>
      <c r="HKI64" s="44">
        <f t="shared" si="220"/>
        <v>0</v>
      </c>
      <c r="HKJ64" s="44">
        <f t="shared" si="220"/>
        <v>0</v>
      </c>
      <c r="HKK64" s="44">
        <f t="shared" si="220"/>
        <v>0</v>
      </c>
      <c r="HKL64" s="44">
        <f t="shared" si="220"/>
        <v>0</v>
      </c>
      <c r="HKM64" s="44">
        <f t="shared" si="220"/>
        <v>0</v>
      </c>
      <c r="HKN64" s="44">
        <f t="shared" si="220"/>
        <v>0</v>
      </c>
      <c r="HKO64" s="44">
        <f t="shared" si="220"/>
        <v>0</v>
      </c>
      <c r="HKP64" s="44">
        <f t="shared" si="220"/>
        <v>0</v>
      </c>
      <c r="HKQ64" s="44">
        <f t="shared" si="220"/>
        <v>0</v>
      </c>
      <c r="HKR64" s="44">
        <f t="shared" si="220"/>
        <v>0</v>
      </c>
      <c r="HKS64" s="44">
        <f t="shared" si="220"/>
        <v>0</v>
      </c>
      <c r="HKT64" s="44">
        <f t="shared" si="220"/>
        <v>0</v>
      </c>
      <c r="HKU64" s="44">
        <f t="shared" si="220"/>
        <v>0</v>
      </c>
      <c r="HKV64" s="44">
        <f t="shared" si="220"/>
        <v>0</v>
      </c>
      <c r="HKW64" s="44">
        <f t="shared" si="220"/>
        <v>0</v>
      </c>
      <c r="HKX64" s="44">
        <f t="shared" ref="HKX64:HNI64" si="221">SUM(HKX56:HKX57)</f>
        <v>0</v>
      </c>
      <c r="HKY64" s="44">
        <f t="shared" si="221"/>
        <v>0</v>
      </c>
      <c r="HKZ64" s="44">
        <f t="shared" si="221"/>
        <v>0</v>
      </c>
      <c r="HLA64" s="44">
        <f t="shared" si="221"/>
        <v>0</v>
      </c>
      <c r="HLB64" s="44">
        <f t="shared" si="221"/>
        <v>0</v>
      </c>
      <c r="HLC64" s="44">
        <f t="shared" si="221"/>
        <v>0</v>
      </c>
      <c r="HLD64" s="44">
        <f t="shared" si="221"/>
        <v>0</v>
      </c>
      <c r="HLE64" s="44">
        <f t="shared" si="221"/>
        <v>0</v>
      </c>
      <c r="HLF64" s="44">
        <f t="shared" si="221"/>
        <v>0</v>
      </c>
      <c r="HLG64" s="44">
        <f t="shared" si="221"/>
        <v>0</v>
      </c>
      <c r="HLH64" s="44">
        <f t="shared" si="221"/>
        <v>0</v>
      </c>
      <c r="HLI64" s="44">
        <f t="shared" si="221"/>
        <v>0</v>
      </c>
      <c r="HLJ64" s="44">
        <f t="shared" si="221"/>
        <v>0</v>
      </c>
      <c r="HLK64" s="44">
        <f t="shared" si="221"/>
        <v>0</v>
      </c>
      <c r="HLL64" s="44">
        <f t="shared" si="221"/>
        <v>0</v>
      </c>
      <c r="HLM64" s="44">
        <f t="shared" si="221"/>
        <v>0</v>
      </c>
      <c r="HLN64" s="44">
        <f t="shared" si="221"/>
        <v>0</v>
      </c>
      <c r="HLO64" s="44">
        <f t="shared" si="221"/>
        <v>0</v>
      </c>
      <c r="HLP64" s="44">
        <f t="shared" si="221"/>
        <v>0</v>
      </c>
      <c r="HLQ64" s="44">
        <f t="shared" si="221"/>
        <v>0</v>
      </c>
      <c r="HLR64" s="44">
        <f t="shared" si="221"/>
        <v>0</v>
      </c>
      <c r="HLS64" s="44">
        <f t="shared" si="221"/>
        <v>0</v>
      </c>
      <c r="HLT64" s="44">
        <f t="shared" si="221"/>
        <v>0</v>
      </c>
      <c r="HLU64" s="44">
        <f t="shared" si="221"/>
        <v>0</v>
      </c>
      <c r="HLV64" s="44">
        <f t="shared" si="221"/>
        <v>0</v>
      </c>
      <c r="HLW64" s="44">
        <f t="shared" si="221"/>
        <v>0</v>
      </c>
      <c r="HLX64" s="44">
        <f t="shared" si="221"/>
        <v>0</v>
      </c>
      <c r="HLY64" s="44">
        <f t="shared" si="221"/>
        <v>0</v>
      </c>
      <c r="HLZ64" s="44">
        <f t="shared" si="221"/>
        <v>0</v>
      </c>
      <c r="HMA64" s="44">
        <f t="shared" si="221"/>
        <v>0</v>
      </c>
      <c r="HMB64" s="44">
        <f t="shared" si="221"/>
        <v>0</v>
      </c>
      <c r="HMC64" s="44">
        <f t="shared" si="221"/>
        <v>0</v>
      </c>
      <c r="HMD64" s="44">
        <f t="shared" si="221"/>
        <v>0</v>
      </c>
      <c r="HME64" s="44">
        <f t="shared" si="221"/>
        <v>0</v>
      </c>
      <c r="HMF64" s="44">
        <f t="shared" si="221"/>
        <v>0</v>
      </c>
      <c r="HMG64" s="44">
        <f t="shared" si="221"/>
        <v>0</v>
      </c>
      <c r="HMH64" s="44">
        <f t="shared" si="221"/>
        <v>0</v>
      </c>
      <c r="HMI64" s="44">
        <f t="shared" si="221"/>
        <v>0</v>
      </c>
      <c r="HMJ64" s="44">
        <f t="shared" si="221"/>
        <v>0</v>
      </c>
      <c r="HMK64" s="44">
        <f t="shared" si="221"/>
        <v>0</v>
      </c>
      <c r="HML64" s="44">
        <f t="shared" si="221"/>
        <v>0</v>
      </c>
      <c r="HMM64" s="44">
        <f t="shared" si="221"/>
        <v>0</v>
      </c>
      <c r="HMN64" s="44">
        <f t="shared" si="221"/>
        <v>0</v>
      </c>
      <c r="HMO64" s="44">
        <f t="shared" si="221"/>
        <v>0</v>
      </c>
      <c r="HMP64" s="44">
        <f t="shared" si="221"/>
        <v>0</v>
      </c>
      <c r="HMQ64" s="44">
        <f t="shared" si="221"/>
        <v>0</v>
      </c>
      <c r="HMR64" s="44">
        <f t="shared" si="221"/>
        <v>0</v>
      </c>
      <c r="HMS64" s="44">
        <f t="shared" si="221"/>
        <v>0</v>
      </c>
      <c r="HMT64" s="44">
        <f t="shared" si="221"/>
        <v>0</v>
      </c>
      <c r="HMU64" s="44">
        <f t="shared" si="221"/>
        <v>0</v>
      </c>
      <c r="HMV64" s="44">
        <f t="shared" si="221"/>
        <v>0</v>
      </c>
      <c r="HMW64" s="44">
        <f t="shared" si="221"/>
        <v>0</v>
      </c>
      <c r="HMX64" s="44">
        <f t="shared" si="221"/>
        <v>0</v>
      </c>
      <c r="HMY64" s="44">
        <f t="shared" si="221"/>
        <v>0</v>
      </c>
      <c r="HMZ64" s="44">
        <f t="shared" si="221"/>
        <v>0</v>
      </c>
      <c r="HNA64" s="44">
        <f t="shared" si="221"/>
        <v>0</v>
      </c>
      <c r="HNB64" s="44">
        <f t="shared" si="221"/>
        <v>0</v>
      </c>
      <c r="HNC64" s="44">
        <f t="shared" si="221"/>
        <v>0</v>
      </c>
      <c r="HND64" s="44">
        <f t="shared" si="221"/>
        <v>0</v>
      </c>
      <c r="HNE64" s="44">
        <f t="shared" si="221"/>
        <v>0</v>
      </c>
      <c r="HNF64" s="44">
        <f t="shared" si="221"/>
        <v>0</v>
      </c>
      <c r="HNG64" s="44">
        <f t="shared" si="221"/>
        <v>0</v>
      </c>
      <c r="HNH64" s="44">
        <f t="shared" si="221"/>
        <v>0</v>
      </c>
      <c r="HNI64" s="44">
        <f t="shared" si="221"/>
        <v>0</v>
      </c>
      <c r="HNJ64" s="44">
        <f t="shared" ref="HNJ64:HPU64" si="222">SUM(HNJ56:HNJ57)</f>
        <v>0</v>
      </c>
      <c r="HNK64" s="44">
        <f t="shared" si="222"/>
        <v>0</v>
      </c>
      <c r="HNL64" s="44">
        <f t="shared" si="222"/>
        <v>0</v>
      </c>
      <c r="HNM64" s="44">
        <f t="shared" si="222"/>
        <v>0</v>
      </c>
      <c r="HNN64" s="44">
        <f t="shared" si="222"/>
        <v>0</v>
      </c>
      <c r="HNO64" s="44">
        <f t="shared" si="222"/>
        <v>0</v>
      </c>
      <c r="HNP64" s="44">
        <f t="shared" si="222"/>
        <v>0</v>
      </c>
      <c r="HNQ64" s="44">
        <f t="shared" si="222"/>
        <v>0</v>
      </c>
      <c r="HNR64" s="44">
        <f t="shared" si="222"/>
        <v>0</v>
      </c>
      <c r="HNS64" s="44">
        <f t="shared" si="222"/>
        <v>0</v>
      </c>
      <c r="HNT64" s="44">
        <f t="shared" si="222"/>
        <v>0</v>
      </c>
      <c r="HNU64" s="44">
        <f t="shared" si="222"/>
        <v>0</v>
      </c>
      <c r="HNV64" s="44">
        <f t="shared" si="222"/>
        <v>0</v>
      </c>
      <c r="HNW64" s="44">
        <f t="shared" si="222"/>
        <v>0</v>
      </c>
      <c r="HNX64" s="44">
        <f t="shared" si="222"/>
        <v>0</v>
      </c>
      <c r="HNY64" s="44">
        <f t="shared" si="222"/>
        <v>0</v>
      </c>
      <c r="HNZ64" s="44">
        <f t="shared" si="222"/>
        <v>0</v>
      </c>
      <c r="HOA64" s="44">
        <f t="shared" si="222"/>
        <v>0</v>
      </c>
      <c r="HOB64" s="44">
        <f t="shared" si="222"/>
        <v>0</v>
      </c>
      <c r="HOC64" s="44">
        <f t="shared" si="222"/>
        <v>0</v>
      </c>
      <c r="HOD64" s="44">
        <f t="shared" si="222"/>
        <v>0</v>
      </c>
      <c r="HOE64" s="44">
        <f t="shared" si="222"/>
        <v>0</v>
      </c>
      <c r="HOF64" s="44">
        <f t="shared" si="222"/>
        <v>0</v>
      </c>
      <c r="HOG64" s="44">
        <f t="shared" si="222"/>
        <v>0</v>
      </c>
      <c r="HOH64" s="44">
        <f t="shared" si="222"/>
        <v>0</v>
      </c>
      <c r="HOI64" s="44">
        <f t="shared" si="222"/>
        <v>0</v>
      </c>
      <c r="HOJ64" s="44">
        <f t="shared" si="222"/>
        <v>0</v>
      </c>
      <c r="HOK64" s="44">
        <f t="shared" si="222"/>
        <v>0</v>
      </c>
      <c r="HOL64" s="44">
        <f t="shared" si="222"/>
        <v>0</v>
      </c>
      <c r="HOM64" s="44">
        <f t="shared" si="222"/>
        <v>0</v>
      </c>
      <c r="HON64" s="44">
        <f t="shared" si="222"/>
        <v>0</v>
      </c>
      <c r="HOO64" s="44">
        <f t="shared" si="222"/>
        <v>0</v>
      </c>
      <c r="HOP64" s="44">
        <f t="shared" si="222"/>
        <v>0</v>
      </c>
      <c r="HOQ64" s="44">
        <f t="shared" si="222"/>
        <v>0</v>
      </c>
      <c r="HOR64" s="44">
        <f t="shared" si="222"/>
        <v>0</v>
      </c>
      <c r="HOS64" s="44">
        <f t="shared" si="222"/>
        <v>0</v>
      </c>
      <c r="HOT64" s="44">
        <f t="shared" si="222"/>
        <v>0</v>
      </c>
      <c r="HOU64" s="44">
        <f t="shared" si="222"/>
        <v>0</v>
      </c>
      <c r="HOV64" s="44">
        <f t="shared" si="222"/>
        <v>0</v>
      </c>
      <c r="HOW64" s="44">
        <f t="shared" si="222"/>
        <v>0</v>
      </c>
      <c r="HOX64" s="44">
        <f t="shared" si="222"/>
        <v>0</v>
      </c>
      <c r="HOY64" s="44">
        <f t="shared" si="222"/>
        <v>0</v>
      </c>
      <c r="HOZ64" s="44">
        <f t="shared" si="222"/>
        <v>0</v>
      </c>
      <c r="HPA64" s="44">
        <f t="shared" si="222"/>
        <v>0</v>
      </c>
      <c r="HPB64" s="44">
        <f t="shared" si="222"/>
        <v>0</v>
      </c>
      <c r="HPC64" s="44">
        <f t="shared" si="222"/>
        <v>0</v>
      </c>
      <c r="HPD64" s="44">
        <f t="shared" si="222"/>
        <v>0</v>
      </c>
      <c r="HPE64" s="44">
        <f t="shared" si="222"/>
        <v>0</v>
      </c>
      <c r="HPF64" s="44">
        <f t="shared" si="222"/>
        <v>0</v>
      </c>
      <c r="HPG64" s="44">
        <f t="shared" si="222"/>
        <v>0</v>
      </c>
      <c r="HPH64" s="44">
        <f t="shared" si="222"/>
        <v>0</v>
      </c>
      <c r="HPI64" s="44">
        <f t="shared" si="222"/>
        <v>0</v>
      </c>
      <c r="HPJ64" s="44">
        <f t="shared" si="222"/>
        <v>0</v>
      </c>
      <c r="HPK64" s="44">
        <f t="shared" si="222"/>
        <v>0</v>
      </c>
      <c r="HPL64" s="44">
        <f t="shared" si="222"/>
        <v>0</v>
      </c>
      <c r="HPM64" s="44">
        <f t="shared" si="222"/>
        <v>0</v>
      </c>
      <c r="HPN64" s="44">
        <f t="shared" si="222"/>
        <v>0</v>
      </c>
      <c r="HPO64" s="44">
        <f t="shared" si="222"/>
        <v>0</v>
      </c>
      <c r="HPP64" s="44">
        <f t="shared" si="222"/>
        <v>0</v>
      </c>
      <c r="HPQ64" s="44">
        <f t="shared" si="222"/>
        <v>0</v>
      </c>
      <c r="HPR64" s="44">
        <f t="shared" si="222"/>
        <v>0</v>
      </c>
      <c r="HPS64" s="44">
        <f t="shared" si="222"/>
        <v>0</v>
      </c>
      <c r="HPT64" s="44">
        <f t="shared" si="222"/>
        <v>0</v>
      </c>
      <c r="HPU64" s="44">
        <f t="shared" si="222"/>
        <v>0</v>
      </c>
      <c r="HPV64" s="44">
        <f t="shared" ref="HPV64:HSG64" si="223">SUM(HPV56:HPV57)</f>
        <v>0</v>
      </c>
      <c r="HPW64" s="44">
        <f t="shared" si="223"/>
        <v>0</v>
      </c>
      <c r="HPX64" s="44">
        <f t="shared" si="223"/>
        <v>0</v>
      </c>
      <c r="HPY64" s="44">
        <f t="shared" si="223"/>
        <v>0</v>
      </c>
      <c r="HPZ64" s="44">
        <f t="shared" si="223"/>
        <v>0</v>
      </c>
      <c r="HQA64" s="44">
        <f t="shared" si="223"/>
        <v>0</v>
      </c>
      <c r="HQB64" s="44">
        <f t="shared" si="223"/>
        <v>0</v>
      </c>
      <c r="HQC64" s="44">
        <f t="shared" si="223"/>
        <v>0</v>
      </c>
      <c r="HQD64" s="44">
        <f t="shared" si="223"/>
        <v>0</v>
      </c>
      <c r="HQE64" s="44">
        <f t="shared" si="223"/>
        <v>0</v>
      </c>
      <c r="HQF64" s="44">
        <f t="shared" si="223"/>
        <v>0</v>
      </c>
      <c r="HQG64" s="44">
        <f t="shared" si="223"/>
        <v>0</v>
      </c>
      <c r="HQH64" s="44">
        <f t="shared" si="223"/>
        <v>0</v>
      </c>
      <c r="HQI64" s="44">
        <f t="shared" si="223"/>
        <v>0</v>
      </c>
      <c r="HQJ64" s="44">
        <f t="shared" si="223"/>
        <v>0</v>
      </c>
      <c r="HQK64" s="44">
        <f t="shared" si="223"/>
        <v>0</v>
      </c>
      <c r="HQL64" s="44">
        <f t="shared" si="223"/>
        <v>0</v>
      </c>
      <c r="HQM64" s="44">
        <f t="shared" si="223"/>
        <v>0</v>
      </c>
      <c r="HQN64" s="44">
        <f t="shared" si="223"/>
        <v>0</v>
      </c>
      <c r="HQO64" s="44">
        <f t="shared" si="223"/>
        <v>0</v>
      </c>
      <c r="HQP64" s="44">
        <f t="shared" si="223"/>
        <v>0</v>
      </c>
      <c r="HQQ64" s="44">
        <f t="shared" si="223"/>
        <v>0</v>
      </c>
      <c r="HQR64" s="44">
        <f t="shared" si="223"/>
        <v>0</v>
      </c>
      <c r="HQS64" s="44">
        <f t="shared" si="223"/>
        <v>0</v>
      </c>
      <c r="HQT64" s="44">
        <f t="shared" si="223"/>
        <v>0</v>
      </c>
      <c r="HQU64" s="44">
        <f t="shared" si="223"/>
        <v>0</v>
      </c>
      <c r="HQV64" s="44">
        <f t="shared" si="223"/>
        <v>0</v>
      </c>
      <c r="HQW64" s="44">
        <f t="shared" si="223"/>
        <v>0</v>
      </c>
      <c r="HQX64" s="44">
        <f t="shared" si="223"/>
        <v>0</v>
      </c>
      <c r="HQY64" s="44">
        <f t="shared" si="223"/>
        <v>0</v>
      </c>
      <c r="HQZ64" s="44">
        <f t="shared" si="223"/>
        <v>0</v>
      </c>
      <c r="HRA64" s="44">
        <f t="shared" si="223"/>
        <v>0</v>
      </c>
      <c r="HRB64" s="44">
        <f t="shared" si="223"/>
        <v>0</v>
      </c>
      <c r="HRC64" s="44">
        <f t="shared" si="223"/>
        <v>0</v>
      </c>
      <c r="HRD64" s="44">
        <f t="shared" si="223"/>
        <v>0</v>
      </c>
      <c r="HRE64" s="44">
        <f t="shared" si="223"/>
        <v>0</v>
      </c>
      <c r="HRF64" s="44">
        <f t="shared" si="223"/>
        <v>0</v>
      </c>
      <c r="HRG64" s="44">
        <f t="shared" si="223"/>
        <v>0</v>
      </c>
      <c r="HRH64" s="44">
        <f t="shared" si="223"/>
        <v>0</v>
      </c>
      <c r="HRI64" s="44">
        <f t="shared" si="223"/>
        <v>0</v>
      </c>
      <c r="HRJ64" s="44">
        <f t="shared" si="223"/>
        <v>0</v>
      </c>
      <c r="HRK64" s="44">
        <f t="shared" si="223"/>
        <v>0</v>
      </c>
      <c r="HRL64" s="44">
        <f t="shared" si="223"/>
        <v>0</v>
      </c>
      <c r="HRM64" s="44">
        <f t="shared" si="223"/>
        <v>0</v>
      </c>
      <c r="HRN64" s="44">
        <f t="shared" si="223"/>
        <v>0</v>
      </c>
      <c r="HRO64" s="44">
        <f t="shared" si="223"/>
        <v>0</v>
      </c>
      <c r="HRP64" s="44">
        <f t="shared" si="223"/>
        <v>0</v>
      </c>
      <c r="HRQ64" s="44">
        <f t="shared" si="223"/>
        <v>0</v>
      </c>
      <c r="HRR64" s="44">
        <f t="shared" si="223"/>
        <v>0</v>
      </c>
      <c r="HRS64" s="44">
        <f t="shared" si="223"/>
        <v>0</v>
      </c>
      <c r="HRT64" s="44">
        <f t="shared" si="223"/>
        <v>0</v>
      </c>
      <c r="HRU64" s="44">
        <f t="shared" si="223"/>
        <v>0</v>
      </c>
      <c r="HRV64" s="44">
        <f t="shared" si="223"/>
        <v>0</v>
      </c>
      <c r="HRW64" s="44">
        <f t="shared" si="223"/>
        <v>0</v>
      </c>
      <c r="HRX64" s="44">
        <f t="shared" si="223"/>
        <v>0</v>
      </c>
      <c r="HRY64" s="44">
        <f t="shared" si="223"/>
        <v>0</v>
      </c>
      <c r="HRZ64" s="44">
        <f t="shared" si="223"/>
        <v>0</v>
      </c>
      <c r="HSA64" s="44">
        <f t="shared" si="223"/>
        <v>0</v>
      </c>
      <c r="HSB64" s="44">
        <f t="shared" si="223"/>
        <v>0</v>
      </c>
      <c r="HSC64" s="44">
        <f t="shared" si="223"/>
        <v>0</v>
      </c>
      <c r="HSD64" s="44">
        <f t="shared" si="223"/>
        <v>0</v>
      </c>
      <c r="HSE64" s="44">
        <f t="shared" si="223"/>
        <v>0</v>
      </c>
      <c r="HSF64" s="44">
        <f t="shared" si="223"/>
        <v>0</v>
      </c>
      <c r="HSG64" s="44">
        <f t="shared" si="223"/>
        <v>0</v>
      </c>
      <c r="HSH64" s="44">
        <f t="shared" ref="HSH64:HUS64" si="224">SUM(HSH56:HSH57)</f>
        <v>0</v>
      </c>
      <c r="HSI64" s="44">
        <f t="shared" si="224"/>
        <v>0</v>
      </c>
      <c r="HSJ64" s="44">
        <f t="shared" si="224"/>
        <v>0</v>
      </c>
      <c r="HSK64" s="44">
        <f t="shared" si="224"/>
        <v>0</v>
      </c>
      <c r="HSL64" s="44">
        <f t="shared" si="224"/>
        <v>0</v>
      </c>
      <c r="HSM64" s="44">
        <f t="shared" si="224"/>
        <v>0</v>
      </c>
      <c r="HSN64" s="44">
        <f t="shared" si="224"/>
        <v>0</v>
      </c>
      <c r="HSO64" s="44">
        <f t="shared" si="224"/>
        <v>0</v>
      </c>
      <c r="HSP64" s="44">
        <f t="shared" si="224"/>
        <v>0</v>
      </c>
      <c r="HSQ64" s="44">
        <f t="shared" si="224"/>
        <v>0</v>
      </c>
      <c r="HSR64" s="44">
        <f t="shared" si="224"/>
        <v>0</v>
      </c>
      <c r="HSS64" s="44">
        <f t="shared" si="224"/>
        <v>0</v>
      </c>
      <c r="HST64" s="44">
        <f t="shared" si="224"/>
        <v>0</v>
      </c>
      <c r="HSU64" s="44">
        <f t="shared" si="224"/>
        <v>0</v>
      </c>
      <c r="HSV64" s="44">
        <f t="shared" si="224"/>
        <v>0</v>
      </c>
      <c r="HSW64" s="44">
        <f t="shared" si="224"/>
        <v>0</v>
      </c>
      <c r="HSX64" s="44">
        <f t="shared" si="224"/>
        <v>0</v>
      </c>
      <c r="HSY64" s="44">
        <f t="shared" si="224"/>
        <v>0</v>
      </c>
      <c r="HSZ64" s="44">
        <f t="shared" si="224"/>
        <v>0</v>
      </c>
      <c r="HTA64" s="44">
        <f t="shared" si="224"/>
        <v>0</v>
      </c>
      <c r="HTB64" s="44">
        <f t="shared" si="224"/>
        <v>0</v>
      </c>
      <c r="HTC64" s="44">
        <f t="shared" si="224"/>
        <v>0</v>
      </c>
      <c r="HTD64" s="44">
        <f t="shared" si="224"/>
        <v>0</v>
      </c>
      <c r="HTE64" s="44">
        <f t="shared" si="224"/>
        <v>0</v>
      </c>
      <c r="HTF64" s="44">
        <f t="shared" si="224"/>
        <v>0</v>
      </c>
      <c r="HTG64" s="44">
        <f t="shared" si="224"/>
        <v>0</v>
      </c>
      <c r="HTH64" s="44">
        <f t="shared" si="224"/>
        <v>0</v>
      </c>
      <c r="HTI64" s="44">
        <f t="shared" si="224"/>
        <v>0</v>
      </c>
      <c r="HTJ64" s="44">
        <f t="shared" si="224"/>
        <v>0</v>
      </c>
      <c r="HTK64" s="44">
        <f t="shared" si="224"/>
        <v>0</v>
      </c>
      <c r="HTL64" s="44">
        <f t="shared" si="224"/>
        <v>0</v>
      </c>
      <c r="HTM64" s="44">
        <f t="shared" si="224"/>
        <v>0</v>
      </c>
      <c r="HTN64" s="44">
        <f t="shared" si="224"/>
        <v>0</v>
      </c>
      <c r="HTO64" s="44">
        <f t="shared" si="224"/>
        <v>0</v>
      </c>
      <c r="HTP64" s="44">
        <f t="shared" si="224"/>
        <v>0</v>
      </c>
      <c r="HTQ64" s="44">
        <f t="shared" si="224"/>
        <v>0</v>
      </c>
      <c r="HTR64" s="44">
        <f t="shared" si="224"/>
        <v>0</v>
      </c>
      <c r="HTS64" s="44">
        <f t="shared" si="224"/>
        <v>0</v>
      </c>
      <c r="HTT64" s="44">
        <f t="shared" si="224"/>
        <v>0</v>
      </c>
      <c r="HTU64" s="44">
        <f t="shared" si="224"/>
        <v>0</v>
      </c>
      <c r="HTV64" s="44">
        <f t="shared" si="224"/>
        <v>0</v>
      </c>
      <c r="HTW64" s="44">
        <f t="shared" si="224"/>
        <v>0</v>
      </c>
      <c r="HTX64" s="44">
        <f t="shared" si="224"/>
        <v>0</v>
      </c>
      <c r="HTY64" s="44">
        <f t="shared" si="224"/>
        <v>0</v>
      </c>
      <c r="HTZ64" s="44">
        <f t="shared" si="224"/>
        <v>0</v>
      </c>
      <c r="HUA64" s="44">
        <f t="shared" si="224"/>
        <v>0</v>
      </c>
      <c r="HUB64" s="44">
        <f t="shared" si="224"/>
        <v>0</v>
      </c>
      <c r="HUC64" s="44">
        <f t="shared" si="224"/>
        <v>0</v>
      </c>
      <c r="HUD64" s="44">
        <f t="shared" si="224"/>
        <v>0</v>
      </c>
      <c r="HUE64" s="44">
        <f t="shared" si="224"/>
        <v>0</v>
      </c>
      <c r="HUF64" s="44">
        <f t="shared" si="224"/>
        <v>0</v>
      </c>
      <c r="HUG64" s="44">
        <f t="shared" si="224"/>
        <v>0</v>
      </c>
      <c r="HUH64" s="44">
        <f t="shared" si="224"/>
        <v>0</v>
      </c>
      <c r="HUI64" s="44">
        <f t="shared" si="224"/>
        <v>0</v>
      </c>
      <c r="HUJ64" s="44">
        <f t="shared" si="224"/>
        <v>0</v>
      </c>
      <c r="HUK64" s="44">
        <f t="shared" si="224"/>
        <v>0</v>
      </c>
      <c r="HUL64" s="44">
        <f t="shared" si="224"/>
        <v>0</v>
      </c>
      <c r="HUM64" s="44">
        <f t="shared" si="224"/>
        <v>0</v>
      </c>
      <c r="HUN64" s="44">
        <f t="shared" si="224"/>
        <v>0</v>
      </c>
      <c r="HUO64" s="44">
        <f t="shared" si="224"/>
        <v>0</v>
      </c>
      <c r="HUP64" s="44">
        <f t="shared" si="224"/>
        <v>0</v>
      </c>
      <c r="HUQ64" s="44">
        <f t="shared" si="224"/>
        <v>0</v>
      </c>
      <c r="HUR64" s="44">
        <f t="shared" si="224"/>
        <v>0</v>
      </c>
      <c r="HUS64" s="44">
        <f t="shared" si="224"/>
        <v>0</v>
      </c>
      <c r="HUT64" s="44">
        <f t="shared" ref="HUT64:HXE64" si="225">SUM(HUT56:HUT57)</f>
        <v>0</v>
      </c>
      <c r="HUU64" s="44">
        <f t="shared" si="225"/>
        <v>0</v>
      </c>
      <c r="HUV64" s="44">
        <f t="shared" si="225"/>
        <v>0</v>
      </c>
      <c r="HUW64" s="44">
        <f t="shared" si="225"/>
        <v>0</v>
      </c>
      <c r="HUX64" s="44">
        <f t="shared" si="225"/>
        <v>0</v>
      </c>
      <c r="HUY64" s="44">
        <f t="shared" si="225"/>
        <v>0</v>
      </c>
      <c r="HUZ64" s="44">
        <f t="shared" si="225"/>
        <v>0</v>
      </c>
      <c r="HVA64" s="44">
        <f t="shared" si="225"/>
        <v>0</v>
      </c>
      <c r="HVB64" s="44">
        <f t="shared" si="225"/>
        <v>0</v>
      </c>
      <c r="HVC64" s="44">
        <f t="shared" si="225"/>
        <v>0</v>
      </c>
      <c r="HVD64" s="44">
        <f t="shared" si="225"/>
        <v>0</v>
      </c>
      <c r="HVE64" s="44">
        <f t="shared" si="225"/>
        <v>0</v>
      </c>
      <c r="HVF64" s="44">
        <f t="shared" si="225"/>
        <v>0</v>
      </c>
      <c r="HVG64" s="44">
        <f t="shared" si="225"/>
        <v>0</v>
      </c>
      <c r="HVH64" s="44">
        <f t="shared" si="225"/>
        <v>0</v>
      </c>
      <c r="HVI64" s="44">
        <f t="shared" si="225"/>
        <v>0</v>
      </c>
      <c r="HVJ64" s="44">
        <f t="shared" si="225"/>
        <v>0</v>
      </c>
      <c r="HVK64" s="44">
        <f t="shared" si="225"/>
        <v>0</v>
      </c>
      <c r="HVL64" s="44">
        <f t="shared" si="225"/>
        <v>0</v>
      </c>
      <c r="HVM64" s="44">
        <f t="shared" si="225"/>
        <v>0</v>
      </c>
      <c r="HVN64" s="44">
        <f t="shared" si="225"/>
        <v>0</v>
      </c>
      <c r="HVO64" s="44">
        <f t="shared" si="225"/>
        <v>0</v>
      </c>
      <c r="HVP64" s="44">
        <f t="shared" si="225"/>
        <v>0</v>
      </c>
      <c r="HVQ64" s="44">
        <f t="shared" si="225"/>
        <v>0</v>
      </c>
      <c r="HVR64" s="44">
        <f t="shared" si="225"/>
        <v>0</v>
      </c>
      <c r="HVS64" s="44">
        <f t="shared" si="225"/>
        <v>0</v>
      </c>
      <c r="HVT64" s="44">
        <f t="shared" si="225"/>
        <v>0</v>
      </c>
      <c r="HVU64" s="44">
        <f t="shared" si="225"/>
        <v>0</v>
      </c>
      <c r="HVV64" s="44">
        <f t="shared" si="225"/>
        <v>0</v>
      </c>
      <c r="HVW64" s="44">
        <f t="shared" si="225"/>
        <v>0</v>
      </c>
      <c r="HVX64" s="44">
        <f t="shared" si="225"/>
        <v>0</v>
      </c>
      <c r="HVY64" s="44">
        <f t="shared" si="225"/>
        <v>0</v>
      </c>
      <c r="HVZ64" s="44">
        <f t="shared" si="225"/>
        <v>0</v>
      </c>
      <c r="HWA64" s="44">
        <f t="shared" si="225"/>
        <v>0</v>
      </c>
      <c r="HWB64" s="44">
        <f t="shared" si="225"/>
        <v>0</v>
      </c>
      <c r="HWC64" s="44">
        <f t="shared" si="225"/>
        <v>0</v>
      </c>
      <c r="HWD64" s="44">
        <f t="shared" si="225"/>
        <v>0</v>
      </c>
      <c r="HWE64" s="44">
        <f t="shared" si="225"/>
        <v>0</v>
      </c>
      <c r="HWF64" s="44">
        <f t="shared" si="225"/>
        <v>0</v>
      </c>
      <c r="HWG64" s="44">
        <f t="shared" si="225"/>
        <v>0</v>
      </c>
      <c r="HWH64" s="44">
        <f t="shared" si="225"/>
        <v>0</v>
      </c>
      <c r="HWI64" s="44">
        <f t="shared" si="225"/>
        <v>0</v>
      </c>
      <c r="HWJ64" s="44">
        <f t="shared" si="225"/>
        <v>0</v>
      </c>
      <c r="HWK64" s="44">
        <f t="shared" si="225"/>
        <v>0</v>
      </c>
      <c r="HWL64" s="44">
        <f t="shared" si="225"/>
        <v>0</v>
      </c>
      <c r="HWM64" s="44">
        <f t="shared" si="225"/>
        <v>0</v>
      </c>
      <c r="HWN64" s="44">
        <f t="shared" si="225"/>
        <v>0</v>
      </c>
      <c r="HWO64" s="44">
        <f t="shared" si="225"/>
        <v>0</v>
      </c>
      <c r="HWP64" s="44">
        <f t="shared" si="225"/>
        <v>0</v>
      </c>
      <c r="HWQ64" s="44">
        <f t="shared" si="225"/>
        <v>0</v>
      </c>
      <c r="HWR64" s="44">
        <f t="shared" si="225"/>
        <v>0</v>
      </c>
      <c r="HWS64" s="44">
        <f t="shared" si="225"/>
        <v>0</v>
      </c>
      <c r="HWT64" s="44">
        <f t="shared" si="225"/>
        <v>0</v>
      </c>
      <c r="HWU64" s="44">
        <f t="shared" si="225"/>
        <v>0</v>
      </c>
      <c r="HWV64" s="44">
        <f t="shared" si="225"/>
        <v>0</v>
      </c>
      <c r="HWW64" s="44">
        <f t="shared" si="225"/>
        <v>0</v>
      </c>
      <c r="HWX64" s="44">
        <f t="shared" si="225"/>
        <v>0</v>
      </c>
      <c r="HWY64" s="44">
        <f t="shared" si="225"/>
        <v>0</v>
      </c>
      <c r="HWZ64" s="44">
        <f t="shared" si="225"/>
        <v>0</v>
      </c>
      <c r="HXA64" s="44">
        <f t="shared" si="225"/>
        <v>0</v>
      </c>
      <c r="HXB64" s="44">
        <f t="shared" si="225"/>
        <v>0</v>
      </c>
      <c r="HXC64" s="44">
        <f t="shared" si="225"/>
        <v>0</v>
      </c>
      <c r="HXD64" s="44">
        <f t="shared" si="225"/>
        <v>0</v>
      </c>
      <c r="HXE64" s="44">
        <f t="shared" si="225"/>
        <v>0</v>
      </c>
      <c r="HXF64" s="44">
        <f t="shared" ref="HXF64:HZQ64" si="226">SUM(HXF56:HXF57)</f>
        <v>0</v>
      </c>
      <c r="HXG64" s="44">
        <f t="shared" si="226"/>
        <v>0</v>
      </c>
      <c r="HXH64" s="44">
        <f t="shared" si="226"/>
        <v>0</v>
      </c>
      <c r="HXI64" s="44">
        <f t="shared" si="226"/>
        <v>0</v>
      </c>
      <c r="HXJ64" s="44">
        <f t="shared" si="226"/>
        <v>0</v>
      </c>
      <c r="HXK64" s="44">
        <f t="shared" si="226"/>
        <v>0</v>
      </c>
      <c r="HXL64" s="44">
        <f t="shared" si="226"/>
        <v>0</v>
      </c>
      <c r="HXM64" s="44">
        <f t="shared" si="226"/>
        <v>0</v>
      </c>
      <c r="HXN64" s="44">
        <f t="shared" si="226"/>
        <v>0</v>
      </c>
      <c r="HXO64" s="44">
        <f t="shared" si="226"/>
        <v>0</v>
      </c>
      <c r="HXP64" s="44">
        <f t="shared" si="226"/>
        <v>0</v>
      </c>
      <c r="HXQ64" s="44">
        <f t="shared" si="226"/>
        <v>0</v>
      </c>
      <c r="HXR64" s="44">
        <f t="shared" si="226"/>
        <v>0</v>
      </c>
      <c r="HXS64" s="44">
        <f t="shared" si="226"/>
        <v>0</v>
      </c>
      <c r="HXT64" s="44">
        <f t="shared" si="226"/>
        <v>0</v>
      </c>
      <c r="HXU64" s="44">
        <f t="shared" si="226"/>
        <v>0</v>
      </c>
      <c r="HXV64" s="44">
        <f t="shared" si="226"/>
        <v>0</v>
      </c>
      <c r="HXW64" s="44">
        <f t="shared" si="226"/>
        <v>0</v>
      </c>
      <c r="HXX64" s="44">
        <f t="shared" si="226"/>
        <v>0</v>
      </c>
      <c r="HXY64" s="44">
        <f t="shared" si="226"/>
        <v>0</v>
      </c>
      <c r="HXZ64" s="44">
        <f t="shared" si="226"/>
        <v>0</v>
      </c>
      <c r="HYA64" s="44">
        <f t="shared" si="226"/>
        <v>0</v>
      </c>
      <c r="HYB64" s="44">
        <f t="shared" si="226"/>
        <v>0</v>
      </c>
      <c r="HYC64" s="44">
        <f t="shared" si="226"/>
        <v>0</v>
      </c>
      <c r="HYD64" s="44">
        <f t="shared" si="226"/>
        <v>0</v>
      </c>
      <c r="HYE64" s="44">
        <f t="shared" si="226"/>
        <v>0</v>
      </c>
      <c r="HYF64" s="44">
        <f t="shared" si="226"/>
        <v>0</v>
      </c>
      <c r="HYG64" s="44">
        <f t="shared" si="226"/>
        <v>0</v>
      </c>
      <c r="HYH64" s="44">
        <f t="shared" si="226"/>
        <v>0</v>
      </c>
      <c r="HYI64" s="44">
        <f t="shared" si="226"/>
        <v>0</v>
      </c>
      <c r="HYJ64" s="44">
        <f t="shared" si="226"/>
        <v>0</v>
      </c>
      <c r="HYK64" s="44">
        <f t="shared" si="226"/>
        <v>0</v>
      </c>
      <c r="HYL64" s="44">
        <f t="shared" si="226"/>
        <v>0</v>
      </c>
      <c r="HYM64" s="44">
        <f t="shared" si="226"/>
        <v>0</v>
      </c>
      <c r="HYN64" s="44">
        <f t="shared" si="226"/>
        <v>0</v>
      </c>
      <c r="HYO64" s="44">
        <f t="shared" si="226"/>
        <v>0</v>
      </c>
      <c r="HYP64" s="44">
        <f t="shared" si="226"/>
        <v>0</v>
      </c>
      <c r="HYQ64" s="44">
        <f t="shared" si="226"/>
        <v>0</v>
      </c>
      <c r="HYR64" s="44">
        <f t="shared" si="226"/>
        <v>0</v>
      </c>
      <c r="HYS64" s="44">
        <f t="shared" si="226"/>
        <v>0</v>
      </c>
      <c r="HYT64" s="44">
        <f t="shared" si="226"/>
        <v>0</v>
      </c>
      <c r="HYU64" s="44">
        <f t="shared" si="226"/>
        <v>0</v>
      </c>
      <c r="HYV64" s="44">
        <f t="shared" si="226"/>
        <v>0</v>
      </c>
      <c r="HYW64" s="44">
        <f t="shared" si="226"/>
        <v>0</v>
      </c>
      <c r="HYX64" s="44">
        <f t="shared" si="226"/>
        <v>0</v>
      </c>
      <c r="HYY64" s="44">
        <f t="shared" si="226"/>
        <v>0</v>
      </c>
      <c r="HYZ64" s="44">
        <f t="shared" si="226"/>
        <v>0</v>
      </c>
      <c r="HZA64" s="44">
        <f t="shared" si="226"/>
        <v>0</v>
      </c>
      <c r="HZB64" s="44">
        <f t="shared" si="226"/>
        <v>0</v>
      </c>
      <c r="HZC64" s="44">
        <f t="shared" si="226"/>
        <v>0</v>
      </c>
      <c r="HZD64" s="44">
        <f t="shared" si="226"/>
        <v>0</v>
      </c>
      <c r="HZE64" s="44">
        <f t="shared" si="226"/>
        <v>0</v>
      </c>
      <c r="HZF64" s="44">
        <f t="shared" si="226"/>
        <v>0</v>
      </c>
      <c r="HZG64" s="44">
        <f t="shared" si="226"/>
        <v>0</v>
      </c>
      <c r="HZH64" s="44">
        <f t="shared" si="226"/>
        <v>0</v>
      </c>
      <c r="HZI64" s="44">
        <f t="shared" si="226"/>
        <v>0</v>
      </c>
      <c r="HZJ64" s="44">
        <f t="shared" si="226"/>
        <v>0</v>
      </c>
      <c r="HZK64" s="44">
        <f t="shared" si="226"/>
        <v>0</v>
      </c>
      <c r="HZL64" s="44">
        <f t="shared" si="226"/>
        <v>0</v>
      </c>
      <c r="HZM64" s="44">
        <f t="shared" si="226"/>
        <v>0</v>
      </c>
      <c r="HZN64" s="44">
        <f t="shared" si="226"/>
        <v>0</v>
      </c>
      <c r="HZO64" s="44">
        <f t="shared" si="226"/>
        <v>0</v>
      </c>
      <c r="HZP64" s="44">
        <f t="shared" si="226"/>
        <v>0</v>
      </c>
      <c r="HZQ64" s="44">
        <f t="shared" si="226"/>
        <v>0</v>
      </c>
      <c r="HZR64" s="44">
        <f t="shared" ref="HZR64:ICC64" si="227">SUM(HZR56:HZR57)</f>
        <v>0</v>
      </c>
      <c r="HZS64" s="44">
        <f t="shared" si="227"/>
        <v>0</v>
      </c>
      <c r="HZT64" s="44">
        <f t="shared" si="227"/>
        <v>0</v>
      </c>
      <c r="HZU64" s="44">
        <f t="shared" si="227"/>
        <v>0</v>
      </c>
      <c r="HZV64" s="44">
        <f t="shared" si="227"/>
        <v>0</v>
      </c>
      <c r="HZW64" s="44">
        <f t="shared" si="227"/>
        <v>0</v>
      </c>
      <c r="HZX64" s="44">
        <f t="shared" si="227"/>
        <v>0</v>
      </c>
      <c r="HZY64" s="44">
        <f t="shared" si="227"/>
        <v>0</v>
      </c>
      <c r="HZZ64" s="44">
        <f t="shared" si="227"/>
        <v>0</v>
      </c>
      <c r="IAA64" s="44">
        <f t="shared" si="227"/>
        <v>0</v>
      </c>
      <c r="IAB64" s="44">
        <f t="shared" si="227"/>
        <v>0</v>
      </c>
      <c r="IAC64" s="44">
        <f t="shared" si="227"/>
        <v>0</v>
      </c>
      <c r="IAD64" s="44">
        <f t="shared" si="227"/>
        <v>0</v>
      </c>
      <c r="IAE64" s="44">
        <f t="shared" si="227"/>
        <v>0</v>
      </c>
      <c r="IAF64" s="44">
        <f t="shared" si="227"/>
        <v>0</v>
      </c>
      <c r="IAG64" s="44">
        <f t="shared" si="227"/>
        <v>0</v>
      </c>
      <c r="IAH64" s="44">
        <f t="shared" si="227"/>
        <v>0</v>
      </c>
      <c r="IAI64" s="44">
        <f t="shared" si="227"/>
        <v>0</v>
      </c>
      <c r="IAJ64" s="44">
        <f t="shared" si="227"/>
        <v>0</v>
      </c>
      <c r="IAK64" s="44">
        <f t="shared" si="227"/>
        <v>0</v>
      </c>
      <c r="IAL64" s="44">
        <f t="shared" si="227"/>
        <v>0</v>
      </c>
      <c r="IAM64" s="44">
        <f t="shared" si="227"/>
        <v>0</v>
      </c>
      <c r="IAN64" s="44">
        <f t="shared" si="227"/>
        <v>0</v>
      </c>
      <c r="IAO64" s="44">
        <f t="shared" si="227"/>
        <v>0</v>
      </c>
      <c r="IAP64" s="44">
        <f t="shared" si="227"/>
        <v>0</v>
      </c>
      <c r="IAQ64" s="44">
        <f t="shared" si="227"/>
        <v>0</v>
      </c>
      <c r="IAR64" s="44">
        <f t="shared" si="227"/>
        <v>0</v>
      </c>
      <c r="IAS64" s="44">
        <f t="shared" si="227"/>
        <v>0</v>
      </c>
      <c r="IAT64" s="44">
        <f t="shared" si="227"/>
        <v>0</v>
      </c>
      <c r="IAU64" s="44">
        <f t="shared" si="227"/>
        <v>0</v>
      </c>
      <c r="IAV64" s="44">
        <f t="shared" si="227"/>
        <v>0</v>
      </c>
      <c r="IAW64" s="44">
        <f t="shared" si="227"/>
        <v>0</v>
      </c>
      <c r="IAX64" s="44">
        <f t="shared" si="227"/>
        <v>0</v>
      </c>
      <c r="IAY64" s="44">
        <f t="shared" si="227"/>
        <v>0</v>
      </c>
      <c r="IAZ64" s="44">
        <f t="shared" si="227"/>
        <v>0</v>
      </c>
      <c r="IBA64" s="44">
        <f t="shared" si="227"/>
        <v>0</v>
      </c>
      <c r="IBB64" s="44">
        <f t="shared" si="227"/>
        <v>0</v>
      </c>
      <c r="IBC64" s="44">
        <f t="shared" si="227"/>
        <v>0</v>
      </c>
      <c r="IBD64" s="44">
        <f t="shared" si="227"/>
        <v>0</v>
      </c>
      <c r="IBE64" s="44">
        <f t="shared" si="227"/>
        <v>0</v>
      </c>
      <c r="IBF64" s="44">
        <f t="shared" si="227"/>
        <v>0</v>
      </c>
      <c r="IBG64" s="44">
        <f t="shared" si="227"/>
        <v>0</v>
      </c>
      <c r="IBH64" s="44">
        <f t="shared" si="227"/>
        <v>0</v>
      </c>
      <c r="IBI64" s="44">
        <f t="shared" si="227"/>
        <v>0</v>
      </c>
      <c r="IBJ64" s="44">
        <f t="shared" si="227"/>
        <v>0</v>
      </c>
      <c r="IBK64" s="44">
        <f t="shared" si="227"/>
        <v>0</v>
      </c>
      <c r="IBL64" s="44">
        <f t="shared" si="227"/>
        <v>0</v>
      </c>
      <c r="IBM64" s="44">
        <f t="shared" si="227"/>
        <v>0</v>
      </c>
      <c r="IBN64" s="44">
        <f t="shared" si="227"/>
        <v>0</v>
      </c>
      <c r="IBO64" s="44">
        <f t="shared" si="227"/>
        <v>0</v>
      </c>
      <c r="IBP64" s="44">
        <f t="shared" si="227"/>
        <v>0</v>
      </c>
      <c r="IBQ64" s="44">
        <f t="shared" si="227"/>
        <v>0</v>
      </c>
      <c r="IBR64" s="44">
        <f t="shared" si="227"/>
        <v>0</v>
      </c>
      <c r="IBS64" s="44">
        <f t="shared" si="227"/>
        <v>0</v>
      </c>
      <c r="IBT64" s="44">
        <f t="shared" si="227"/>
        <v>0</v>
      </c>
      <c r="IBU64" s="44">
        <f t="shared" si="227"/>
        <v>0</v>
      </c>
      <c r="IBV64" s="44">
        <f t="shared" si="227"/>
        <v>0</v>
      </c>
      <c r="IBW64" s="44">
        <f t="shared" si="227"/>
        <v>0</v>
      </c>
      <c r="IBX64" s="44">
        <f t="shared" si="227"/>
        <v>0</v>
      </c>
      <c r="IBY64" s="44">
        <f t="shared" si="227"/>
        <v>0</v>
      </c>
      <c r="IBZ64" s="44">
        <f t="shared" si="227"/>
        <v>0</v>
      </c>
      <c r="ICA64" s="44">
        <f t="shared" si="227"/>
        <v>0</v>
      </c>
      <c r="ICB64" s="44">
        <f t="shared" si="227"/>
        <v>0</v>
      </c>
      <c r="ICC64" s="44">
        <f t="shared" si="227"/>
        <v>0</v>
      </c>
      <c r="ICD64" s="44">
        <f t="shared" ref="ICD64:IEO64" si="228">SUM(ICD56:ICD57)</f>
        <v>0</v>
      </c>
      <c r="ICE64" s="44">
        <f t="shared" si="228"/>
        <v>0</v>
      </c>
      <c r="ICF64" s="44">
        <f t="shared" si="228"/>
        <v>0</v>
      </c>
      <c r="ICG64" s="44">
        <f t="shared" si="228"/>
        <v>0</v>
      </c>
      <c r="ICH64" s="44">
        <f t="shared" si="228"/>
        <v>0</v>
      </c>
      <c r="ICI64" s="44">
        <f t="shared" si="228"/>
        <v>0</v>
      </c>
      <c r="ICJ64" s="44">
        <f t="shared" si="228"/>
        <v>0</v>
      </c>
      <c r="ICK64" s="44">
        <f t="shared" si="228"/>
        <v>0</v>
      </c>
      <c r="ICL64" s="44">
        <f t="shared" si="228"/>
        <v>0</v>
      </c>
      <c r="ICM64" s="44">
        <f t="shared" si="228"/>
        <v>0</v>
      </c>
      <c r="ICN64" s="44">
        <f t="shared" si="228"/>
        <v>0</v>
      </c>
      <c r="ICO64" s="44">
        <f t="shared" si="228"/>
        <v>0</v>
      </c>
      <c r="ICP64" s="44">
        <f t="shared" si="228"/>
        <v>0</v>
      </c>
      <c r="ICQ64" s="44">
        <f t="shared" si="228"/>
        <v>0</v>
      </c>
      <c r="ICR64" s="44">
        <f t="shared" si="228"/>
        <v>0</v>
      </c>
      <c r="ICS64" s="44">
        <f t="shared" si="228"/>
        <v>0</v>
      </c>
      <c r="ICT64" s="44">
        <f t="shared" si="228"/>
        <v>0</v>
      </c>
      <c r="ICU64" s="44">
        <f t="shared" si="228"/>
        <v>0</v>
      </c>
      <c r="ICV64" s="44">
        <f t="shared" si="228"/>
        <v>0</v>
      </c>
      <c r="ICW64" s="44">
        <f t="shared" si="228"/>
        <v>0</v>
      </c>
      <c r="ICX64" s="44">
        <f t="shared" si="228"/>
        <v>0</v>
      </c>
      <c r="ICY64" s="44">
        <f t="shared" si="228"/>
        <v>0</v>
      </c>
      <c r="ICZ64" s="44">
        <f t="shared" si="228"/>
        <v>0</v>
      </c>
      <c r="IDA64" s="44">
        <f t="shared" si="228"/>
        <v>0</v>
      </c>
      <c r="IDB64" s="44">
        <f t="shared" si="228"/>
        <v>0</v>
      </c>
      <c r="IDC64" s="44">
        <f t="shared" si="228"/>
        <v>0</v>
      </c>
      <c r="IDD64" s="44">
        <f t="shared" si="228"/>
        <v>0</v>
      </c>
      <c r="IDE64" s="44">
        <f t="shared" si="228"/>
        <v>0</v>
      </c>
      <c r="IDF64" s="44">
        <f t="shared" si="228"/>
        <v>0</v>
      </c>
      <c r="IDG64" s="44">
        <f t="shared" si="228"/>
        <v>0</v>
      </c>
      <c r="IDH64" s="44">
        <f t="shared" si="228"/>
        <v>0</v>
      </c>
      <c r="IDI64" s="44">
        <f t="shared" si="228"/>
        <v>0</v>
      </c>
      <c r="IDJ64" s="44">
        <f t="shared" si="228"/>
        <v>0</v>
      </c>
      <c r="IDK64" s="44">
        <f t="shared" si="228"/>
        <v>0</v>
      </c>
      <c r="IDL64" s="44">
        <f t="shared" si="228"/>
        <v>0</v>
      </c>
      <c r="IDM64" s="44">
        <f t="shared" si="228"/>
        <v>0</v>
      </c>
      <c r="IDN64" s="44">
        <f t="shared" si="228"/>
        <v>0</v>
      </c>
      <c r="IDO64" s="44">
        <f t="shared" si="228"/>
        <v>0</v>
      </c>
      <c r="IDP64" s="44">
        <f t="shared" si="228"/>
        <v>0</v>
      </c>
      <c r="IDQ64" s="44">
        <f t="shared" si="228"/>
        <v>0</v>
      </c>
      <c r="IDR64" s="44">
        <f t="shared" si="228"/>
        <v>0</v>
      </c>
      <c r="IDS64" s="44">
        <f t="shared" si="228"/>
        <v>0</v>
      </c>
      <c r="IDT64" s="44">
        <f t="shared" si="228"/>
        <v>0</v>
      </c>
      <c r="IDU64" s="44">
        <f t="shared" si="228"/>
        <v>0</v>
      </c>
      <c r="IDV64" s="44">
        <f t="shared" si="228"/>
        <v>0</v>
      </c>
      <c r="IDW64" s="44">
        <f t="shared" si="228"/>
        <v>0</v>
      </c>
      <c r="IDX64" s="44">
        <f t="shared" si="228"/>
        <v>0</v>
      </c>
      <c r="IDY64" s="44">
        <f t="shared" si="228"/>
        <v>0</v>
      </c>
      <c r="IDZ64" s="44">
        <f t="shared" si="228"/>
        <v>0</v>
      </c>
      <c r="IEA64" s="44">
        <f t="shared" si="228"/>
        <v>0</v>
      </c>
      <c r="IEB64" s="44">
        <f t="shared" si="228"/>
        <v>0</v>
      </c>
      <c r="IEC64" s="44">
        <f t="shared" si="228"/>
        <v>0</v>
      </c>
      <c r="IED64" s="44">
        <f t="shared" si="228"/>
        <v>0</v>
      </c>
      <c r="IEE64" s="44">
        <f t="shared" si="228"/>
        <v>0</v>
      </c>
      <c r="IEF64" s="44">
        <f t="shared" si="228"/>
        <v>0</v>
      </c>
      <c r="IEG64" s="44">
        <f t="shared" si="228"/>
        <v>0</v>
      </c>
      <c r="IEH64" s="44">
        <f t="shared" si="228"/>
        <v>0</v>
      </c>
      <c r="IEI64" s="44">
        <f t="shared" si="228"/>
        <v>0</v>
      </c>
      <c r="IEJ64" s="44">
        <f t="shared" si="228"/>
        <v>0</v>
      </c>
      <c r="IEK64" s="44">
        <f t="shared" si="228"/>
        <v>0</v>
      </c>
      <c r="IEL64" s="44">
        <f t="shared" si="228"/>
        <v>0</v>
      </c>
      <c r="IEM64" s="44">
        <f t="shared" si="228"/>
        <v>0</v>
      </c>
      <c r="IEN64" s="44">
        <f t="shared" si="228"/>
        <v>0</v>
      </c>
      <c r="IEO64" s="44">
        <f t="shared" si="228"/>
        <v>0</v>
      </c>
      <c r="IEP64" s="44">
        <f t="shared" ref="IEP64:IHA64" si="229">SUM(IEP56:IEP57)</f>
        <v>0</v>
      </c>
      <c r="IEQ64" s="44">
        <f t="shared" si="229"/>
        <v>0</v>
      </c>
      <c r="IER64" s="44">
        <f t="shared" si="229"/>
        <v>0</v>
      </c>
      <c r="IES64" s="44">
        <f t="shared" si="229"/>
        <v>0</v>
      </c>
      <c r="IET64" s="44">
        <f t="shared" si="229"/>
        <v>0</v>
      </c>
      <c r="IEU64" s="44">
        <f t="shared" si="229"/>
        <v>0</v>
      </c>
      <c r="IEV64" s="44">
        <f t="shared" si="229"/>
        <v>0</v>
      </c>
      <c r="IEW64" s="44">
        <f t="shared" si="229"/>
        <v>0</v>
      </c>
      <c r="IEX64" s="44">
        <f t="shared" si="229"/>
        <v>0</v>
      </c>
      <c r="IEY64" s="44">
        <f t="shared" si="229"/>
        <v>0</v>
      </c>
      <c r="IEZ64" s="44">
        <f t="shared" si="229"/>
        <v>0</v>
      </c>
      <c r="IFA64" s="44">
        <f t="shared" si="229"/>
        <v>0</v>
      </c>
      <c r="IFB64" s="44">
        <f t="shared" si="229"/>
        <v>0</v>
      </c>
      <c r="IFC64" s="44">
        <f t="shared" si="229"/>
        <v>0</v>
      </c>
      <c r="IFD64" s="44">
        <f t="shared" si="229"/>
        <v>0</v>
      </c>
      <c r="IFE64" s="44">
        <f t="shared" si="229"/>
        <v>0</v>
      </c>
      <c r="IFF64" s="44">
        <f t="shared" si="229"/>
        <v>0</v>
      </c>
      <c r="IFG64" s="44">
        <f t="shared" si="229"/>
        <v>0</v>
      </c>
      <c r="IFH64" s="44">
        <f t="shared" si="229"/>
        <v>0</v>
      </c>
      <c r="IFI64" s="44">
        <f t="shared" si="229"/>
        <v>0</v>
      </c>
      <c r="IFJ64" s="44">
        <f t="shared" si="229"/>
        <v>0</v>
      </c>
      <c r="IFK64" s="44">
        <f t="shared" si="229"/>
        <v>0</v>
      </c>
      <c r="IFL64" s="44">
        <f t="shared" si="229"/>
        <v>0</v>
      </c>
      <c r="IFM64" s="44">
        <f t="shared" si="229"/>
        <v>0</v>
      </c>
      <c r="IFN64" s="44">
        <f t="shared" si="229"/>
        <v>0</v>
      </c>
      <c r="IFO64" s="44">
        <f t="shared" si="229"/>
        <v>0</v>
      </c>
      <c r="IFP64" s="44">
        <f t="shared" si="229"/>
        <v>0</v>
      </c>
      <c r="IFQ64" s="44">
        <f t="shared" si="229"/>
        <v>0</v>
      </c>
      <c r="IFR64" s="44">
        <f t="shared" si="229"/>
        <v>0</v>
      </c>
      <c r="IFS64" s="44">
        <f t="shared" si="229"/>
        <v>0</v>
      </c>
      <c r="IFT64" s="44">
        <f t="shared" si="229"/>
        <v>0</v>
      </c>
      <c r="IFU64" s="44">
        <f t="shared" si="229"/>
        <v>0</v>
      </c>
      <c r="IFV64" s="44">
        <f t="shared" si="229"/>
        <v>0</v>
      </c>
      <c r="IFW64" s="44">
        <f t="shared" si="229"/>
        <v>0</v>
      </c>
      <c r="IFX64" s="44">
        <f t="shared" si="229"/>
        <v>0</v>
      </c>
      <c r="IFY64" s="44">
        <f t="shared" si="229"/>
        <v>0</v>
      </c>
      <c r="IFZ64" s="44">
        <f t="shared" si="229"/>
        <v>0</v>
      </c>
      <c r="IGA64" s="44">
        <f t="shared" si="229"/>
        <v>0</v>
      </c>
      <c r="IGB64" s="44">
        <f t="shared" si="229"/>
        <v>0</v>
      </c>
      <c r="IGC64" s="44">
        <f t="shared" si="229"/>
        <v>0</v>
      </c>
      <c r="IGD64" s="44">
        <f t="shared" si="229"/>
        <v>0</v>
      </c>
      <c r="IGE64" s="44">
        <f t="shared" si="229"/>
        <v>0</v>
      </c>
      <c r="IGF64" s="44">
        <f t="shared" si="229"/>
        <v>0</v>
      </c>
      <c r="IGG64" s="44">
        <f t="shared" si="229"/>
        <v>0</v>
      </c>
      <c r="IGH64" s="44">
        <f t="shared" si="229"/>
        <v>0</v>
      </c>
      <c r="IGI64" s="44">
        <f t="shared" si="229"/>
        <v>0</v>
      </c>
      <c r="IGJ64" s="44">
        <f t="shared" si="229"/>
        <v>0</v>
      </c>
      <c r="IGK64" s="44">
        <f t="shared" si="229"/>
        <v>0</v>
      </c>
      <c r="IGL64" s="44">
        <f t="shared" si="229"/>
        <v>0</v>
      </c>
      <c r="IGM64" s="44">
        <f t="shared" si="229"/>
        <v>0</v>
      </c>
      <c r="IGN64" s="44">
        <f t="shared" si="229"/>
        <v>0</v>
      </c>
      <c r="IGO64" s="44">
        <f t="shared" si="229"/>
        <v>0</v>
      </c>
      <c r="IGP64" s="44">
        <f t="shared" si="229"/>
        <v>0</v>
      </c>
      <c r="IGQ64" s="44">
        <f t="shared" si="229"/>
        <v>0</v>
      </c>
      <c r="IGR64" s="44">
        <f t="shared" si="229"/>
        <v>0</v>
      </c>
      <c r="IGS64" s="44">
        <f t="shared" si="229"/>
        <v>0</v>
      </c>
      <c r="IGT64" s="44">
        <f t="shared" si="229"/>
        <v>0</v>
      </c>
      <c r="IGU64" s="44">
        <f t="shared" si="229"/>
        <v>0</v>
      </c>
      <c r="IGV64" s="44">
        <f t="shared" si="229"/>
        <v>0</v>
      </c>
      <c r="IGW64" s="44">
        <f t="shared" si="229"/>
        <v>0</v>
      </c>
      <c r="IGX64" s="44">
        <f t="shared" si="229"/>
        <v>0</v>
      </c>
      <c r="IGY64" s="44">
        <f t="shared" si="229"/>
        <v>0</v>
      </c>
      <c r="IGZ64" s="44">
        <f t="shared" si="229"/>
        <v>0</v>
      </c>
      <c r="IHA64" s="44">
        <f t="shared" si="229"/>
        <v>0</v>
      </c>
      <c r="IHB64" s="44">
        <f t="shared" ref="IHB64:IJM64" si="230">SUM(IHB56:IHB57)</f>
        <v>0</v>
      </c>
      <c r="IHC64" s="44">
        <f t="shared" si="230"/>
        <v>0</v>
      </c>
      <c r="IHD64" s="44">
        <f t="shared" si="230"/>
        <v>0</v>
      </c>
      <c r="IHE64" s="44">
        <f t="shared" si="230"/>
        <v>0</v>
      </c>
      <c r="IHF64" s="44">
        <f t="shared" si="230"/>
        <v>0</v>
      </c>
      <c r="IHG64" s="44">
        <f t="shared" si="230"/>
        <v>0</v>
      </c>
      <c r="IHH64" s="44">
        <f t="shared" si="230"/>
        <v>0</v>
      </c>
      <c r="IHI64" s="44">
        <f t="shared" si="230"/>
        <v>0</v>
      </c>
      <c r="IHJ64" s="44">
        <f t="shared" si="230"/>
        <v>0</v>
      </c>
      <c r="IHK64" s="44">
        <f t="shared" si="230"/>
        <v>0</v>
      </c>
      <c r="IHL64" s="44">
        <f t="shared" si="230"/>
        <v>0</v>
      </c>
      <c r="IHM64" s="44">
        <f t="shared" si="230"/>
        <v>0</v>
      </c>
      <c r="IHN64" s="44">
        <f t="shared" si="230"/>
        <v>0</v>
      </c>
      <c r="IHO64" s="44">
        <f t="shared" si="230"/>
        <v>0</v>
      </c>
      <c r="IHP64" s="44">
        <f t="shared" si="230"/>
        <v>0</v>
      </c>
      <c r="IHQ64" s="44">
        <f t="shared" si="230"/>
        <v>0</v>
      </c>
      <c r="IHR64" s="44">
        <f t="shared" si="230"/>
        <v>0</v>
      </c>
      <c r="IHS64" s="44">
        <f t="shared" si="230"/>
        <v>0</v>
      </c>
      <c r="IHT64" s="44">
        <f t="shared" si="230"/>
        <v>0</v>
      </c>
      <c r="IHU64" s="44">
        <f t="shared" si="230"/>
        <v>0</v>
      </c>
      <c r="IHV64" s="44">
        <f t="shared" si="230"/>
        <v>0</v>
      </c>
      <c r="IHW64" s="44">
        <f t="shared" si="230"/>
        <v>0</v>
      </c>
      <c r="IHX64" s="44">
        <f t="shared" si="230"/>
        <v>0</v>
      </c>
      <c r="IHY64" s="44">
        <f t="shared" si="230"/>
        <v>0</v>
      </c>
      <c r="IHZ64" s="44">
        <f t="shared" si="230"/>
        <v>0</v>
      </c>
      <c r="IIA64" s="44">
        <f t="shared" si="230"/>
        <v>0</v>
      </c>
      <c r="IIB64" s="44">
        <f t="shared" si="230"/>
        <v>0</v>
      </c>
      <c r="IIC64" s="44">
        <f t="shared" si="230"/>
        <v>0</v>
      </c>
      <c r="IID64" s="44">
        <f t="shared" si="230"/>
        <v>0</v>
      </c>
      <c r="IIE64" s="44">
        <f t="shared" si="230"/>
        <v>0</v>
      </c>
      <c r="IIF64" s="44">
        <f t="shared" si="230"/>
        <v>0</v>
      </c>
      <c r="IIG64" s="44">
        <f t="shared" si="230"/>
        <v>0</v>
      </c>
      <c r="IIH64" s="44">
        <f t="shared" si="230"/>
        <v>0</v>
      </c>
      <c r="III64" s="44">
        <f t="shared" si="230"/>
        <v>0</v>
      </c>
      <c r="IIJ64" s="44">
        <f t="shared" si="230"/>
        <v>0</v>
      </c>
      <c r="IIK64" s="44">
        <f t="shared" si="230"/>
        <v>0</v>
      </c>
      <c r="IIL64" s="44">
        <f t="shared" si="230"/>
        <v>0</v>
      </c>
      <c r="IIM64" s="44">
        <f t="shared" si="230"/>
        <v>0</v>
      </c>
      <c r="IIN64" s="44">
        <f t="shared" si="230"/>
        <v>0</v>
      </c>
      <c r="IIO64" s="44">
        <f t="shared" si="230"/>
        <v>0</v>
      </c>
      <c r="IIP64" s="44">
        <f t="shared" si="230"/>
        <v>0</v>
      </c>
      <c r="IIQ64" s="44">
        <f t="shared" si="230"/>
        <v>0</v>
      </c>
      <c r="IIR64" s="44">
        <f t="shared" si="230"/>
        <v>0</v>
      </c>
      <c r="IIS64" s="44">
        <f t="shared" si="230"/>
        <v>0</v>
      </c>
      <c r="IIT64" s="44">
        <f t="shared" si="230"/>
        <v>0</v>
      </c>
      <c r="IIU64" s="44">
        <f t="shared" si="230"/>
        <v>0</v>
      </c>
      <c r="IIV64" s="44">
        <f t="shared" si="230"/>
        <v>0</v>
      </c>
      <c r="IIW64" s="44">
        <f t="shared" si="230"/>
        <v>0</v>
      </c>
      <c r="IIX64" s="44">
        <f t="shared" si="230"/>
        <v>0</v>
      </c>
      <c r="IIY64" s="44">
        <f t="shared" si="230"/>
        <v>0</v>
      </c>
      <c r="IIZ64" s="44">
        <f t="shared" si="230"/>
        <v>0</v>
      </c>
      <c r="IJA64" s="44">
        <f t="shared" si="230"/>
        <v>0</v>
      </c>
      <c r="IJB64" s="44">
        <f t="shared" si="230"/>
        <v>0</v>
      </c>
      <c r="IJC64" s="44">
        <f t="shared" si="230"/>
        <v>0</v>
      </c>
      <c r="IJD64" s="44">
        <f t="shared" si="230"/>
        <v>0</v>
      </c>
      <c r="IJE64" s="44">
        <f t="shared" si="230"/>
        <v>0</v>
      </c>
      <c r="IJF64" s="44">
        <f t="shared" si="230"/>
        <v>0</v>
      </c>
      <c r="IJG64" s="44">
        <f t="shared" si="230"/>
        <v>0</v>
      </c>
      <c r="IJH64" s="44">
        <f t="shared" si="230"/>
        <v>0</v>
      </c>
      <c r="IJI64" s="44">
        <f t="shared" si="230"/>
        <v>0</v>
      </c>
      <c r="IJJ64" s="44">
        <f t="shared" si="230"/>
        <v>0</v>
      </c>
      <c r="IJK64" s="44">
        <f t="shared" si="230"/>
        <v>0</v>
      </c>
      <c r="IJL64" s="44">
        <f t="shared" si="230"/>
        <v>0</v>
      </c>
      <c r="IJM64" s="44">
        <f t="shared" si="230"/>
        <v>0</v>
      </c>
      <c r="IJN64" s="44">
        <f t="shared" ref="IJN64:ILY64" si="231">SUM(IJN56:IJN57)</f>
        <v>0</v>
      </c>
      <c r="IJO64" s="44">
        <f t="shared" si="231"/>
        <v>0</v>
      </c>
      <c r="IJP64" s="44">
        <f t="shared" si="231"/>
        <v>0</v>
      </c>
      <c r="IJQ64" s="44">
        <f t="shared" si="231"/>
        <v>0</v>
      </c>
      <c r="IJR64" s="44">
        <f t="shared" si="231"/>
        <v>0</v>
      </c>
      <c r="IJS64" s="44">
        <f t="shared" si="231"/>
        <v>0</v>
      </c>
      <c r="IJT64" s="44">
        <f t="shared" si="231"/>
        <v>0</v>
      </c>
      <c r="IJU64" s="44">
        <f t="shared" si="231"/>
        <v>0</v>
      </c>
      <c r="IJV64" s="44">
        <f t="shared" si="231"/>
        <v>0</v>
      </c>
      <c r="IJW64" s="44">
        <f t="shared" si="231"/>
        <v>0</v>
      </c>
      <c r="IJX64" s="44">
        <f t="shared" si="231"/>
        <v>0</v>
      </c>
      <c r="IJY64" s="44">
        <f t="shared" si="231"/>
        <v>0</v>
      </c>
      <c r="IJZ64" s="44">
        <f t="shared" si="231"/>
        <v>0</v>
      </c>
      <c r="IKA64" s="44">
        <f t="shared" si="231"/>
        <v>0</v>
      </c>
      <c r="IKB64" s="44">
        <f t="shared" si="231"/>
        <v>0</v>
      </c>
      <c r="IKC64" s="44">
        <f t="shared" si="231"/>
        <v>0</v>
      </c>
      <c r="IKD64" s="44">
        <f t="shared" si="231"/>
        <v>0</v>
      </c>
      <c r="IKE64" s="44">
        <f t="shared" si="231"/>
        <v>0</v>
      </c>
      <c r="IKF64" s="44">
        <f t="shared" si="231"/>
        <v>0</v>
      </c>
      <c r="IKG64" s="44">
        <f t="shared" si="231"/>
        <v>0</v>
      </c>
      <c r="IKH64" s="44">
        <f t="shared" si="231"/>
        <v>0</v>
      </c>
      <c r="IKI64" s="44">
        <f t="shared" si="231"/>
        <v>0</v>
      </c>
      <c r="IKJ64" s="44">
        <f t="shared" si="231"/>
        <v>0</v>
      </c>
      <c r="IKK64" s="44">
        <f t="shared" si="231"/>
        <v>0</v>
      </c>
      <c r="IKL64" s="44">
        <f t="shared" si="231"/>
        <v>0</v>
      </c>
      <c r="IKM64" s="44">
        <f t="shared" si="231"/>
        <v>0</v>
      </c>
      <c r="IKN64" s="44">
        <f t="shared" si="231"/>
        <v>0</v>
      </c>
      <c r="IKO64" s="44">
        <f t="shared" si="231"/>
        <v>0</v>
      </c>
      <c r="IKP64" s="44">
        <f t="shared" si="231"/>
        <v>0</v>
      </c>
      <c r="IKQ64" s="44">
        <f t="shared" si="231"/>
        <v>0</v>
      </c>
      <c r="IKR64" s="44">
        <f t="shared" si="231"/>
        <v>0</v>
      </c>
      <c r="IKS64" s="44">
        <f t="shared" si="231"/>
        <v>0</v>
      </c>
      <c r="IKT64" s="44">
        <f t="shared" si="231"/>
        <v>0</v>
      </c>
      <c r="IKU64" s="44">
        <f t="shared" si="231"/>
        <v>0</v>
      </c>
      <c r="IKV64" s="44">
        <f t="shared" si="231"/>
        <v>0</v>
      </c>
      <c r="IKW64" s="44">
        <f t="shared" si="231"/>
        <v>0</v>
      </c>
      <c r="IKX64" s="44">
        <f t="shared" si="231"/>
        <v>0</v>
      </c>
      <c r="IKY64" s="44">
        <f t="shared" si="231"/>
        <v>0</v>
      </c>
      <c r="IKZ64" s="44">
        <f t="shared" si="231"/>
        <v>0</v>
      </c>
      <c r="ILA64" s="44">
        <f t="shared" si="231"/>
        <v>0</v>
      </c>
      <c r="ILB64" s="44">
        <f t="shared" si="231"/>
        <v>0</v>
      </c>
      <c r="ILC64" s="44">
        <f t="shared" si="231"/>
        <v>0</v>
      </c>
      <c r="ILD64" s="44">
        <f t="shared" si="231"/>
        <v>0</v>
      </c>
      <c r="ILE64" s="44">
        <f t="shared" si="231"/>
        <v>0</v>
      </c>
      <c r="ILF64" s="44">
        <f t="shared" si="231"/>
        <v>0</v>
      </c>
      <c r="ILG64" s="44">
        <f t="shared" si="231"/>
        <v>0</v>
      </c>
      <c r="ILH64" s="44">
        <f t="shared" si="231"/>
        <v>0</v>
      </c>
      <c r="ILI64" s="44">
        <f t="shared" si="231"/>
        <v>0</v>
      </c>
      <c r="ILJ64" s="44">
        <f t="shared" si="231"/>
        <v>0</v>
      </c>
      <c r="ILK64" s="44">
        <f t="shared" si="231"/>
        <v>0</v>
      </c>
      <c r="ILL64" s="44">
        <f t="shared" si="231"/>
        <v>0</v>
      </c>
      <c r="ILM64" s="44">
        <f t="shared" si="231"/>
        <v>0</v>
      </c>
      <c r="ILN64" s="44">
        <f t="shared" si="231"/>
        <v>0</v>
      </c>
      <c r="ILO64" s="44">
        <f t="shared" si="231"/>
        <v>0</v>
      </c>
      <c r="ILP64" s="44">
        <f t="shared" si="231"/>
        <v>0</v>
      </c>
      <c r="ILQ64" s="44">
        <f t="shared" si="231"/>
        <v>0</v>
      </c>
      <c r="ILR64" s="44">
        <f t="shared" si="231"/>
        <v>0</v>
      </c>
      <c r="ILS64" s="44">
        <f t="shared" si="231"/>
        <v>0</v>
      </c>
      <c r="ILT64" s="44">
        <f t="shared" si="231"/>
        <v>0</v>
      </c>
      <c r="ILU64" s="44">
        <f t="shared" si="231"/>
        <v>0</v>
      </c>
      <c r="ILV64" s="44">
        <f t="shared" si="231"/>
        <v>0</v>
      </c>
      <c r="ILW64" s="44">
        <f t="shared" si="231"/>
        <v>0</v>
      </c>
      <c r="ILX64" s="44">
        <f t="shared" si="231"/>
        <v>0</v>
      </c>
      <c r="ILY64" s="44">
        <f t="shared" si="231"/>
        <v>0</v>
      </c>
      <c r="ILZ64" s="44">
        <f t="shared" ref="ILZ64:IOK64" si="232">SUM(ILZ56:ILZ57)</f>
        <v>0</v>
      </c>
      <c r="IMA64" s="44">
        <f t="shared" si="232"/>
        <v>0</v>
      </c>
      <c r="IMB64" s="44">
        <f t="shared" si="232"/>
        <v>0</v>
      </c>
      <c r="IMC64" s="44">
        <f t="shared" si="232"/>
        <v>0</v>
      </c>
      <c r="IMD64" s="44">
        <f t="shared" si="232"/>
        <v>0</v>
      </c>
      <c r="IME64" s="44">
        <f t="shared" si="232"/>
        <v>0</v>
      </c>
      <c r="IMF64" s="44">
        <f t="shared" si="232"/>
        <v>0</v>
      </c>
      <c r="IMG64" s="44">
        <f t="shared" si="232"/>
        <v>0</v>
      </c>
      <c r="IMH64" s="44">
        <f t="shared" si="232"/>
        <v>0</v>
      </c>
      <c r="IMI64" s="44">
        <f t="shared" si="232"/>
        <v>0</v>
      </c>
      <c r="IMJ64" s="44">
        <f t="shared" si="232"/>
        <v>0</v>
      </c>
      <c r="IMK64" s="44">
        <f t="shared" si="232"/>
        <v>0</v>
      </c>
      <c r="IML64" s="44">
        <f t="shared" si="232"/>
        <v>0</v>
      </c>
      <c r="IMM64" s="44">
        <f t="shared" si="232"/>
        <v>0</v>
      </c>
      <c r="IMN64" s="44">
        <f t="shared" si="232"/>
        <v>0</v>
      </c>
      <c r="IMO64" s="44">
        <f t="shared" si="232"/>
        <v>0</v>
      </c>
      <c r="IMP64" s="44">
        <f t="shared" si="232"/>
        <v>0</v>
      </c>
      <c r="IMQ64" s="44">
        <f t="shared" si="232"/>
        <v>0</v>
      </c>
      <c r="IMR64" s="44">
        <f t="shared" si="232"/>
        <v>0</v>
      </c>
      <c r="IMS64" s="44">
        <f t="shared" si="232"/>
        <v>0</v>
      </c>
      <c r="IMT64" s="44">
        <f t="shared" si="232"/>
        <v>0</v>
      </c>
      <c r="IMU64" s="44">
        <f t="shared" si="232"/>
        <v>0</v>
      </c>
      <c r="IMV64" s="44">
        <f t="shared" si="232"/>
        <v>0</v>
      </c>
      <c r="IMW64" s="44">
        <f t="shared" si="232"/>
        <v>0</v>
      </c>
      <c r="IMX64" s="44">
        <f t="shared" si="232"/>
        <v>0</v>
      </c>
      <c r="IMY64" s="44">
        <f t="shared" si="232"/>
        <v>0</v>
      </c>
      <c r="IMZ64" s="44">
        <f t="shared" si="232"/>
        <v>0</v>
      </c>
      <c r="INA64" s="44">
        <f t="shared" si="232"/>
        <v>0</v>
      </c>
      <c r="INB64" s="44">
        <f t="shared" si="232"/>
        <v>0</v>
      </c>
      <c r="INC64" s="44">
        <f t="shared" si="232"/>
        <v>0</v>
      </c>
      <c r="IND64" s="44">
        <f t="shared" si="232"/>
        <v>0</v>
      </c>
      <c r="INE64" s="44">
        <f t="shared" si="232"/>
        <v>0</v>
      </c>
      <c r="INF64" s="44">
        <f t="shared" si="232"/>
        <v>0</v>
      </c>
      <c r="ING64" s="44">
        <f t="shared" si="232"/>
        <v>0</v>
      </c>
      <c r="INH64" s="44">
        <f t="shared" si="232"/>
        <v>0</v>
      </c>
      <c r="INI64" s="44">
        <f t="shared" si="232"/>
        <v>0</v>
      </c>
      <c r="INJ64" s="44">
        <f t="shared" si="232"/>
        <v>0</v>
      </c>
      <c r="INK64" s="44">
        <f t="shared" si="232"/>
        <v>0</v>
      </c>
      <c r="INL64" s="44">
        <f t="shared" si="232"/>
        <v>0</v>
      </c>
      <c r="INM64" s="44">
        <f t="shared" si="232"/>
        <v>0</v>
      </c>
      <c r="INN64" s="44">
        <f t="shared" si="232"/>
        <v>0</v>
      </c>
      <c r="INO64" s="44">
        <f t="shared" si="232"/>
        <v>0</v>
      </c>
      <c r="INP64" s="44">
        <f t="shared" si="232"/>
        <v>0</v>
      </c>
      <c r="INQ64" s="44">
        <f t="shared" si="232"/>
        <v>0</v>
      </c>
      <c r="INR64" s="44">
        <f t="shared" si="232"/>
        <v>0</v>
      </c>
      <c r="INS64" s="44">
        <f t="shared" si="232"/>
        <v>0</v>
      </c>
      <c r="INT64" s="44">
        <f t="shared" si="232"/>
        <v>0</v>
      </c>
      <c r="INU64" s="44">
        <f t="shared" si="232"/>
        <v>0</v>
      </c>
      <c r="INV64" s="44">
        <f t="shared" si="232"/>
        <v>0</v>
      </c>
      <c r="INW64" s="44">
        <f t="shared" si="232"/>
        <v>0</v>
      </c>
      <c r="INX64" s="44">
        <f t="shared" si="232"/>
        <v>0</v>
      </c>
      <c r="INY64" s="44">
        <f t="shared" si="232"/>
        <v>0</v>
      </c>
      <c r="INZ64" s="44">
        <f t="shared" si="232"/>
        <v>0</v>
      </c>
      <c r="IOA64" s="44">
        <f t="shared" si="232"/>
        <v>0</v>
      </c>
      <c r="IOB64" s="44">
        <f t="shared" si="232"/>
        <v>0</v>
      </c>
      <c r="IOC64" s="44">
        <f t="shared" si="232"/>
        <v>0</v>
      </c>
      <c r="IOD64" s="44">
        <f t="shared" si="232"/>
        <v>0</v>
      </c>
      <c r="IOE64" s="44">
        <f t="shared" si="232"/>
        <v>0</v>
      </c>
      <c r="IOF64" s="44">
        <f t="shared" si="232"/>
        <v>0</v>
      </c>
      <c r="IOG64" s="44">
        <f t="shared" si="232"/>
        <v>0</v>
      </c>
      <c r="IOH64" s="44">
        <f t="shared" si="232"/>
        <v>0</v>
      </c>
      <c r="IOI64" s="44">
        <f t="shared" si="232"/>
        <v>0</v>
      </c>
      <c r="IOJ64" s="44">
        <f t="shared" si="232"/>
        <v>0</v>
      </c>
      <c r="IOK64" s="44">
        <f t="shared" si="232"/>
        <v>0</v>
      </c>
      <c r="IOL64" s="44">
        <f t="shared" ref="IOL64:IQW64" si="233">SUM(IOL56:IOL57)</f>
        <v>0</v>
      </c>
      <c r="IOM64" s="44">
        <f t="shared" si="233"/>
        <v>0</v>
      </c>
      <c r="ION64" s="44">
        <f t="shared" si="233"/>
        <v>0</v>
      </c>
      <c r="IOO64" s="44">
        <f t="shared" si="233"/>
        <v>0</v>
      </c>
      <c r="IOP64" s="44">
        <f t="shared" si="233"/>
        <v>0</v>
      </c>
      <c r="IOQ64" s="44">
        <f t="shared" si="233"/>
        <v>0</v>
      </c>
      <c r="IOR64" s="44">
        <f t="shared" si="233"/>
        <v>0</v>
      </c>
      <c r="IOS64" s="44">
        <f t="shared" si="233"/>
        <v>0</v>
      </c>
      <c r="IOT64" s="44">
        <f t="shared" si="233"/>
        <v>0</v>
      </c>
      <c r="IOU64" s="44">
        <f t="shared" si="233"/>
        <v>0</v>
      </c>
      <c r="IOV64" s="44">
        <f t="shared" si="233"/>
        <v>0</v>
      </c>
      <c r="IOW64" s="44">
        <f t="shared" si="233"/>
        <v>0</v>
      </c>
      <c r="IOX64" s="44">
        <f t="shared" si="233"/>
        <v>0</v>
      </c>
      <c r="IOY64" s="44">
        <f t="shared" si="233"/>
        <v>0</v>
      </c>
      <c r="IOZ64" s="44">
        <f t="shared" si="233"/>
        <v>0</v>
      </c>
      <c r="IPA64" s="44">
        <f t="shared" si="233"/>
        <v>0</v>
      </c>
      <c r="IPB64" s="44">
        <f t="shared" si="233"/>
        <v>0</v>
      </c>
      <c r="IPC64" s="44">
        <f t="shared" si="233"/>
        <v>0</v>
      </c>
      <c r="IPD64" s="44">
        <f t="shared" si="233"/>
        <v>0</v>
      </c>
      <c r="IPE64" s="44">
        <f t="shared" si="233"/>
        <v>0</v>
      </c>
      <c r="IPF64" s="44">
        <f t="shared" si="233"/>
        <v>0</v>
      </c>
      <c r="IPG64" s="44">
        <f t="shared" si="233"/>
        <v>0</v>
      </c>
      <c r="IPH64" s="44">
        <f t="shared" si="233"/>
        <v>0</v>
      </c>
      <c r="IPI64" s="44">
        <f t="shared" si="233"/>
        <v>0</v>
      </c>
      <c r="IPJ64" s="44">
        <f t="shared" si="233"/>
        <v>0</v>
      </c>
      <c r="IPK64" s="44">
        <f t="shared" si="233"/>
        <v>0</v>
      </c>
      <c r="IPL64" s="44">
        <f t="shared" si="233"/>
        <v>0</v>
      </c>
      <c r="IPM64" s="44">
        <f t="shared" si="233"/>
        <v>0</v>
      </c>
      <c r="IPN64" s="44">
        <f t="shared" si="233"/>
        <v>0</v>
      </c>
      <c r="IPO64" s="44">
        <f t="shared" si="233"/>
        <v>0</v>
      </c>
      <c r="IPP64" s="44">
        <f t="shared" si="233"/>
        <v>0</v>
      </c>
      <c r="IPQ64" s="44">
        <f t="shared" si="233"/>
        <v>0</v>
      </c>
      <c r="IPR64" s="44">
        <f t="shared" si="233"/>
        <v>0</v>
      </c>
      <c r="IPS64" s="44">
        <f t="shared" si="233"/>
        <v>0</v>
      </c>
      <c r="IPT64" s="44">
        <f t="shared" si="233"/>
        <v>0</v>
      </c>
      <c r="IPU64" s="44">
        <f t="shared" si="233"/>
        <v>0</v>
      </c>
      <c r="IPV64" s="44">
        <f t="shared" si="233"/>
        <v>0</v>
      </c>
      <c r="IPW64" s="44">
        <f t="shared" si="233"/>
        <v>0</v>
      </c>
      <c r="IPX64" s="44">
        <f t="shared" si="233"/>
        <v>0</v>
      </c>
      <c r="IPY64" s="44">
        <f t="shared" si="233"/>
        <v>0</v>
      </c>
      <c r="IPZ64" s="44">
        <f t="shared" si="233"/>
        <v>0</v>
      </c>
      <c r="IQA64" s="44">
        <f t="shared" si="233"/>
        <v>0</v>
      </c>
      <c r="IQB64" s="44">
        <f t="shared" si="233"/>
        <v>0</v>
      </c>
      <c r="IQC64" s="44">
        <f t="shared" si="233"/>
        <v>0</v>
      </c>
      <c r="IQD64" s="44">
        <f t="shared" si="233"/>
        <v>0</v>
      </c>
      <c r="IQE64" s="44">
        <f t="shared" si="233"/>
        <v>0</v>
      </c>
      <c r="IQF64" s="44">
        <f t="shared" si="233"/>
        <v>0</v>
      </c>
      <c r="IQG64" s="44">
        <f t="shared" si="233"/>
        <v>0</v>
      </c>
      <c r="IQH64" s="44">
        <f t="shared" si="233"/>
        <v>0</v>
      </c>
      <c r="IQI64" s="44">
        <f t="shared" si="233"/>
        <v>0</v>
      </c>
      <c r="IQJ64" s="44">
        <f t="shared" si="233"/>
        <v>0</v>
      </c>
      <c r="IQK64" s="44">
        <f t="shared" si="233"/>
        <v>0</v>
      </c>
      <c r="IQL64" s="44">
        <f t="shared" si="233"/>
        <v>0</v>
      </c>
      <c r="IQM64" s="44">
        <f t="shared" si="233"/>
        <v>0</v>
      </c>
      <c r="IQN64" s="44">
        <f t="shared" si="233"/>
        <v>0</v>
      </c>
      <c r="IQO64" s="44">
        <f t="shared" si="233"/>
        <v>0</v>
      </c>
      <c r="IQP64" s="44">
        <f t="shared" si="233"/>
        <v>0</v>
      </c>
      <c r="IQQ64" s="44">
        <f t="shared" si="233"/>
        <v>0</v>
      </c>
      <c r="IQR64" s="44">
        <f t="shared" si="233"/>
        <v>0</v>
      </c>
      <c r="IQS64" s="44">
        <f t="shared" si="233"/>
        <v>0</v>
      </c>
      <c r="IQT64" s="44">
        <f t="shared" si="233"/>
        <v>0</v>
      </c>
      <c r="IQU64" s="44">
        <f t="shared" si="233"/>
        <v>0</v>
      </c>
      <c r="IQV64" s="44">
        <f t="shared" si="233"/>
        <v>0</v>
      </c>
      <c r="IQW64" s="44">
        <f t="shared" si="233"/>
        <v>0</v>
      </c>
      <c r="IQX64" s="44">
        <f t="shared" ref="IQX64:ITI64" si="234">SUM(IQX56:IQX57)</f>
        <v>0</v>
      </c>
      <c r="IQY64" s="44">
        <f t="shared" si="234"/>
        <v>0</v>
      </c>
      <c r="IQZ64" s="44">
        <f t="shared" si="234"/>
        <v>0</v>
      </c>
      <c r="IRA64" s="44">
        <f t="shared" si="234"/>
        <v>0</v>
      </c>
      <c r="IRB64" s="44">
        <f t="shared" si="234"/>
        <v>0</v>
      </c>
      <c r="IRC64" s="44">
        <f t="shared" si="234"/>
        <v>0</v>
      </c>
      <c r="IRD64" s="44">
        <f t="shared" si="234"/>
        <v>0</v>
      </c>
      <c r="IRE64" s="44">
        <f t="shared" si="234"/>
        <v>0</v>
      </c>
      <c r="IRF64" s="44">
        <f t="shared" si="234"/>
        <v>0</v>
      </c>
      <c r="IRG64" s="44">
        <f t="shared" si="234"/>
        <v>0</v>
      </c>
      <c r="IRH64" s="44">
        <f t="shared" si="234"/>
        <v>0</v>
      </c>
      <c r="IRI64" s="44">
        <f t="shared" si="234"/>
        <v>0</v>
      </c>
      <c r="IRJ64" s="44">
        <f t="shared" si="234"/>
        <v>0</v>
      </c>
      <c r="IRK64" s="44">
        <f t="shared" si="234"/>
        <v>0</v>
      </c>
      <c r="IRL64" s="44">
        <f t="shared" si="234"/>
        <v>0</v>
      </c>
      <c r="IRM64" s="44">
        <f t="shared" si="234"/>
        <v>0</v>
      </c>
      <c r="IRN64" s="44">
        <f t="shared" si="234"/>
        <v>0</v>
      </c>
      <c r="IRO64" s="44">
        <f t="shared" si="234"/>
        <v>0</v>
      </c>
      <c r="IRP64" s="44">
        <f t="shared" si="234"/>
        <v>0</v>
      </c>
      <c r="IRQ64" s="44">
        <f t="shared" si="234"/>
        <v>0</v>
      </c>
      <c r="IRR64" s="44">
        <f t="shared" si="234"/>
        <v>0</v>
      </c>
      <c r="IRS64" s="44">
        <f t="shared" si="234"/>
        <v>0</v>
      </c>
      <c r="IRT64" s="44">
        <f t="shared" si="234"/>
        <v>0</v>
      </c>
      <c r="IRU64" s="44">
        <f t="shared" si="234"/>
        <v>0</v>
      </c>
      <c r="IRV64" s="44">
        <f t="shared" si="234"/>
        <v>0</v>
      </c>
      <c r="IRW64" s="44">
        <f t="shared" si="234"/>
        <v>0</v>
      </c>
      <c r="IRX64" s="44">
        <f t="shared" si="234"/>
        <v>0</v>
      </c>
      <c r="IRY64" s="44">
        <f t="shared" si="234"/>
        <v>0</v>
      </c>
      <c r="IRZ64" s="44">
        <f t="shared" si="234"/>
        <v>0</v>
      </c>
      <c r="ISA64" s="44">
        <f t="shared" si="234"/>
        <v>0</v>
      </c>
      <c r="ISB64" s="44">
        <f t="shared" si="234"/>
        <v>0</v>
      </c>
      <c r="ISC64" s="44">
        <f t="shared" si="234"/>
        <v>0</v>
      </c>
      <c r="ISD64" s="44">
        <f t="shared" si="234"/>
        <v>0</v>
      </c>
      <c r="ISE64" s="44">
        <f t="shared" si="234"/>
        <v>0</v>
      </c>
      <c r="ISF64" s="44">
        <f t="shared" si="234"/>
        <v>0</v>
      </c>
      <c r="ISG64" s="44">
        <f t="shared" si="234"/>
        <v>0</v>
      </c>
      <c r="ISH64" s="44">
        <f t="shared" si="234"/>
        <v>0</v>
      </c>
      <c r="ISI64" s="44">
        <f t="shared" si="234"/>
        <v>0</v>
      </c>
      <c r="ISJ64" s="44">
        <f t="shared" si="234"/>
        <v>0</v>
      </c>
      <c r="ISK64" s="44">
        <f t="shared" si="234"/>
        <v>0</v>
      </c>
      <c r="ISL64" s="44">
        <f t="shared" si="234"/>
        <v>0</v>
      </c>
      <c r="ISM64" s="44">
        <f t="shared" si="234"/>
        <v>0</v>
      </c>
      <c r="ISN64" s="44">
        <f t="shared" si="234"/>
        <v>0</v>
      </c>
      <c r="ISO64" s="44">
        <f t="shared" si="234"/>
        <v>0</v>
      </c>
      <c r="ISP64" s="44">
        <f t="shared" si="234"/>
        <v>0</v>
      </c>
      <c r="ISQ64" s="44">
        <f t="shared" si="234"/>
        <v>0</v>
      </c>
      <c r="ISR64" s="44">
        <f t="shared" si="234"/>
        <v>0</v>
      </c>
      <c r="ISS64" s="44">
        <f t="shared" si="234"/>
        <v>0</v>
      </c>
      <c r="IST64" s="44">
        <f t="shared" si="234"/>
        <v>0</v>
      </c>
      <c r="ISU64" s="44">
        <f t="shared" si="234"/>
        <v>0</v>
      </c>
      <c r="ISV64" s="44">
        <f t="shared" si="234"/>
        <v>0</v>
      </c>
      <c r="ISW64" s="44">
        <f t="shared" si="234"/>
        <v>0</v>
      </c>
      <c r="ISX64" s="44">
        <f t="shared" si="234"/>
        <v>0</v>
      </c>
      <c r="ISY64" s="44">
        <f t="shared" si="234"/>
        <v>0</v>
      </c>
      <c r="ISZ64" s="44">
        <f t="shared" si="234"/>
        <v>0</v>
      </c>
      <c r="ITA64" s="44">
        <f t="shared" si="234"/>
        <v>0</v>
      </c>
      <c r="ITB64" s="44">
        <f t="shared" si="234"/>
        <v>0</v>
      </c>
      <c r="ITC64" s="44">
        <f t="shared" si="234"/>
        <v>0</v>
      </c>
      <c r="ITD64" s="44">
        <f t="shared" si="234"/>
        <v>0</v>
      </c>
      <c r="ITE64" s="44">
        <f t="shared" si="234"/>
        <v>0</v>
      </c>
      <c r="ITF64" s="44">
        <f t="shared" si="234"/>
        <v>0</v>
      </c>
      <c r="ITG64" s="44">
        <f t="shared" si="234"/>
        <v>0</v>
      </c>
      <c r="ITH64" s="44">
        <f t="shared" si="234"/>
        <v>0</v>
      </c>
      <c r="ITI64" s="44">
        <f t="shared" si="234"/>
        <v>0</v>
      </c>
      <c r="ITJ64" s="44">
        <f t="shared" ref="ITJ64:IVU64" si="235">SUM(ITJ56:ITJ57)</f>
        <v>0</v>
      </c>
      <c r="ITK64" s="44">
        <f t="shared" si="235"/>
        <v>0</v>
      </c>
      <c r="ITL64" s="44">
        <f t="shared" si="235"/>
        <v>0</v>
      </c>
      <c r="ITM64" s="44">
        <f t="shared" si="235"/>
        <v>0</v>
      </c>
      <c r="ITN64" s="44">
        <f t="shared" si="235"/>
        <v>0</v>
      </c>
      <c r="ITO64" s="44">
        <f t="shared" si="235"/>
        <v>0</v>
      </c>
      <c r="ITP64" s="44">
        <f t="shared" si="235"/>
        <v>0</v>
      </c>
      <c r="ITQ64" s="44">
        <f t="shared" si="235"/>
        <v>0</v>
      </c>
      <c r="ITR64" s="44">
        <f t="shared" si="235"/>
        <v>0</v>
      </c>
      <c r="ITS64" s="44">
        <f t="shared" si="235"/>
        <v>0</v>
      </c>
      <c r="ITT64" s="44">
        <f t="shared" si="235"/>
        <v>0</v>
      </c>
      <c r="ITU64" s="44">
        <f t="shared" si="235"/>
        <v>0</v>
      </c>
      <c r="ITV64" s="44">
        <f t="shared" si="235"/>
        <v>0</v>
      </c>
      <c r="ITW64" s="44">
        <f t="shared" si="235"/>
        <v>0</v>
      </c>
      <c r="ITX64" s="44">
        <f t="shared" si="235"/>
        <v>0</v>
      </c>
      <c r="ITY64" s="44">
        <f t="shared" si="235"/>
        <v>0</v>
      </c>
      <c r="ITZ64" s="44">
        <f t="shared" si="235"/>
        <v>0</v>
      </c>
      <c r="IUA64" s="44">
        <f t="shared" si="235"/>
        <v>0</v>
      </c>
      <c r="IUB64" s="44">
        <f t="shared" si="235"/>
        <v>0</v>
      </c>
      <c r="IUC64" s="44">
        <f t="shared" si="235"/>
        <v>0</v>
      </c>
      <c r="IUD64" s="44">
        <f t="shared" si="235"/>
        <v>0</v>
      </c>
      <c r="IUE64" s="44">
        <f t="shared" si="235"/>
        <v>0</v>
      </c>
      <c r="IUF64" s="44">
        <f t="shared" si="235"/>
        <v>0</v>
      </c>
      <c r="IUG64" s="44">
        <f t="shared" si="235"/>
        <v>0</v>
      </c>
      <c r="IUH64" s="44">
        <f t="shared" si="235"/>
        <v>0</v>
      </c>
      <c r="IUI64" s="44">
        <f t="shared" si="235"/>
        <v>0</v>
      </c>
      <c r="IUJ64" s="44">
        <f t="shared" si="235"/>
        <v>0</v>
      </c>
      <c r="IUK64" s="44">
        <f t="shared" si="235"/>
        <v>0</v>
      </c>
      <c r="IUL64" s="44">
        <f t="shared" si="235"/>
        <v>0</v>
      </c>
      <c r="IUM64" s="44">
        <f t="shared" si="235"/>
        <v>0</v>
      </c>
      <c r="IUN64" s="44">
        <f t="shared" si="235"/>
        <v>0</v>
      </c>
      <c r="IUO64" s="44">
        <f t="shared" si="235"/>
        <v>0</v>
      </c>
      <c r="IUP64" s="44">
        <f t="shared" si="235"/>
        <v>0</v>
      </c>
      <c r="IUQ64" s="44">
        <f t="shared" si="235"/>
        <v>0</v>
      </c>
      <c r="IUR64" s="44">
        <f t="shared" si="235"/>
        <v>0</v>
      </c>
      <c r="IUS64" s="44">
        <f t="shared" si="235"/>
        <v>0</v>
      </c>
      <c r="IUT64" s="44">
        <f t="shared" si="235"/>
        <v>0</v>
      </c>
      <c r="IUU64" s="44">
        <f t="shared" si="235"/>
        <v>0</v>
      </c>
      <c r="IUV64" s="44">
        <f t="shared" si="235"/>
        <v>0</v>
      </c>
      <c r="IUW64" s="44">
        <f t="shared" si="235"/>
        <v>0</v>
      </c>
      <c r="IUX64" s="44">
        <f t="shared" si="235"/>
        <v>0</v>
      </c>
      <c r="IUY64" s="44">
        <f t="shared" si="235"/>
        <v>0</v>
      </c>
      <c r="IUZ64" s="44">
        <f t="shared" si="235"/>
        <v>0</v>
      </c>
      <c r="IVA64" s="44">
        <f t="shared" si="235"/>
        <v>0</v>
      </c>
      <c r="IVB64" s="44">
        <f t="shared" si="235"/>
        <v>0</v>
      </c>
      <c r="IVC64" s="44">
        <f t="shared" si="235"/>
        <v>0</v>
      </c>
      <c r="IVD64" s="44">
        <f t="shared" si="235"/>
        <v>0</v>
      </c>
      <c r="IVE64" s="44">
        <f t="shared" si="235"/>
        <v>0</v>
      </c>
      <c r="IVF64" s="44">
        <f t="shared" si="235"/>
        <v>0</v>
      </c>
      <c r="IVG64" s="44">
        <f t="shared" si="235"/>
        <v>0</v>
      </c>
      <c r="IVH64" s="44">
        <f t="shared" si="235"/>
        <v>0</v>
      </c>
      <c r="IVI64" s="44">
        <f t="shared" si="235"/>
        <v>0</v>
      </c>
      <c r="IVJ64" s="44">
        <f t="shared" si="235"/>
        <v>0</v>
      </c>
      <c r="IVK64" s="44">
        <f t="shared" si="235"/>
        <v>0</v>
      </c>
      <c r="IVL64" s="44">
        <f t="shared" si="235"/>
        <v>0</v>
      </c>
      <c r="IVM64" s="44">
        <f t="shared" si="235"/>
        <v>0</v>
      </c>
      <c r="IVN64" s="44">
        <f t="shared" si="235"/>
        <v>0</v>
      </c>
      <c r="IVO64" s="44">
        <f t="shared" si="235"/>
        <v>0</v>
      </c>
      <c r="IVP64" s="44">
        <f t="shared" si="235"/>
        <v>0</v>
      </c>
      <c r="IVQ64" s="44">
        <f t="shared" si="235"/>
        <v>0</v>
      </c>
      <c r="IVR64" s="44">
        <f t="shared" si="235"/>
        <v>0</v>
      </c>
      <c r="IVS64" s="44">
        <f t="shared" si="235"/>
        <v>0</v>
      </c>
      <c r="IVT64" s="44">
        <f t="shared" si="235"/>
        <v>0</v>
      </c>
      <c r="IVU64" s="44">
        <f t="shared" si="235"/>
        <v>0</v>
      </c>
      <c r="IVV64" s="44">
        <f t="shared" ref="IVV64:IYG64" si="236">SUM(IVV56:IVV57)</f>
        <v>0</v>
      </c>
      <c r="IVW64" s="44">
        <f t="shared" si="236"/>
        <v>0</v>
      </c>
      <c r="IVX64" s="44">
        <f t="shared" si="236"/>
        <v>0</v>
      </c>
      <c r="IVY64" s="44">
        <f t="shared" si="236"/>
        <v>0</v>
      </c>
      <c r="IVZ64" s="44">
        <f t="shared" si="236"/>
        <v>0</v>
      </c>
      <c r="IWA64" s="44">
        <f t="shared" si="236"/>
        <v>0</v>
      </c>
      <c r="IWB64" s="44">
        <f t="shared" si="236"/>
        <v>0</v>
      </c>
      <c r="IWC64" s="44">
        <f t="shared" si="236"/>
        <v>0</v>
      </c>
      <c r="IWD64" s="44">
        <f t="shared" si="236"/>
        <v>0</v>
      </c>
      <c r="IWE64" s="44">
        <f t="shared" si="236"/>
        <v>0</v>
      </c>
      <c r="IWF64" s="44">
        <f t="shared" si="236"/>
        <v>0</v>
      </c>
      <c r="IWG64" s="44">
        <f t="shared" si="236"/>
        <v>0</v>
      </c>
      <c r="IWH64" s="44">
        <f t="shared" si="236"/>
        <v>0</v>
      </c>
      <c r="IWI64" s="44">
        <f t="shared" si="236"/>
        <v>0</v>
      </c>
      <c r="IWJ64" s="44">
        <f t="shared" si="236"/>
        <v>0</v>
      </c>
      <c r="IWK64" s="44">
        <f t="shared" si="236"/>
        <v>0</v>
      </c>
      <c r="IWL64" s="44">
        <f t="shared" si="236"/>
        <v>0</v>
      </c>
      <c r="IWM64" s="44">
        <f t="shared" si="236"/>
        <v>0</v>
      </c>
      <c r="IWN64" s="44">
        <f t="shared" si="236"/>
        <v>0</v>
      </c>
      <c r="IWO64" s="44">
        <f t="shared" si="236"/>
        <v>0</v>
      </c>
      <c r="IWP64" s="44">
        <f t="shared" si="236"/>
        <v>0</v>
      </c>
      <c r="IWQ64" s="44">
        <f t="shared" si="236"/>
        <v>0</v>
      </c>
      <c r="IWR64" s="44">
        <f t="shared" si="236"/>
        <v>0</v>
      </c>
      <c r="IWS64" s="44">
        <f t="shared" si="236"/>
        <v>0</v>
      </c>
      <c r="IWT64" s="44">
        <f t="shared" si="236"/>
        <v>0</v>
      </c>
      <c r="IWU64" s="44">
        <f t="shared" si="236"/>
        <v>0</v>
      </c>
      <c r="IWV64" s="44">
        <f t="shared" si="236"/>
        <v>0</v>
      </c>
      <c r="IWW64" s="44">
        <f t="shared" si="236"/>
        <v>0</v>
      </c>
      <c r="IWX64" s="44">
        <f t="shared" si="236"/>
        <v>0</v>
      </c>
      <c r="IWY64" s="44">
        <f t="shared" si="236"/>
        <v>0</v>
      </c>
      <c r="IWZ64" s="44">
        <f t="shared" si="236"/>
        <v>0</v>
      </c>
      <c r="IXA64" s="44">
        <f t="shared" si="236"/>
        <v>0</v>
      </c>
      <c r="IXB64" s="44">
        <f t="shared" si="236"/>
        <v>0</v>
      </c>
      <c r="IXC64" s="44">
        <f t="shared" si="236"/>
        <v>0</v>
      </c>
      <c r="IXD64" s="44">
        <f t="shared" si="236"/>
        <v>0</v>
      </c>
      <c r="IXE64" s="44">
        <f t="shared" si="236"/>
        <v>0</v>
      </c>
      <c r="IXF64" s="44">
        <f t="shared" si="236"/>
        <v>0</v>
      </c>
      <c r="IXG64" s="44">
        <f t="shared" si="236"/>
        <v>0</v>
      </c>
      <c r="IXH64" s="44">
        <f t="shared" si="236"/>
        <v>0</v>
      </c>
      <c r="IXI64" s="44">
        <f t="shared" si="236"/>
        <v>0</v>
      </c>
      <c r="IXJ64" s="44">
        <f t="shared" si="236"/>
        <v>0</v>
      </c>
      <c r="IXK64" s="44">
        <f t="shared" si="236"/>
        <v>0</v>
      </c>
      <c r="IXL64" s="44">
        <f t="shared" si="236"/>
        <v>0</v>
      </c>
      <c r="IXM64" s="44">
        <f t="shared" si="236"/>
        <v>0</v>
      </c>
      <c r="IXN64" s="44">
        <f t="shared" si="236"/>
        <v>0</v>
      </c>
      <c r="IXO64" s="44">
        <f t="shared" si="236"/>
        <v>0</v>
      </c>
      <c r="IXP64" s="44">
        <f t="shared" si="236"/>
        <v>0</v>
      </c>
      <c r="IXQ64" s="44">
        <f t="shared" si="236"/>
        <v>0</v>
      </c>
      <c r="IXR64" s="44">
        <f t="shared" si="236"/>
        <v>0</v>
      </c>
      <c r="IXS64" s="44">
        <f t="shared" si="236"/>
        <v>0</v>
      </c>
      <c r="IXT64" s="44">
        <f t="shared" si="236"/>
        <v>0</v>
      </c>
      <c r="IXU64" s="44">
        <f t="shared" si="236"/>
        <v>0</v>
      </c>
      <c r="IXV64" s="44">
        <f t="shared" si="236"/>
        <v>0</v>
      </c>
      <c r="IXW64" s="44">
        <f t="shared" si="236"/>
        <v>0</v>
      </c>
      <c r="IXX64" s="44">
        <f t="shared" si="236"/>
        <v>0</v>
      </c>
      <c r="IXY64" s="44">
        <f t="shared" si="236"/>
        <v>0</v>
      </c>
      <c r="IXZ64" s="44">
        <f t="shared" si="236"/>
        <v>0</v>
      </c>
      <c r="IYA64" s="44">
        <f t="shared" si="236"/>
        <v>0</v>
      </c>
      <c r="IYB64" s="44">
        <f t="shared" si="236"/>
        <v>0</v>
      </c>
      <c r="IYC64" s="44">
        <f t="shared" si="236"/>
        <v>0</v>
      </c>
      <c r="IYD64" s="44">
        <f t="shared" si="236"/>
        <v>0</v>
      </c>
      <c r="IYE64" s="44">
        <f t="shared" si="236"/>
        <v>0</v>
      </c>
      <c r="IYF64" s="44">
        <f t="shared" si="236"/>
        <v>0</v>
      </c>
      <c r="IYG64" s="44">
        <f t="shared" si="236"/>
        <v>0</v>
      </c>
      <c r="IYH64" s="44">
        <f t="shared" ref="IYH64:JAS64" si="237">SUM(IYH56:IYH57)</f>
        <v>0</v>
      </c>
      <c r="IYI64" s="44">
        <f t="shared" si="237"/>
        <v>0</v>
      </c>
      <c r="IYJ64" s="44">
        <f t="shared" si="237"/>
        <v>0</v>
      </c>
      <c r="IYK64" s="44">
        <f t="shared" si="237"/>
        <v>0</v>
      </c>
      <c r="IYL64" s="44">
        <f t="shared" si="237"/>
        <v>0</v>
      </c>
      <c r="IYM64" s="44">
        <f t="shared" si="237"/>
        <v>0</v>
      </c>
      <c r="IYN64" s="44">
        <f t="shared" si="237"/>
        <v>0</v>
      </c>
      <c r="IYO64" s="44">
        <f t="shared" si="237"/>
        <v>0</v>
      </c>
      <c r="IYP64" s="44">
        <f t="shared" si="237"/>
        <v>0</v>
      </c>
      <c r="IYQ64" s="44">
        <f t="shared" si="237"/>
        <v>0</v>
      </c>
      <c r="IYR64" s="44">
        <f t="shared" si="237"/>
        <v>0</v>
      </c>
      <c r="IYS64" s="44">
        <f t="shared" si="237"/>
        <v>0</v>
      </c>
      <c r="IYT64" s="44">
        <f t="shared" si="237"/>
        <v>0</v>
      </c>
      <c r="IYU64" s="44">
        <f t="shared" si="237"/>
        <v>0</v>
      </c>
      <c r="IYV64" s="44">
        <f t="shared" si="237"/>
        <v>0</v>
      </c>
      <c r="IYW64" s="44">
        <f t="shared" si="237"/>
        <v>0</v>
      </c>
      <c r="IYX64" s="44">
        <f t="shared" si="237"/>
        <v>0</v>
      </c>
      <c r="IYY64" s="44">
        <f t="shared" si="237"/>
        <v>0</v>
      </c>
      <c r="IYZ64" s="44">
        <f t="shared" si="237"/>
        <v>0</v>
      </c>
      <c r="IZA64" s="44">
        <f t="shared" si="237"/>
        <v>0</v>
      </c>
      <c r="IZB64" s="44">
        <f t="shared" si="237"/>
        <v>0</v>
      </c>
      <c r="IZC64" s="44">
        <f t="shared" si="237"/>
        <v>0</v>
      </c>
      <c r="IZD64" s="44">
        <f t="shared" si="237"/>
        <v>0</v>
      </c>
      <c r="IZE64" s="44">
        <f t="shared" si="237"/>
        <v>0</v>
      </c>
      <c r="IZF64" s="44">
        <f t="shared" si="237"/>
        <v>0</v>
      </c>
      <c r="IZG64" s="44">
        <f t="shared" si="237"/>
        <v>0</v>
      </c>
      <c r="IZH64" s="44">
        <f t="shared" si="237"/>
        <v>0</v>
      </c>
      <c r="IZI64" s="44">
        <f t="shared" si="237"/>
        <v>0</v>
      </c>
      <c r="IZJ64" s="44">
        <f t="shared" si="237"/>
        <v>0</v>
      </c>
      <c r="IZK64" s="44">
        <f t="shared" si="237"/>
        <v>0</v>
      </c>
      <c r="IZL64" s="44">
        <f t="shared" si="237"/>
        <v>0</v>
      </c>
      <c r="IZM64" s="44">
        <f t="shared" si="237"/>
        <v>0</v>
      </c>
      <c r="IZN64" s="44">
        <f t="shared" si="237"/>
        <v>0</v>
      </c>
      <c r="IZO64" s="44">
        <f t="shared" si="237"/>
        <v>0</v>
      </c>
      <c r="IZP64" s="44">
        <f t="shared" si="237"/>
        <v>0</v>
      </c>
      <c r="IZQ64" s="44">
        <f t="shared" si="237"/>
        <v>0</v>
      </c>
      <c r="IZR64" s="44">
        <f t="shared" si="237"/>
        <v>0</v>
      </c>
      <c r="IZS64" s="44">
        <f t="shared" si="237"/>
        <v>0</v>
      </c>
      <c r="IZT64" s="44">
        <f t="shared" si="237"/>
        <v>0</v>
      </c>
      <c r="IZU64" s="44">
        <f t="shared" si="237"/>
        <v>0</v>
      </c>
      <c r="IZV64" s="44">
        <f t="shared" si="237"/>
        <v>0</v>
      </c>
      <c r="IZW64" s="44">
        <f t="shared" si="237"/>
        <v>0</v>
      </c>
      <c r="IZX64" s="44">
        <f t="shared" si="237"/>
        <v>0</v>
      </c>
      <c r="IZY64" s="44">
        <f t="shared" si="237"/>
        <v>0</v>
      </c>
      <c r="IZZ64" s="44">
        <f t="shared" si="237"/>
        <v>0</v>
      </c>
      <c r="JAA64" s="44">
        <f t="shared" si="237"/>
        <v>0</v>
      </c>
      <c r="JAB64" s="44">
        <f t="shared" si="237"/>
        <v>0</v>
      </c>
      <c r="JAC64" s="44">
        <f t="shared" si="237"/>
        <v>0</v>
      </c>
      <c r="JAD64" s="44">
        <f t="shared" si="237"/>
        <v>0</v>
      </c>
      <c r="JAE64" s="44">
        <f t="shared" si="237"/>
        <v>0</v>
      </c>
      <c r="JAF64" s="44">
        <f t="shared" si="237"/>
        <v>0</v>
      </c>
      <c r="JAG64" s="44">
        <f t="shared" si="237"/>
        <v>0</v>
      </c>
      <c r="JAH64" s="44">
        <f t="shared" si="237"/>
        <v>0</v>
      </c>
      <c r="JAI64" s="44">
        <f t="shared" si="237"/>
        <v>0</v>
      </c>
      <c r="JAJ64" s="44">
        <f t="shared" si="237"/>
        <v>0</v>
      </c>
      <c r="JAK64" s="44">
        <f t="shared" si="237"/>
        <v>0</v>
      </c>
      <c r="JAL64" s="44">
        <f t="shared" si="237"/>
        <v>0</v>
      </c>
      <c r="JAM64" s="44">
        <f t="shared" si="237"/>
        <v>0</v>
      </c>
      <c r="JAN64" s="44">
        <f t="shared" si="237"/>
        <v>0</v>
      </c>
      <c r="JAO64" s="44">
        <f t="shared" si="237"/>
        <v>0</v>
      </c>
      <c r="JAP64" s="44">
        <f t="shared" si="237"/>
        <v>0</v>
      </c>
      <c r="JAQ64" s="44">
        <f t="shared" si="237"/>
        <v>0</v>
      </c>
      <c r="JAR64" s="44">
        <f t="shared" si="237"/>
        <v>0</v>
      </c>
      <c r="JAS64" s="44">
        <f t="shared" si="237"/>
        <v>0</v>
      </c>
      <c r="JAT64" s="44">
        <f t="shared" ref="JAT64:JDE64" si="238">SUM(JAT56:JAT57)</f>
        <v>0</v>
      </c>
      <c r="JAU64" s="44">
        <f t="shared" si="238"/>
        <v>0</v>
      </c>
      <c r="JAV64" s="44">
        <f t="shared" si="238"/>
        <v>0</v>
      </c>
      <c r="JAW64" s="44">
        <f t="shared" si="238"/>
        <v>0</v>
      </c>
      <c r="JAX64" s="44">
        <f t="shared" si="238"/>
        <v>0</v>
      </c>
      <c r="JAY64" s="44">
        <f t="shared" si="238"/>
        <v>0</v>
      </c>
      <c r="JAZ64" s="44">
        <f t="shared" si="238"/>
        <v>0</v>
      </c>
      <c r="JBA64" s="44">
        <f t="shared" si="238"/>
        <v>0</v>
      </c>
      <c r="JBB64" s="44">
        <f t="shared" si="238"/>
        <v>0</v>
      </c>
      <c r="JBC64" s="44">
        <f t="shared" si="238"/>
        <v>0</v>
      </c>
      <c r="JBD64" s="44">
        <f t="shared" si="238"/>
        <v>0</v>
      </c>
      <c r="JBE64" s="44">
        <f t="shared" si="238"/>
        <v>0</v>
      </c>
      <c r="JBF64" s="44">
        <f t="shared" si="238"/>
        <v>0</v>
      </c>
      <c r="JBG64" s="44">
        <f t="shared" si="238"/>
        <v>0</v>
      </c>
      <c r="JBH64" s="44">
        <f t="shared" si="238"/>
        <v>0</v>
      </c>
      <c r="JBI64" s="44">
        <f t="shared" si="238"/>
        <v>0</v>
      </c>
      <c r="JBJ64" s="44">
        <f t="shared" si="238"/>
        <v>0</v>
      </c>
      <c r="JBK64" s="44">
        <f t="shared" si="238"/>
        <v>0</v>
      </c>
      <c r="JBL64" s="44">
        <f t="shared" si="238"/>
        <v>0</v>
      </c>
      <c r="JBM64" s="44">
        <f t="shared" si="238"/>
        <v>0</v>
      </c>
      <c r="JBN64" s="44">
        <f t="shared" si="238"/>
        <v>0</v>
      </c>
      <c r="JBO64" s="44">
        <f t="shared" si="238"/>
        <v>0</v>
      </c>
      <c r="JBP64" s="44">
        <f t="shared" si="238"/>
        <v>0</v>
      </c>
      <c r="JBQ64" s="44">
        <f t="shared" si="238"/>
        <v>0</v>
      </c>
      <c r="JBR64" s="44">
        <f t="shared" si="238"/>
        <v>0</v>
      </c>
      <c r="JBS64" s="44">
        <f t="shared" si="238"/>
        <v>0</v>
      </c>
      <c r="JBT64" s="44">
        <f t="shared" si="238"/>
        <v>0</v>
      </c>
      <c r="JBU64" s="44">
        <f t="shared" si="238"/>
        <v>0</v>
      </c>
      <c r="JBV64" s="44">
        <f t="shared" si="238"/>
        <v>0</v>
      </c>
      <c r="JBW64" s="44">
        <f t="shared" si="238"/>
        <v>0</v>
      </c>
      <c r="JBX64" s="44">
        <f t="shared" si="238"/>
        <v>0</v>
      </c>
      <c r="JBY64" s="44">
        <f t="shared" si="238"/>
        <v>0</v>
      </c>
      <c r="JBZ64" s="44">
        <f t="shared" si="238"/>
        <v>0</v>
      </c>
      <c r="JCA64" s="44">
        <f t="shared" si="238"/>
        <v>0</v>
      </c>
      <c r="JCB64" s="44">
        <f t="shared" si="238"/>
        <v>0</v>
      </c>
      <c r="JCC64" s="44">
        <f t="shared" si="238"/>
        <v>0</v>
      </c>
      <c r="JCD64" s="44">
        <f t="shared" si="238"/>
        <v>0</v>
      </c>
      <c r="JCE64" s="44">
        <f t="shared" si="238"/>
        <v>0</v>
      </c>
      <c r="JCF64" s="44">
        <f t="shared" si="238"/>
        <v>0</v>
      </c>
      <c r="JCG64" s="44">
        <f t="shared" si="238"/>
        <v>0</v>
      </c>
      <c r="JCH64" s="44">
        <f t="shared" si="238"/>
        <v>0</v>
      </c>
      <c r="JCI64" s="44">
        <f t="shared" si="238"/>
        <v>0</v>
      </c>
      <c r="JCJ64" s="44">
        <f t="shared" si="238"/>
        <v>0</v>
      </c>
      <c r="JCK64" s="44">
        <f t="shared" si="238"/>
        <v>0</v>
      </c>
      <c r="JCL64" s="44">
        <f t="shared" si="238"/>
        <v>0</v>
      </c>
      <c r="JCM64" s="44">
        <f t="shared" si="238"/>
        <v>0</v>
      </c>
      <c r="JCN64" s="44">
        <f t="shared" si="238"/>
        <v>0</v>
      </c>
      <c r="JCO64" s="44">
        <f t="shared" si="238"/>
        <v>0</v>
      </c>
      <c r="JCP64" s="44">
        <f t="shared" si="238"/>
        <v>0</v>
      </c>
      <c r="JCQ64" s="44">
        <f t="shared" si="238"/>
        <v>0</v>
      </c>
      <c r="JCR64" s="44">
        <f t="shared" si="238"/>
        <v>0</v>
      </c>
      <c r="JCS64" s="44">
        <f t="shared" si="238"/>
        <v>0</v>
      </c>
      <c r="JCT64" s="44">
        <f t="shared" si="238"/>
        <v>0</v>
      </c>
      <c r="JCU64" s="44">
        <f t="shared" si="238"/>
        <v>0</v>
      </c>
      <c r="JCV64" s="44">
        <f t="shared" si="238"/>
        <v>0</v>
      </c>
      <c r="JCW64" s="44">
        <f t="shared" si="238"/>
        <v>0</v>
      </c>
      <c r="JCX64" s="44">
        <f t="shared" si="238"/>
        <v>0</v>
      </c>
      <c r="JCY64" s="44">
        <f t="shared" si="238"/>
        <v>0</v>
      </c>
      <c r="JCZ64" s="44">
        <f t="shared" si="238"/>
        <v>0</v>
      </c>
      <c r="JDA64" s="44">
        <f t="shared" si="238"/>
        <v>0</v>
      </c>
      <c r="JDB64" s="44">
        <f t="shared" si="238"/>
        <v>0</v>
      </c>
      <c r="JDC64" s="44">
        <f t="shared" si="238"/>
        <v>0</v>
      </c>
      <c r="JDD64" s="44">
        <f t="shared" si="238"/>
        <v>0</v>
      </c>
      <c r="JDE64" s="44">
        <f t="shared" si="238"/>
        <v>0</v>
      </c>
      <c r="JDF64" s="44">
        <f t="shared" ref="JDF64:JFQ64" si="239">SUM(JDF56:JDF57)</f>
        <v>0</v>
      </c>
      <c r="JDG64" s="44">
        <f t="shared" si="239"/>
        <v>0</v>
      </c>
      <c r="JDH64" s="44">
        <f t="shared" si="239"/>
        <v>0</v>
      </c>
      <c r="JDI64" s="44">
        <f t="shared" si="239"/>
        <v>0</v>
      </c>
      <c r="JDJ64" s="44">
        <f t="shared" si="239"/>
        <v>0</v>
      </c>
      <c r="JDK64" s="44">
        <f t="shared" si="239"/>
        <v>0</v>
      </c>
      <c r="JDL64" s="44">
        <f t="shared" si="239"/>
        <v>0</v>
      </c>
      <c r="JDM64" s="44">
        <f t="shared" si="239"/>
        <v>0</v>
      </c>
      <c r="JDN64" s="44">
        <f t="shared" si="239"/>
        <v>0</v>
      </c>
      <c r="JDO64" s="44">
        <f t="shared" si="239"/>
        <v>0</v>
      </c>
      <c r="JDP64" s="44">
        <f t="shared" si="239"/>
        <v>0</v>
      </c>
      <c r="JDQ64" s="44">
        <f t="shared" si="239"/>
        <v>0</v>
      </c>
      <c r="JDR64" s="44">
        <f t="shared" si="239"/>
        <v>0</v>
      </c>
      <c r="JDS64" s="44">
        <f t="shared" si="239"/>
        <v>0</v>
      </c>
      <c r="JDT64" s="44">
        <f t="shared" si="239"/>
        <v>0</v>
      </c>
      <c r="JDU64" s="44">
        <f t="shared" si="239"/>
        <v>0</v>
      </c>
      <c r="JDV64" s="44">
        <f t="shared" si="239"/>
        <v>0</v>
      </c>
      <c r="JDW64" s="44">
        <f t="shared" si="239"/>
        <v>0</v>
      </c>
      <c r="JDX64" s="44">
        <f t="shared" si="239"/>
        <v>0</v>
      </c>
      <c r="JDY64" s="44">
        <f t="shared" si="239"/>
        <v>0</v>
      </c>
      <c r="JDZ64" s="44">
        <f t="shared" si="239"/>
        <v>0</v>
      </c>
      <c r="JEA64" s="44">
        <f t="shared" si="239"/>
        <v>0</v>
      </c>
      <c r="JEB64" s="44">
        <f t="shared" si="239"/>
        <v>0</v>
      </c>
      <c r="JEC64" s="44">
        <f t="shared" si="239"/>
        <v>0</v>
      </c>
      <c r="JED64" s="44">
        <f t="shared" si="239"/>
        <v>0</v>
      </c>
      <c r="JEE64" s="44">
        <f t="shared" si="239"/>
        <v>0</v>
      </c>
      <c r="JEF64" s="44">
        <f t="shared" si="239"/>
        <v>0</v>
      </c>
      <c r="JEG64" s="44">
        <f t="shared" si="239"/>
        <v>0</v>
      </c>
      <c r="JEH64" s="44">
        <f t="shared" si="239"/>
        <v>0</v>
      </c>
      <c r="JEI64" s="44">
        <f t="shared" si="239"/>
        <v>0</v>
      </c>
      <c r="JEJ64" s="44">
        <f t="shared" si="239"/>
        <v>0</v>
      </c>
      <c r="JEK64" s="44">
        <f t="shared" si="239"/>
        <v>0</v>
      </c>
      <c r="JEL64" s="44">
        <f t="shared" si="239"/>
        <v>0</v>
      </c>
      <c r="JEM64" s="44">
        <f t="shared" si="239"/>
        <v>0</v>
      </c>
      <c r="JEN64" s="44">
        <f t="shared" si="239"/>
        <v>0</v>
      </c>
      <c r="JEO64" s="44">
        <f t="shared" si="239"/>
        <v>0</v>
      </c>
      <c r="JEP64" s="44">
        <f t="shared" si="239"/>
        <v>0</v>
      </c>
      <c r="JEQ64" s="44">
        <f t="shared" si="239"/>
        <v>0</v>
      </c>
      <c r="JER64" s="44">
        <f t="shared" si="239"/>
        <v>0</v>
      </c>
      <c r="JES64" s="44">
        <f t="shared" si="239"/>
        <v>0</v>
      </c>
      <c r="JET64" s="44">
        <f t="shared" si="239"/>
        <v>0</v>
      </c>
      <c r="JEU64" s="44">
        <f t="shared" si="239"/>
        <v>0</v>
      </c>
      <c r="JEV64" s="44">
        <f t="shared" si="239"/>
        <v>0</v>
      </c>
      <c r="JEW64" s="44">
        <f t="shared" si="239"/>
        <v>0</v>
      </c>
      <c r="JEX64" s="44">
        <f t="shared" si="239"/>
        <v>0</v>
      </c>
      <c r="JEY64" s="44">
        <f t="shared" si="239"/>
        <v>0</v>
      </c>
      <c r="JEZ64" s="44">
        <f t="shared" si="239"/>
        <v>0</v>
      </c>
      <c r="JFA64" s="44">
        <f t="shared" si="239"/>
        <v>0</v>
      </c>
      <c r="JFB64" s="44">
        <f t="shared" si="239"/>
        <v>0</v>
      </c>
      <c r="JFC64" s="44">
        <f t="shared" si="239"/>
        <v>0</v>
      </c>
      <c r="JFD64" s="44">
        <f t="shared" si="239"/>
        <v>0</v>
      </c>
      <c r="JFE64" s="44">
        <f t="shared" si="239"/>
        <v>0</v>
      </c>
      <c r="JFF64" s="44">
        <f t="shared" si="239"/>
        <v>0</v>
      </c>
      <c r="JFG64" s="44">
        <f t="shared" si="239"/>
        <v>0</v>
      </c>
      <c r="JFH64" s="44">
        <f t="shared" si="239"/>
        <v>0</v>
      </c>
      <c r="JFI64" s="44">
        <f t="shared" si="239"/>
        <v>0</v>
      </c>
      <c r="JFJ64" s="44">
        <f t="shared" si="239"/>
        <v>0</v>
      </c>
      <c r="JFK64" s="44">
        <f t="shared" si="239"/>
        <v>0</v>
      </c>
      <c r="JFL64" s="44">
        <f t="shared" si="239"/>
        <v>0</v>
      </c>
      <c r="JFM64" s="44">
        <f t="shared" si="239"/>
        <v>0</v>
      </c>
      <c r="JFN64" s="44">
        <f t="shared" si="239"/>
        <v>0</v>
      </c>
      <c r="JFO64" s="44">
        <f t="shared" si="239"/>
        <v>0</v>
      </c>
      <c r="JFP64" s="44">
        <f t="shared" si="239"/>
        <v>0</v>
      </c>
      <c r="JFQ64" s="44">
        <f t="shared" si="239"/>
        <v>0</v>
      </c>
      <c r="JFR64" s="44">
        <f t="shared" ref="JFR64:JIC64" si="240">SUM(JFR56:JFR57)</f>
        <v>0</v>
      </c>
      <c r="JFS64" s="44">
        <f t="shared" si="240"/>
        <v>0</v>
      </c>
      <c r="JFT64" s="44">
        <f t="shared" si="240"/>
        <v>0</v>
      </c>
      <c r="JFU64" s="44">
        <f t="shared" si="240"/>
        <v>0</v>
      </c>
      <c r="JFV64" s="44">
        <f t="shared" si="240"/>
        <v>0</v>
      </c>
      <c r="JFW64" s="44">
        <f t="shared" si="240"/>
        <v>0</v>
      </c>
      <c r="JFX64" s="44">
        <f t="shared" si="240"/>
        <v>0</v>
      </c>
      <c r="JFY64" s="44">
        <f t="shared" si="240"/>
        <v>0</v>
      </c>
      <c r="JFZ64" s="44">
        <f t="shared" si="240"/>
        <v>0</v>
      </c>
      <c r="JGA64" s="44">
        <f t="shared" si="240"/>
        <v>0</v>
      </c>
      <c r="JGB64" s="44">
        <f t="shared" si="240"/>
        <v>0</v>
      </c>
      <c r="JGC64" s="44">
        <f t="shared" si="240"/>
        <v>0</v>
      </c>
      <c r="JGD64" s="44">
        <f t="shared" si="240"/>
        <v>0</v>
      </c>
      <c r="JGE64" s="44">
        <f t="shared" si="240"/>
        <v>0</v>
      </c>
      <c r="JGF64" s="44">
        <f t="shared" si="240"/>
        <v>0</v>
      </c>
      <c r="JGG64" s="44">
        <f t="shared" si="240"/>
        <v>0</v>
      </c>
      <c r="JGH64" s="44">
        <f t="shared" si="240"/>
        <v>0</v>
      </c>
      <c r="JGI64" s="44">
        <f t="shared" si="240"/>
        <v>0</v>
      </c>
      <c r="JGJ64" s="44">
        <f t="shared" si="240"/>
        <v>0</v>
      </c>
      <c r="JGK64" s="44">
        <f t="shared" si="240"/>
        <v>0</v>
      </c>
      <c r="JGL64" s="44">
        <f t="shared" si="240"/>
        <v>0</v>
      </c>
      <c r="JGM64" s="44">
        <f t="shared" si="240"/>
        <v>0</v>
      </c>
      <c r="JGN64" s="44">
        <f t="shared" si="240"/>
        <v>0</v>
      </c>
      <c r="JGO64" s="44">
        <f t="shared" si="240"/>
        <v>0</v>
      </c>
      <c r="JGP64" s="44">
        <f t="shared" si="240"/>
        <v>0</v>
      </c>
      <c r="JGQ64" s="44">
        <f t="shared" si="240"/>
        <v>0</v>
      </c>
      <c r="JGR64" s="44">
        <f t="shared" si="240"/>
        <v>0</v>
      </c>
      <c r="JGS64" s="44">
        <f t="shared" si="240"/>
        <v>0</v>
      </c>
      <c r="JGT64" s="44">
        <f t="shared" si="240"/>
        <v>0</v>
      </c>
      <c r="JGU64" s="44">
        <f t="shared" si="240"/>
        <v>0</v>
      </c>
      <c r="JGV64" s="44">
        <f t="shared" si="240"/>
        <v>0</v>
      </c>
      <c r="JGW64" s="44">
        <f t="shared" si="240"/>
        <v>0</v>
      </c>
      <c r="JGX64" s="44">
        <f t="shared" si="240"/>
        <v>0</v>
      </c>
      <c r="JGY64" s="44">
        <f t="shared" si="240"/>
        <v>0</v>
      </c>
      <c r="JGZ64" s="44">
        <f t="shared" si="240"/>
        <v>0</v>
      </c>
      <c r="JHA64" s="44">
        <f t="shared" si="240"/>
        <v>0</v>
      </c>
      <c r="JHB64" s="44">
        <f t="shared" si="240"/>
        <v>0</v>
      </c>
      <c r="JHC64" s="44">
        <f t="shared" si="240"/>
        <v>0</v>
      </c>
      <c r="JHD64" s="44">
        <f t="shared" si="240"/>
        <v>0</v>
      </c>
      <c r="JHE64" s="44">
        <f t="shared" si="240"/>
        <v>0</v>
      </c>
      <c r="JHF64" s="44">
        <f t="shared" si="240"/>
        <v>0</v>
      </c>
      <c r="JHG64" s="44">
        <f t="shared" si="240"/>
        <v>0</v>
      </c>
      <c r="JHH64" s="44">
        <f t="shared" si="240"/>
        <v>0</v>
      </c>
      <c r="JHI64" s="44">
        <f t="shared" si="240"/>
        <v>0</v>
      </c>
      <c r="JHJ64" s="44">
        <f t="shared" si="240"/>
        <v>0</v>
      </c>
      <c r="JHK64" s="44">
        <f t="shared" si="240"/>
        <v>0</v>
      </c>
      <c r="JHL64" s="44">
        <f t="shared" si="240"/>
        <v>0</v>
      </c>
      <c r="JHM64" s="44">
        <f t="shared" si="240"/>
        <v>0</v>
      </c>
      <c r="JHN64" s="44">
        <f t="shared" si="240"/>
        <v>0</v>
      </c>
      <c r="JHO64" s="44">
        <f t="shared" si="240"/>
        <v>0</v>
      </c>
      <c r="JHP64" s="44">
        <f t="shared" si="240"/>
        <v>0</v>
      </c>
      <c r="JHQ64" s="44">
        <f t="shared" si="240"/>
        <v>0</v>
      </c>
      <c r="JHR64" s="44">
        <f t="shared" si="240"/>
        <v>0</v>
      </c>
      <c r="JHS64" s="44">
        <f t="shared" si="240"/>
        <v>0</v>
      </c>
      <c r="JHT64" s="44">
        <f t="shared" si="240"/>
        <v>0</v>
      </c>
      <c r="JHU64" s="44">
        <f t="shared" si="240"/>
        <v>0</v>
      </c>
      <c r="JHV64" s="44">
        <f t="shared" si="240"/>
        <v>0</v>
      </c>
      <c r="JHW64" s="44">
        <f t="shared" si="240"/>
        <v>0</v>
      </c>
      <c r="JHX64" s="44">
        <f t="shared" si="240"/>
        <v>0</v>
      </c>
      <c r="JHY64" s="44">
        <f t="shared" si="240"/>
        <v>0</v>
      </c>
      <c r="JHZ64" s="44">
        <f t="shared" si="240"/>
        <v>0</v>
      </c>
      <c r="JIA64" s="44">
        <f t="shared" si="240"/>
        <v>0</v>
      </c>
      <c r="JIB64" s="44">
        <f t="shared" si="240"/>
        <v>0</v>
      </c>
      <c r="JIC64" s="44">
        <f t="shared" si="240"/>
        <v>0</v>
      </c>
      <c r="JID64" s="44">
        <f t="shared" ref="JID64:JKO64" si="241">SUM(JID56:JID57)</f>
        <v>0</v>
      </c>
      <c r="JIE64" s="44">
        <f t="shared" si="241"/>
        <v>0</v>
      </c>
      <c r="JIF64" s="44">
        <f t="shared" si="241"/>
        <v>0</v>
      </c>
      <c r="JIG64" s="44">
        <f t="shared" si="241"/>
        <v>0</v>
      </c>
      <c r="JIH64" s="44">
        <f t="shared" si="241"/>
        <v>0</v>
      </c>
      <c r="JII64" s="44">
        <f t="shared" si="241"/>
        <v>0</v>
      </c>
      <c r="JIJ64" s="44">
        <f t="shared" si="241"/>
        <v>0</v>
      </c>
      <c r="JIK64" s="44">
        <f t="shared" si="241"/>
        <v>0</v>
      </c>
      <c r="JIL64" s="44">
        <f t="shared" si="241"/>
        <v>0</v>
      </c>
      <c r="JIM64" s="44">
        <f t="shared" si="241"/>
        <v>0</v>
      </c>
      <c r="JIN64" s="44">
        <f t="shared" si="241"/>
        <v>0</v>
      </c>
      <c r="JIO64" s="44">
        <f t="shared" si="241"/>
        <v>0</v>
      </c>
      <c r="JIP64" s="44">
        <f t="shared" si="241"/>
        <v>0</v>
      </c>
      <c r="JIQ64" s="44">
        <f t="shared" si="241"/>
        <v>0</v>
      </c>
      <c r="JIR64" s="44">
        <f t="shared" si="241"/>
        <v>0</v>
      </c>
      <c r="JIS64" s="44">
        <f t="shared" si="241"/>
        <v>0</v>
      </c>
      <c r="JIT64" s="44">
        <f t="shared" si="241"/>
        <v>0</v>
      </c>
      <c r="JIU64" s="44">
        <f t="shared" si="241"/>
        <v>0</v>
      </c>
      <c r="JIV64" s="44">
        <f t="shared" si="241"/>
        <v>0</v>
      </c>
      <c r="JIW64" s="44">
        <f t="shared" si="241"/>
        <v>0</v>
      </c>
      <c r="JIX64" s="44">
        <f t="shared" si="241"/>
        <v>0</v>
      </c>
      <c r="JIY64" s="44">
        <f t="shared" si="241"/>
        <v>0</v>
      </c>
      <c r="JIZ64" s="44">
        <f t="shared" si="241"/>
        <v>0</v>
      </c>
      <c r="JJA64" s="44">
        <f t="shared" si="241"/>
        <v>0</v>
      </c>
      <c r="JJB64" s="44">
        <f t="shared" si="241"/>
        <v>0</v>
      </c>
      <c r="JJC64" s="44">
        <f t="shared" si="241"/>
        <v>0</v>
      </c>
      <c r="JJD64" s="44">
        <f t="shared" si="241"/>
        <v>0</v>
      </c>
      <c r="JJE64" s="44">
        <f t="shared" si="241"/>
        <v>0</v>
      </c>
      <c r="JJF64" s="44">
        <f t="shared" si="241"/>
        <v>0</v>
      </c>
      <c r="JJG64" s="44">
        <f t="shared" si="241"/>
        <v>0</v>
      </c>
      <c r="JJH64" s="44">
        <f t="shared" si="241"/>
        <v>0</v>
      </c>
      <c r="JJI64" s="44">
        <f t="shared" si="241"/>
        <v>0</v>
      </c>
      <c r="JJJ64" s="44">
        <f t="shared" si="241"/>
        <v>0</v>
      </c>
      <c r="JJK64" s="44">
        <f t="shared" si="241"/>
        <v>0</v>
      </c>
      <c r="JJL64" s="44">
        <f t="shared" si="241"/>
        <v>0</v>
      </c>
      <c r="JJM64" s="44">
        <f t="shared" si="241"/>
        <v>0</v>
      </c>
      <c r="JJN64" s="44">
        <f t="shared" si="241"/>
        <v>0</v>
      </c>
      <c r="JJO64" s="44">
        <f t="shared" si="241"/>
        <v>0</v>
      </c>
      <c r="JJP64" s="44">
        <f t="shared" si="241"/>
        <v>0</v>
      </c>
      <c r="JJQ64" s="44">
        <f t="shared" si="241"/>
        <v>0</v>
      </c>
      <c r="JJR64" s="44">
        <f t="shared" si="241"/>
        <v>0</v>
      </c>
      <c r="JJS64" s="44">
        <f t="shared" si="241"/>
        <v>0</v>
      </c>
      <c r="JJT64" s="44">
        <f t="shared" si="241"/>
        <v>0</v>
      </c>
      <c r="JJU64" s="44">
        <f t="shared" si="241"/>
        <v>0</v>
      </c>
      <c r="JJV64" s="44">
        <f t="shared" si="241"/>
        <v>0</v>
      </c>
      <c r="JJW64" s="44">
        <f t="shared" si="241"/>
        <v>0</v>
      </c>
      <c r="JJX64" s="44">
        <f t="shared" si="241"/>
        <v>0</v>
      </c>
      <c r="JJY64" s="44">
        <f t="shared" si="241"/>
        <v>0</v>
      </c>
      <c r="JJZ64" s="44">
        <f t="shared" si="241"/>
        <v>0</v>
      </c>
      <c r="JKA64" s="44">
        <f t="shared" si="241"/>
        <v>0</v>
      </c>
      <c r="JKB64" s="44">
        <f t="shared" si="241"/>
        <v>0</v>
      </c>
      <c r="JKC64" s="44">
        <f t="shared" si="241"/>
        <v>0</v>
      </c>
      <c r="JKD64" s="44">
        <f t="shared" si="241"/>
        <v>0</v>
      </c>
      <c r="JKE64" s="44">
        <f t="shared" si="241"/>
        <v>0</v>
      </c>
      <c r="JKF64" s="44">
        <f t="shared" si="241"/>
        <v>0</v>
      </c>
      <c r="JKG64" s="44">
        <f t="shared" si="241"/>
        <v>0</v>
      </c>
      <c r="JKH64" s="44">
        <f t="shared" si="241"/>
        <v>0</v>
      </c>
      <c r="JKI64" s="44">
        <f t="shared" si="241"/>
        <v>0</v>
      </c>
      <c r="JKJ64" s="44">
        <f t="shared" si="241"/>
        <v>0</v>
      </c>
      <c r="JKK64" s="44">
        <f t="shared" si="241"/>
        <v>0</v>
      </c>
      <c r="JKL64" s="44">
        <f t="shared" si="241"/>
        <v>0</v>
      </c>
      <c r="JKM64" s="44">
        <f t="shared" si="241"/>
        <v>0</v>
      </c>
      <c r="JKN64" s="44">
        <f t="shared" si="241"/>
        <v>0</v>
      </c>
      <c r="JKO64" s="44">
        <f t="shared" si="241"/>
        <v>0</v>
      </c>
      <c r="JKP64" s="44">
        <f t="shared" ref="JKP64:JNA64" si="242">SUM(JKP56:JKP57)</f>
        <v>0</v>
      </c>
      <c r="JKQ64" s="44">
        <f t="shared" si="242"/>
        <v>0</v>
      </c>
      <c r="JKR64" s="44">
        <f t="shared" si="242"/>
        <v>0</v>
      </c>
      <c r="JKS64" s="44">
        <f t="shared" si="242"/>
        <v>0</v>
      </c>
      <c r="JKT64" s="44">
        <f t="shared" si="242"/>
        <v>0</v>
      </c>
      <c r="JKU64" s="44">
        <f t="shared" si="242"/>
        <v>0</v>
      </c>
      <c r="JKV64" s="44">
        <f t="shared" si="242"/>
        <v>0</v>
      </c>
      <c r="JKW64" s="44">
        <f t="shared" si="242"/>
        <v>0</v>
      </c>
      <c r="JKX64" s="44">
        <f t="shared" si="242"/>
        <v>0</v>
      </c>
      <c r="JKY64" s="44">
        <f t="shared" si="242"/>
        <v>0</v>
      </c>
      <c r="JKZ64" s="44">
        <f t="shared" si="242"/>
        <v>0</v>
      </c>
      <c r="JLA64" s="44">
        <f t="shared" si="242"/>
        <v>0</v>
      </c>
      <c r="JLB64" s="44">
        <f t="shared" si="242"/>
        <v>0</v>
      </c>
      <c r="JLC64" s="44">
        <f t="shared" si="242"/>
        <v>0</v>
      </c>
      <c r="JLD64" s="44">
        <f t="shared" si="242"/>
        <v>0</v>
      </c>
      <c r="JLE64" s="44">
        <f t="shared" si="242"/>
        <v>0</v>
      </c>
      <c r="JLF64" s="44">
        <f t="shared" si="242"/>
        <v>0</v>
      </c>
      <c r="JLG64" s="44">
        <f t="shared" si="242"/>
        <v>0</v>
      </c>
      <c r="JLH64" s="44">
        <f t="shared" si="242"/>
        <v>0</v>
      </c>
      <c r="JLI64" s="44">
        <f t="shared" si="242"/>
        <v>0</v>
      </c>
      <c r="JLJ64" s="44">
        <f t="shared" si="242"/>
        <v>0</v>
      </c>
      <c r="JLK64" s="44">
        <f t="shared" si="242"/>
        <v>0</v>
      </c>
      <c r="JLL64" s="44">
        <f t="shared" si="242"/>
        <v>0</v>
      </c>
      <c r="JLM64" s="44">
        <f t="shared" si="242"/>
        <v>0</v>
      </c>
      <c r="JLN64" s="44">
        <f t="shared" si="242"/>
        <v>0</v>
      </c>
      <c r="JLO64" s="44">
        <f t="shared" si="242"/>
        <v>0</v>
      </c>
      <c r="JLP64" s="44">
        <f t="shared" si="242"/>
        <v>0</v>
      </c>
      <c r="JLQ64" s="44">
        <f t="shared" si="242"/>
        <v>0</v>
      </c>
      <c r="JLR64" s="44">
        <f t="shared" si="242"/>
        <v>0</v>
      </c>
      <c r="JLS64" s="44">
        <f t="shared" si="242"/>
        <v>0</v>
      </c>
      <c r="JLT64" s="44">
        <f t="shared" si="242"/>
        <v>0</v>
      </c>
      <c r="JLU64" s="44">
        <f t="shared" si="242"/>
        <v>0</v>
      </c>
      <c r="JLV64" s="44">
        <f t="shared" si="242"/>
        <v>0</v>
      </c>
      <c r="JLW64" s="44">
        <f t="shared" si="242"/>
        <v>0</v>
      </c>
      <c r="JLX64" s="44">
        <f t="shared" si="242"/>
        <v>0</v>
      </c>
      <c r="JLY64" s="44">
        <f t="shared" si="242"/>
        <v>0</v>
      </c>
      <c r="JLZ64" s="44">
        <f t="shared" si="242"/>
        <v>0</v>
      </c>
      <c r="JMA64" s="44">
        <f t="shared" si="242"/>
        <v>0</v>
      </c>
      <c r="JMB64" s="44">
        <f t="shared" si="242"/>
        <v>0</v>
      </c>
      <c r="JMC64" s="44">
        <f t="shared" si="242"/>
        <v>0</v>
      </c>
      <c r="JMD64" s="44">
        <f t="shared" si="242"/>
        <v>0</v>
      </c>
      <c r="JME64" s="44">
        <f t="shared" si="242"/>
        <v>0</v>
      </c>
      <c r="JMF64" s="44">
        <f t="shared" si="242"/>
        <v>0</v>
      </c>
      <c r="JMG64" s="44">
        <f t="shared" si="242"/>
        <v>0</v>
      </c>
      <c r="JMH64" s="44">
        <f t="shared" si="242"/>
        <v>0</v>
      </c>
      <c r="JMI64" s="44">
        <f t="shared" si="242"/>
        <v>0</v>
      </c>
      <c r="JMJ64" s="44">
        <f t="shared" si="242"/>
        <v>0</v>
      </c>
      <c r="JMK64" s="44">
        <f t="shared" si="242"/>
        <v>0</v>
      </c>
      <c r="JML64" s="44">
        <f t="shared" si="242"/>
        <v>0</v>
      </c>
      <c r="JMM64" s="44">
        <f t="shared" si="242"/>
        <v>0</v>
      </c>
      <c r="JMN64" s="44">
        <f t="shared" si="242"/>
        <v>0</v>
      </c>
      <c r="JMO64" s="44">
        <f t="shared" si="242"/>
        <v>0</v>
      </c>
      <c r="JMP64" s="44">
        <f t="shared" si="242"/>
        <v>0</v>
      </c>
      <c r="JMQ64" s="44">
        <f t="shared" si="242"/>
        <v>0</v>
      </c>
      <c r="JMR64" s="44">
        <f t="shared" si="242"/>
        <v>0</v>
      </c>
      <c r="JMS64" s="44">
        <f t="shared" si="242"/>
        <v>0</v>
      </c>
      <c r="JMT64" s="44">
        <f t="shared" si="242"/>
        <v>0</v>
      </c>
      <c r="JMU64" s="44">
        <f t="shared" si="242"/>
        <v>0</v>
      </c>
      <c r="JMV64" s="44">
        <f t="shared" si="242"/>
        <v>0</v>
      </c>
      <c r="JMW64" s="44">
        <f t="shared" si="242"/>
        <v>0</v>
      </c>
      <c r="JMX64" s="44">
        <f t="shared" si="242"/>
        <v>0</v>
      </c>
      <c r="JMY64" s="44">
        <f t="shared" si="242"/>
        <v>0</v>
      </c>
      <c r="JMZ64" s="44">
        <f t="shared" si="242"/>
        <v>0</v>
      </c>
      <c r="JNA64" s="44">
        <f t="shared" si="242"/>
        <v>0</v>
      </c>
      <c r="JNB64" s="44">
        <f t="shared" ref="JNB64:JPM64" si="243">SUM(JNB56:JNB57)</f>
        <v>0</v>
      </c>
      <c r="JNC64" s="44">
        <f t="shared" si="243"/>
        <v>0</v>
      </c>
      <c r="JND64" s="44">
        <f t="shared" si="243"/>
        <v>0</v>
      </c>
      <c r="JNE64" s="44">
        <f t="shared" si="243"/>
        <v>0</v>
      </c>
      <c r="JNF64" s="44">
        <f t="shared" si="243"/>
        <v>0</v>
      </c>
      <c r="JNG64" s="44">
        <f t="shared" si="243"/>
        <v>0</v>
      </c>
      <c r="JNH64" s="44">
        <f t="shared" si="243"/>
        <v>0</v>
      </c>
      <c r="JNI64" s="44">
        <f t="shared" si="243"/>
        <v>0</v>
      </c>
      <c r="JNJ64" s="44">
        <f t="shared" si="243"/>
        <v>0</v>
      </c>
      <c r="JNK64" s="44">
        <f t="shared" si="243"/>
        <v>0</v>
      </c>
      <c r="JNL64" s="44">
        <f t="shared" si="243"/>
        <v>0</v>
      </c>
      <c r="JNM64" s="44">
        <f t="shared" si="243"/>
        <v>0</v>
      </c>
      <c r="JNN64" s="44">
        <f t="shared" si="243"/>
        <v>0</v>
      </c>
      <c r="JNO64" s="44">
        <f t="shared" si="243"/>
        <v>0</v>
      </c>
      <c r="JNP64" s="44">
        <f t="shared" si="243"/>
        <v>0</v>
      </c>
      <c r="JNQ64" s="44">
        <f t="shared" si="243"/>
        <v>0</v>
      </c>
      <c r="JNR64" s="44">
        <f t="shared" si="243"/>
        <v>0</v>
      </c>
      <c r="JNS64" s="44">
        <f t="shared" si="243"/>
        <v>0</v>
      </c>
      <c r="JNT64" s="44">
        <f t="shared" si="243"/>
        <v>0</v>
      </c>
      <c r="JNU64" s="44">
        <f t="shared" si="243"/>
        <v>0</v>
      </c>
      <c r="JNV64" s="44">
        <f t="shared" si="243"/>
        <v>0</v>
      </c>
      <c r="JNW64" s="44">
        <f t="shared" si="243"/>
        <v>0</v>
      </c>
      <c r="JNX64" s="44">
        <f t="shared" si="243"/>
        <v>0</v>
      </c>
      <c r="JNY64" s="44">
        <f t="shared" si="243"/>
        <v>0</v>
      </c>
      <c r="JNZ64" s="44">
        <f t="shared" si="243"/>
        <v>0</v>
      </c>
      <c r="JOA64" s="44">
        <f t="shared" si="243"/>
        <v>0</v>
      </c>
      <c r="JOB64" s="44">
        <f t="shared" si="243"/>
        <v>0</v>
      </c>
      <c r="JOC64" s="44">
        <f t="shared" si="243"/>
        <v>0</v>
      </c>
      <c r="JOD64" s="44">
        <f t="shared" si="243"/>
        <v>0</v>
      </c>
      <c r="JOE64" s="44">
        <f t="shared" si="243"/>
        <v>0</v>
      </c>
      <c r="JOF64" s="44">
        <f t="shared" si="243"/>
        <v>0</v>
      </c>
      <c r="JOG64" s="44">
        <f t="shared" si="243"/>
        <v>0</v>
      </c>
      <c r="JOH64" s="44">
        <f t="shared" si="243"/>
        <v>0</v>
      </c>
      <c r="JOI64" s="44">
        <f t="shared" si="243"/>
        <v>0</v>
      </c>
      <c r="JOJ64" s="44">
        <f t="shared" si="243"/>
        <v>0</v>
      </c>
      <c r="JOK64" s="44">
        <f t="shared" si="243"/>
        <v>0</v>
      </c>
      <c r="JOL64" s="44">
        <f t="shared" si="243"/>
        <v>0</v>
      </c>
      <c r="JOM64" s="44">
        <f t="shared" si="243"/>
        <v>0</v>
      </c>
      <c r="JON64" s="44">
        <f t="shared" si="243"/>
        <v>0</v>
      </c>
      <c r="JOO64" s="44">
        <f t="shared" si="243"/>
        <v>0</v>
      </c>
      <c r="JOP64" s="44">
        <f t="shared" si="243"/>
        <v>0</v>
      </c>
      <c r="JOQ64" s="44">
        <f t="shared" si="243"/>
        <v>0</v>
      </c>
      <c r="JOR64" s="44">
        <f t="shared" si="243"/>
        <v>0</v>
      </c>
      <c r="JOS64" s="44">
        <f t="shared" si="243"/>
        <v>0</v>
      </c>
      <c r="JOT64" s="44">
        <f t="shared" si="243"/>
        <v>0</v>
      </c>
      <c r="JOU64" s="44">
        <f t="shared" si="243"/>
        <v>0</v>
      </c>
      <c r="JOV64" s="44">
        <f t="shared" si="243"/>
        <v>0</v>
      </c>
      <c r="JOW64" s="44">
        <f t="shared" si="243"/>
        <v>0</v>
      </c>
      <c r="JOX64" s="44">
        <f t="shared" si="243"/>
        <v>0</v>
      </c>
      <c r="JOY64" s="44">
        <f t="shared" si="243"/>
        <v>0</v>
      </c>
      <c r="JOZ64" s="44">
        <f t="shared" si="243"/>
        <v>0</v>
      </c>
      <c r="JPA64" s="44">
        <f t="shared" si="243"/>
        <v>0</v>
      </c>
      <c r="JPB64" s="44">
        <f t="shared" si="243"/>
        <v>0</v>
      </c>
      <c r="JPC64" s="44">
        <f t="shared" si="243"/>
        <v>0</v>
      </c>
      <c r="JPD64" s="44">
        <f t="shared" si="243"/>
        <v>0</v>
      </c>
      <c r="JPE64" s="44">
        <f t="shared" si="243"/>
        <v>0</v>
      </c>
      <c r="JPF64" s="44">
        <f t="shared" si="243"/>
        <v>0</v>
      </c>
      <c r="JPG64" s="44">
        <f t="shared" si="243"/>
        <v>0</v>
      </c>
      <c r="JPH64" s="44">
        <f t="shared" si="243"/>
        <v>0</v>
      </c>
      <c r="JPI64" s="44">
        <f t="shared" si="243"/>
        <v>0</v>
      </c>
      <c r="JPJ64" s="44">
        <f t="shared" si="243"/>
        <v>0</v>
      </c>
      <c r="JPK64" s="44">
        <f t="shared" si="243"/>
        <v>0</v>
      </c>
      <c r="JPL64" s="44">
        <f t="shared" si="243"/>
        <v>0</v>
      </c>
      <c r="JPM64" s="44">
        <f t="shared" si="243"/>
        <v>0</v>
      </c>
      <c r="JPN64" s="44">
        <f t="shared" ref="JPN64:JRY64" si="244">SUM(JPN56:JPN57)</f>
        <v>0</v>
      </c>
      <c r="JPO64" s="44">
        <f t="shared" si="244"/>
        <v>0</v>
      </c>
      <c r="JPP64" s="44">
        <f t="shared" si="244"/>
        <v>0</v>
      </c>
      <c r="JPQ64" s="44">
        <f t="shared" si="244"/>
        <v>0</v>
      </c>
      <c r="JPR64" s="44">
        <f t="shared" si="244"/>
        <v>0</v>
      </c>
      <c r="JPS64" s="44">
        <f t="shared" si="244"/>
        <v>0</v>
      </c>
      <c r="JPT64" s="44">
        <f t="shared" si="244"/>
        <v>0</v>
      </c>
      <c r="JPU64" s="44">
        <f t="shared" si="244"/>
        <v>0</v>
      </c>
      <c r="JPV64" s="44">
        <f t="shared" si="244"/>
        <v>0</v>
      </c>
      <c r="JPW64" s="44">
        <f t="shared" si="244"/>
        <v>0</v>
      </c>
      <c r="JPX64" s="44">
        <f t="shared" si="244"/>
        <v>0</v>
      </c>
      <c r="JPY64" s="44">
        <f t="shared" si="244"/>
        <v>0</v>
      </c>
      <c r="JPZ64" s="44">
        <f t="shared" si="244"/>
        <v>0</v>
      </c>
      <c r="JQA64" s="44">
        <f t="shared" si="244"/>
        <v>0</v>
      </c>
      <c r="JQB64" s="44">
        <f t="shared" si="244"/>
        <v>0</v>
      </c>
      <c r="JQC64" s="44">
        <f t="shared" si="244"/>
        <v>0</v>
      </c>
      <c r="JQD64" s="44">
        <f t="shared" si="244"/>
        <v>0</v>
      </c>
      <c r="JQE64" s="44">
        <f t="shared" si="244"/>
        <v>0</v>
      </c>
      <c r="JQF64" s="44">
        <f t="shared" si="244"/>
        <v>0</v>
      </c>
      <c r="JQG64" s="44">
        <f t="shared" si="244"/>
        <v>0</v>
      </c>
      <c r="JQH64" s="44">
        <f t="shared" si="244"/>
        <v>0</v>
      </c>
      <c r="JQI64" s="44">
        <f t="shared" si="244"/>
        <v>0</v>
      </c>
      <c r="JQJ64" s="44">
        <f t="shared" si="244"/>
        <v>0</v>
      </c>
      <c r="JQK64" s="44">
        <f t="shared" si="244"/>
        <v>0</v>
      </c>
      <c r="JQL64" s="44">
        <f t="shared" si="244"/>
        <v>0</v>
      </c>
      <c r="JQM64" s="44">
        <f t="shared" si="244"/>
        <v>0</v>
      </c>
      <c r="JQN64" s="44">
        <f t="shared" si="244"/>
        <v>0</v>
      </c>
      <c r="JQO64" s="44">
        <f t="shared" si="244"/>
        <v>0</v>
      </c>
      <c r="JQP64" s="44">
        <f t="shared" si="244"/>
        <v>0</v>
      </c>
      <c r="JQQ64" s="44">
        <f t="shared" si="244"/>
        <v>0</v>
      </c>
      <c r="JQR64" s="44">
        <f t="shared" si="244"/>
        <v>0</v>
      </c>
      <c r="JQS64" s="44">
        <f t="shared" si="244"/>
        <v>0</v>
      </c>
      <c r="JQT64" s="44">
        <f t="shared" si="244"/>
        <v>0</v>
      </c>
      <c r="JQU64" s="44">
        <f t="shared" si="244"/>
        <v>0</v>
      </c>
      <c r="JQV64" s="44">
        <f t="shared" si="244"/>
        <v>0</v>
      </c>
      <c r="JQW64" s="44">
        <f t="shared" si="244"/>
        <v>0</v>
      </c>
      <c r="JQX64" s="44">
        <f t="shared" si="244"/>
        <v>0</v>
      </c>
      <c r="JQY64" s="44">
        <f t="shared" si="244"/>
        <v>0</v>
      </c>
      <c r="JQZ64" s="44">
        <f t="shared" si="244"/>
        <v>0</v>
      </c>
      <c r="JRA64" s="44">
        <f t="shared" si="244"/>
        <v>0</v>
      </c>
      <c r="JRB64" s="44">
        <f t="shared" si="244"/>
        <v>0</v>
      </c>
      <c r="JRC64" s="44">
        <f t="shared" si="244"/>
        <v>0</v>
      </c>
      <c r="JRD64" s="44">
        <f t="shared" si="244"/>
        <v>0</v>
      </c>
      <c r="JRE64" s="44">
        <f t="shared" si="244"/>
        <v>0</v>
      </c>
      <c r="JRF64" s="44">
        <f t="shared" si="244"/>
        <v>0</v>
      </c>
      <c r="JRG64" s="44">
        <f t="shared" si="244"/>
        <v>0</v>
      </c>
      <c r="JRH64" s="44">
        <f t="shared" si="244"/>
        <v>0</v>
      </c>
      <c r="JRI64" s="44">
        <f t="shared" si="244"/>
        <v>0</v>
      </c>
      <c r="JRJ64" s="44">
        <f t="shared" si="244"/>
        <v>0</v>
      </c>
      <c r="JRK64" s="44">
        <f t="shared" si="244"/>
        <v>0</v>
      </c>
      <c r="JRL64" s="44">
        <f t="shared" si="244"/>
        <v>0</v>
      </c>
      <c r="JRM64" s="44">
        <f t="shared" si="244"/>
        <v>0</v>
      </c>
      <c r="JRN64" s="44">
        <f t="shared" si="244"/>
        <v>0</v>
      </c>
      <c r="JRO64" s="44">
        <f t="shared" si="244"/>
        <v>0</v>
      </c>
      <c r="JRP64" s="44">
        <f t="shared" si="244"/>
        <v>0</v>
      </c>
      <c r="JRQ64" s="44">
        <f t="shared" si="244"/>
        <v>0</v>
      </c>
      <c r="JRR64" s="44">
        <f t="shared" si="244"/>
        <v>0</v>
      </c>
      <c r="JRS64" s="44">
        <f t="shared" si="244"/>
        <v>0</v>
      </c>
      <c r="JRT64" s="44">
        <f t="shared" si="244"/>
        <v>0</v>
      </c>
      <c r="JRU64" s="44">
        <f t="shared" si="244"/>
        <v>0</v>
      </c>
      <c r="JRV64" s="44">
        <f t="shared" si="244"/>
        <v>0</v>
      </c>
      <c r="JRW64" s="44">
        <f t="shared" si="244"/>
        <v>0</v>
      </c>
      <c r="JRX64" s="44">
        <f t="shared" si="244"/>
        <v>0</v>
      </c>
      <c r="JRY64" s="44">
        <f t="shared" si="244"/>
        <v>0</v>
      </c>
      <c r="JRZ64" s="44">
        <f t="shared" ref="JRZ64:JUK64" si="245">SUM(JRZ56:JRZ57)</f>
        <v>0</v>
      </c>
      <c r="JSA64" s="44">
        <f t="shared" si="245"/>
        <v>0</v>
      </c>
      <c r="JSB64" s="44">
        <f t="shared" si="245"/>
        <v>0</v>
      </c>
      <c r="JSC64" s="44">
        <f t="shared" si="245"/>
        <v>0</v>
      </c>
      <c r="JSD64" s="44">
        <f t="shared" si="245"/>
        <v>0</v>
      </c>
      <c r="JSE64" s="44">
        <f t="shared" si="245"/>
        <v>0</v>
      </c>
      <c r="JSF64" s="44">
        <f t="shared" si="245"/>
        <v>0</v>
      </c>
      <c r="JSG64" s="44">
        <f t="shared" si="245"/>
        <v>0</v>
      </c>
      <c r="JSH64" s="44">
        <f t="shared" si="245"/>
        <v>0</v>
      </c>
      <c r="JSI64" s="44">
        <f t="shared" si="245"/>
        <v>0</v>
      </c>
      <c r="JSJ64" s="44">
        <f t="shared" si="245"/>
        <v>0</v>
      </c>
      <c r="JSK64" s="44">
        <f t="shared" si="245"/>
        <v>0</v>
      </c>
      <c r="JSL64" s="44">
        <f t="shared" si="245"/>
        <v>0</v>
      </c>
      <c r="JSM64" s="44">
        <f t="shared" si="245"/>
        <v>0</v>
      </c>
      <c r="JSN64" s="44">
        <f t="shared" si="245"/>
        <v>0</v>
      </c>
      <c r="JSO64" s="44">
        <f t="shared" si="245"/>
        <v>0</v>
      </c>
      <c r="JSP64" s="44">
        <f t="shared" si="245"/>
        <v>0</v>
      </c>
      <c r="JSQ64" s="44">
        <f t="shared" si="245"/>
        <v>0</v>
      </c>
      <c r="JSR64" s="44">
        <f t="shared" si="245"/>
        <v>0</v>
      </c>
      <c r="JSS64" s="44">
        <f t="shared" si="245"/>
        <v>0</v>
      </c>
      <c r="JST64" s="44">
        <f t="shared" si="245"/>
        <v>0</v>
      </c>
      <c r="JSU64" s="44">
        <f t="shared" si="245"/>
        <v>0</v>
      </c>
      <c r="JSV64" s="44">
        <f t="shared" si="245"/>
        <v>0</v>
      </c>
      <c r="JSW64" s="44">
        <f t="shared" si="245"/>
        <v>0</v>
      </c>
      <c r="JSX64" s="44">
        <f t="shared" si="245"/>
        <v>0</v>
      </c>
      <c r="JSY64" s="44">
        <f t="shared" si="245"/>
        <v>0</v>
      </c>
      <c r="JSZ64" s="44">
        <f t="shared" si="245"/>
        <v>0</v>
      </c>
      <c r="JTA64" s="44">
        <f t="shared" si="245"/>
        <v>0</v>
      </c>
      <c r="JTB64" s="44">
        <f t="shared" si="245"/>
        <v>0</v>
      </c>
      <c r="JTC64" s="44">
        <f t="shared" si="245"/>
        <v>0</v>
      </c>
      <c r="JTD64" s="44">
        <f t="shared" si="245"/>
        <v>0</v>
      </c>
      <c r="JTE64" s="44">
        <f t="shared" si="245"/>
        <v>0</v>
      </c>
      <c r="JTF64" s="44">
        <f t="shared" si="245"/>
        <v>0</v>
      </c>
      <c r="JTG64" s="44">
        <f t="shared" si="245"/>
        <v>0</v>
      </c>
      <c r="JTH64" s="44">
        <f t="shared" si="245"/>
        <v>0</v>
      </c>
      <c r="JTI64" s="44">
        <f t="shared" si="245"/>
        <v>0</v>
      </c>
      <c r="JTJ64" s="44">
        <f t="shared" si="245"/>
        <v>0</v>
      </c>
      <c r="JTK64" s="44">
        <f t="shared" si="245"/>
        <v>0</v>
      </c>
      <c r="JTL64" s="44">
        <f t="shared" si="245"/>
        <v>0</v>
      </c>
      <c r="JTM64" s="44">
        <f t="shared" si="245"/>
        <v>0</v>
      </c>
      <c r="JTN64" s="44">
        <f t="shared" si="245"/>
        <v>0</v>
      </c>
      <c r="JTO64" s="44">
        <f t="shared" si="245"/>
        <v>0</v>
      </c>
      <c r="JTP64" s="44">
        <f t="shared" si="245"/>
        <v>0</v>
      </c>
      <c r="JTQ64" s="44">
        <f t="shared" si="245"/>
        <v>0</v>
      </c>
      <c r="JTR64" s="44">
        <f t="shared" si="245"/>
        <v>0</v>
      </c>
      <c r="JTS64" s="44">
        <f t="shared" si="245"/>
        <v>0</v>
      </c>
      <c r="JTT64" s="44">
        <f t="shared" si="245"/>
        <v>0</v>
      </c>
      <c r="JTU64" s="44">
        <f t="shared" si="245"/>
        <v>0</v>
      </c>
      <c r="JTV64" s="44">
        <f t="shared" si="245"/>
        <v>0</v>
      </c>
      <c r="JTW64" s="44">
        <f t="shared" si="245"/>
        <v>0</v>
      </c>
      <c r="JTX64" s="44">
        <f t="shared" si="245"/>
        <v>0</v>
      </c>
      <c r="JTY64" s="44">
        <f t="shared" si="245"/>
        <v>0</v>
      </c>
      <c r="JTZ64" s="44">
        <f t="shared" si="245"/>
        <v>0</v>
      </c>
      <c r="JUA64" s="44">
        <f t="shared" si="245"/>
        <v>0</v>
      </c>
      <c r="JUB64" s="44">
        <f t="shared" si="245"/>
        <v>0</v>
      </c>
      <c r="JUC64" s="44">
        <f t="shared" si="245"/>
        <v>0</v>
      </c>
      <c r="JUD64" s="44">
        <f t="shared" si="245"/>
        <v>0</v>
      </c>
      <c r="JUE64" s="44">
        <f t="shared" si="245"/>
        <v>0</v>
      </c>
      <c r="JUF64" s="44">
        <f t="shared" si="245"/>
        <v>0</v>
      </c>
      <c r="JUG64" s="44">
        <f t="shared" si="245"/>
        <v>0</v>
      </c>
      <c r="JUH64" s="44">
        <f t="shared" si="245"/>
        <v>0</v>
      </c>
      <c r="JUI64" s="44">
        <f t="shared" si="245"/>
        <v>0</v>
      </c>
      <c r="JUJ64" s="44">
        <f t="shared" si="245"/>
        <v>0</v>
      </c>
      <c r="JUK64" s="44">
        <f t="shared" si="245"/>
        <v>0</v>
      </c>
      <c r="JUL64" s="44">
        <f t="shared" ref="JUL64:JWW64" si="246">SUM(JUL56:JUL57)</f>
        <v>0</v>
      </c>
      <c r="JUM64" s="44">
        <f t="shared" si="246"/>
        <v>0</v>
      </c>
      <c r="JUN64" s="44">
        <f t="shared" si="246"/>
        <v>0</v>
      </c>
      <c r="JUO64" s="44">
        <f t="shared" si="246"/>
        <v>0</v>
      </c>
      <c r="JUP64" s="44">
        <f t="shared" si="246"/>
        <v>0</v>
      </c>
      <c r="JUQ64" s="44">
        <f t="shared" si="246"/>
        <v>0</v>
      </c>
      <c r="JUR64" s="44">
        <f t="shared" si="246"/>
        <v>0</v>
      </c>
      <c r="JUS64" s="44">
        <f t="shared" si="246"/>
        <v>0</v>
      </c>
      <c r="JUT64" s="44">
        <f t="shared" si="246"/>
        <v>0</v>
      </c>
      <c r="JUU64" s="44">
        <f t="shared" si="246"/>
        <v>0</v>
      </c>
      <c r="JUV64" s="44">
        <f t="shared" si="246"/>
        <v>0</v>
      </c>
      <c r="JUW64" s="44">
        <f t="shared" si="246"/>
        <v>0</v>
      </c>
      <c r="JUX64" s="44">
        <f t="shared" si="246"/>
        <v>0</v>
      </c>
      <c r="JUY64" s="44">
        <f t="shared" si="246"/>
        <v>0</v>
      </c>
      <c r="JUZ64" s="44">
        <f t="shared" si="246"/>
        <v>0</v>
      </c>
      <c r="JVA64" s="44">
        <f t="shared" si="246"/>
        <v>0</v>
      </c>
      <c r="JVB64" s="44">
        <f t="shared" si="246"/>
        <v>0</v>
      </c>
      <c r="JVC64" s="44">
        <f t="shared" si="246"/>
        <v>0</v>
      </c>
      <c r="JVD64" s="44">
        <f t="shared" si="246"/>
        <v>0</v>
      </c>
      <c r="JVE64" s="44">
        <f t="shared" si="246"/>
        <v>0</v>
      </c>
      <c r="JVF64" s="44">
        <f t="shared" si="246"/>
        <v>0</v>
      </c>
      <c r="JVG64" s="44">
        <f t="shared" si="246"/>
        <v>0</v>
      </c>
      <c r="JVH64" s="44">
        <f t="shared" si="246"/>
        <v>0</v>
      </c>
      <c r="JVI64" s="44">
        <f t="shared" si="246"/>
        <v>0</v>
      </c>
      <c r="JVJ64" s="44">
        <f t="shared" si="246"/>
        <v>0</v>
      </c>
      <c r="JVK64" s="44">
        <f t="shared" si="246"/>
        <v>0</v>
      </c>
      <c r="JVL64" s="44">
        <f t="shared" si="246"/>
        <v>0</v>
      </c>
      <c r="JVM64" s="44">
        <f t="shared" si="246"/>
        <v>0</v>
      </c>
      <c r="JVN64" s="44">
        <f t="shared" si="246"/>
        <v>0</v>
      </c>
      <c r="JVO64" s="44">
        <f t="shared" si="246"/>
        <v>0</v>
      </c>
      <c r="JVP64" s="44">
        <f t="shared" si="246"/>
        <v>0</v>
      </c>
      <c r="JVQ64" s="44">
        <f t="shared" si="246"/>
        <v>0</v>
      </c>
      <c r="JVR64" s="44">
        <f t="shared" si="246"/>
        <v>0</v>
      </c>
      <c r="JVS64" s="44">
        <f t="shared" si="246"/>
        <v>0</v>
      </c>
      <c r="JVT64" s="44">
        <f t="shared" si="246"/>
        <v>0</v>
      </c>
      <c r="JVU64" s="44">
        <f t="shared" si="246"/>
        <v>0</v>
      </c>
      <c r="JVV64" s="44">
        <f t="shared" si="246"/>
        <v>0</v>
      </c>
      <c r="JVW64" s="44">
        <f t="shared" si="246"/>
        <v>0</v>
      </c>
      <c r="JVX64" s="44">
        <f t="shared" si="246"/>
        <v>0</v>
      </c>
      <c r="JVY64" s="44">
        <f t="shared" si="246"/>
        <v>0</v>
      </c>
      <c r="JVZ64" s="44">
        <f t="shared" si="246"/>
        <v>0</v>
      </c>
      <c r="JWA64" s="44">
        <f t="shared" si="246"/>
        <v>0</v>
      </c>
      <c r="JWB64" s="44">
        <f t="shared" si="246"/>
        <v>0</v>
      </c>
      <c r="JWC64" s="44">
        <f t="shared" si="246"/>
        <v>0</v>
      </c>
      <c r="JWD64" s="44">
        <f t="shared" si="246"/>
        <v>0</v>
      </c>
      <c r="JWE64" s="44">
        <f t="shared" si="246"/>
        <v>0</v>
      </c>
      <c r="JWF64" s="44">
        <f t="shared" si="246"/>
        <v>0</v>
      </c>
      <c r="JWG64" s="44">
        <f t="shared" si="246"/>
        <v>0</v>
      </c>
      <c r="JWH64" s="44">
        <f t="shared" si="246"/>
        <v>0</v>
      </c>
      <c r="JWI64" s="44">
        <f t="shared" si="246"/>
        <v>0</v>
      </c>
      <c r="JWJ64" s="44">
        <f t="shared" si="246"/>
        <v>0</v>
      </c>
      <c r="JWK64" s="44">
        <f t="shared" si="246"/>
        <v>0</v>
      </c>
      <c r="JWL64" s="44">
        <f t="shared" si="246"/>
        <v>0</v>
      </c>
      <c r="JWM64" s="44">
        <f t="shared" si="246"/>
        <v>0</v>
      </c>
      <c r="JWN64" s="44">
        <f t="shared" si="246"/>
        <v>0</v>
      </c>
      <c r="JWO64" s="44">
        <f t="shared" si="246"/>
        <v>0</v>
      </c>
      <c r="JWP64" s="44">
        <f t="shared" si="246"/>
        <v>0</v>
      </c>
      <c r="JWQ64" s="44">
        <f t="shared" si="246"/>
        <v>0</v>
      </c>
      <c r="JWR64" s="44">
        <f t="shared" si="246"/>
        <v>0</v>
      </c>
      <c r="JWS64" s="44">
        <f t="shared" si="246"/>
        <v>0</v>
      </c>
      <c r="JWT64" s="44">
        <f t="shared" si="246"/>
        <v>0</v>
      </c>
      <c r="JWU64" s="44">
        <f t="shared" si="246"/>
        <v>0</v>
      </c>
      <c r="JWV64" s="44">
        <f t="shared" si="246"/>
        <v>0</v>
      </c>
      <c r="JWW64" s="44">
        <f t="shared" si="246"/>
        <v>0</v>
      </c>
      <c r="JWX64" s="44">
        <f t="shared" ref="JWX64:JZI64" si="247">SUM(JWX56:JWX57)</f>
        <v>0</v>
      </c>
      <c r="JWY64" s="44">
        <f t="shared" si="247"/>
        <v>0</v>
      </c>
      <c r="JWZ64" s="44">
        <f t="shared" si="247"/>
        <v>0</v>
      </c>
      <c r="JXA64" s="44">
        <f t="shared" si="247"/>
        <v>0</v>
      </c>
      <c r="JXB64" s="44">
        <f t="shared" si="247"/>
        <v>0</v>
      </c>
      <c r="JXC64" s="44">
        <f t="shared" si="247"/>
        <v>0</v>
      </c>
      <c r="JXD64" s="44">
        <f t="shared" si="247"/>
        <v>0</v>
      </c>
      <c r="JXE64" s="44">
        <f t="shared" si="247"/>
        <v>0</v>
      </c>
      <c r="JXF64" s="44">
        <f t="shared" si="247"/>
        <v>0</v>
      </c>
      <c r="JXG64" s="44">
        <f t="shared" si="247"/>
        <v>0</v>
      </c>
      <c r="JXH64" s="44">
        <f t="shared" si="247"/>
        <v>0</v>
      </c>
      <c r="JXI64" s="44">
        <f t="shared" si="247"/>
        <v>0</v>
      </c>
      <c r="JXJ64" s="44">
        <f t="shared" si="247"/>
        <v>0</v>
      </c>
      <c r="JXK64" s="44">
        <f t="shared" si="247"/>
        <v>0</v>
      </c>
      <c r="JXL64" s="44">
        <f t="shared" si="247"/>
        <v>0</v>
      </c>
      <c r="JXM64" s="44">
        <f t="shared" si="247"/>
        <v>0</v>
      </c>
      <c r="JXN64" s="44">
        <f t="shared" si="247"/>
        <v>0</v>
      </c>
      <c r="JXO64" s="44">
        <f t="shared" si="247"/>
        <v>0</v>
      </c>
      <c r="JXP64" s="44">
        <f t="shared" si="247"/>
        <v>0</v>
      </c>
      <c r="JXQ64" s="44">
        <f t="shared" si="247"/>
        <v>0</v>
      </c>
      <c r="JXR64" s="44">
        <f t="shared" si="247"/>
        <v>0</v>
      </c>
      <c r="JXS64" s="44">
        <f t="shared" si="247"/>
        <v>0</v>
      </c>
      <c r="JXT64" s="44">
        <f t="shared" si="247"/>
        <v>0</v>
      </c>
      <c r="JXU64" s="44">
        <f t="shared" si="247"/>
        <v>0</v>
      </c>
      <c r="JXV64" s="44">
        <f t="shared" si="247"/>
        <v>0</v>
      </c>
      <c r="JXW64" s="44">
        <f t="shared" si="247"/>
        <v>0</v>
      </c>
      <c r="JXX64" s="44">
        <f t="shared" si="247"/>
        <v>0</v>
      </c>
      <c r="JXY64" s="44">
        <f t="shared" si="247"/>
        <v>0</v>
      </c>
      <c r="JXZ64" s="44">
        <f t="shared" si="247"/>
        <v>0</v>
      </c>
      <c r="JYA64" s="44">
        <f t="shared" si="247"/>
        <v>0</v>
      </c>
      <c r="JYB64" s="44">
        <f t="shared" si="247"/>
        <v>0</v>
      </c>
      <c r="JYC64" s="44">
        <f t="shared" si="247"/>
        <v>0</v>
      </c>
      <c r="JYD64" s="44">
        <f t="shared" si="247"/>
        <v>0</v>
      </c>
      <c r="JYE64" s="44">
        <f t="shared" si="247"/>
        <v>0</v>
      </c>
      <c r="JYF64" s="44">
        <f t="shared" si="247"/>
        <v>0</v>
      </c>
      <c r="JYG64" s="44">
        <f t="shared" si="247"/>
        <v>0</v>
      </c>
      <c r="JYH64" s="44">
        <f t="shared" si="247"/>
        <v>0</v>
      </c>
      <c r="JYI64" s="44">
        <f t="shared" si="247"/>
        <v>0</v>
      </c>
      <c r="JYJ64" s="44">
        <f t="shared" si="247"/>
        <v>0</v>
      </c>
      <c r="JYK64" s="44">
        <f t="shared" si="247"/>
        <v>0</v>
      </c>
      <c r="JYL64" s="44">
        <f t="shared" si="247"/>
        <v>0</v>
      </c>
      <c r="JYM64" s="44">
        <f t="shared" si="247"/>
        <v>0</v>
      </c>
      <c r="JYN64" s="44">
        <f t="shared" si="247"/>
        <v>0</v>
      </c>
      <c r="JYO64" s="44">
        <f t="shared" si="247"/>
        <v>0</v>
      </c>
      <c r="JYP64" s="44">
        <f t="shared" si="247"/>
        <v>0</v>
      </c>
      <c r="JYQ64" s="44">
        <f t="shared" si="247"/>
        <v>0</v>
      </c>
      <c r="JYR64" s="44">
        <f t="shared" si="247"/>
        <v>0</v>
      </c>
      <c r="JYS64" s="44">
        <f t="shared" si="247"/>
        <v>0</v>
      </c>
      <c r="JYT64" s="44">
        <f t="shared" si="247"/>
        <v>0</v>
      </c>
      <c r="JYU64" s="44">
        <f t="shared" si="247"/>
        <v>0</v>
      </c>
      <c r="JYV64" s="44">
        <f t="shared" si="247"/>
        <v>0</v>
      </c>
      <c r="JYW64" s="44">
        <f t="shared" si="247"/>
        <v>0</v>
      </c>
      <c r="JYX64" s="44">
        <f t="shared" si="247"/>
        <v>0</v>
      </c>
      <c r="JYY64" s="44">
        <f t="shared" si="247"/>
        <v>0</v>
      </c>
      <c r="JYZ64" s="44">
        <f t="shared" si="247"/>
        <v>0</v>
      </c>
      <c r="JZA64" s="44">
        <f t="shared" si="247"/>
        <v>0</v>
      </c>
      <c r="JZB64" s="44">
        <f t="shared" si="247"/>
        <v>0</v>
      </c>
      <c r="JZC64" s="44">
        <f t="shared" si="247"/>
        <v>0</v>
      </c>
      <c r="JZD64" s="44">
        <f t="shared" si="247"/>
        <v>0</v>
      </c>
      <c r="JZE64" s="44">
        <f t="shared" si="247"/>
        <v>0</v>
      </c>
      <c r="JZF64" s="44">
        <f t="shared" si="247"/>
        <v>0</v>
      </c>
      <c r="JZG64" s="44">
        <f t="shared" si="247"/>
        <v>0</v>
      </c>
      <c r="JZH64" s="44">
        <f t="shared" si="247"/>
        <v>0</v>
      </c>
      <c r="JZI64" s="44">
        <f t="shared" si="247"/>
        <v>0</v>
      </c>
      <c r="JZJ64" s="44">
        <f t="shared" ref="JZJ64:KBU64" si="248">SUM(JZJ56:JZJ57)</f>
        <v>0</v>
      </c>
      <c r="JZK64" s="44">
        <f t="shared" si="248"/>
        <v>0</v>
      </c>
      <c r="JZL64" s="44">
        <f t="shared" si="248"/>
        <v>0</v>
      </c>
      <c r="JZM64" s="44">
        <f t="shared" si="248"/>
        <v>0</v>
      </c>
      <c r="JZN64" s="44">
        <f t="shared" si="248"/>
        <v>0</v>
      </c>
      <c r="JZO64" s="44">
        <f t="shared" si="248"/>
        <v>0</v>
      </c>
      <c r="JZP64" s="44">
        <f t="shared" si="248"/>
        <v>0</v>
      </c>
      <c r="JZQ64" s="44">
        <f t="shared" si="248"/>
        <v>0</v>
      </c>
      <c r="JZR64" s="44">
        <f t="shared" si="248"/>
        <v>0</v>
      </c>
      <c r="JZS64" s="44">
        <f t="shared" si="248"/>
        <v>0</v>
      </c>
      <c r="JZT64" s="44">
        <f t="shared" si="248"/>
        <v>0</v>
      </c>
      <c r="JZU64" s="44">
        <f t="shared" si="248"/>
        <v>0</v>
      </c>
      <c r="JZV64" s="44">
        <f t="shared" si="248"/>
        <v>0</v>
      </c>
      <c r="JZW64" s="44">
        <f t="shared" si="248"/>
        <v>0</v>
      </c>
      <c r="JZX64" s="44">
        <f t="shared" si="248"/>
        <v>0</v>
      </c>
      <c r="JZY64" s="44">
        <f t="shared" si="248"/>
        <v>0</v>
      </c>
      <c r="JZZ64" s="44">
        <f t="shared" si="248"/>
        <v>0</v>
      </c>
      <c r="KAA64" s="44">
        <f t="shared" si="248"/>
        <v>0</v>
      </c>
      <c r="KAB64" s="44">
        <f t="shared" si="248"/>
        <v>0</v>
      </c>
      <c r="KAC64" s="44">
        <f t="shared" si="248"/>
        <v>0</v>
      </c>
      <c r="KAD64" s="44">
        <f t="shared" si="248"/>
        <v>0</v>
      </c>
      <c r="KAE64" s="44">
        <f t="shared" si="248"/>
        <v>0</v>
      </c>
      <c r="KAF64" s="44">
        <f t="shared" si="248"/>
        <v>0</v>
      </c>
      <c r="KAG64" s="44">
        <f t="shared" si="248"/>
        <v>0</v>
      </c>
      <c r="KAH64" s="44">
        <f t="shared" si="248"/>
        <v>0</v>
      </c>
      <c r="KAI64" s="44">
        <f t="shared" si="248"/>
        <v>0</v>
      </c>
      <c r="KAJ64" s="44">
        <f t="shared" si="248"/>
        <v>0</v>
      </c>
      <c r="KAK64" s="44">
        <f t="shared" si="248"/>
        <v>0</v>
      </c>
      <c r="KAL64" s="44">
        <f t="shared" si="248"/>
        <v>0</v>
      </c>
      <c r="KAM64" s="44">
        <f t="shared" si="248"/>
        <v>0</v>
      </c>
      <c r="KAN64" s="44">
        <f t="shared" si="248"/>
        <v>0</v>
      </c>
      <c r="KAO64" s="44">
        <f t="shared" si="248"/>
        <v>0</v>
      </c>
      <c r="KAP64" s="44">
        <f t="shared" si="248"/>
        <v>0</v>
      </c>
      <c r="KAQ64" s="44">
        <f t="shared" si="248"/>
        <v>0</v>
      </c>
      <c r="KAR64" s="44">
        <f t="shared" si="248"/>
        <v>0</v>
      </c>
      <c r="KAS64" s="44">
        <f t="shared" si="248"/>
        <v>0</v>
      </c>
      <c r="KAT64" s="44">
        <f t="shared" si="248"/>
        <v>0</v>
      </c>
      <c r="KAU64" s="44">
        <f t="shared" si="248"/>
        <v>0</v>
      </c>
      <c r="KAV64" s="44">
        <f t="shared" si="248"/>
        <v>0</v>
      </c>
      <c r="KAW64" s="44">
        <f t="shared" si="248"/>
        <v>0</v>
      </c>
      <c r="KAX64" s="44">
        <f t="shared" si="248"/>
        <v>0</v>
      </c>
      <c r="KAY64" s="44">
        <f t="shared" si="248"/>
        <v>0</v>
      </c>
      <c r="KAZ64" s="44">
        <f t="shared" si="248"/>
        <v>0</v>
      </c>
      <c r="KBA64" s="44">
        <f t="shared" si="248"/>
        <v>0</v>
      </c>
      <c r="KBB64" s="44">
        <f t="shared" si="248"/>
        <v>0</v>
      </c>
      <c r="KBC64" s="44">
        <f t="shared" si="248"/>
        <v>0</v>
      </c>
      <c r="KBD64" s="44">
        <f t="shared" si="248"/>
        <v>0</v>
      </c>
      <c r="KBE64" s="44">
        <f t="shared" si="248"/>
        <v>0</v>
      </c>
      <c r="KBF64" s="44">
        <f t="shared" si="248"/>
        <v>0</v>
      </c>
      <c r="KBG64" s="44">
        <f t="shared" si="248"/>
        <v>0</v>
      </c>
      <c r="KBH64" s="44">
        <f t="shared" si="248"/>
        <v>0</v>
      </c>
      <c r="KBI64" s="44">
        <f t="shared" si="248"/>
        <v>0</v>
      </c>
      <c r="KBJ64" s="44">
        <f t="shared" si="248"/>
        <v>0</v>
      </c>
      <c r="KBK64" s="44">
        <f t="shared" si="248"/>
        <v>0</v>
      </c>
      <c r="KBL64" s="44">
        <f t="shared" si="248"/>
        <v>0</v>
      </c>
      <c r="KBM64" s="44">
        <f t="shared" si="248"/>
        <v>0</v>
      </c>
      <c r="KBN64" s="44">
        <f t="shared" si="248"/>
        <v>0</v>
      </c>
      <c r="KBO64" s="44">
        <f t="shared" si="248"/>
        <v>0</v>
      </c>
      <c r="KBP64" s="44">
        <f t="shared" si="248"/>
        <v>0</v>
      </c>
      <c r="KBQ64" s="44">
        <f t="shared" si="248"/>
        <v>0</v>
      </c>
      <c r="KBR64" s="44">
        <f t="shared" si="248"/>
        <v>0</v>
      </c>
      <c r="KBS64" s="44">
        <f t="shared" si="248"/>
        <v>0</v>
      </c>
      <c r="KBT64" s="44">
        <f t="shared" si="248"/>
        <v>0</v>
      </c>
      <c r="KBU64" s="44">
        <f t="shared" si="248"/>
        <v>0</v>
      </c>
      <c r="KBV64" s="44">
        <f t="shared" ref="KBV64:KEG64" si="249">SUM(KBV56:KBV57)</f>
        <v>0</v>
      </c>
      <c r="KBW64" s="44">
        <f t="shared" si="249"/>
        <v>0</v>
      </c>
      <c r="KBX64" s="44">
        <f t="shared" si="249"/>
        <v>0</v>
      </c>
      <c r="KBY64" s="44">
        <f t="shared" si="249"/>
        <v>0</v>
      </c>
      <c r="KBZ64" s="44">
        <f t="shared" si="249"/>
        <v>0</v>
      </c>
      <c r="KCA64" s="44">
        <f t="shared" si="249"/>
        <v>0</v>
      </c>
      <c r="KCB64" s="44">
        <f t="shared" si="249"/>
        <v>0</v>
      </c>
      <c r="KCC64" s="44">
        <f t="shared" si="249"/>
        <v>0</v>
      </c>
      <c r="KCD64" s="44">
        <f t="shared" si="249"/>
        <v>0</v>
      </c>
      <c r="KCE64" s="44">
        <f t="shared" si="249"/>
        <v>0</v>
      </c>
      <c r="KCF64" s="44">
        <f t="shared" si="249"/>
        <v>0</v>
      </c>
      <c r="KCG64" s="44">
        <f t="shared" si="249"/>
        <v>0</v>
      </c>
      <c r="KCH64" s="44">
        <f t="shared" si="249"/>
        <v>0</v>
      </c>
      <c r="KCI64" s="44">
        <f t="shared" si="249"/>
        <v>0</v>
      </c>
      <c r="KCJ64" s="44">
        <f t="shared" si="249"/>
        <v>0</v>
      </c>
      <c r="KCK64" s="44">
        <f t="shared" si="249"/>
        <v>0</v>
      </c>
      <c r="KCL64" s="44">
        <f t="shared" si="249"/>
        <v>0</v>
      </c>
      <c r="KCM64" s="44">
        <f t="shared" si="249"/>
        <v>0</v>
      </c>
      <c r="KCN64" s="44">
        <f t="shared" si="249"/>
        <v>0</v>
      </c>
      <c r="KCO64" s="44">
        <f t="shared" si="249"/>
        <v>0</v>
      </c>
      <c r="KCP64" s="44">
        <f t="shared" si="249"/>
        <v>0</v>
      </c>
      <c r="KCQ64" s="44">
        <f t="shared" si="249"/>
        <v>0</v>
      </c>
      <c r="KCR64" s="44">
        <f t="shared" si="249"/>
        <v>0</v>
      </c>
      <c r="KCS64" s="44">
        <f t="shared" si="249"/>
        <v>0</v>
      </c>
      <c r="KCT64" s="44">
        <f t="shared" si="249"/>
        <v>0</v>
      </c>
      <c r="KCU64" s="44">
        <f t="shared" si="249"/>
        <v>0</v>
      </c>
      <c r="KCV64" s="44">
        <f t="shared" si="249"/>
        <v>0</v>
      </c>
      <c r="KCW64" s="44">
        <f t="shared" si="249"/>
        <v>0</v>
      </c>
      <c r="KCX64" s="44">
        <f t="shared" si="249"/>
        <v>0</v>
      </c>
      <c r="KCY64" s="44">
        <f t="shared" si="249"/>
        <v>0</v>
      </c>
      <c r="KCZ64" s="44">
        <f t="shared" si="249"/>
        <v>0</v>
      </c>
      <c r="KDA64" s="44">
        <f t="shared" si="249"/>
        <v>0</v>
      </c>
      <c r="KDB64" s="44">
        <f t="shared" si="249"/>
        <v>0</v>
      </c>
      <c r="KDC64" s="44">
        <f t="shared" si="249"/>
        <v>0</v>
      </c>
      <c r="KDD64" s="44">
        <f t="shared" si="249"/>
        <v>0</v>
      </c>
      <c r="KDE64" s="44">
        <f t="shared" si="249"/>
        <v>0</v>
      </c>
      <c r="KDF64" s="44">
        <f t="shared" si="249"/>
        <v>0</v>
      </c>
      <c r="KDG64" s="44">
        <f t="shared" si="249"/>
        <v>0</v>
      </c>
      <c r="KDH64" s="44">
        <f t="shared" si="249"/>
        <v>0</v>
      </c>
      <c r="KDI64" s="44">
        <f t="shared" si="249"/>
        <v>0</v>
      </c>
      <c r="KDJ64" s="44">
        <f t="shared" si="249"/>
        <v>0</v>
      </c>
      <c r="KDK64" s="44">
        <f t="shared" si="249"/>
        <v>0</v>
      </c>
      <c r="KDL64" s="44">
        <f t="shared" si="249"/>
        <v>0</v>
      </c>
      <c r="KDM64" s="44">
        <f t="shared" si="249"/>
        <v>0</v>
      </c>
      <c r="KDN64" s="44">
        <f t="shared" si="249"/>
        <v>0</v>
      </c>
      <c r="KDO64" s="44">
        <f t="shared" si="249"/>
        <v>0</v>
      </c>
      <c r="KDP64" s="44">
        <f t="shared" si="249"/>
        <v>0</v>
      </c>
      <c r="KDQ64" s="44">
        <f t="shared" si="249"/>
        <v>0</v>
      </c>
      <c r="KDR64" s="44">
        <f t="shared" si="249"/>
        <v>0</v>
      </c>
      <c r="KDS64" s="44">
        <f t="shared" si="249"/>
        <v>0</v>
      </c>
      <c r="KDT64" s="44">
        <f t="shared" si="249"/>
        <v>0</v>
      </c>
      <c r="KDU64" s="44">
        <f t="shared" si="249"/>
        <v>0</v>
      </c>
      <c r="KDV64" s="44">
        <f t="shared" si="249"/>
        <v>0</v>
      </c>
      <c r="KDW64" s="44">
        <f t="shared" si="249"/>
        <v>0</v>
      </c>
      <c r="KDX64" s="44">
        <f t="shared" si="249"/>
        <v>0</v>
      </c>
      <c r="KDY64" s="44">
        <f t="shared" si="249"/>
        <v>0</v>
      </c>
      <c r="KDZ64" s="44">
        <f t="shared" si="249"/>
        <v>0</v>
      </c>
      <c r="KEA64" s="44">
        <f t="shared" si="249"/>
        <v>0</v>
      </c>
      <c r="KEB64" s="44">
        <f t="shared" si="249"/>
        <v>0</v>
      </c>
      <c r="KEC64" s="44">
        <f t="shared" si="249"/>
        <v>0</v>
      </c>
      <c r="KED64" s="44">
        <f t="shared" si="249"/>
        <v>0</v>
      </c>
      <c r="KEE64" s="44">
        <f t="shared" si="249"/>
        <v>0</v>
      </c>
      <c r="KEF64" s="44">
        <f t="shared" si="249"/>
        <v>0</v>
      </c>
      <c r="KEG64" s="44">
        <f t="shared" si="249"/>
        <v>0</v>
      </c>
      <c r="KEH64" s="44">
        <f t="shared" ref="KEH64:KGS64" si="250">SUM(KEH56:KEH57)</f>
        <v>0</v>
      </c>
      <c r="KEI64" s="44">
        <f t="shared" si="250"/>
        <v>0</v>
      </c>
      <c r="KEJ64" s="44">
        <f t="shared" si="250"/>
        <v>0</v>
      </c>
      <c r="KEK64" s="44">
        <f t="shared" si="250"/>
        <v>0</v>
      </c>
      <c r="KEL64" s="44">
        <f t="shared" si="250"/>
        <v>0</v>
      </c>
      <c r="KEM64" s="44">
        <f t="shared" si="250"/>
        <v>0</v>
      </c>
      <c r="KEN64" s="44">
        <f t="shared" si="250"/>
        <v>0</v>
      </c>
      <c r="KEO64" s="44">
        <f t="shared" si="250"/>
        <v>0</v>
      </c>
      <c r="KEP64" s="44">
        <f t="shared" si="250"/>
        <v>0</v>
      </c>
      <c r="KEQ64" s="44">
        <f t="shared" si="250"/>
        <v>0</v>
      </c>
      <c r="KER64" s="44">
        <f t="shared" si="250"/>
        <v>0</v>
      </c>
      <c r="KES64" s="44">
        <f t="shared" si="250"/>
        <v>0</v>
      </c>
      <c r="KET64" s="44">
        <f t="shared" si="250"/>
        <v>0</v>
      </c>
      <c r="KEU64" s="44">
        <f t="shared" si="250"/>
        <v>0</v>
      </c>
      <c r="KEV64" s="44">
        <f t="shared" si="250"/>
        <v>0</v>
      </c>
      <c r="KEW64" s="44">
        <f t="shared" si="250"/>
        <v>0</v>
      </c>
      <c r="KEX64" s="44">
        <f t="shared" si="250"/>
        <v>0</v>
      </c>
      <c r="KEY64" s="44">
        <f t="shared" si="250"/>
        <v>0</v>
      </c>
      <c r="KEZ64" s="44">
        <f t="shared" si="250"/>
        <v>0</v>
      </c>
      <c r="KFA64" s="44">
        <f t="shared" si="250"/>
        <v>0</v>
      </c>
      <c r="KFB64" s="44">
        <f t="shared" si="250"/>
        <v>0</v>
      </c>
      <c r="KFC64" s="44">
        <f t="shared" si="250"/>
        <v>0</v>
      </c>
      <c r="KFD64" s="44">
        <f t="shared" si="250"/>
        <v>0</v>
      </c>
      <c r="KFE64" s="44">
        <f t="shared" si="250"/>
        <v>0</v>
      </c>
      <c r="KFF64" s="44">
        <f t="shared" si="250"/>
        <v>0</v>
      </c>
      <c r="KFG64" s="44">
        <f t="shared" si="250"/>
        <v>0</v>
      </c>
      <c r="KFH64" s="44">
        <f t="shared" si="250"/>
        <v>0</v>
      </c>
      <c r="KFI64" s="44">
        <f t="shared" si="250"/>
        <v>0</v>
      </c>
      <c r="KFJ64" s="44">
        <f t="shared" si="250"/>
        <v>0</v>
      </c>
      <c r="KFK64" s="44">
        <f t="shared" si="250"/>
        <v>0</v>
      </c>
      <c r="KFL64" s="44">
        <f t="shared" si="250"/>
        <v>0</v>
      </c>
      <c r="KFM64" s="44">
        <f t="shared" si="250"/>
        <v>0</v>
      </c>
      <c r="KFN64" s="44">
        <f t="shared" si="250"/>
        <v>0</v>
      </c>
      <c r="KFO64" s="44">
        <f t="shared" si="250"/>
        <v>0</v>
      </c>
      <c r="KFP64" s="44">
        <f t="shared" si="250"/>
        <v>0</v>
      </c>
      <c r="KFQ64" s="44">
        <f t="shared" si="250"/>
        <v>0</v>
      </c>
      <c r="KFR64" s="44">
        <f t="shared" si="250"/>
        <v>0</v>
      </c>
      <c r="KFS64" s="44">
        <f t="shared" si="250"/>
        <v>0</v>
      </c>
      <c r="KFT64" s="44">
        <f t="shared" si="250"/>
        <v>0</v>
      </c>
      <c r="KFU64" s="44">
        <f t="shared" si="250"/>
        <v>0</v>
      </c>
      <c r="KFV64" s="44">
        <f t="shared" si="250"/>
        <v>0</v>
      </c>
      <c r="KFW64" s="44">
        <f t="shared" si="250"/>
        <v>0</v>
      </c>
      <c r="KFX64" s="44">
        <f t="shared" si="250"/>
        <v>0</v>
      </c>
      <c r="KFY64" s="44">
        <f t="shared" si="250"/>
        <v>0</v>
      </c>
      <c r="KFZ64" s="44">
        <f t="shared" si="250"/>
        <v>0</v>
      </c>
      <c r="KGA64" s="44">
        <f t="shared" si="250"/>
        <v>0</v>
      </c>
      <c r="KGB64" s="44">
        <f t="shared" si="250"/>
        <v>0</v>
      </c>
      <c r="KGC64" s="44">
        <f t="shared" si="250"/>
        <v>0</v>
      </c>
      <c r="KGD64" s="44">
        <f t="shared" si="250"/>
        <v>0</v>
      </c>
      <c r="KGE64" s="44">
        <f t="shared" si="250"/>
        <v>0</v>
      </c>
      <c r="KGF64" s="44">
        <f t="shared" si="250"/>
        <v>0</v>
      </c>
      <c r="KGG64" s="44">
        <f t="shared" si="250"/>
        <v>0</v>
      </c>
      <c r="KGH64" s="44">
        <f t="shared" si="250"/>
        <v>0</v>
      </c>
      <c r="KGI64" s="44">
        <f t="shared" si="250"/>
        <v>0</v>
      </c>
      <c r="KGJ64" s="44">
        <f t="shared" si="250"/>
        <v>0</v>
      </c>
      <c r="KGK64" s="44">
        <f t="shared" si="250"/>
        <v>0</v>
      </c>
      <c r="KGL64" s="44">
        <f t="shared" si="250"/>
        <v>0</v>
      </c>
      <c r="KGM64" s="44">
        <f t="shared" si="250"/>
        <v>0</v>
      </c>
      <c r="KGN64" s="44">
        <f t="shared" si="250"/>
        <v>0</v>
      </c>
      <c r="KGO64" s="44">
        <f t="shared" si="250"/>
        <v>0</v>
      </c>
      <c r="KGP64" s="44">
        <f t="shared" si="250"/>
        <v>0</v>
      </c>
      <c r="KGQ64" s="44">
        <f t="shared" si="250"/>
        <v>0</v>
      </c>
      <c r="KGR64" s="44">
        <f t="shared" si="250"/>
        <v>0</v>
      </c>
      <c r="KGS64" s="44">
        <f t="shared" si="250"/>
        <v>0</v>
      </c>
      <c r="KGT64" s="44">
        <f t="shared" ref="KGT64:KJE64" si="251">SUM(KGT56:KGT57)</f>
        <v>0</v>
      </c>
      <c r="KGU64" s="44">
        <f t="shared" si="251"/>
        <v>0</v>
      </c>
      <c r="KGV64" s="44">
        <f t="shared" si="251"/>
        <v>0</v>
      </c>
      <c r="KGW64" s="44">
        <f t="shared" si="251"/>
        <v>0</v>
      </c>
      <c r="KGX64" s="44">
        <f t="shared" si="251"/>
        <v>0</v>
      </c>
      <c r="KGY64" s="44">
        <f t="shared" si="251"/>
        <v>0</v>
      </c>
      <c r="KGZ64" s="44">
        <f t="shared" si="251"/>
        <v>0</v>
      </c>
      <c r="KHA64" s="44">
        <f t="shared" si="251"/>
        <v>0</v>
      </c>
      <c r="KHB64" s="44">
        <f t="shared" si="251"/>
        <v>0</v>
      </c>
      <c r="KHC64" s="44">
        <f t="shared" si="251"/>
        <v>0</v>
      </c>
      <c r="KHD64" s="44">
        <f t="shared" si="251"/>
        <v>0</v>
      </c>
      <c r="KHE64" s="44">
        <f t="shared" si="251"/>
        <v>0</v>
      </c>
      <c r="KHF64" s="44">
        <f t="shared" si="251"/>
        <v>0</v>
      </c>
      <c r="KHG64" s="44">
        <f t="shared" si="251"/>
        <v>0</v>
      </c>
      <c r="KHH64" s="44">
        <f t="shared" si="251"/>
        <v>0</v>
      </c>
      <c r="KHI64" s="44">
        <f t="shared" si="251"/>
        <v>0</v>
      </c>
      <c r="KHJ64" s="44">
        <f t="shared" si="251"/>
        <v>0</v>
      </c>
      <c r="KHK64" s="44">
        <f t="shared" si="251"/>
        <v>0</v>
      </c>
      <c r="KHL64" s="44">
        <f t="shared" si="251"/>
        <v>0</v>
      </c>
      <c r="KHM64" s="44">
        <f t="shared" si="251"/>
        <v>0</v>
      </c>
      <c r="KHN64" s="44">
        <f t="shared" si="251"/>
        <v>0</v>
      </c>
      <c r="KHO64" s="44">
        <f t="shared" si="251"/>
        <v>0</v>
      </c>
      <c r="KHP64" s="44">
        <f t="shared" si="251"/>
        <v>0</v>
      </c>
      <c r="KHQ64" s="44">
        <f t="shared" si="251"/>
        <v>0</v>
      </c>
      <c r="KHR64" s="44">
        <f t="shared" si="251"/>
        <v>0</v>
      </c>
      <c r="KHS64" s="44">
        <f t="shared" si="251"/>
        <v>0</v>
      </c>
      <c r="KHT64" s="44">
        <f t="shared" si="251"/>
        <v>0</v>
      </c>
      <c r="KHU64" s="44">
        <f t="shared" si="251"/>
        <v>0</v>
      </c>
      <c r="KHV64" s="44">
        <f t="shared" si="251"/>
        <v>0</v>
      </c>
      <c r="KHW64" s="44">
        <f t="shared" si="251"/>
        <v>0</v>
      </c>
      <c r="KHX64" s="44">
        <f t="shared" si="251"/>
        <v>0</v>
      </c>
      <c r="KHY64" s="44">
        <f t="shared" si="251"/>
        <v>0</v>
      </c>
      <c r="KHZ64" s="44">
        <f t="shared" si="251"/>
        <v>0</v>
      </c>
      <c r="KIA64" s="44">
        <f t="shared" si="251"/>
        <v>0</v>
      </c>
      <c r="KIB64" s="44">
        <f t="shared" si="251"/>
        <v>0</v>
      </c>
      <c r="KIC64" s="44">
        <f t="shared" si="251"/>
        <v>0</v>
      </c>
      <c r="KID64" s="44">
        <f t="shared" si="251"/>
        <v>0</v>
      </c>
      <c r="KIE64" s="44">
        <f t="shared" si="251"/>
        <v>0</v>
      </c>
      <c r="KIF64" s="44">
        <f t="shared" si="251"/>
        <v>0</v>
      </c>
      <c r="KIG64" s="44">
        <f t="shared" si="251"/>
        <v>0</v>
      </c>
      <c r="KIH64" s="44">
        <f t="shared" si="251"/>
        <v>0</v>
      </c>
      <c r="KII64" s="44">
        <f t="shared" si="251"/>
        <v>0</v>
      </c>
      <c r="KIJ64" s="44">
        <f t="shared" si="251"/>
        <v>0</v>
      </c>
      <c r="KIK64" s="44">
        <f t="shared" si="251"/>
        <v>0</v>
      </c>
      <c r="KIL64" s="44">
        <f t="shared" si="251"/>
        <v>0</v>
      </c>
      <c r="KIM64" s="44">
        <f t="shared" si="251"/>
        <v>0</v>
      </c>
      <c r="KIN64" s="44">
        <f t="shared" si="251"/>
        <v>0</v>
      </c>
      <c r="KIO64" s="44">
        <f t="shared" si="251"/>
        <v>0</v>
      </c>
      <c r="KIP64" s="44">
        <f t="shared" si="251"/>
        <v>0</v>
      </c>
      <c r="KIQ64" s="44">
        <f t="shared" si="251"/>
        <v>0</v>
      </c>
      <c r="KIR64" s="44">
        <f t="shared" si="251"/>
        <v>0</v>
      </c>
      <c r="KIS64" s="44">
        <f t="shared" si="251"/>
        <v>0</v>
      </c>
      <c r="KIT64" s="44">
        <f t="shared" si="251"/>
        <v>0</v>
      </c>
      <c r="KIU64" s="44">
        <f t="shared" si="251"/>
        <v>0</v>
      </c>
      <c r="KIV64" s="44">
        <f t="shared" si="251"/>
        <v>0</v>
      </c>
      <c r="KIW64" s="44">
        <f t="shared" si="251"/>
        <v>0</v>
      </c>
      <c r="KIX64" s="44">
        <f t="shared" si="251"/>
        <v>0</v>
      </c>
      <c r="KIY64" s="44">
        <f t="shared" si="251"/>
        <v>0</v>
      </c>
      <c r="KIZ64" s="44">
        <f t="shared" si="251"/>
        <v>0</v>
      </c>
      <c r="KJA64" s="44">
        <f t="shared" si="251"/>
        <v>0</v>
      </c>
      <c r="KJB64" s="44">
        <f t="shared" si="251"/>
        <v>0</v>
      </c>
      <c r="KJC64" s="44">
        <f t="shared" si="251"/>
        <v>0</v>
      </c>
      <c r="KJD64" s="44">
        <f t="shared" si="251"/>
        <v>0</v>
      </c>
      <c r="KJE64" s="44">
        <f t="shared" si="251"/>
        <v>0</v>
      </c>
      <c r="KJF64" s="44">
        <f t="shared" ref="KJF64:KLQ64" si="252">SUM(KJF56:KJF57)</f>
        <v>0</v>
      </c>
      <c r="KJG64" s="44">
        <f t="shared" si="252"/>
        <v>0</v>
      </c>
      <c r="KJH64" s="44">
        <f t="shared" si="252"/>
        <v>0</v>
      </c>
      <c r="KJI64" s="44">
        <f t="shared" si="252"/>
        <v>0</v>
      </c>
      <c r="KJJ64" s="44">
        <f t="shared" si="252"/>
        <v>0</v>
      </c>
      <c r="KJK64" s="44">
        <f t="shared" si="252"/>
        <v>0</v>
      </c>
      <c r="KJL64" s="44">
        <f t="shared" si="252"/>
        <v>0</v>
      </c>
      <c r="KJM64" s="44">
        <f t="shared" si="252"/>
        <v>0</v>
      </c>
      <c r="KJN64" s="44">
        <f t="shared" si="252"/>
        <v>0</v>
      </c>
      <c r="KJO64" s="44">
        <f t="shared" si="252"/>
        <v>0</v>
      </c>
      <c r="KJP64" s="44">
        <f t="shared" si="252"/>
        <v>0</v>
      </c>
      <c r="KJQ64" s="44">
        <f t="shared" si="252"/>
        <v>0</v>
      </c>
      <c r="KJR64" s="44">
        <f t="shared" si="252"/>
        <v>0</v>
      </c>
      <c r="KJS64" s="44">
        <f t="shared" si="252"/>
        <v>0</v>
      </c>
      <c r="KJT64" s="44">
        <f t="shared" si="252"/>
        <v>0</v>
      </c>
      <c r="KJU64" s="44">
        <f t="shared" si="252"/>
        <v>0</v>
      </c>
      <c r="KJV64" s="44">
        <f t="shared" si="252"/>
        <v>0</v>
      </c>
      <c r="KJW64" s="44">
        <f t="shared" si="252"/>
        <v>0</v>
      </c>
      <c r="KJX64" s="44">
        <f t="shared" si="252"/>
        <v>0</v>
      </c>
      <c r="KJY64" s="44">
        <f t="shared" si="252"/>
        <v>0</v>
      </c>
      <c r="KJZ64" s="44">
        <f t="shared" si="252"/>
        <v>0</v>
      </c>
      <c r="KKA64" s="44">
        <f t="shared" si="252"/>
        <v>0</v>
      </c>
      <c r="KKB64" s="44">
        <f t="shared" si="252"/>
        <v>0</v>
      </c>
      <c r="KKC64" s="44">
        <f t="shared" si="252"/>
        <v>0</v>
      </c>
      <c r="KKD64" s="44">
        <f t="shared" si="252"/>
        <v>0</v>
      </c>
      <c r="KKE64" s="44">
        <f t="shared" si="252"/>
        <v>0</v>
      </c>
      <c r="KKF64" s="44">
        <f t="shared" si="252"/>
        <v>0</v>
      </c>
      <c r="KKG64" s="44">
        <f t="shared" si="252"/>
        <v>0</v>
      </c>
      <c r="KKH64" s="44">
        <f t="shared" si="252"/>
        <v>0</v>
      </c>
      <c r="KKI64" s="44">
        <f t="shared" si="252"/>
        <v>0</v>
      </c>
      <c r="KKJ64" s="44">
        <f t="shared" si="252"/>
        <v>0</v>
      </c>
      <c r="KKK64" s="44">
        <f t="shared" si="252"/>
        <v>0</v>
      </c>
      <c r="KKL64" s="44">
        <f t="shared" si="252"/>
        <v>0</v>
      </c>
      <c r="KKM64" s="44">
        <f t="shared" si="252"/>
        <v>0</v>
      </c>
      <c r="KKN64" s="44">
        <f t="shared" si="252"/>
        <v>0</v>
      </c>
      <c r="KKO64" s="44">
        <f t="shared" si="252"/>
        <v>0</v>
      </c>
      <c r="KKP64" s="44">
        <f t="shared" si="252"/>
        <v>0</v>
      </c>
      <c r="KKQ64" s="44">
        <f t="shared" si="252"/>
        <v>0</v>
      </c>
      <c r="KKR64" s="44">
        <f t="shared" si="252"/>
        <v>0</v>
      </c>
      <c r="KKS64" s="44">
        <f t="shared" si="252"/>
        <v>0</v>
      </c>
      <c r="KKT64" s="44">
        <f t="shared" si="252"/>
        <v>0</v>
      </c>
      <c r="KKU64" s="44">
        <f t="shared" si="252"/>
        <v>0</v>
      </c>
      <c r="KKV64" s="44">
        <f t="shared" si="252"/>
        <v>0</v>
      </c>
      <c r="KKW64" s="44">
        <f t="shared" si="252"/>
        <v>0</v>
      </c>
      <c r="KKX64" s="44">
        <f t="shared" si="252"/>
        <v>0</v>
      </c>
      <c r="KKY64" s="44">
        <f t="shared" si="252"/>
        <v>0</v>
      </c>
      <c r="KKZ64" s="44">
        <f t="shared" si="252"/>
        <v>0</v>
      </c>
      <c r="KLA64" s="44">
        <f t="shared" si="252"/>
        <v>0</v>
      </c>
      <c r="KLB64" s="44">
        <f t="shared" si="252"/>
        <v>0</v>
      </c>
      <c r="KLC64" s="44">
        <f t="shared" si="252"/>
        <v>0</v>
      </c>
      <c r="KLD64" s="44">
        <f t="shared" si="252"/>
        <v>0</v>
      </c>
      <c r="KLE64" s="44">
        <f t="shared" si="252"/>
        <v>0</v>
      </c>
      <c r="KLF64" s="44">
        <f t="shared" si="252"/>
        <v>0</v>
      </c>
      <c r="KLG64" s="44">
        <f t="shared" si="252"/>
        <v>0</v>
      </c>
      <c r="KLH64" s="44">
        <f t="shared" si="252"/>
        <v>0</v>
      </c>
      <c r="KLI64" s="44">
        <f t="shared" si="252"/>
        <v>0</v>
      </c>
      <c r="KLJ64" s="44">
        <f t="shared" si="252"/>
        <v>0</v>
      </c>
      <c r="KLK64" s="44">
        <f t="shared" si="252"/>
        <v>0</v>
      </c>
      <c r="KLL64" s="44">
        <f t="shared" si="252"/>
        <v>0</v>
      </c>
      <c r="KLM64" s="44">
        <f t="shared" si="252"/>
        <v>0</v>
      </c>
      <c r="KLN64" s="44">
        <f t="shared" si="252"/>
        <v>0</v>
      </c>
      <c r="KLO64" s="44">
        <f t="shared" si="252"/>
        <v>0</v>
      </c>
      <c r="KLP64" s="44">
        <f t="shared" si="252"/>
        <v>0</v>
      </c>
      <c r="KLQ64" s="44">
        <f t="shared" si="252"/>
        <v>0</v>
      </c>
      <c r="KLR64" s="44">
        <f t="shared" ref="KLR64:KOC64" si="253">SUM(KLR56:KLR57)</f>
        <v>0</v>
      </c>
      <c r="KLS64" s="44">
        <f t="shared" si="253"/>
        <v>0</v>
      </c>
      <c r="KLT64" s="44">
        <f t="shared" si="253"/>
        <v>0</v>
      </c>
      <c r="KLU64" s="44">
        <f t="shared" si="253"/>
        <v>0</v>
      </c>
      <c r="KLV64" s="44">
        <f t="shared" si="253"/>
        <v>0</v>
      </c>
      <c r="KLW64" s="44">
        <f t="shared" si="253"/>
        <v>0</v>
      </c>
      <c r="KLX64" s="44">
        <f t="shared" si="253"/>
        <v>0</v>
      </c>
      <c r="KLY64" s="44">
        <f t="shared" si="253"/>
        <v>0</v>
      </c>
      <c r="KLZ64" s="44">
        <f t="shared" si="253"/>
        <v>0</v>
      </c>
      <c r="KMA64" s="44">
        <f t="shared" si="253"/>
        <v>0</v>
      </c>
      <c r="KMB64" s="44">
        <f t="shared" si="253"/>
        <v>0</v>
      </c>
      <c r="KMC64" s="44">
        <f t="shared" si="253"/>
        <v>0</v>
      </c>
      <c r="KMD64" s="44">
        <f t="shared" si="253"/>
        <v>0</v>
      </c>
      <c r="KME64" s="44">
        <f t="shared" si="253"/>
        <v>0</v>
      </c>
      <c r="KMF64" s="44">
        <f t="shared" si="253"/>
        <v>0</v>
      </c>
      <c r="KMG64" s="44">
        <f t="shared" si="253"/>
        <v>0</v>
      </c>
      <c r="KMH64" s="44">
        <f t="shared" si="253"/>
        <v>0</v>
      </c>
      <c r="KMI64" s="44">
        <f t="shared" si="253"/>
        <v>0</v>
      </c>
      <c r="KMJ64" s="44">
        <f t="shared" si="253"/>
        <v>0</v>
      </c>
      <c r="KMK64" s="44">
        <f t="shared" si="253"/>
        <v>0</v>
      </c>
      <c r="KML64" s="44">
        <f t="shared" si="253"/>
        <v>0</v>
      </c>
      <c r="KMM64" s="44">
        <f t="shared" si="253"/>
        <v>0</v>
      </c>
      <c r="KMN64" s="44">
        <f t="shared" si="253"/>
        <v>0</v>
      </c>
      <c r="KMO64" s="44">
        <f t="shared" si="253"/>
        <v>0</v>
      </c>
      <c r="KMP64" s="44">
        <f t="shared" si="253"/>
        <v>0</v>
      </c>
      <c r="KMQ64" s="44">
        <f t="shared" si="253"/>
        <v>0</v>
      </c>
      <c r="KMR64" s="44">
        <f t="shared" si="253"/>
        <v>0</v>
      </c>
      <c r="KMS64" s="44">
        <f t="shared" si="253"/>
        <v>0</v>
      </c>
      <c r="KMT64" s="44">
        <f t="shared" si="253"/>
        <v>0</v>
      </c>
      <c r="KMU64" s="44">
        <f t="shared" si="253"/>
        <v>0</v>
      </c>
      <c r="KMV64" s="44">
        <f t="shared" si="253"/>
        <v>0</v>
      </c>
      <c r="KMW64" s="44">
        <f t="shared" si="253"/>
        <v>0</v>
      </c>
      <c r="KMX64" s="44">
        <f t="shared" si="253"/>
        <v>0</v>
      </c>
      <c r="KMY64" s="44">
        <f t="shared" si="253"/>
        <v>0</v>
      </c>
      <c r="KMZ64" s="44">
        <f t="shared" si="253"/>
        <v>0</v>
      </c>
      <c r="KNA64" s="44">
        <f t="shared" si="253"/>
        <v>0</v>
      </c>
      <c r="KNB64" s="44">
        <f t="shared" si="253"/>
        <v>0</v>
      </c>
      <c r="KNC64" s="44">
        <f t="shared" si="253"/>
        <v>0</v>
      </c>
      <c r="KND64" s="44">
        <f t="shared" si="253"/>
        <v>0</v>
      </c>
      <c r="KNE64" s="44">
        <f t="shared" si="253"/>
        <v>0</v>
      </c>
      <c r="KNF64" s="44">
        <f t="shared" si="253"/>
        <v>0</v>
      </c>
      <c r="KNG64" s="44">
        <f t="shared" si="253"/>
        <v>0</v>
      </c>
      <c r="KNH64" s="44">
        <f t="shared" si="253"/>
        <v>0</v>
      </c>
      <c r="KNI64" s="44">
        <f t="shared" si="253"/>
        <v>0</v>
      </c>
      <c r="KNJ64" s="44">
        <f t="shared" si="253"/>
        <v>0</v>
      </c>
      <c r="KNK64" s="44">
        <f t="shared" si="253"/>
        <v>0</v>
      </c>
      <c r="KNL64" s="44">
        <f t="shared" si="253"/>
        <v>0</v>
      </c>
      <c r="KNM64" s="44">
        <f t="shared" si="253"/>
        <v>0</v>
      </c>
      <c r="KNN64" s="44">
        <f t="shared" si="253"/>
        <v>0</v>
      </c>
      <c r="KNO64" s="44">
        <f t="shared" si="253"/>
        <v>0</v>
      </c>
      <c r="KNP64" s="44">
        <f t="shared" si="253"/>
        <v>0</v>
      </c>
      <c r="KNQ64" s="44">
        <f t="shared" si="253"/>
        <v>0</v>
      </c>
      <c r="KNR64" s="44">
        <f t="shared" si="253"/>
        <v>0</v>
      </c>
      <c r="KNS64" s="44">
        <f t="shared" si="253"/>
        <v>0</v>
      </c>
      <c r="KNT64" s="44">
        <f t="shared" si="253"/>
        <v>0</v>
      </c>
      <c r="KNU64" s="44">
        <f t="shared" si="253"/>
        <v>0</v>
      </c>
      <c r="KNV64" s="44">
        <f t="shared" si="253"/>
        <v>0</v>
      </c>
      <c r="KNW64" s="44">
        <f t="shared" si="253"/>
        <v>0</v>
      </c>
      <c r="KNX64" s="44">
        <f t="shared" si="253"/>
        <v>0</v>
      </c>
      <c r="KNY64" s="44">
        <f t="shared" si="253"/>
        <v>0</v>
      </c>
      <c r="KNZ64" s="44">
        <f t="shared" si="253"/>
        <v>0</v>
      </c>
      <c r="KOA64" s="44">
        <f t="shared" si="253"/>
        <v>0</v>
      </c>
      <c r="KOB64" s="44">
        <f t="shared" si="253"/>
        <v>0</v>
      </c>
      <c r="KOC64" s="44">
        <f t="shared" si="253"/>
        <v>0</v>
      </c>
      <c r="KOD64" s="44">
        <f t="shared" ref="KOD64:KQO64" si="254">SUM(KOD56:KOD57)</f>
        <v>0</v>
      </c>
      <c r="KOE64" s="44">
        <f t="shared" si="254"/>
        <v>0</v>
      </c>
      <c r="KOF64" s="44">
        <f t="shared" si="254"/>
        <v>0</v>
      </c>
      <c r="KOG64" s="44">
        <f t="shared" si="254"/>
        <v>0</v>
      </c>
      <c r="KOH64" s="44">
        <f t="shared" si="254"/>
        <v>0</v>
      </c>
      <c r="KOI64" s="44">
        <f t="shared" si="254"/>
        <v>0</v>
      </c>
      <c r="KOJ64" s="44">
        <f t="shared" si="254"/>
        <v>0</v>
      </c>
      <c r="KOK64" s="44">
        <f t="shared" si="254"/>
        <v>0</v>
      </c>
      <c r="KOL64" s="44">
        <f t="shared" si="254"/>
        <v>0</v>
      </c>
      <c r="KOM64" s="44">
        <f t="shared" si="254"/>
        <v>0</v>
      </c>
      <c r="KON64" s="44">
        <f t="shared" si="254"/>
        <v>0</v>
      </c>
      <c r="KOO64" s="44">
        <f t="shared" si="254"/>
        <v>0</v>
      </c>
      <c r="KOP64" s="44">
        <f t="shared" si="254"/>
        <v>0</v>
      </c>
      <c r="KOQ64" s="44">
        <f t="shared" si="254"/>
        <v>0</v>
      </c>
      <c r="KOR64" s="44">
        <f t="shared" si="254"/>
        <v>0</v>
      </c>
      <c r="KOS64" s="44">
        <f t="shared" si="254"/>
        <v>0</v>
      </c>
      <c r="KOT64" s="44">
        <f t="shared" si="254"/>
        <v>0</v>
      </c>
      <c r="KOU64" s="44">
        <f t="shared" si="254"/>
        <v>0</v>
      </c>
      <c r="KOV64" s="44">
        <f t="shared" si="254"/>
        <v>0</v>
      </c>
      <c r="KOW64" s="44">
        <f t="shared" si="254"/>
        <v>0</v>
      </c>
      <c r="KOX64" s="44">
        <f t="shared" si="254"/>
        <v>0</v>
      </c>
      <c r="KOY64" s="44">
        <f t="shared" si="254"/>
        <v>0</v>
      </c>
      <c r="KOZ64" s="44">
        <f t="shared" si="254"/>
        <v>0</v>
      </c>
      <c r="KPA64" s="44">
        <f t="shared" si="254"/>
        <v>0</v>
      </c>
      <c r="KPB64" s="44">
        <f t="shared" si="254"/>
        <v>0</v>
      </c>
      <c r="KPC64" s="44">
        <f t="shared" si="254"/>
        <v>0</v>
      </c>
      <c r="KPD64" s="44">
        <f t="shared" si="254"/>
        <v>0</v>
      </c>
      <c r="KPE64" s="44">
        <f t="shared" si="254"/>
        <v>0</v>
      </c>
      <c r="KPF64" s="44">
        <f t="shared" si="254"/>
        <v>0</v>
      </c>
      <c r="KPG64" s="44">
        <f t="shared" si="254"/>
        <v>0</v>
      </c>
      <c r="KPH64" s="44">
        <f t="shared" si="254"/>
        <v>0</v>
      </c>
      <c r="KPI64" s="44">
        <f t="shared" si="254"/>
        <v>0</v>
      </c>
      <c r="KPJ64" s="44">
        <f t="shared" si="254"/>
        <v>0</v>
      </c>
      <c r="KPK64" s="44">
        <f t="shared" si="254"/>
        <v>0</v>
      </c>
      <c r="KPL64" s="44">
        <f t="shared" si="254"/>
        <v>0</v>
      </c>
      <c r="KPM64" s="44">
        <f t="shared" si="254"/>
        <v>0</v>
      </c>
      <c r="KPN64" s="44">
        <f t="shared" si="254"/>
        <v>0</v>
      </c>
      <c r="KPO64" s="44">
        <f t="shared" si="254"/>
        <v>0</v>
      </c>
      <c r="KPP64" s="44">
        <f t="shared" si="254"/>
        <v>0</v>
      </c>
      <c r="KPQ64" s="44">
        <f t="shared" si="254"/>
        <v>0</v>
      </c>
      <c r="KPR64" s="44">
        <f t="shared" si="254"/>
        <v>0</v>
      </c>
      <c r="KPS64" s="44">
        <f t="shared" si="254"/>
        <v>0</v>
      </c>
      <c r="KPT64" s="44">
        <f t="shared" si="254"/>
        <v>0</v>
      </c>
      <c r="KPU64" s="44">
        <f t="shared" si="254"/>
        <v>0</v>
      </c>
      <c r="KPV64" s="44">
        <f t="shared" si="254"/>
        <v>0</v>
      </c>
      <c r="KPW64" s="44">
        <f t="shared" si="254"/>
        <v>0</v>
      </c>
      <c r="KPX64" s="44">
        <f t="shared" si="254"/>
        <v>0</v>
      </c>
      <c r="KPY64" s="44">
        <f t="shared" si="254"/>
        <v>0</v>
      </c>
      <c r="KPZ64" s="44">
        <f t="shared" si="254"/>
        <v>0</v>
      </c>
      <c r="KQA64" s="44">
        <f t="shared" si="254"/>
        <v>0</v>
      </c>
      <c r="KQB64" s="44">
        <f t="shared" si="254"/>
        <v>0</v>
      </c>
      <c r="KQC64" s="44">
        <f t="shared" si="254"/>
        <v>0</v>
      </c>
      <c r="KQD64" s="44">
        <f t="shared" si="254"/>
        <v>0</v>
      </c>
      <c r="KQE64" s="44">
        <f t="shared" si="254"/>
        <v>0</v>
      </c>
      <c r="KQF64" s="44">
        <f t="shared" si="254"/>
        <v>0</v>
      </c>
      <c r="KQG64" s="44">
        <f t="shared" si="254"/>
        <v>0</v>
      </c>
      <c r="KQH64" s="44">
        <f t="shared" si="254"/>
        <v>0</v>
      </c>
      <c r="KQI64" s="44">
        <f t="shared" si="254"/>
        <v>0</v>
      </c>
      <c r="KQJ64" s="44">
        <f t="shared" si="254"/>
        <v>0</v>
      </c>
      <c r="KQK64" s="44">
        <f t="shared" si="254"/>
        <v>0</v>
      </c>
      <c r="KQL64" s="44">
        <f t="shared" si="254"/>
        <v>0</v>
      </c>
      <c r="KQM64" s="44">
        <f t="shared" si="254"/>
        <v>0</v>
      </c>
      <c r="KQN64" s="44">
        <f t="shared" si="254"/>
        <v>0</v>
      </c>
      <c r="KQO64" s="44">
        <f t="shared" si="254"/>
        <v>0</v>
      </c>
      <c r="KQP64" s="44">
        <f t="shared" ref="KQP64:KTA64" si="255">SUM(KQP56:KQP57)</f>
        <v>0</v>
      </c>
      <c r="KQQ64" s="44">
        <f t="shared" si="255"/>
        <v>0</v>
      </c>
      <c r="KQR64" s="44">
        <f t="shared" si="255"/>
        <v>0</v>
      </c>
      <c r="KQS64" s="44">
        <f t="shared" si="255"/>
        <v>0</v>
      </c>
      <c r="KQT64" s="44">
        <f t="shared" si="255"/>
        <v>0</v>
      </c>
      <c r="KQU64" s="44">
        <f t="shared" si="255"/>
        <v>0</v>
      </c>
      <c r="KQV64" s="44">
        <f t="shared" si="255"/>
        <v>0</v>
      </c>
      <c r="KQW64" s="44">
        <f t="shared" si="255"/>
        <v>0</v>
      </c>
      <c r="KQX64" s="44">
        <f t="shared" si="255"/>
        <v>0</v>
      </c>
      <c r="KQY64" s="44">
        <f t="shared" si="255"/>
        <v>0</v>
      </c>
      <c r="KQZ64" s="44">
        <f t="shared" si="255"/>
        <v>0</v>
      </c>
      <c r="KRA64" s="44">
        <f t="shared" si="255"/>
        <v>0</v>
      </c>
      <c r="KRB64" s="44">
        <f t="shared" si="255"/>
        <v>0</v>
      </c>
      <c r="KRC64" s="44">
        <f t="shared" si="255"/>
        <v>0</v>
      </c>
      <c r="KRD64" s="44">
        <f t="shared" si="255"/>
        <v>0</v>
      </c>
      <c r="KRE64" s="44">
        <f t="shared" si="255"/>
        <v>0</v>
      </c>
      <c r="KRF64" s="44">
        <f t="shared" si="255"/>
        <v>0</v>
      </c>
      <c r="KRG64" s="44">
        <f t="shared" si="255"/>
        <v>0</v>
      </c>
      <c r="KRH64" s="44">
        <f t="shared" si="255"/>
        <v>0</v>
      </c>
      <c r="KRI64" s="44">
        <f t="shared" si="255"/>
        <v>0</v>
      </c>
      <c r="KRJ64" s="44">
        <f t="shared" si="255"/>
        <v>0</v>
      </c>
      <c r="KRK64" s="44">
        <f t="shared" si="255"/>
        <v>0</v>
      </c>
      <c r="KRL64" s="44">
        <f t="shared" si="255"/>
        <v>0</v>
      </c>
      <c r="KRM64" s="44">
        <f t="shared" si="255"/>
        <v>0</v>
      </c>
      <c r="KRN64" s="44">
        <f t="shared" si="255"/>
        <v>0</v>
      </c>
      <c r="KRO64" s="44">
        <f t="shared" si="255"/>
        <v>0</v>
      </c>
      <c r="KRP64" s="44">
        <f t="shared" si="255"/>
        <v>0</v>
      </c>
      <c r="KRQ64" s="44">
        <f t="shared" si="255"/>
        <v>0</v>
      </c>
      <c r="KRR64" s="44">
        <f t="shared" si="255"/>
        <v>0</v>
      </c>
      <c r="KRS64" s="44">
        <f t="shared" si="255"/>
        <v>0</v>
      </c>
      <c r="KRT64" s="44">
        <f t="shared" si="255"/>
        <v>0</v>
      </c>
      <c r="KRU64" s="44">
        <f t="shared" si="255"/>
        <v>0</v>
      </c>
      <c r="KRV64" s="44">
        <f t="shared" si="255"/>
        <v>0</v>
      </c>
      <c r="KRW64" s="44">
        <f t="shared" si="255"/>
        <v>0</v>
      </c>
      <c r="KRX64" s="44">
        <f t="shared" si="255"/>
        <v>0</v>
      </c>
      <c r="KRY64" s="44">
        <f t="shared" si="255"/>
        <v>0</v>
      </c>
      <c r="KRZ64" s="44">
        <f t="shared" si="255"/>
        <v>0</v>
      </c>
      <c r="KSA64" s="44">
        <f t="shared" si="255"/>
        <v>0</v>
      </c>
      <c r="KSB64" s="44">
        <f t="shared" si="255"/>
        <v>0</v>
      </c>
      <c r="KSC64" s="44">
        <f t="shared" si="255"/>
        <v>0</v>
      </c>
      <c r="KSD64" s="44">
        <f t="shared" si="255"/>
        <v>0</v>
      </c>
      <c r="KSE64" s="44">
        <f t="shared" si="255"/>
        <v>0</v>
      </c>
      <c r="KSF64" s="44">
        <f t="shared" si="255"/>
        <v>0</v>
      </c>
      <c r="KSG64" s="44">
        <f t="shared" si="255"/>
        <v>0</v>
      </c>
      <c r="KSH64" s="44">
        <f t="shared" si="255"/>
        <v>0</v>
      </c>
      <c r="KSI64" s="44">
        <f t="shared" si="255"/>
        <v>0</v>
      </c>
      <c r="KSJ64" s="44">
        <f t="shared" si="255"/>
        <v>0</v>
      </c>
      <c r="KSK64" s="44">
        <f t="shared" si="255"/>
        <v>0</v>
      </c>
      <c r="KSL64" s="44">
        <f t="shared" si="255"/>
        <v>0</v>
      </c>
      <c r="KSM64" s="44">
        <f t="shared" si="255"/>
        <v>0</v>
      </c>
      <c r="KSN64" s="44">
        <f t="shared" si="255"/>
        <v>0</v>
      </c>
      <c r="KSO64" s="44">
        <f t="shared" si="255"/>
        <v>0</v>
      </c>
      <c r="KSP64" s="44">
        <f t="shared" si="255"/>
        <v>0</v>
      </c>
      <c r="KSQ64" s="44">
        <f t="shared" si="255"/>
        <v>0</v>
      </c>
      <c r="KSR64" s="44">
        <f t="shared" si="255"/>
        <v>0</v>
      </c>
      <c r="KSS64" s="44">
        <f t="shared" si="255"/>
        <v>0</v>
      </c>
      <c r="KST64" s="44">
        <f t="shared" si="255"/>
        <v>0</v>
      </c>
      <c r="KSU64" s="44">
        <f t="shared" si="255"/>
        <v>0</v>
      </c>
      <c r="KSV64" s="44">
        <f t="shared" si="255"/>
        <v>0</v>
      </c>
      <c r="KSW64" s="44">
        <f t="shared" si="255"/>
        <v>0</v>
      </c>
      <c r="KSX64" s="44">
        <f t="shared" si="255"/>
        <v>0</v>
      </c>
      <c r="KSY64" s="44">
        <f t="shared" si="255"/>
        <v>0</v>
      </c>
      <c r="KSZ64" s="44">
        <f t="shared" si="255"/>
        <v>0</v>
      </c>
      <c r="KTA64" s="44">
        <f t="shared" si="255"/>
        <v>0</v>
      </c>
      <c r="KTB64" s="44">
        <f t="shared" ref="KTB64:KVM64" si="256">SUM(KTB56:KTB57)</f>
        <v>0</v>
      </c>
      <c r="KTC64" s="44">
        <f t="shared" si="256"/>
        <v>0</v>
      </c>
      <c r="KTD64" s="44">
        <f t="shared" si="256"/>
        <v>0</v>
      </c>
      <c r="KTE64" s="44">
        <f t="shared" si="256"/>
        <v>0</v>
      </c>
      <c r="KTF64" s="44">
        <f t="shared" si="256"/>
        <v>0</v>
      </c>
      <c r="KTG64" s="44">
        <f t="shared" si="256"/>
        <v>0</v>
      </c>
      <c r="KTH64" s="44">
        <f t="shared" si="256"/>
        <v>0</v>
      </c>
      <c r="KTI64" s="44">
        <f t="shared" si="256"/>
        <v>0</v>
      </c>
      <c r="KTJ64" s="44">
        <f t="shared" si="256"/>
        <v>0</v>
      </c>
      <c r="KTK64" s="44">
        <f t="shared" si="256"/>
        <v>0</v>
      </c>
      <c r="KTL64" s="44">
        <f t="shared" si="256"/>
        <v>0</v>
      </c>
      <c r="KTM64" s="44">
        <f t="shared" si="256"/>
        <v>0</v>
      </c>
      <c r="KTN64" s="44">
        <f t="shared" si="256"/>
        <v>0</v>
      </c>
      <c r="KTO64" s="44">
        <f t="shared" si="256"/>
        <v>0</v>
      </c>
      <c r="KTP64" s="44">
        <f t="shared" si="256"/>
        <v>0</v>
      </c>
      <c r="KTQ64" s="44">
        <f t="shared" si="256"/>
        <v>0</v>
      </c>
      <c r="KTR64" s="44">
        <f t="shared" si="256"/>
        <v>0</v>
      </c>
      <c r="KTS64" s="44">
        <f t="shared" si="256"/>
        <v>0</v>
      </c>
      <c r="KTT64" s="44">
        <f t="shared" si="256"/>
        <v>0</v>
      </c>
      <c r="KTU64" s="44">
        <f t="shared" si="256"/>
        <v>0</v>
      </c>
      <c r="KTV64" s="44">
        <f t="shared" si="256"/>
        <v>0</v>
      </c>
      <c r="KTW64" s="44">
        <f t="shared" si="256"/>
        <v>0</v>
      </c>
      <c r="KTX64" s="44">
        <f t="shared" si="256"/>
        <v>0</v>
      </c>
      <c r="KTY64" s="44">
        <f t="shared" si="256"/>
        <v>0</v>
      </c>
      <c r="KTZ64" s="44">
        <f t="shared" si="256"/>
        <v>0</v>
      </c>
      <c r="KUA64" s="44">
        <f t="shared" si="256"/>
        <v>0</v>
      </c>
      <c r="KUB64" s="44">
        <f t="shared" si="256"/>
        <v>0</v>
      </c>
      <c r="KUC64" s="44">
        <f t="shared" si="256"/>
        <v>0</v>
      </c>
      <c r="KUD64" s="44">
        <f t="shared" si="256"/>
        <v>0</v>
      </c>
      <c r="KUE64" s="44">
        <f t="shared" si="256"/>
        <v>0</v>
      </c>
      <c r="KUF64" s="44">
        <f t="shared" si="256"/>
        <v>0</v>
      </c>
      <c r="KUG64" s="44">
        <f t="shared" si="256"/>
        <v>0</v>
      </c>
      <c r="KUH64" s="44">
        <f t="shared" si="256"/>
        <v>0</v>
      </c>
      <c r="KUI64" s="44">
        <f t="shared" si="256"/>
        <v>0</v>
      </c>
      <c r="KUJ64" s="44">
        <f t="shared" si="256"/>
        <v>0</v>
      </c>
      <c r="KUK64" s="44">
        <f t="shared" si="256"/>
        <v>0</v>
      </c>
      <c r="KUL64" s="44">
        <f t="shared" si="256"/>
        <v>0</v>
      </c>
      <c r="KUM64" s="44">
        <f t="shared" si="256"/>
        <v>0</v>
      </c>
      <c r="KUN64" s="44">
        <f t="shared" si="256"/>
        <v>0</v>
      </c>
      <c r="KUO64" s="44">
        <f t="shared" si="256"/>
        <v>0</v>
      </c>
      <c r="KUP64" s="44">
        <f t="shared" si="256"/>
        <v>0</v>
      </c>
      <c r="KUQ64" s="44">
        <f t="shared" si="256"/>
        <v>0</v>
      </c>
      <c r="KUR64" s="44">
        <f t="shared" si="256"/>
        <v>0</v>
      </c>
      <c r="KUS64" s="44">
        <f t="shared" si="256"/>
        <v>0</v>
      </c>
      <c r="KUT64" s="44">
        <f t="shared" si="256"/>
        <v>0</v>
      </c>
      <c r="KUU64" s="44">
        <f t="shared" si="256"/>
        <v>0</v>
      </c>
      <c r="KUV64" s="44">
        <f t="shared" si="256"/>
        <v>0</v>
      </c>
      <c r="KUW64" s="44">
        <f t="shared" si="256"/>
        <v>0</v>
      </c>
      <c r="KUX64" s="44">
        <f t="shared" si="256"/>
        <v>0</v>
      </c>
      <c r="KUY64" s="44">
        <f t="shared" si="256"/>
        <v>0</v>
      </c>
      <c r="KUZ64" s="44">
        <f t="shared" si="256"/>
        <v>0</v>
      </c>
      <c r="KVA64" s="44">
        <f t="shared" si="256"/>
        <v>0</v>
      </c>
      <c r="KVB64" s="44">
        <f t="shared" si="256"/>
        <v>0</v>
      </c>
      <c r="KVC64" s="44">
        <f t="shared" si="256"/>
        <v>0</v>
      </c>
      <c r="KVD64" s="44">
        <f t="shared" si="256"/>
        <v>0</v>
      </c>
      <c r="KVE64" s="44">
        <f t="shared" si="256"/>
        <v>0</v>
      </c>
      <c r="KVF64" s="44">
        <f t="shared" si="256"/>
        <v>0</v>
      </c>
      <c r="KVG64" s="44">
        <f t="shared" si="256"/>
        <v>0</v>
      </c>
      <c r="KVH64" s="44">
        <f t="shared" si="256"/>
        <v>0</v>
      </c>
      <c r="KVI64" s="44">
        <f t="shared" si="256"/>
        <v>0</v>
      </c>
      <c r="KVJ64" s="44">
        <f t="shared" si="256"/>
        <v>0</v>
      </c>
      <c r="KVK64" s="44">
        <f t="shared" si="256"/>
        <v>0</v>
      </c>
      <c r="KVL64" s="44">
        <f t="shared" si="256"/>
        <v>0</v>
      </c>
      <c r="KVM64" s="44">
        <f t="shared" si="256"/>
        <v>0</v>
      </c>
      <c r="KVN64" s="44">
        <f t="shared" ref="KVN64:KXY64" si="257">SUM(KVN56:KVN57)</f>
        <v>0</v>
      </c>
      <c r="KVO64" s="44">
        <f t="shared" si="257"/>
        <v>0</v>
      </c>
      <c r="KVP64" s="44">
        <f t="shared" si="257"/>
        <v>0</v>
      </c>
      <c r="KVQ64" s="44">
        <f t="shared" si="257"/>
        <v>0</v>
      </c>
      <c r="KVR64" s="44">
        <f t="shared" si="257"/>
        <v>0</v>
      </c>
      <c r="KVS64" s="44">
        <f t="shared" si="257"/>
        <v>0</v>
      </c>
      <c r="KVT64" s="44">
        <f t="shared" si="257"/>
        <v>0</v>
      </c>
      <c r="KVU64" s="44">
        <f t="shared" si="257"/>
        <v>0</v>
      </c>
      <c r="KVV64" s="44">
        <f t="shared" si="257"/>
        <v>0</v>
      </c>
      <c r="KVW64" s="44">
        <f t="shared" si="257"/>
        <v>0</v>
      </c>
      <c r="KVX64" s="44">
        <f t="shared" si="257"/>
        <v>0</v>
      </c>
      <c r="KVY64" s="44">
        <f t="shared" si="257"/>
        <v>0</v>
      </c>
      <c r="KVZ64" s="44">
        <f t="shared" si="257"/>
        <v>0</v>
      </c>
      <c r="KWA64" s="44">
        <f t="shared" si="257"/>
        <v>0</v>
      </c>
      <c r="KWB64" s="44">
        <f t="shared" si="257"/>
        <v>0</v>
      </c>
      <c r="KWC64" s="44">
        <f t="shared" si="257"/>
        <v>0</v>
      </c>
      <c r="KWD64" s="44">
        <f t="shared" si="257"/>
        <v>0</v>
      </c>
      <c r="KWE64" s="44">
        <f t="shared" si="257"/>
        <v>0</v>
      </c>
      <c r="KWF64" s="44">
        <f t="shared" si="257"/>
        <v>0</v>
      </c>
      <c r="KWG64" s="44">
        <f t="shared" si="257"/>
        <v>0</v>
      </c>
      <c r="KWH64" s="44">
        <f t="shared" si="257"/>
        <v>0</v>
      </c>
      <c r="KWI64" s="44">
        <f t="shared" si="257"/>
        <v>0</v>
      </c>
      <c r="KWJ64" s="44">
        <f t="shared" si="257"/>
        <v>0</v>
      </c>
      <c r="KWK64" s="44">
        <f t="shared" si="257"/>
        <v>0</v>
      </c>
      <c r="KWL64" s="44">
        <f t="shared" si="257"/>
        <v>0</v>
      </c>
      <c r="KWM64" s="44">
        <f t="shared" si="257"/>
        <v>0</v>
      </c>
      <c r="KWN64" s="44">
        <f t="shared" si="257"/>
        <v>0</v>
      </c>
      <c r="KWO64" s="44">
        <f t="shared" si="257"/>
        <v>0</v>
      </c>
      <c r="KWP64" s="44">
        <f t="shared" si="257"/>
        <v>0</v>
      </c>
      <c r="KWQ64" s="44">
        <f t="shared" si="257"/>
        <v>0</v>
      </c>
      <c r="KWR64" s="44">
        <f t="shared" si="257"/>
        <v>0</v>
      </c>
      <c r="KWS64" s="44">
        <f t="shared" si="257"/>
        <v>0</v>
      </c>
      <c r="KWT64" s="44">
        <f t="shared" si="257"/>
        <v>0</v>
      </c>
      <c r="KWU64" s="44">
        <f t="shared" si="257"/>
        <v>0</v>
      </c>
      <c r="KWV64" s="44">
        <f t="shared" si="257"/>
        <v>0</v>
      </c>
      <c r="KWW64" s="44">
        <f t="shared" si="257"/>
        <v>0</v>
      </c>
      <c r="KWX64" s="44">
        <f t="shared" si="257"/>
        <v>0</v>
      </c>
      <c r="KWY64" s="44">
        <f t="shared" si="257"/>
        <v>0</v>
      </c>
      <c r="KWZ64" s="44">
        <f t="shared" si="257"/>
        <v>0</v>
      </c>
      <c r="KXA64" s="44">
        <f t="shared" si="257"/>
        <v>0</v>
      </c>
      <c r="KXB64" s="44">
        <f t="shared" si="257"/>
        <v>0</v>
      </c>
      <c r="KXC64" s="44">
        <f t="shared" si="257"/>
        <v>0</v>
      </c>
      <c r="KXD64" s="44">
        <f t="shared" si="257"/>
        <v>0</v>
      </c>
      <c r="KXE64" s="44">
        <f t="shared" si="257"/>
        <v>0</v>
      </c>
      <c r="KXF64" s="44">
        <f t="shared" si="257"/>
        <v>0</v>
      </c>
      <c r="KXG64" s="44">
        <f t="shared" si="257"/>
        <v>0</v>
      </c>
      <c r="KXH64" s="44">
        <f t="shared" si="257"/>
        <v>0</v>
      </c>
      <c r="KXI64" s="44">
        <f t="shared" si="257"/>
        <v>0</v>
      </c>
      <c r="KXJ64" s="44">
        <f t="shared" si="257"/>
        <v>0</v>
      </c>
      <c r="KXK64" s="44">
        <f t="shared" si="257"/>
        <v>0</v>
      </c>
      <c r="KXL64" s="44">
        <f t="shared" si="257"/>
        <v>0</v>
      </c>
      <c r="KXM64" s="44">
        <f t="shared" si="257"/>
        <v>0</v>
      </c>
      <c r="KXN64" s="44">
        <f t="shared" si="257"/>
        <v>0</v>
      </c>
      <c r="KXO64" s="44">
        <f t="shared" si="257"/>
        <v>0</v>
      </c>
      <c r="KXP64" s="44">
        <f t="shared" si="257"/>
        <v>0</v>
      </c>
      <c r="KXQ64" s="44">
        <f t="shared" si="257"/>
        <v>0</v>
      </c>
      <c r="KXR64" s="44">
        <f t="shared" si="257"/>
        <v>0</v>
      </c>
      <c r="KXS64" s="44">
        <f t="shared" si="257"/>
        <v>0</v>
      </c>
      <c r="KXT64" s="44">
        <f t="shared" si="257"/>
        <v>0</v>
      </c>
      <c r="KXU64" s="44">
        <f t="shared" si="257"/>
        <v>0</v>
      </c>
      <c r="KXV64" s="44">
        <f t="shared" si="257"/>
        <v>0</v>
      </c>
      <c r="KXW64" s="44">
        <f t="shared" si="257"/>
        <v>0</v>
      </c>
      <c r="KXX64" s="44">
        <f t="shared" si="257"/>
        <v>0</v>
      </c>
      <c r="KXY64" s="44">
        <f t="shared" si="257"/>
        <v>0</v>
      </c>
      <c r="KXZ64" s="44">
        <f t="shared" ref="KXZ64:LAK64" si="258">SUM(KXZ56:KXZ57)</f>
        <v>0</v>
      </c>
      <c r="KYA64" s="44">
        <f t="shared" si="258"/>
        <v>0</v>
      </c>
      <c r="KYB64" s="44">
        <f t="shared" si="258"/>
        <v>0</v>
      </c>
      <c r="KYC64" s="44">
        <f t="shared" si="258"/>
        <v>0</v>
      </c>
      <c r="KYD64" s="44">
        <f t="shared" si="258"/>
        <v>0</v>
      </c>
      <c r="KYE64" s="44">
        <f t="shared" si="258"/>
        <v>0</v>
      </c>
      <c r="KYF64" s="44">
        <f t="shared" si="258"/>
        <v>0</v>
      </c>
      <c r="KYG64" s="44">
        <f t="shared" si="258"/>
        <v>0</v>
      </c>
      <c r="KYH64" s="44">
        <f t="shared" si="258"/>
        <v>0</v>
      </c>
      <c r="KYI64" s="44">
        <f t="shared" si="258"/>
        <v>0</v>
      </c>
      <c r="KYJ64" s="44">
        <f t="shared" si="258"/>
        <v>0</v>
      </c>
      <c r="KYK64" s="44">
        <f t="shared" si="258"/>
        <v>0</v>
      </c>
      <c r="KYL64" s="44">
        <f t="shared" si="258"/>
        <v>0</v>
      </c>
      <c r="KYM64" s="44">
        <f t="shared" si="258"/>
        <v>0</v>
      </c>
      <c r="KYN64" s="44">
        <f t="shared" si="258"/>
        <v>0</v>
      </c>
      <c r="KYO64" s="44">
        <f t="shared" si="258"/>
        <v>0</v>
      </c>
      <c r="KYP64" s="44">
        <f t="shared" si="258"/>
        <v>0</v>
      </c>
      <c r="KYQ64" s="44">
        <f t="shared" si="258"/>
        <v>0</v>
      </c>
      <c r="KYR64" s="44">
        <f t="shared" si="258"/>
        <v>0</v>
      </c>
      <c r="KYS64" s="44">
        <f t="shared" si="258"/>
        <v>0</v>
      </c>
      <c r="KYT64" s="44">
        <f t="shared" si="258"/>
        <v>0</v>
      </c>
      <c r="KYU64" s="44">
        <f t="shared" si="258"/>
        <v>0</v>
      </c>
      <c r="KYV64" s="44">
        <f t="shared" si="258"/>
        <v>0</v>
      </c>
      <c r="KYW64" s="44">
        <f t="shared" si="258"/>
        <v>0</v>
      </c>
      <c r="KYX64" s="44">
        <f t="shared" si="258"/>
        <v>0</v>
      </c>
      <c r="KYY64" s="44">
        <f t="shared" si="258"/>
        <v>0</v>
      </c>
      <c r="KYZ64" s="44">
        <f t="shared" si="258"/>
        <v>0</v>
      </c>
      <c r="KZA64" s="44">
        <f t="shared" si="258"/>
        <v>0</v>
      </c>
      <c r="KZB64" s="44">
        <f t="shared" si="258"/>
        <v>0</v>
      </c>
      <c r="KZC64" s="44">
        <f t="shared" si="258"/>
        <v>0</v>
      </c>
      <c r="KZD64" s="44">
        <f t="shared" si="258"/>
        <v>0</v>
      </c>
      <c r="KZE64" s="44">
        <f t="shared" si="258"/>
        <v>0</v>
      </c>
      <c r="KZF64" s="44">
        <f t="shared" si="258"/>
        <v>0</v>
      </c>
      <c r="KZG64" s="44">
        <f t="shared" si="258"/>
        <v>0</v>
      </c>
      <c r="KZH64" s="44">
        <f t="shared" si="258"/>
        <v>0</v>
      </c>
      <c r="KZI64" s="44">
        <f t="shared" si="258"/>
        <v>0</v>
      </c>
      <c r="KZJ64" s="44">
        <f t="shared" si="258"/>
        <v>0</v>
      </c>
      <c r="KZK64" s="44">
        <f t="shared" si="258"/>
        <v>0</v>
      </c>
      <c r="KZL64" s="44">
        <f t="shared" si="258"/>
        <v>0</v>
      </c>
      <c r="KZM64" s="44">
        <f t="shared" si="258"/>
        <v>0</v>
      </c>
      <c r="KZN64" s="44">
        <f t="shared" si="258"/>
        <v>0</v>
      </c>
      <c r="KZO64" s="44">
        <f t="shared" si="258"/>
        <v>0</v>
      </c>
      <c r="KZP64" s="44">
        <f t="shared" si="258"/>
        <v>0</v>
      </c>
      <c r="KZQ64" s="44">
        <f t="shared" si="258"/>
        <v>0</v>
      </c>
      <c r="KZR64" s="44">
        <f t="shared" si="258"/>
        <v>0</v>
      </c>
      <c r="KZS64" s="44">
        <f t="shared" si="258"/>
        <v>0</v>
      </c>
      <c r="KZT64" s="44">
        <f t="shared" si="258"/>
        <v>0</v>
      </c>
      <c r="KZU64" s="44">
        <f t="shared" si="258"/>
        <v>0</v>
      </c>
      <c r="KZV64" s="44">
        <f t="shared" si="258"/>
        <v>0</v>
      </c>
      <c r="KZW64" s="44">
        <f t="shared" si="258"/>
        <v>0</v>
      </c>
      <c r="KZX64" s="44">
        <f t="shared" si="258"/>
        <v>0</v>
      </c>
      <c r="KZY64" s="44">
        <f t="shared" si="258"/>
        <v>0</v>
      </c>
      <c r="KZZ64" s="44">
        <f t="shared" si="258"/>
        <v>0</v>
      </c>
      <c r="LAA64" s="44">
        <f t="shared" si="258"/>
        <v>0</v>
      </c>
      <c r="LAB64" s="44">
        <f t="shared" si="258"/>
        <v>0</v>
      </c>
      <c r="LAC64" s="44">
        <f t="shared" si="258"/>
        <v>0</v>
      </c>
      <c r="LAD64" s="44">
        <f t="shared" si="258"/>
        <v>0</v>
      </c>
      <c r="LAE64" s="44">
        <f t="shared" si="258"/>
        <v>0</v>
      </c>
      <c r="LAF64" s="44">
        <f t="shared" si="258"/>
        <v>0</v>
      </c>
      <c r="LAG64" s="44">
        <f t="shared" si="258"/>
        <v>0</v>
      </c>
      <c r="LAH64" s="44">
        <f t="shared" si="258"/>
        <v>0</v>
      </c>
      <c r="LAI64" s="44">
        <f t="shared" si="258"/>
        <v>0</v>
      </c>
      <c r="LAJ64" s="44">
        <f t="shared" si="258"/>
        <v>0</v>
      </c>
      <c r="LAK64" s="44">
        <f t="shared" si="258"/>
        <v>0</v>
      </c>
      <c r="LAL64" s="44">
        <f t="shared" ref="LAL64:LCW64" si="259">SUM(LAL56:LAL57)</f>
        <v>0</v>
      </c>
      <c r="LAM64" s="44">
        <f t="shared" si="259"/>
        <v>0</v>
      </c>
      <c r="LAN64" s="44">
        <f t="shared" si="259"/>
        <v>0</v>
      </c>
      <c r="LAO64" s="44">
        <f t="shared" si="259"/>
        <v>0</v>
      </c>
      <c r="LAP64" s="44">
        <f t="shared" si="259"/>
        <v>0</v>
      </c>
      <c r="LAQ64" s="44">
        <f t="shared" si="259"/>
        <v>0</v>
      </c>
      <c r="LAR64" s="44">
        <f t="shared" si="259"/>
        <v>0</v>
      </c>
      <c r="LAS64" s="44">
        <f t="shared" si="259"/>
        <v>0</v>
      </c>
      <c r="LAT64" s="44">
        <f t="shared" si="259"/>
        <v>0</v>
      </c>
      <c r="LAU64" s="44">
        <f t="shared" si="259"/>
        <v>0</v>
      </c>
      <c r="LAV64" s="44">
        <f t="shared" si="259"/>
        <v>0</v>
      </c>
      <c r="LAW64" s="44">
        <f t="shared" si="259"/>
        <v>0</v>
      </c>
      <c r="LAX64" s="44">
        <f t="shared" si="259"/>
        <v>0</v>
      </c>
      <c r="LAY64" s="44">
        <f t="shared" si="259"/>
        <v>0</v>
      </c>
      <c r="LAZ64" s="44">
        <f t="shared" si="259"/>
        <v>0</v>
      </c>
      <c r="LBA64" s="44">
        <f t="shared" si="259"/>
        <v>0</v>
      </c>
      <c r="LBB64" s="44">
        <f t="shared" si="259"/>
        <v>0</v>
      </c>
      <c r="LBC64" s="44">
        <f t="shared" si="259"/>
        <v>0</v>
      </c>
      <c r="LBD64" s="44">
        <f t="shared" si="259"/>
        <v>0</v>
      </c>
      <c r="LBE64" s="44">
        <f t="shared" si="259"/>
        <v>0</v>
      </c>
      <c r="LBF64" s="44">
        <f t="shared" si="259"/>
        <v>0</v>
      </c>
      <c r="LBG64" s="44">
        <f t="shared" si="259"/>
        <v>0</v>
      </c>
      <c r="LBH64" s="44">
        <f t="shared" si="259"/>
        <v>0</v>
      </c>
      <c r="LBI64" s="44">
        <f t="shared" si="259"/>
        <v>0</v>
      </c>
      <c r="LBJ64" s="44">
        <f t="shared" si="259"/>
        <v>0</v>
      </c>
      <c r="LBK64" s="44">
        <f t="shared" si="259"/>
        <v>0</v>
      </c>
      <c r="LBL64" s="44">
        <f t="shared" si="259"/>
        <v>0</v>
      </c>
      <c r="LBM64" s="44">
        <f t="shared" si="259"/>
        <v>0</v>
      </c>
      <c r="LBN64" s="44">
        <f t="shared" si="259"/>
        <v>0</v>
      </c>
      <c r="LBO64" s="44">
        <f t="shared" si="259"/>
        <v>0</v>
      </c>
      <c r="LBP64" s="44">
        <f t="shared" si="259"/>
        <v>0</v>
      </c>
      <c r="LBQ64" s="44">
        <f t="shared" si="259"/>
        <v>0</v>
      </c>
      <c r="LBR64" s="44">
        <f t="shared" si="259"/>
        <v>0</v>
      </c>
      <c r="LBS64" s="44">
        <f t="shared" si="259"/>
        <v>0</v>
      </c>
      <c r="LBT64" s="44">
        <f t="shared" si="259"/>
        <v>0</v>
      </c>
      <c r="LBU64" s="44">
        <f t="shared" si="259"/>
        <v>0</v>
      </c>
      <c r="LBV64" s="44">
        <f t="shared" si="259"/>
        <v>0</v>
      </c>
      <c r="LBW64" s="44">
        <f t="shared" si="259"/>
        <v>0</v>
      </c>
      <c r="LBX64" s="44">
        <f t="shared" si="259"/>
        <v>0</v>
      </c>
      <c r="LBY64" s="44">
        <f t="shared" si="259"/>
        <v>0</v>
      </c>
      <c r="LBZ64" s="44">
        <f t="shared" si="259"/>
        <v>0</v>
      </c>
      <c r="LCA64" s="44">
        <f t="shared" si="259"/>
        <v>0</v>
      </c>
      <c r="LCB64" s="44">
        <f t="shared" si="259"/>
        <v>0</v>
      </c>
      <c r="LCC64" s="44">
        <f t="shared" si="259"/>
        <v>0</v>
      </c>
      <c r="LCD64" s="44">
        <f t="shared" si="259"/>
        <v>0</v>
      </c>
      <c r="LCE64" s="44">
        <f t="shared" si="259"/>
        <v>0</v>
      </c>
      <c r="LCF64" s="44">
        <f t="shared" si="259"/>
        <v>0</v>
      </c>
      <c r="LCG64" s="44">
        <f t="shared" si="259"/>
        <v>0</v>
      </c>
      <c r="LCH64" s="44">
        <f t="shared" si="259"/>
        <v>0</v>
      </c>
      <c r="LCI64" s="44">
        <f t="shared" si="259"/>
        <v>0</v>
      </c>
      <c r="LCJ64" s="44">
        <f t="shared" si="259"/>
        <v>0</v>
      </c>
      <c r="LCK64" s="44">
        <f t="shared" si="259"/>
        <v>0</v>
      </c>
      <c r="LCL64" s="44">
        <f t="shared" si="259"/>
        <v>0</v>
      </c>
      <c r="LCM64" s="44">
        <f t="shared" si="259"/>
        <v>0</v>
      </c>
      <c r="LCN64" s="44">
        <f t="shared" si="259"/>
        <v>0</v>
      </c>
      <c r="LCO64" s="44">
        <f t="shared" si="259"/>
        <v>0</v>
      </c>
      <c r="LCP64" s="44">
        <f t="shared" si="259"/>
        <v>0</v>
      </c>
      <c r="LCQ64" s="44">
        <f t="shared" si="259"/>
        <v>0</v>
      </c>
      <c r="LCR64" s="44">
        <f t="shared" si="259"/>
        <v>0</v>
      </c>
      <c r="LCS64" s="44">
        <f t="shared" si="259"/>
        <v>0</v>
      </c>
      <c r="LCT64" s="44">
        <f t="shared" si="259"/>
        <v>0</v>
      </c>
      <c r="LCU64" s="44">
        <f t="shared" si="259"/>
        <v>0</v>
      </c>
      <c r="LCV64" s="44">
        <f t="shared" si="259"/>
        <v>0</v>
      </c>
      <c r="LCW64" s="44">
        <f t="shared" si="259"/>
        <v>0</v>
      </c>
      <c r="LCX64" s="44">
        <f t="shared" ref="LCX64:LFI64" si="260">SUM(LCX56:LCX57)</f>
        <v>0</v>
      </c>
      <c r="LCY64" s="44">
        <f t="shared" si="260"/>
        <v>0</v>
      </c>
      <c r="LCZ64" s="44">
        <f t="shared" si="260"/>
        <v>0</v>
      </c>
      <c r="LDA64" s="44">
        <f t="shared" si="260"/>
        <v>0</v>
      </c>
      <c r="LDB64" s="44">
        <f t="shared" si="260"/>
        <v>0</v>
      </c>
      <c r="LDC64" s="44">
        <f t="shared" si="260"/>
        <v>0</v>
      </c>
      <c r="LDD64" s="44">
        <f t="shared" si="260"/>
        <v>0</v>
      </c>
      <c r="LDE64" s="44">
        <f t="shared" si="260"/>
        <v>0</v>
      </c>
      <c r="LDF64" s="44">
        <f t="shared" si="260"/>
        <v>0</v>
      </c>
      <c r="LDG64" s="44">
        <f t="shared" si="260"/>
        <v>0</v>
      </c>
      <c r="LDH64" s="44">
        <f t="shared" si="260"/>
        <v>0</v>
      </c>
      <c r="LDI64" s="44">
        <f t="shared" si="260"/>
        <v>0</v>
      </c>
      <c r="LDJ64" s="44">
        <f t="shared" si="260"/>
        <v>0</v>
      </c>
      <c r="LDK64" s="44">
        <f t="shared" si="260"/>
        <v>0</v>
      </c>
      <c r="LDL64" s="44">
        <f t="shared" si="260"/>
        <v>0</v>
      </c>
      <c r="LDM64" s="44">
        <f t="shared" si="260"/>
        <v>0</v>
      </c>
      <c r="LDN64" s="44">
        <f t="shared" si="260"/>
        <v>0</v>
      </c>
      <c r="LDO64" s="44">
        <f t="shared" si="260"/>
        <v>0</v>
      </c>
      <c r="LDP64" s="44">
        <f t="shared" si="260"/>
        <v>0</v>
      </c>
      <c r="LDQ64" s="44">
        <f t="shared" si="260"/>
        <v>0</v>
      </c>
      <c r="LDR64" s="44">
        <f t="shared" si="260"/>
        <v>0</v>
      </c>
      <c r="LDS64" s="44">
        <f t="shared" si="260"/>
        <v>0</v>
      </c>
      <c r="LDT64" s="44">
        <f t="shared" si="260"/>
        <v>0</v>
      </c>
      <c r="LDU64" s="44">
        <f t="shared" si="260"/>
        <v>0</v>
      </c>
      <c r="LDV64" s="44">
        <f t="shared" si="260"/>
        <v>0</v>
      </c>
      <c r="LDW64" s="44">
        <f t="shared" si="260"/>
        <v>0</v>
      </c>
      <c r="LDX64" s="44">
        <f t="shared" si="260"/>
        <v>0</v>
      </c>
      <c r="LDY64" s="44">
        <f t="shared" si="260"/>
        <v>0</v>
      </c>
      <c r="LDZ64" s="44">
        <f t="shared" si="260"/>
        <v>0</v>
      </c>
      <c r="LEA64" s="44">
        <f t="shared" si="260"/>
        <v>0</v>
      </c>
      <c r="LEB64" s="44">
        <f t="shared" si="260"/>
        <v>0</v>
      </c>
      <c r="LEC64" s="44">
        <f t="shared" si="260"/>
        <v>0</v>
      </c>
      <c r="LED64" s="44">
        <f t="shared" si="260"/>
        <v>0</v>
      </c>
      <c r="LEE64" s="44">
        <f t="shared" si="260"/>
        <v>0</v>
      </c>
      <c r="LEF64" s="44">
        <f t="shared" si="260"/>
        <v>0</v>
      </c>
      <c r="LEG64" s="44">
        <f t="shared" si="260"/>
        <v>0</v>
      </c>
      <c r="LEH64" s="44">
        <f t="shared" si="260"/>
        <v>0</v>
      </c>
      <c r="LEI64" s="44">
        <f t="shared" si="260"/>
        <v>0</v>
      </c>
      <c r="LEJ64" s="44">
        <f t="shared" si="260"/>
        <v>0</v>
      </c>
      <c r="LEK64" s="44">
        <f t="shared" si="260"/>
        <v>0</v>
      </c>
      <c r="LEL64" s="44">
        <f t="shared" si="260"/>
        <v>0</v>
      </c>
      <c r="LEM64" s="44">
        <f t="shared" si="260"/>
        <v>0</v>
      </c>
      <c r="LEN64" s="44">
        <f t="shared" si="260"/>
        <v>0</v>
      </c>
      <c r="LEO64" s="44">
        <f t="shared" si="260"/>
        <v>0</v>
      </c>
      <c r="LEP64" s="44">
        <f t="shared" si="260"/>
        <v>0</v>
      </c>
      <c r="LEQ64" s="44">
        <f t="shared" si="260"/>
        <v>0</v>
      </c>
      <c r="LER64" s="44">
        <f t="shared" si="260"/>
        <v>0</v>
      </c>
      <c r="LES64" s="44">
        <f t="shared" si="260"/>
        <v>0</v>
      </c>
      <c r="LET64" s="44">
        <f t="shared" si="260"/>
        <v>0</v>
      </c>
      <c r="LEU64" s="44">
        <f t="shared" si="260"/>
        <v>0</v>
      </c>
      <c r="LEV64" s="44">
        <f t="shared" si="260"/>
        <v>0</v>
      </c>
      <c r="LEW64" s="44">
        <f t="shared" si="260"/>
        <v>0</v>
      </c>
      <c r="LEX64" s="44">
        <f t="shared" si="260"/>
        <v>0</v>
      </c>
      <c r="LEY64" s="44">
        <f t="shared" si="260"/>
        <v>0</v>
      </c>
      <c r="LEZ64" s="44">
        <f t="shared" si="260"/>
        <v>0</v>
      </c>
      <c r="LFA64" s="44">
        <f t="shared" si="260"/>
        <v>0</v>
      </c>
      <c r="LFB64" s="44">
        <f t="shared" si="260"/>
        <v>0</v>
      </c>
      <c r="LFC64" s="44">
        <f t="shared" si="260"/>
        <v>0</v>
      </c>
      <c r="LFD64" s="44">
        <f t="shared" si="260"/>
        <v>0</v>
      </c>
      <c r="LFE64" s="44">
        <f t="shared" si="260"/>
        <v>0</v>
      </c>
      <c r="LFF64" s="44">
        <f t="shared" si="260"/>
        <v>0</v>
      </c>
      <c r="LFG64" s="44">
        <f t="shared" si="260"/>
        <v>0</v>
      </c>
      <c r="LFH64" s="44">
        <f t="shared" si="260"/>
        <v>0</v>
      </c>
      <c r="LFI64" s="44">
        <f t="shared" si="260"/>
        <v>0</v>
      </c>
      <c r="LFJ64" s="44">
        <f t="shared" ref="LFJ64:LHU64" si="261">SUM(LFJ56:LFJ57)</f>
        <v>0</v>
      </c>
      <c r="LFK64" s="44">
        <f t="shared" si="261"/>
        <v>0</v>
      </c>
      <c r="LFL64" s="44">
        <f t="shared" si="261"/>
        <v>0</v>
      </c>
      <c r="LFM64" s="44">
        <f t="shared" si="261"/>
        <v>0</v>
      </c>
      <c r="LFN64" s="44">
        <f t="shared" si="261"/>
        <v>0</v>
      </c>
      <c r="LFO64" s="44">
        <f t="shared" si="261"/>
        <v>0</v>
      </c>
      <c r="LFP64" s="44">
        <f t="shared" si="261"/>
        <v>0</v>
      </c>
      <c r="LFQ64" s="44">
        <f t="shared" si="261"/>
        <v>0</v>
      </c>
      <c r="LFR64" s="44">
        <f t="shared" si="261"/>
        <v>0</v>
      </c>
      <c r="LFS64" s="44">
        <f t="shared" si="261"/>
        <v>0</v>
      </c>
      <c r="LFT64" s="44">
        <f t="shared" si="261"/>
        <v>0</v>
      </c>
      <c r="LFU64" s="44">
        <f t="shared" si="261"/>
        <v>0</v>
      </c>
      <c r="LFV64" s="44">
        <f t="shared" si="261"/>
        <v>0</v>
      </c>
      <c r="LFW64" s="44">
        <f t="shared" si="261"/>
        <v>0</v>
      </c>
      <c r="LFX64" s="44">
        <f t="shared" si="261"/>
        <v>0</v>
      </c>
      <c r="LFY64" s="44">
        <f t="shared" si="261"/>
        <v>0</v>
      </c>
      <c r="LFZ64" s="44">
        <f t="shared" si="261"/>
        <v>0</v>
      </c>
      <c r="LGA64" s="44">
        <f t="shared" si="261"/>
        <v>0</v>
      </c>
      <c r="LGB64" s="44">
        <f t="shared" si="261"/>
        <v>0</v>
      </c>
      <c r="LGC64" s="44">
        <f t="shared" si="261"/>
        <v>0</v>
      </c>
      <c r="LGD64" s="44">
        <f t="shared" si="261"/>
        <v>0</v>
      </c>
      <c r="LGE64" s="44">
        <f t="shared" si="261"/>
        <v>0</v>
      </c>
      <c r="LGF64" s="44">
        <f t="shared" si="261"/>
        <v>0</v>
      </c>
      <c r="LGG64" s="44">
        <f t="shared" si="261"/>
        <v>0</v>
      </c>
      <c r="LGH64" s="44">
        <f t="shared" si="261"/>
        <v>0</v>
      </c>
      <c r="LGI64" s="44">
        <f t="shared" si="261"/>
        <v>0</v>
      </c>
      <c r="LGJ64" s="44">
        <f t="shared" si="261"/>
        <v>0</v>
      </c>
      <c r="LGK64" s="44">
        <f t="shared" si="261"/>
        <v>0</v>
      </c>
      <c r="LGL64" s="44">
        <f t="shared" si="261"/>
        <v>0</v>
      </c>
      <c r="LGM64" s="44">
        <f t="shared" si="261"/>
        <v>0</v>
      </c>
      <c r="LGN64" s="44">
        <f t="shared" si="261"/>
        <v>0</v>
      </c>
      <c r="LGO64" s="44">
        <f t="shared" si="261"/>
        <v>0</v>
      </c>
      <c r="LGP64" s="44">
        <f t="shared" si="261"/>
        <v>0</v>
      </c>
      <c r="LGQ64" s="44">
        <f t="shared" si="261"/>
        <v>0</v>
      </c>
      <c r="LGR64" s="44">
        <f t="shared" si="261"/>
        <v>0</v>
      </c>
      <c r="LGS64" s="44">
        <f t="shared" si="261"/>
        <v>0</v>
      </c>
      <c r="LGT64" s="44">
        <f t="shared" si="261"/>
        <v>0</v>
      </c>
      <c r="LGU64" s="44">
        <f t="shared" si="261"/>
        <v>0</v>
      </c>
      <c r="LGV64" s="44">
        <f t="shared" si="261"/>
        <v>0</v>
      </c>
      <c r="LGW64" s="44">
        <f t="shared" si="261"/>
        <v>0</v>
      </c>
      <c r="LGX64" s="44">
        <f t="shared" si="261"/>
        <v>0</v>
      </c>
      <c r="LGY64" s="44">
        <f t="shared" si="261"/>
        <v>0</v>
      </c>
      <c r="LGZ64" s="44">
        <f t="shared" si="261"/>
        <v>0</v>
      </c>
      <c r="LHA64" s="44">
        <f t="shared" si="261"/>
        <v>0</v>
      </c>
      <c r="LHB64" s="44">
        <f t="shared" si="261"/>
        <v>0</v>
      </c>
      <c r="LHC64" s="44">
        <f t="shared" si="261"/>
        <v>0</v>
      </c>
      <c r="LHD64" s="44">
        <f t="shared" si="261"/>
        <v>0</v>
      </c>
      <c r="LHE64" s="44">
        <f t="shared" si="261"/>
        <v>0</v>
      </c>
      <c r="LHF64" s="44">
        <f t="shared" si="261"/>
        <v>0</v>
      </c>
      <c r="LHG64" s="44">
        <f t="shared" si="261"/>
        <v>0</v>
      </c>
      <c r="LHH64" s="44">
        <f t="shared" si="261"/>
        <v>0</v>
      </c>
      <c r="LHI64" s="44">
        <f t="shared" si="261"/>
        <v>0</v>
      </c>
      <c r="LHJ64" s="44">
        <f t="shared" si="261"/>
        <v>0</v>
      </c>
      <c r="LHK64" s="44">
        <f t="shared" si="261"/>
        <v>0</v>
      </c>
      <c r="LHL64" s="44">
        <f t="shared" si="261"/>
        <v>0</v>
      </c>
      <c r="LHM64" s="44">
        <f t="shared" si="261"/>
        <v>0</v>
      </c>
      <c r="LHN64" s="44">
        <f t="shared" si="261"/>
        <v>0</v>
      </c>
      <c r="LHO64" s="44">
        <f t="shared" si="261"/>
        <v>0</v>
      </c>
      <c r="LHP64" s="44">
        <f t="shared" si="261"/>
        <v>0</v>
      </c>
      <c r="LHQ64" s="44">
        <f t="shared" si="261"/>
        <v>0</v>
      </c>
      <c r="LHR64" s="44">
        <f t="shared" si="261"/>
        <v>0</v>
      </c>
      <c r="LHS64" s="44">
        <f t="shared" si="261"/>
        <v>0</v>
      </c>
      <c r="LHT64" s="44">
        <f t="shared" si="261"/>
        <v>0</v>
      </c>
      <c r="LHU64" s="44">
        <f t="shared" si="261"/>
        <v>0</v>
      </c>
      <c r="LHV64" s="44">
        <f t="shared" ref="LHV64:LKG64" si="262">SUM(LHV56:LHV57)</f>
        <v>0</v>
      </c>
      <c r="LHW64" s="44">
        <f t="shared" si="262"/>
        <v>0</v>
      </c>
      <c r="LHX64" s="44">
        <f t="shared" si="262"/>
        <v>0</v>
      </c>
      <c r="LHY64" s="44">
        <f t="shared" si="262"/>
        <v>0</v>
      </c>
      <c r="LHZ64" s="44">
        <f t="shared" si="262"/>
        <v>0</v>
      </c>
      <c r="LIA64" s="44">
        <f t="shared" si="262"/>
        <v>0</v>
      </c>
      <c r="LIB64" s="44">
        <f t="shared" si="262"/>
        <v>0</v>
      </c>
      <c r="LIC64" s="44">
        <f t="shared" si="262"/>
        <v>0</v>
      </c>
      <c r="LID64" s="44">
        <f t="shared" si="262"/>
        <v>0</v>
      </c>
      <c r="LIE64" s="44">
        <f t="shared" si="262"/>
        <v>0</v>
      </c>
      <c r="LIF64" s="44">
        <f t="shared" si="262"/>
        <v>0</v>
      </c>
      <c r="LIG64" s="44">
        <f t="shared" si="262"/>
        <v>0</v>
      </c>
      <c r="LIH64" s="44">
        <f t="shared" si="262"/>
        <v>0</v>
      </c>
      <c r="LII64" s="44">
        <f t="shared" si="262"/>
        <v>0</v>
      </c>
      <c r="LIJ64" s="44">
        <f t="shared" si="262"/>
        <v>0</v>
      </c>
      <c r="LIK64" s="44">
        <f t="shared" si="262"/>
        <v>0</v>
      </c>
      <c r="LIL64" s="44">
        <f t="shared" si="262"/>
        <v>0</v>
      </c>
      <c r="LIM64" s="44">
        <f t="shared" si="262"/>
        <v>0</v>
      </c>
      <c r="LIN64" s="44">
        <f t="shared" si="262"/>
        <v>0</v>
      </c>
      <c r="LIO64" s="44">
        <f t="shared" si="262"/>
        <v>0</v>
      </c>
      <c r="LIP64" s="44">
        <f t="shared" si="262"/>
        <v>0</v>
      </c>
      <c r="LIQ64" s="44">
        <f t="shared" si="262"/>
        <v>0</v>
      </c>
      <c r="LIR64" s="44">
        <f t="shared" si="262"/>
        <v>0</v>
      </c>
      <c r="LIS64" s="44">
        <f t="shared" si="262"/>
        <v>0</v>
      </c>
      <c r="LIT64" s="44">
        <f t="shared" si="262"/>
        <v>0</v>
      </c>
      <c r="LIU64" s="44">
        <f t="shared" si="262"/>
        <v>0</v>
      </c>
      <c r="LIV64" s="44">
        <f t="shared" si="262"/>
        <v>0</v>
      </c>
      <c r="LIW64" s="44">
        <f t="shared" si="262"/>
        <v>0</v>
      </c>
      <c r="LIX64" s="44">
        <f t="shared" si="262"/>
        <v>0</v>
      </c>
      <c r="LIY64" s="44">
        <f t="shared" si="262"/>
        <v>0</v>
      </c>
      <c r="LIZ64" s="44">
        <f t="shared" si="262"/>
        <v>0</v>
      </c>
      <c r="LJA64" s="44">
        <f t="shared" si="262"/>
        <v>0</v>
      </c>
      <c r="LJB64" s="44">
        <f t="shared" si="262"/>
        <v>0</v>
      </c>
      <c r="LJC64" s="44">
        <f t="shared" si="262"/>
        <v>0</v>
      </c>
      <c r="LJD64" s="44">
        <f t="shared" si="262"/>
        <v>0</v>
      </c>
      <c r="LJE64" s="44">
        <f t="shared" si="262"/>
        <v>0</v>
      </c>
      <c r="LJF64" s="44">
        <f t="shared" si="262"/>
        <v>0</v>
      </c>
      <c r="LJG64" s="44">
        <f t="shared" si="262"/>
        <v>0</v>
      </c>
      <c r="LJH64" s="44">
        <f t="shared" si="262"/>
        <v>0</v>
      </c>
      <c r="LJI64" s="44">
        <f t="shared" si="262"/>
        <v>0</v>
      </c>
      <c r="LJJ64" s="44">
        <f t="shared" si="262"/>
        <v>0</v>
      </c>
      <c r="LJK64" s="44">
        <f t="shared" si="262"/>
        <v>0</v>
      </c>
      <c r="LJL64" s="44">
        <f t="shared" si="262"/>
        <v>0</v>
      </c>
      <c r="LJM64" s="44">
        <f t="shared" si="262"/>
        <v>0</v>
      </c>
      <c r="LJN64" s="44">
        <f t="shared" si="262"/>
        <v>0</v>
      </c>
      <c r="LJO64" s="44">
        <f t="shared" si="262"/>
        <v>0</v>
      </c>
      <c r="LJP64" s="44">
        <f t="shared" si="262"/>
        <v>0</v>
      </c>
      <c r="LJQ64" s="44">
        <f t="shared" si="262"/>
        <v>0</v>
      </c>
      <c r="LJR64" s="44">
        <f t="shared" si="262"/>
        <v>0</v>
      </c>
      <c r="LJS64" s="44">
        <f t="shared" si="262"/>
        <v>0</v>
      </c>
      <c r="LJT64" s="44">
        <f t="shared" si="262"/>
        <v>0</v>
      </c>
      <c r="LJU64" s="44">
        <f t="shared" si="262"/>
        <v>0</v>
      </c>
      <c r="LJV64" s="44">
        <f t="shared" si="262"/>
        <v>0</v>
      </c>
      <c r="LJW64" s="44">
        <f t="shared" si="262"/>
        <v>0</v>
      </c>
      <c r="LJX64" s="44">
        <f t="shared" si="262"/>
        <v>0</v>
      </c>
      <c r="LJY64" s="44">
        <f t="shared" si="262"/>
        <v>0</v>
      </c>
      <c r="LJZ64" s="44">
        <f t="shared" si="262"/>
        <v>0</v>
      </c>
      <c r="LKA64" s="44">
        <f t="shared" si="262"/>
        <v>0</v>
      </c>
      <c r="LKB64" s="44">
        <f t="shared" si="262"/>
        <v>0</v>
      </c>
      <c r="LKC64" s="44">
        <f t="shared" si="262"/>
        <v>0</v>
      </c>
      <c r="LKD64" s="44">
        <f t="shared" si="262"/>
        <v>0</v>
      </c>
      <c r="LKE64" s="44">
        <f t="shared" si="262"/>
        <v>0</v>
      </c>
      <c r="LKF64" s="44">
        <f t="shared" si="262"/>
        <v>0</v>
      </c>
      <c r="LKG64" s="44">
        <f t="shared" si="262"/>
        <v>0</v>
      </c>
      <c r="LKH64" s="44">
        <f t="shared" ref="LKH64:LMS64" si="263">SUM(LKH56:LKH57)</f>
        <v>0</v>
      </c>
      <c r="LKI64" s="44">
        <f t="shared" si="263"/>
        <v>0</v>
      </c>
      <c r="LKJ64" s="44">
        <f t="shared" si="263"/>
        <v>0</v>
      </c>
      <c r="LKK64" s="44">
        <f t="shared" si="263"/>
        <v>0</v>
      </c>
      <c r="LKL64" s="44">
        <f t="shared" si="263"/>
        <v>0</v>
      </c>
      <c r="LKM64" s="44">
        <f t="shared" si="263"/>
        <v>0</v>
      </c>
      <c r="LKN64" s="44">
        <f t="shared" si="263"/>
        <v>0</v>
      </c>
      <c r="LKO64" s="44">
        <f t="shared" si="263"/>
        <v>0</v>
      </c>
      <c r="LKP64" s="44">
        <f t="shared" si="263"/>
        <v>0</v>
      </c>
      <c r="LKQ64" s="44">
        <f t="shared" si="263"/>
        <v>0</v>
      </c>
      <c r="LKR64" s="44">
        <f t="shared" si="263"/>
        <v>0</v>
      </c>
      <c r="LKS64" s="44">
        <f t="shared" si="263"/>
        <v>0</v>
      </c>
      <c r="LKT64" s="44">
        <f t="shared" si="263"/>
        <v>0</v>
      </c>
      <c r="LKU64" s="44">
        <f t="shared" si="263"/>
        <v>0</v>
      </c>
      <c r="LKV64" s="44">
        <f t="shared" si="263"/>
        <v>0</v>
      </c>
      <c r="LKW64" s="44">
        <f t="shared" si="263"/>
        <v>0</v>
      </c>
      <c r="LKX64" s="44">
        <f t="shared" si="263"/>
        <v>0</v>
      </c>
      <c r="LKY64" s="44">
        <f t="shared" si="263"/>
        <v>0</v>
      </c>
      <c r="LKZ64" s="44">
        <f t="shared" si="263"/>
        <v>0</v>
      </c>
      <c r="LLA64" s="44">
        <f t="shared" si="263"/>
        <v>0</v>
      </c>
      <c r="LLB64" s="44">
        <f t="shared" si="263"/>
        <v>0</v>
      </c>
      <c r="LLC64" s="44">
        <f t="shared" si="263"/>
        <v>0</v>
      </c>
      <c r="LLD64" s="44">
        <f t="shared" si="263"/>
        <v>0</v>
      </c>
      <c r="LLE64" s="44">
        <f t="shared" si="263"/>
        <v>0</v>
      </c>
      <c r="LLF64" s="44">
        <f t="shared" si="263"/>
        <v>0</v>
      </c>
      <c r="LLG64" s="44">
        <f t="shared" si="263"/>
        <v>0</v>
      </c>
      <c r="LLH64" s="44">
        <f t="shared" si="263"/>
        <v>0</v>
      </c>
      <c r="LLI64" s="44">
        <f t="shared" si="263"/>
        <v>0</v>
      </c>
      <c r="LLJ64" s="44">
        <f t="shared" si="263"/>
        <v>0</v>
      </c>
      <c r="LLK64" s="44">
        <f t="shared" si="263"/>
        <v>0</v>
      </c>
      <c r="LLL64" s="44">
        <f t="shared" si="263"/>
        <v>0</v>
      </c>
      <c r="LLM64" s="44">
        <f t="shared" si="263"/>
        <v>0</v>
      </c>
      <c r="LLN64" s="44">
        <f t="shared" si="263"/>
        <v>0</v>
      </c>
      <c r="LLO64" s="44">
        <f t="shared" si="263"/>
        <v>0</v>
      </c>
      <c r="LLP64" s="44">
        <f t="shared" si="263"/>
        <v>0</v>
      </c>
      <c r="LLQ64" s="44">
        <f t="shared" si="263"/>
        <v>0</v>
      </c>
      <c r="LLR64" s="44">
        <f t="shared" si="263"/>
        <v>0</v>
      </c>
      <c r="LLS64" s="44">
        <f t="shared" si="263"/>
        <v>0</v>
      </c>
      <c r="LLT64" s="44">
        <f t="shared" si="263"/>
        <v>0</v>
      </c>
      <c r="LLU64" s="44">
        <f t="shared" si="263"/>
        <v>0</v>
      </c>
      <c r="LLV64" s="44">
        <f t="shared" si="263"/>
        <v>0</v>
      </c>
      <c r="LLW64" s="44">
        <f t="shared" si="263"/>
        <v>0</v>
      </c>
      <c r="LLX64" s="44">
        <f t="shared" si="263"/>
        <v>0</v>
      </c>
      <c r="LLY64" s="44">
        <f t="shared" si="263"/>
        <v>0</v>
      </c>
      <c r="LLZ64" s="44">
        <f t="shared" si="263"/>
        <v>0</v>
      </c>
      <c r="LMA64" s="44">
        <f t="shared" si="263"/>
        <v>0</v>
      </c>
      <c r="LMB64" s="44">
        <f t="shared" si="263"/>
        <v>0</v>
      </c>
      <c r="LMC64" s="44">
        <f t="shared" si="263"/>
        <v>0</v>
      </c>
      <c r="LMD64" s="44">
        <f t="shared" si="263"/>
        <v>0</v>
      </c>
      <c r="LME64" s="44">
        <f t="shared" si="263"/>
        <v>0</v>
      </c>
      <c r="LMF64" s="44">
        <f t="shared" si="263"/>
        <v>0</v>
      </c>
      <c r="LMG64" s="44">
        <f t="shared" si="263"/>
        <v>0</v>
      </c>
      <c r="LMH64" s="44">
        <f t="shared" si="263"/>
        <v>0</v>
      </c>
      <c r="LMI64" s="44">
        <f t="shared" si="263"/>
        <v>0</v>
      </c>
      <c r="LMJ64" s="44">
        <f t="shared" si="263"/>
        <v>0</v>
      </c>
      <c r="LMK64" s="44">
        <f t="shared" si="263"/>
        <v>0</v>
      </c>
      <c r="LML64" s="44">
        <f t="shared" si="263"/>
        <v>0</v>
      </c>
      <c r="LMM64" s="44">
        <f t="shared" si="263"/>
        <v>0</v>
      </c>
      <c r="LMN64" s="44">
        <f t="shared" si="263"/>
        <v>0</v>
      </c>
      <c r="LMO64" s="44">
        <f t="shared" si="263"/>
        <v>0</v>
      </c>
      <c r="LMP64" s="44">
        <f t="shared" si="263"/>
        <v>0</v>
      </c>
      <c r="LMQ64" s="44">
        <f t="shared" si="263"/>
        <v>0</v>
      </c>
      <c r="LMR64" s="44">
        <f t="shared" si="263"/>
        <v>0</v>
      </c>
      <c r="LMS64" s="44">
        <f t="shared" si="263"/>
        <v>0</v>
      </c>
      <c r="LMT64" s="44">
        <f t="shared" ref="LMT64:LPE64" si="264">SUM(LMT56:LMT57)</f>
        <v>0</v>
      </c>
      <c r="LMU64" s="44">
        <f t="shared" si="264"/>
        <v>0</v>
      </c>
      <c r="LMV64" s="44">
        <f t="shared" si="264"/>
        <v>0</v>
      </c>
      <c r="LMW64" s="44">
        <f t="shared" si="264"/>
        <v>0</v>
      </c>
      <c r="LMX64" s="44">
        <f t="shared" si="264"/>
        <v>0</v>
      </c>
      <c r="LMY64" s="44">
        <f t="shared" si="264"/>
        <v>0</v>
      </c>
      <c r="LMZ64" s="44">
        <f t="shared" si="264"/>
        <v>0</v>
      </c>
      <c r="LNA64" s="44">
        <f t="shared" si="264"/>
        <v>0</v>
      </c>
      <c r="LNB64" s="44">
        <f t="shared" si="264"/>
        <v>0</v>
      </c>
      <c r="LNC64" s="44">
        <f t="shared" si="264"/>
        <v>0</v>
      </c>
      <c r="LND64" s="44">
        <f t="shared" si="264"/>
        <v>0</v>
      </c>
      <c r="LNE64" s="44">
        <f t="shared" si="264"/>
        <v>0</v>
      </c>
      <c r="LNF64" s="44">
        <f t="shared" si="264"/>
        <v>0</v>
      </c>
      <c r="LNG64" s="44">
        <f t="shared" si="264"/>
        <v>0</v>
      </c>
      <c r="LNH64" s="44">
        <f t="shared" si="264"/>
        <v>0</v>
      </c>
      <c r="LNI64" s="44">
        <f t="shared" si="264"/>
        <v>0</v>
      </c>
      <c r="LNJ64" s="44">
        <f t="shared" si="264"/>
        <v>0</v>
      </c>
      <c r="LNK64" s="44">
        <f t="shared" si="264"/>
        <v>0</v>
      </c>
      <c r="LNL64" s="44">
        <f t="shared" si="264"/>
        <v>0</v>
      </c>
      <c r="LNM64" s="44">
        <f t="shared" si="264"/>
        <v>0</v>
      </c>
      <c r="LNN64" s="44">
        <f t="shared" si="264"/>
        <v>0</v>
      </c>
      <c r="LNO64" s="44">
        <f t="shared" si="264"/>
        <v>0</v>
      </c>
      <c r="LNP64" s="44">
        <f t="shared" si="264"/>
        <v>0</v>
      </c>
      <c r="LNQ64" s="44">
        <f t="shared" si="264"/>
        <v>0</v>
      </c>
      <c r="LNR64" s="44">
        <f t="shared" si="264"/>
        <v>0</v>
      </c>
      <c r="LNS64" s="44">
        <f t="shared" si="264"/>
        <v>0</v>
      </c>
      <c r="LNT64" s="44">
        <f t="shared" si="264"/>
        <v>0</v>
      </c>
      <c r="LNU64" s="44">
        <f t="shared" si="264"/>
        <v>0</v>
      </c>
      <c r="LNV64" s="44">
        <f t="shared" si="264"/>
        <v>0</v>
      </c>
      <c r="LNW64" s="44">
        <f t="shared" si="264"/>
        <v>0</v>
      </c>
      <c r="LNX64" s="44">
        <f t="shared" si="264"/>
        <v>0</v>
      </c>
      <c r="LNY64" s="44">
        <f t="shared" si="264"/>
        <v>0</v>
      </c>
      <c r="LNZ64" s="44">
        <f t="shared" si="264"/>
        <v>0</v>
      </c>
      <c r="LOA64" s="44">
        <f t="shared" si="264"/>
        <v>0</v>
      </c>
      <c r="LOB64" s="44">
        <f t="shared" si="264"/>
        <v>0</v>
      </c>
      <c r="LOC64" s="44">
        <f t="shared" si="264"/>
        <v>0</v>
      </c>
      <c r="LOD64" s="44">
        <f t="shared" si="264"/>
        <v>0</v>
      </c>
      <c r="LOE64" s="44">
        <f t="shared" si="264"/>
        <v>0</v>
      </c>
      <c r="LOF64" s="44">
        <f t="shared" si="264"/>
        <v>0</v>
      </c>
      <c r="LOG64" s="44">
        <f t="shared" si="264"/>
        <v>0</v>
      </c>
      <c r="LOH64" s="44">
        <f t="shared" si="264"/>
        <v>0</v>
      </c>
      <c r="LOI64" s="44">
        <f t="shared" si="264"/>
        <v>0</v>
      </c>
      <c r="LOJ64" s="44">
        <f t="shared" si="264"/>
        <v>0</v>
      </c>
      <c r="LOK64" s="44">
        <f t="shared" si="264"/>
        <v>0</v>
      </c>
      <c r="LOL64" s="44">
        <f t="shared" si="264"/>
        <v>0</v>
      </c>
      <c r="LOM64" s="44">
        <f t="shared" si="264"/>
        <v>0</v>
      </c>
      <c r="LON64" s="44">
        <f t="shared" si="264"/>
        <v>0</v>
      </c>
      <c r="LOO64" s="44">
        <f t="shared" si="264"/>
        <v>0</v>
      </c>
      <c r="LOP64" s="44">
        <f t="shared" si="264"/>
        <v>0</v>
      </c>
      <c r="LOQ64" s="44">
        <f t="shared" si="264"/>
        <v>0</v>
      </c>
      <c r="LOR64" s="44">
        <f t="shared" si="264"/>
        <v>0</v>
      </c>
      <c r="LOS64" s="44">
        <f t="shared" si="264"/>
        <v>0</v>
      </c>
      <c r="LOT64" s="44">
        <f t="shared" si="264"/>
        <v>0</v>
      </c>
      <c r="LOU64" s="44">
        <f t="shared" si="264"/>
        <v>0</v>
      </c>
      <c r="LOV64" s="44">
        <f t="shared" si="264"/>
        <v>0</v>
      </c>
      <c r="LOW64" s="44">
        <f t="shared" si="264"/>
        <v>0</v>
      </c>
      <c r="LOX64" s="44">
        <f t="shared" si="264"/>
        <v>0</v>
      </c>
      <c r="LOY64" s="44">
        <f t="shared" si="264"/>
        <v>0</v>
      </c>
      <c r="LOZ64" s="44">
        <f t="shared" si="264"/>
        <v>0</v>
      </c>
      <c r="LPA64" s="44">
        <f t="shared" si="264"/>
        <v>0</v>
      </c>
      <c r="LPB64" s="44">
        <f t="shared" si="264"/>
        <v>0</v>
      </c>
      <c r="LPC64" s="44">
        <f t="shared" si="264"/>
        <v>0</v>
      </c>
      <c r="LPD64" s="44">
        <f t="shared" si="264"/>
        <v>0</v>
      </c>
      <c r="LPE64" s="44">
        <f t="shared" si="264"/>
        <v>0</v>
      </c>
      <c r="LPF64" s="44">
        <f t="shared" ref="LPF64:LRQ64" si="265">SUM(LPF56:LPF57)</f>
        <v>0</v>
      </c>
      <c r="LPG64" s="44">
        <f t="shared" si="265"/>
        <v>0</v>
      </c>
      <c r="LPH64" s="44">
        <f t="shared" si="265"/>
        <v>0</v>
      </c>
      <c r="LPI64" s="44">
        <f t="shared" si="265"/>
        <v>0</v>
      </c>
      <c r="LPJ64" s="44">
        <f t="shared" si="265"/>
        <v>0</v>
      </c>
      <c r="LPK64" s="44">
        <f t="shared" si="265"/>
        <v>0</v>
      </c>
      <c r="LPL64" s="44">
        <f t="shared" si="265"/>
        <v>0</v>
      </c>
      <c r="LPM64" s="44">
        <f t="shared" si="265"/>
        <v>0</v>
      </c>
      <c r="LPN64" s="44">
        <f t="shared" si="265"/>
        <v>0</v>
      </c>
      <c r="LPO64" s="44">
        <f t="shared" si="265"/>
        <v>0</v>
      </c>
      <c r="LPP64" s="44">
        <f t="shared" si="265"/>
        <v>0</v>
      </c>
      <c r="LPQ64" s="44">
        <f t="shared" si="265"/>
        <v>0</v>
      </c>
      <c r="LPR64" s="44">
        <f t="shared" si="265"/>
        <v>0</v>
      </c>
      <c r="LPS64" s="44">
        <f t="shared" si="265"/>
        <v>0</v>
      </c>
      <c r="LPT64" s="44">
        <f t="shared" si="265"/>
        <v>0</v>
      </c>
      <c r="LPU64" s="44">
        <f t="shared" si="265"/>
        <v>0</v>
      </c>
      <c r="LPV64" s="44">
        <f t="shared" si="265"/>
        <v>0</v>
      </c>
      <c r="LPW64" s="44">
        <f t="shared" si="265"/>
        <v>0</v>
      </c>
      <c r="LPX64" s="44">
        <f t="shared" si="265"/>
        <v>0</v>
      </c>
      <c r="LPY64" s="44">
        <f t="shared" si="265"/>
        <v>0</v>
      </c>
      <c r="LPZ64" s="44">
        <f t="shared" si="265"/>
        <v>0</v>
      </c>
      <c r="LQA64" s="44">
        <f t="shared" si="265"/>
        <v>0</v>
      </c>
      <c r="LQB64" s="44">
        <f t="shared" si="265"/>
        <v>0</v>
      </c>
      <c r="LQC64" s="44">
        <f t="shared" si="265"/>
        <v>0</v>
      </c>
      <c r="LQD64" s="44">
        <f t="shared" si="265"/>
        <v>0</v>
      </c>
      <c r="LQE64" s="44">
        <f t="shared" si="265"/>
        <v>0</v>
      </c>
      <c r="LQF64" s="44">
        <f t="shared" si="265"/>
        <v>0</v>
      </c>
      <c r="LQG64" s="44">
        <f t="shared" si="265"/>
        <v>0</v>
      </c>
      <c r="LQH64" s="44">
        <f t="shared" si="265"/>
        <v>0</v>
      </c>
      <c r="LQI64" s="44">
        <f t="shared" si="265"/>
        <v>0</v>
      </c>
      <c r="LQJ64" s="44">
        <f t="shared" si="265"/>
        <v>0</v>
      </c>
      <c r="LQK64" s="44">
        <f t="shared" si="265"/>
        <v>0</v>
      </c>
      <c r="LQL64" s="44">
        <f t="shared" si="265"/>
        <v>0</v>
      </c>
      <c r="LQM64" s="44">
        <f t="shared" si="265"/>
        <v>0</v>
      </c>
      <c r="LQN64" s="44">
        <f t="shared" si="265"/>
        <v>0</v>
      </c>
      <c r="LQO64" s="44">
        <f t="shared" si="265"/>
        <v>0</v>
      </c>
      <c r="LQP64" s="44">
        <f t="shared" si="265"/>
        <v>0</v>
      </c>
      <c r="LQQ64" s="44">
        <f t="shared" si="265"/>
        <v>0</v>
      </c>
      <c r="LQR64" s="44">
        <f t="shared" si="265"/>
        <v>0</v>
      </c>
      <c r="LQS64" s="44">
        <f t="shared" si="265"/>
        <v>0</v>
      </c>
      <c r="LQT64" s="44">
        <f t="shared" si="265"/>
        <v>0</v>
      </c>
      <c r="LQU64" s="44">
        <f t="shared" si="265"/>
        <v>0</v>
      </c>
      <c r="LQV64" s="44">
        <f t="shared" si="265"/>
        <v>0</v>
      </c>
      <c r="LQW64" s="44">
        <f t="shared" si="265"/>
        <v>0</v>
      </c>
      <c r="LQX64" s="44">
        <f t="shared" si="265"/>
        <v>0</v>
      </c>
      <c r="LQY64" s="44">
        <f t="shared" si="265"/>
        <v>0</v>
      </c>
      <c r="LQZ64" s="44">
        <f t="shared" si="265"/>
        <v>0</v>
      </c>
      <c r="LRA64" s="44">
        <f t="shared" si="265"/>
        <v>0</v>
      </c>
      <c r="LRB64" s="44">
        <f t="shared" si="265"/>
        <v>0</v>
      </c>
      <c r="LRC64" s="44">
        <f t="shared" si="265"/>
        <v>0</v>
      </c>
      <c r="LRD64" s="44">
        <f t="shared" si="265"/>
        <v>0</v>
      </c>
      <c r="LRE64" s="44">
        <f t="shared" si="265"/>
        <v>0</v>
      </c>
      <c r="LRF64" s="44">
        <f t="shared" si="265"/>
        <v>0</v>
      </c>
      <c r="LRG64" s="44">
        <f t="shared" si="265"/>
        <v>0</v>
      </c>
      <c r="LRH64" s="44">
        <f t="shared" si="265"/>
        <v>0</v>
      </c>
      <c r="LRI64" s="44">
        <f t="shared" si="265"/>
        <v>0</v>
      </c>
      <c r="LRJ64" s="44">
        <f t="shared" si="265"/>
        <v>0</v>
      </c>
      <c r="LRK64" s="44">
        <f t="shared" si="265"/>
        <v>0</v>
      </c>
      <c r="LRL64" s="44">
        <f t="shared" si="265"/>
        <v>0</v>
      </c>
      <c r="LRM64" s="44">
        <f t="shared" si="265"/>
        <v>0</v>
      </c>
      <c r="LRN64" s="44">
        <f t="shared" si="265"/>
        <v>0</v>
      </c>
      <c r="LRO64" s="44">
        <f t="shared" si="265"/>
        <v>0</v>
      </c>
      <c r="LRP64" s="44">
        <f t="shared" si="265"/>
        <v>0</v>
      </c>
      <c r="LRQ64" s="44">
        <f t="shared" si="265"/>
        <v>0</v>
      </c>
      <c r="LRR64" s="44">
        <f t="shared" ref="LRR64:LUC64" si="266">SUM(LRR56:LRR57)</f>
        <v>0</v>
      </c>
      <c r="LRS64" s="44">
        <f t="shared" si="266"/>
        <v>0</v>
      </c>
      <c r="LRT64" s="44">
        <f t="shared" si="266"/>
        <v>0</v>
      </c>
      <c r="LRU64" s="44">
        <f t="shared" si="266"/>
        <v>0</v>
      </c>
      <c r="LRV64" s="44">
        <f t="shared" si="266"/>
        <v>0</v>
      </c>
      <c r="LRW64" s="44">
        <f t="shared" si="266"/>
        <v>0</v>
      </c>
      <c r="LRX64" s="44">
        <f t="shared" si="266"/>
        <v>0</v>
      </c>
      <c r="LRY64" s="44">
        <f t="shared" si="266"/>
        <v>0</v>
      </c>
      <c r="LRZ64" s="44">
        <f t="shared" si="266"/>
        <v>0</v>
      </c>
      <c r="LSA64" s="44">
        <f t="shared" si="266"/>
        <v>0</v>
      </c>
      <c r="LSB64" s="44">
        <f t="shared" si="266"/>
        <v>0</v>
      </c>
      <c r="LSC64" s="44">
        <f t="shared" si="266"/>
        <v>0</v>
      </c>
      <c r="LSD64" s="44">
        <f t="shared" si="266"/>
        <v>0</v>
      </c>
      <c r="LSE64" s="44">
        <f t="shared" si="266"/>
        <v>0</v>
      </c>
      <c r="LSF64" s="44">
        <f t="shared" si="266"/>
        <v>0</v>
      </c>
      <c r="LSG64" s="44">
        <f t="shared" si="266"/>
        <v>0</v>
      </c>
      <c r="LSH64" s="44">
        <f t="shared" si="266"/>
        <v>0</v>
      </c>
      <c r="LSI64" s="44">
        <f t="shared" si="266"/>
        <v>0</v>
      </c>
      <c r="LSJ64" s="44">
        <f t="shared" si="266"/>
        <v>0</v>
      </c>
      <c r="LSK64" s="44">
        <f t="shared" si="266"/>
        <v>0</v>
      </c>
      <c r="LSL64" s="44">
        <f t="shared" si="266"/>
        <v>0</v>
      </c>
      <c r="LSM64" s="44">
        <f t="shared" si="266"/>
        <v>0</v>
      </c>
      <c r="LSN64" s="44">
        <f t="shared" si="266"/>
        <v>0</v>
      </c>
      <c r="LSO64" s="44">
        <f t="shared" si="266"/>
        <v>0</v>
      </c>
      <c r="LSP64" s="44">
        <f t="shared" si="266"/>
        <v>0</v>
      </c>
      <c r="LSQ64" s="44">
        <f t="shared" si="266"/>
        <v>0</v>
      </c>
      <c r="LSR64" s="44">
        <f t="shared" si="266"/>
        <v>0</v>
      </c>
      <c r="LSS64" s="44">
        <f t="shared" si="266"/>
        <v>0</v>
      </c>
      <c r="LST64" s="44">
        <f t="shared" si="266"/>
        <v>0</v>
      </c>
      <c r="LSU64" s="44">
        <f t="shared" si="266"/>
        <v>0</v>
      </c>
      <c r="LSV64" s="44">
        <f t="shared" si="266"/>
        <v>0</v>
      </c>
      <c r="LSW64" s="44">
        <f t="shared" si="266"/>
        <v>0</v>
      </c>
      <c r="LSX64" s="44">
        <f t="shared" si="266"/>
        <v>0</v>
      </c>
      <c r="LSY64" s="44">
        <f t="shared" si="266"/>
        <v>0</v>
      </c>
      <c r="LSZ64" s="44">
        <f t="shared" si="266"/>
        <v>0</v>
      </c>
      <c r="LTA64" s="44">
        <f t="shared" si="266"/>
        <v>0</v>
      </c>
      <c r="LTB64" s="44">
        <f t="shared" si="266"/>
        <v>0</v>
      </c>
      <c r="LTC64" s="44">
        <f t="shared" si="266"/>
        <v>0</v>
      </c>
      <c r="LTD64" s="44">
        <f t="shared" si="266"/>
        <v>0</v>
      </c>
      <c r="LTE64" s="44">
        <f t="shared" si="266"/>
        <v>0</v>
      </c>
      <c r="LTF64" s="44">
        <f t="shared" si="266"/>
        <v>0</v>
      </c>
      <c r="LTG64" s="44">
        <f t="shared" si="266"/>
        <v>0</v>
      </c>
      <c r="LTH64" s="44">
        <f t="shared" si="266"/>
        <v>0</v>
      </c>
      <c r="LTI64" s="44">
        <f t="shared" si="266"/>
        <v>0</v>
      </c>
      <c r="LTJ64" s="44">
        <f t="shared" si="266"/>
        <v>0</v>
      </c>
      <c r="LTK64" s="44">
        <f t="shared" si="266"/>
        <v>0</v>
      </c>
      <c r="LTL64" s="44">
        <f t="shared" si="266"/>
        <v>0</v>
      </c>
      <c r="LTM64" s="44">
        <f t="shared" si="266"/>
        <v>0</v>
      </c>
      <c r="LTN64" s="44">
        <f t="shared" si="266"/>
        <v>0</v>
      </c>
      <c r="LTO64" s="44">
        <f t="shared" si="266"/>
        <v>0</v>
      </c>
      <c r="LTP64" s="44">
        <f t="shared" si="266"/>
        <v>0</v>
      </c>
      <c r="LTQ64" s="44">
        <f t="shared" si="266"/>
        <v>0</v>
      </c>
      <c r="LTR64" s="44">
        <f t="shared" si="266"/>
        <v>0</v>
      </c>
      <c r="LTS64" s="44">
        <f t="shared" si="266"/>
        <v>0</v>
      </c>
      <c r="LTT64" s="44">
        <f t="shared" si="266"/>
        <v>0</v>
      </c>
      <c r="LTU64" s="44">
        <f t="shared" si="266"/>
        <v>0</v>
      </c>
      <c r="LTV64" s="44">
        <f t="shared" si="266"/>
        <v>0</v>
      </c>
      <c r="LTW64" s="44">
        <f t="shared" si="266"/>
        <v>0</v>
      </c>
      <c r="LTX64" s="44">
        <f t="shared" si="266"/>
        <v>0</v>
      </c>
      <c r="LTY64" s="44">
        <f t="shared" si="266"/>
        <v>0</v>
      </c>
      <c r="LTZ64" s="44">
        <f t="shared" si="266"/>
        <v>0</v>
      </c>
      <c r="LUA64" s="44">
        <f t="shared" si="266"/>
        <v>0</v>
      </c>
      <c r="LUB64" s="44">
        <f t="shared" si="266"/>
        <v>0</v>
      </c>
      <c r="LUC64" s="44">
        <f t="shared" si="266"/>
        <v>0</v>
      </c>
      <c r="LUD64" s="44">
        <f t="shared" ref="LUD64:LWO64" si="267">SUM(LUD56:LUD57)</f>
        <v>0</v>
      </c>
      <c r="LUE64" s="44">
        <f t="shared" si="267"/>
        <v>0</v>
      </c>
      <c r="LUF64" s="44">
        <f t="shared" si="267"/>
        <v>0</v>
      </c>
      <c r="LUG64" s="44">
        <f t="shared" si="267"/>
        <v>0</v>
      </c>
      <c r="LUH64" s="44">
        <f t="shared" si="267"/>
        <v>0</v>
      </c>
      <c r="LUI64" s="44">
        <f t="shared" si="267"/>
        <v>0</v>
      </c>
      <c r="LUJ64" s="44">
        <f t="shared" si="267"/>
        <v>0</v>
      </c>
      <c r="LUK64" s="44">
        <f t="shared" si="267"/>
        <v>0</v>
      </c>
      <c r="LUL64" s="44">
        <f t="shared" si="267"/>
        <v>0</v>
      </c>
      <c r="LUM64" s="44">
        <f t="shared" si="267"/>
        <v>0</v>
      </c>
      <c r="LUN64" s="44">
        <f t="shared" si="267"/>
        <v>0</v>
      </c>
      <c r="LUO64" s="44">
        <f t="shared" si="267"/>
        <v>0</v>
      </c>
      <c r="LUP64" s="44">
        <f t="shared" si="267"/>
        <v>0</v>
      </c>
      <c r="LUQ64" s="44">
        <f t="shared" si="267"/>
        <v>0</v>
      </c>
      <c r="LUR64" s="44">
        <f t="shared" si="267"/>
        <v>0</v>
      </c>
      <c r="LUS64" s="44">
        <f t="shared" si="267"/>
        <v>0</v>
      </c>
      <c r="LUT64" s="44">
        <f t="shared" si="267"/>
        <v>0</v>
      </c>
      <c r="LUU64" s="44">
        <f t="shared" si="267"/>
        <v>0</v>
      </c>
      <c r="LUV64" s="44">
        <f t="shared" si="267"/>
        <v>0</v>
      </c>
      <c r="LUW64" s="44">
        <f t="shared" si="267"/>
        <v>0</v>
      </c>
      <c r="LUX64" s="44">
        <f t="shared" si="267"/>
        <v>0</v>
      </c>
      <c r="LUY64" s="44">
        <f t="shared" si="267"/>
        <v>0</v>
      </c>
      <c r="LUZ64" s="44">
        <f t="shared" si="267"/>
        <v>0</v>
      </c>
      <c r="LVA64" s="44">
        <f t="shared" si="267"/>
        <v>0</v>
      </c>
      <c r="LVB64" s="44">
        <f t="shared" si="267"/>
        <v>0</v>
      </c>
      <c r="LVC64" s="44">
        <f t="shared" si="267"/>
        <v>0</v>
      </c>
      <c r="LVD64" s="44">
        <f t="shared" si="267"/>
        <v>0</v>
      </c>
      <c r="LVE64" s="44">
        <f t="shared" si="267"/>
        <v>0</v>
      </c>
      <c r="LVF64" s="44">
        <f t="shared" si="267"/>
        <v>0</v>
      </c>
      <c r="LVG64" s="44">
        <f t="shared" si="267"/>
        <v>0</v>
      </c>
      <c r="LVH64" s="44">
        <f t="shared" si="267"/>
        <v>0</v>
      </c>
      <c r="LVI64" s="44">
        <f t="shared" si="267"/>
        <v>0</v>
      </c>
      <c r="LVJ64" s="44">
        <f t="shared" si="267"/>
        <v>0</v>
      </c>
      <c r="LVK64" s="44">
        <f t="shared" si="267"/>
        <v>0</v>
      </c>
      <c r="LVL64" s="44">
        <f t="shared" si="267"/>
        <v>0</v>
      </c>
      <c r="LVM64" s="44">
        <f t="shared" si="267"/>
        <v>0</v>
      </c>
      <c r="LVN64" s="44">
        <f t="shared" si="267"/>
        <v>0</v>
      </c>
      <c r="LVO64" s="44">
        <f t="shared" si="267"/>
        <v>0</v>
      </c>
      <c r="LVP64" s="44">
        <f t="shared" si="267"/>
        <v>0</v>
      </c>
      <c r="LVQ64" s="44">
        <f t="shared" si="267"/>
        <v>0</v>
      </c>
      <c r="LVR64" s="44">
        <f t="shared" si="267"/>
        <v>0</v>
      </c>
      <c r="LVS64" s="44">
        <f t="shared" si="267"/>
        <v>0</v>
      </c>
      <c r="LVT64" s="44">
        <f t="shared" si="267"/>
        <v>0</v>
      </c>
      <c r="LVU64" s="44">
        <f t="shared" si="267"/>
        <v>0</v>
      </c>
      <c r="LVV64" s="44">
        <f t="shared" si="267"/>
        <v>0</v>
      </c>
      <c r="LVW64" s="44">
        <f t="shared" si="267"/>
        <v>0</v>
      </c>
      <c r="LVX64" s="44">
        <f t="shared" si="267"/>
        <v>0</v>
      </c>
      <c r="LVY64" s="44">
        <f t="shared" si="267"/>
        <v>0</v>
      </c>
      <c r="LVZ64" s="44">
        <f t="shared" si="267"/>
        <v>0</v>
      </c>
      <c r="LWA64" s="44">
        <f t="shared" si="267"/>
        <v>0</v>
      </c>
      <c r="LWB64" s="44">
        <f t="shared" si="267"/>
        <v>0</v>
      </c>
      <c r="LWC64" s="44">
        <f t="shared" si="267"/>
        <v>0</v>
      </c>
      <c r="LWD64" s="44">
        <f t="shared" si="267"/>
        <v>0</v>
      </c>
      <c r="LWE64" s="44">
        <f t="shared" si="267"/>
        <v>0</v>
      </c>
      <c r="LWF64" s="44">
        <f t="shared" si="267"/>
        <v>0</v>
      </c>
      <c r="LWG64" s="44">
        <f t="shared" si="267"/>
        <v>0</v>
      </c>
      <c r="LWH64" s="44">
        <f t="shared" si="267"/>
        <v>0</v>
      </c>
      <c r="LWI64" s="44">
        <f t="shared" si="267"/>
        <v>0</v>
      </c>
      <c r="LWJ64" s="44">
        <f t="shared" si="267"/>
        <v>0</v>
      </c>
      <c r="LWK64" s="44">
        <f t="shared" si="267"/>
        <v>0</v>
      </c>
      <c r="LWL64" s="44">
        <f t="shared" si="267"/>
        <v>0</v>
      </c>
      <c r="LWM64" s="44">
        <f t="shared" si="267"/>
        <v>0</v>
      </c>
      <c r="LWN64" s="44">
        <f t="shared" si="267"/>
        <v>0</v>
      </c>
      <c r="LWO64" s="44">
        <f t="shared" si="267"/>
        <v>0</v>
      </c>
      <c r="LWP64" s="44">
        <f t="shared" ref="LWP64:LZA64" si="268">SUM(LWP56:LWP57)</f>
        <v>0</v>
      </c>
      <c r="LWQ64" s="44">
        <f t="shared" si="268"/>
        <v>0</v>
      </c>
      <c r="LWR64" s="44">
        <f t="shared" si="268"/>
        <v>0</v>
      </c>
      <c r="LWS64" s="44">
        <f t="shared" si="268"/>
        <v>0</v>
      </c>
      <c r="LWT64" s="44">
        <f t="shared" si="268"/>
        <v>0</v>
      </c>
      <c r="LWU64" s="44">
        <f t="shared" si="268"/>
        <v>0</v>
      </c>
      <c r="LWV64" s="44">
        <f t="shared" si="268"/>
        <v>0</v>
      </c>
      <c r="LWW64" s="44">
        <f t="shared" si="268"/>
        <v>0</v>
      </c>
      <c r="LWX64" s="44">
        <f t="shared" si="268"/>
        <v>0</v>
      </c>
      <c r="LWY64" s="44">
        <f t="shared" si="268"/>
        <v>0</v>
      </c>
      <c r="LWZ64" s="44">
        <f t="shared" si="268"/>
        <v>0</v>
      </c>
      <c r="LXA64" s="44">
        <f t="shared" si="268"/>
        <v>0</v>
      </c>
      <c r="LXB64" s="44">
        <f t="shared" si="268"/>
        <v>0</v>
      </c>
      <c r="LXC64" s="44">
        <f t="shared" si="268"/>
        <v>0</v>
      </c>
      <c r="LXD64" s="44">
        <f t="shared" si="268"/>
        <v>0</v>
      </c>
      <c r="LXE64" s="44">
        <f t="shared" si="268"/>
        <v>0</v>
      </c>
      <c r="LXF64" s="44">
        <f t="shared" si="268"/>
        <v>0</v>
      </c>
      <c r="LXG64" s="44">
        <f t="shared" si="268"/>
        <v>0</v>
      </c>
      <c r="LXH64" s="44">
        <f t="shared" si="268"/>
        <v>0</v>
      </c>
      <c r="LXI64" s="44">
        <f t="shared" si="268"/>
        <v>0</v>
      </c>
      <c r="LXJ64" s="44">
        <f t="shared" si="268"/>
        <v>0</v>
      </c>
      <c r="LXK64" s="44">
        <f t="shared" si="268"/>
        <v>0</v>
      </c>
      <c r="LXL64" s="44">
        <f t="shared" si="268"/>
        <v>0</v>
      </c>
      <c r="LXM64" s="44">
        <f t="shared" si="268"/>
        <v>0</v>
      </c>
      <c r="LXN64" s="44">
        <f t="shared" si="268"/>
        <v>0</v>
      </c>
      <c r="LXO64" s="44">
        <f t="shared" si="268"/>
        <v>0</v>
      </c>
      <c r="LXP64" s="44">
        <f t="shared" si="268"/>
        <v>0</v>
      </c>
      <c r="LXQ64" s="44">
        <f t="shared" si="268"/>
        <v>0</v>
      </c>
      <c r="LXR64" s="44">
        <f t="shared" si="268"/>
        <v>0</v>
      </c>
      <c r="LXS64" s="44">
        <f t="shared" si="268"/>
        <v>0</v>
      </c>
      <c r="LXT64" s="44">
        <f t="shared" si="268"/>
        <v>0</v>
      </c>
      <c r="LXU64" s="44">
        <f t="shared" si="268"/>
        <v>0</v>
      </c>
      <c r="LXV64" s="44">
        <f t="shared" si="268"/>
        <v>0</v>
      </c>
      <c r="LXW64" s="44">
        <f t="shared" si="268"/>
        <v>0</v>
      </c>
      <c r="LXX64" s="44">
        <f t="shared" si="268"/>
        <v>0</v>
      </c>
      <c r="LXY64" s="44">
        <f t="shared" si="268"/>
        <v>0</v>
      </c>
      <c r="LXZ64" s="44">
        <f t="shared" si="268"/>
        <v>0</v>
      </c>
      <c r="LYA64" s="44">
        <f t="shared" si="268"/>
        <v>0</v>
      </c>
      <c r="LYB64" s="44">
        <f t="shared" si="268"/>
        <v>0</v>
      </c>
      <c r="LYC64" s="44">
        <f t="shared" si="268"/>
        <v>0</v>
      </c>
      <c r="LYD64" s="44">
        <f t="shared" si="268"/>
        <v>0</v>
      </c>
      <c r="LYE64" s="44">
        <f t="shared" si="268"/>
        <v>0</v>
      </c>
      <c r="LYF64" s="44">
        <f t="shared" si="268"/>
        <v>0</v>
      </c>
      <c r="LYG64" s="44">
        <f t="shared" si="268"/>
        <v>0</v>
      </c>
      <c r="LYH64" s="44">
        <f t="shared" si="268"/>
        <v>0</v>
      </c>
      <c r="LYI64" s="44">
        <f t="shared" si="268"/>
        <v>0</v>
      </c>
      <c r="LYJ64" s="44">
        <f t="shared" si="268"/>
        <v>0</v>
      </c>
      <c r="LYK64" s="44">
        <f t="shared" si="268"/>
        <v>0</v>
      </c>
      <c r="LYL64" s="44">
        <f t="shared" si="268"/>
        <v>0</v>
      </c>
      <c r="LYM64" s="44">
        <f t="shared" si="268"/>
        <v>0</v>
      </c>
      <c r="LYN64" s="44">
        <f t="shared" si="268"/>
        <v>0</v>
      </c>
      <c r="LYO64" s="44">
        <f t="shared" si="268"/>
        <v>0</v>
      </c>
      <c r="LYP64" s="44">
        <f t="shared" si="268"/>
        <v>0</v>
      </c>
      <c r="LYQ64" s="44">
        <f t="shared" si="268"/>
        <v>0</v>
      </c>
      <c r="LYR64" s="44">
        <f t="shared" si="268"/>
        <v>0</v>
      </c>
      <c r="LYS64" s="44">
        <f t="shared" si="268"/>
        <v>0</v>
      </c>
      <c r="LYT64" s="44">
        <f t="shared" si="268"/>
        <v>0</v>
      </c>
      <c r="LYU64" s="44">
        <f t="shared" si="268"/>
        <v>0</v>
      </c>
      <c r="LYV64" s="44">
        <f t="shared" si="268"/>
        <v>0</v>
      </c>
      <c r="LYW64" s="44">
        <f t="shared" si="268"/>
        <v>0</v>
      </c>
      <c r="LYX64" s="44">
        <f t="shared" si="268"/>
        <v>0</v>
      </c>
      <c r="LYY64" s="44">
        <f t="shared" si="268"/>
        <v>0</v>
      </c>
      <c r="LYZ64" s="44">
        <f t="shared" si="268"/>
        <v>0</v>
      </c>
      <c r="LZA64" s="44">
        <f t="shared" si="268"/>
        <v>0</v>
      </c>
      <c r="LZB64" s="44">
        <f t="shared" ref="LZB64:MBM64" si="269">SUM(LZB56:LZB57)</f>
        <v>0</v>
      </c>
      <c r="LZC64" s="44">
        <f t="shared" si="269"/>
        <v>0</v>
      </c>
      <c r="LZD64" s="44">
        <f t="shared" si="269"/>
        <v>0</v>
      </c>
      <c r="LZE64" s="44">
        <f t="shared" si="269"/>
        <v>0</v>
      </c>
      <c r="LZF64" s="44">
        <f t="shared" si="269"/>
        <v>0</v>
      </c>
      <c r="LZG64" s="44">
        <f t="shared" si="269"/>
        <v>0</v>
      </c>
      <c r="LZH64" s="44">
        <f t="shared" si="269"/>
        <v>0</v>
      </c>
      <c r="LZI64" s="44">
        <f t="shared" si="269"/>
        <v>0</v>
      </c>
      <c r="LZJ64" s="44">
        <f t="shared" si="269"/>
        <v>0</v>
      </c>
      <c r="LZK64" s="44">
        <f t="shared" si="269"/>
        <v>0</v>
      </c>
      <c r="LZL64" s="44">
        <f t="shared" si="269"/>
        <v>0</v>
      </c>
      <c r="LZM64" s="44">
        <f t="shared" si="269"/>
        <v>0</v>
      </c>
      <c r="LZN64" s="44">
        <f t="shared" si="269"/>
        <v>0</v>
      </c>
      <c r="LZO64" s="44">
        <f t="shared" si="269"/>
        <v>0</v>
      </c>
      <c r="LZP64" s="44">
        <f t="shared" si="269"/>
        <v>0</v>
      </c>
      <c r="LZQ64" s="44">
        <f t="shared" si="269"/>
        <v>0</v>
      </c>
      <c r="LZR64" s="44">
        <f t="shared" si="269"/>
        <v>0</v>
      </c>
      <c r="LZS64" s="44">
        <f t="shared" si="269"/>
        <v>0</v>
      </c>
      <c r="LZT64" s="44">
        <f t="shared" si="269"/>
        <v>0</v>
      </c>
      <c r="LZU64" s="44">
        <f t="shared" si="269"/>
        <v>0</v>
      </c>
      <c r="LZV64" s="44">
        <f t="shared" si="269"/>
        <v>0</v>
      </c>
      <c r="LZW64" s="44">
        <f t="shared" si="269"/>
        <v>0</v>
      </c>
      <c r="LZX64" s="44">
        <f t="shared" si="269"/>
        <v>0</v>
      </c>
      <c r="LZY64" s="44">
        <f t="shared" si="269"/>
        <v>0</v>
      </c>
      <c r="LZZ64" s="44">
        <f t="shared" si="269"/>
        <v>0</v>
      </c>
      <c r="MAA64" s="44">
        <f t="shared" si="269"/>
        <v>0</v>
      </c>
      <c r="MAB64" s="44">
        <f t="shared" si="269"/>
        <v>0</v>
      </c>
      <c r="MAC64" s="44">
        <f t="shared" si="269"/>
        <v>0</v>
      </c>
      <c r="MAD64" s="44">
        <f t="shared" si="269"/>
        <v>0</v>
      </c>
      <c r="MAE64" s="44">
        <f t="shared" si="269"/>
        <v>0</v>
      </c>
      <c r="MAF64" s="44">
        <f t="shared" si="269"/>
        <v>0</v>
      </c>
      <c r="MAG64" s="44">
        <f t="shared" si="269"/>
        <v>0</v>
      </c>
      <c r="MAH64" s="44">
        <f t="shared" si="269"/>
        <v>0</v>
      </c>
      <c r="MAI64" s="44">
        <f t="shared" si="269"/>
        <v>0</v>
      </c>
      <c r="MAJ64" s="44">
        <f t="shared" si="269"/>
        <v>0</v>
      </c>
      <c r="MAK64" s="44">
        <f t="shared" si="269"/>
        <v>0</v>
      </c>
      <c r="MAL64" s="44">
        <f t="shared" si="269"/>
        <v>0</v>
      </c>
      <c r="MAM64" s="44">
        <f t="shared" si="269"/>
        <v>0</v>
      </c>
      <c r="MAN64" s="44">
        <f t="shared" si="269"/>
        <v>0</v>
      </c>
      <c r="MAO64" s="44">
        <f t="shared" si="269"/>
        <v>0</v>
      </c>
      <c r="MAP64" s="44">
        <f t="shared" si="269"/>
        <v>0</v>
      </c>
      <c r="MAQ64" s="44">
        <f t="shared" si="269"/>
        <v>0</v>
      </c>
      <c r="MAR64" s="44">
        <f t="shared" si="269"/>
        <v>0</v>
      </c>
      <c r="MAS64" s="44">
        <f t="shared" si="269"/>
        <v>0</v>
      </c>
      <c r="MAT64" s="44">
        <f t="shared" si="269"/>
        <v>0</v>
      </c>
      <c r="MAU64" s="44">
        <f t="shared" si="269"/>
        <v>0</v>
      </c>
      <c r="MAV64" s="44">
        <f t="shared" si="269"/>
        <v>0</v>
      </c>
      <c r="MAW64" s="44">
        <f t="shared" si="269"/>
        <v>0</v>
      </c>
      <c r="MAX64" s="44">
        <f t="shared" si="269"/>
        <v>0</v>
      </c>
      <c r="MAY64" s="44">
        <f t="shared" si="269"/>
        <v>0</v>
      </c>
      <c r="MAZ64" s="44">
        <f t="shared" si="269"/>
        <v>0</v>
      </c>
      <c r="MBA64" s="44">
        <f t="shared" si="269"/>
        <v>0</v>
      </c>
      <c r="MBB64" s="44">
        <f t="shared" si="269"/>
        <v>0</v>
      </c>
      <c r="MBC64" s="44">
        <f t="shared" si="269"/>
        <v>0</v>
      </c>
      <c r="MBD64" s="44">
        <f t="shared" si="269"/>
        <v>0</v>
      </c>
      <c r="MBE64" s="44">
        <f t="shared" si="269"/>
        <v>0</v>
      </c>
      <c r="MBF64" s="44">
        <f t="shared" si="269"/>
        <v>0</v>
      </c>
      <c r="MBG64" s="44">
        <f t="shared" si="269"/>
        <v>0</v>
      </c>
      <c r="MBH64" s="44">
        <f t="shared" si="269"/>
        <v>0</v>
      </c>
      <c r="MBI64" s="44">
        <f t="shared" si="269"/>
        <v>0</v>
      </c>
      <c r="MBJ64" s="44">
        <f t="shared" si="269"/>
        <v>0</v>
      </c>
      <c r="MBK64" s="44">
        <f t="shared" si="269"/>
        <v>0</v>
      </c>
      <c r="MBL64" s="44">
        <f t="shared" si="269"/>
        <v>0</v>
      </c>
      <c r="MBM64" s="44">
        <f t="shared" si="269"/>
        <v>0</v>
      </c>
      <c r="MBN64" s="44">
        <f t="shared" ref="MBN64:MDY64" si="270">SUM(MBN56:MBN57)</f>
        <v>0</v>
      </c>
      <c r="MBO64" s="44">
        <f t="shared" si="270"/>
        <v>0</v>
      </c>
      <c r="MBP64" s="44">
        <f t="shared" si="270"/>
        <v>0</v>
      </c>
      <c r="MBQ64" s="44">
        <f t="shared" si="270"/>
        <v>0</v>
      </c>
      <c r="MBR64" s="44">
        <f t="shared" si="270"/>
        <v>0</v>
      </c>
      <c r="MBS64" s="44">
        <f t="shared" si="270"/>
        <v>0</v>
      </c>
      <c r="MBT64" s="44">
        <f t="shared" si="270"/>
        <v>0</v>
      </c>
      <c r="MBU64" s="44">
        <f t="shared" si="270"/>
        <v>0</v>
      </c>
      <c r="MBV64" s="44">
        <f t="shared" si="270"/>
        <v>0</v>
      </c>
      <c r="MBW64" s="44">
        <f t="shared" si="270"/>
        <v>0</v>
      </c>
      <c r="MBX64" s="44">
        <f t="shared" si="270"/>
        <v>0</v>
      </c>
      <c r="MBY64" s="44">
        <f t="shared" si="270"/>
        <v>0</v>
      </c>
      <c r="MBZ64" s="44">
        <f t="shared" si="270"/>
        <v>0</v>
      </c>
      <c r="MCA64" s="44">
        <f t="shared" si="270"/>
        <v>0</v>
      </c>
      <c r="MCB64" s="44">
        <f t="shared" si="270"/>
        <v>0</v>
      </c>
      <c r="MCC64" s="44">
        <f t="shared" si="270"/>
        <v>0</v>
      </c>
      <c r="MCD64" s="44">
        <f t="shared" si="270"/>
        <v>0</v>
      </c>
      <c r="MCE64" s="44">
        <f t="shared" si="270"/>
        <v>0</v>
      </c>
      <c r="MCF64" s="44">
        <f t="shared" si="270"/>
        <v>0</v>
      </c>
      <c r="MCG64" s="44">
        <f t="shared" si="270"/>
        <v>0</v>
      </c>
      <c r="MCH64" s="44">
        <f t="shared" si="270"/>
        <v>0</v>
      </c>
      <c r="MCI64" s="44">
        <f t="shared" si="270"/>
        <v>0</v>
      </c>
      <c r="MCJ64" s="44">
        <f t="shared" si="270"/>
        <v>0</v>
      </c>
      <c r="MCK64" s="44">
        <f t="shared" si="270"/>
        <v>0</v>
      </c>
      <c r="MCL64" s="44">
        <f t="shared" si="270"/>
        <v>0</v>
      </c>
      <c r="MCM64" s="44">
        <f t="shared" si="270"/>
        <v>0</v>
      </c>
      <c r="MCN64" s="44">
        <f t="shared" si="270"/>
        <v>0</v>
      </c>
      <c r="MCO64" s="44">
        <f t="shared" si="270"/>
        <v>0</v>
      </c>
      <c r="MCP64" s="44">
        <f t="shared" si="270"/>
        <v>0</v>
      </c>
      <c r="MCQ64" s="44">
        <f t="shared" si="270"/>
        <v>0</v>
      </c>
      <c r="MCR64" s="44">
        <f t="shared" si="270"/>
        <v>0</v>
      </c>
      <c r="MCS64" s="44">
        <f t="shared" si="270"/>
        <v>0</v>
      </c>
      <c r="MCT64" s="44">
        <f t="shared" si="270"/>
        <v>0</v>
      </c>
      <c r="MCU64" s="44">
        <f t="shared" si="270"/>
        <v>0</v>
      </c>
      <c r="MCV64" s="44">
        <f t="shared" si="270"/>
        <v>0</v>
      </c>
      <c r="MCW64" s="44">
        <f t="shared" si="270"/>
        <v>0</v>
      </c>
      <c r="MCX64" s="44">
        <f t="shared" si="270"/>
        <v>0</v>
      </c>
      <c r="MCY64" s="44">
        <f t="shared" si="270"/>
        <v>0</v>
      </c>
      <c r="MCZ64" s="44">
        <f t="shared" si="270"/>
        <v>0</v>
      </c>
      <c r="MDA64" s="44">
        <f t="shared" si="270"/>
        <v>0</v>
      </c>
      <c r="MDB64" s="44">
        <f t="shared" si="270"/>
        <v>0</v>
      </c>
      <c r="MDC64" s="44">
        <f t="shared" si="270"/>
        <v>0</v>
      </c>
      <c r="MDD64" s="44">
        <f t="shared" si="270"/>
        <v>0</v>
      </c>
      <c r="MDE64" s="44">
        <f t="shared" si="270"/>
        <v>0</v>
      </c>
      <c r="MDF64" s="44">
        <f t="shared" si="270"/>
        <v>0</v>
      </c>
      <c r="MDG64" s="44">
        <f t="shared" si="270"/>
        <v>0</v>
      </c>
      <c r="MDH64" s="44">
        <f t="shared" si="270"/>
        <v>0</v>
      </c>
      <c r="MDI64" s="44">
        <f t="shared" si="270"/>
        <v>0</v>
      </c>
      <c r="MDJ64" s="44">
        <f t="shared" si="270"/>
        <v>0</v>
      </c>
      <c r="MDK64" s="44">
        <f t="shared" si="270"/>
        <v>0</v>
      </c>
      <c r="MDL64" s="44">
        <f t="shared" si="270"/>
        <v>0</v>
      </c>
      <c r="MDM64" s="44">
        <f t="shared" si="270"/>
        <v>0</v>
      </c>
      <c r="MDN64" s="44">
        <f t="shared" si="270"/>
        <v>0</v>
      </c>
      <c r="MDO64" s="44">
        <f t="shared" si="270"/>
        <v>0</v>
      </c>
      <c r="MDP64" s="44">
        <f t="shared" si="270"/>
        <v>0</v>
      </c>
      <c r="MDQ64" s="44">
        <f t="shared" si="270"/>
        <v>0</v>
      </c>
      <c r="MDR64" s="44">
        <f t="shared" si="270"/>
        <v>0</v>
      </c>
      <c r="MDS64" s="44">
        <f t="shared" si="270"/>
        <v>0</v>
      </c>
      <c r="MDT64" s="44">
        <f t="shared" si="270"/>
        <v>0</v>
      </c>
      <c r="MDU64" s="44">
        <f t="shared" si="270"/>
        <v>0</v>
      </c>
      <c r="MDV64" s="44">
        <f t="shared" si="270"/>
        <v>0</v>
      </c>
      <c r="MDW64" s="44">
        <f t="shared" si="270"/>
        <v>0</v>
      </c>
      <c r="MDX64" s="44">
        <f t="shared" si="270"/>
        <v>0</v>
      </c>
      <c r="MDY64" s="44">
        <f t="shared" si="270"/>
        <v>0</v>
      </c>
      <c r="MDZ64" s="44">
        <f t="shared" ref="MDZ64:MGK64" si="271">SUM(MDZ56:MDZ57)</f>
        <v>0</v>
      </c>
      <c r="MEA64" s="44">
        <f t="shared" si="271"/>
        <v>0</v>
      </c>
      <c r="MEB64" s="44">
        <f t="shared" si="271"/>
        <v>0</v>
      </c>
      <c r="MEC64" s="44">
        <f t="shared" si="271"/>
        <v>0</v>
      </c>
      <c r="MED64" s="44">
        <f t="shared" si="271"/>
        <v>0</v>
      </c>
      <c r="MEE64" s="44">
        <f t="shared" si="271"/>
        <v>0</v>
      </c>
      <c r="MEF64" s="44">
        <f t="shared" si="271"/>
        <v>0</v>
      </c>
      <c r="MEG64" s="44">
        <f t="shared" si="271"/>
        <v>0</v>
      </c>
      <c r="MEH64" s="44">
        <f t="shared" si="271"/>
        <v>0</v>
      </c>
      <c r="MEI64" s="44">
        <f t="shared" si="271"/>
        <v>0</v>
      </c>
      <c r="MEJ64" s="44">
        <f t="shared" si="271"/>
        <v>0</v>
      </c>
      <c r="MEK64" s="44">
        <f t="shared" si="271"/>
        <v>0</v>
      </c>
      <c r="MEL64" s="44">
        <f t="shared" si="271"/>
        <v>0</v>
      </c>
      <c r="MEM64" s="44">
        <f t="shared" si="271"/>
        <v>0</v>
      </c>
      <c r="MEN64" s="44">
        <f t="shared" si="271"/>
        <v>0</v>
      </c>
      <c r="MEO64" s="44">
        <f t="shared" si="271"/>
        <v>0</v>
      </c>
      <c r="MEP64" s="44">
        <f t="shared" si="271"/>
        <v>0</v>
      </c>
      <c r="MEQ64" s="44">
        <f t="shared" si="271"/>
        <v>0</v>
      </c>
      <c r="MER64" s="44">
        <f t="shared" si="271"/>
        <v>0</v>
      </c>
      <c r="MES64" s="44">
        <f t="shared" si="271"/>
        <v>0</v>
      </c>
      <c r="MET64" s="44">
        <f t="shared" si="271"/>
        <v>0</v>
      </c>
      <c r="MEU64" s="44">
        <f t="shared" si="271"/>
        <v>0</v>
      </c>
      <c r="MEV64" s="44">
        <f t="shared" si="271"/>
        <v>0</v>
      </c>
      <c r="MEW64" s="44">
        <f t="shared" si="271"/>
        <v>0</v>
      </c>
      <c r="MEX64" s="44">
        <f t="shared" si="271"/>
        <v>0</v>
      </c>
      <c r="MEY64" s="44">
        <f t="shared" si="271"/>
        <v>0</v>
      </c>
      <c r="MEZ64" s="44">
        <f t="shared" si="271"/>
        <v>0</v>
      </c>
      <c r="MFA64" s="44">
        <f t="shared" si="271"/>
        <v>0</v>
      </c>
      <c r="MFB64" s="44">
        <f t="shared" si="271"/>
        <v>0</v>
      </c>
      <c r="MFC64" s="44">
        <f t="shared" si="271"/>
        <v>0</v>
      </c>
      <c r="MFD64" s="44">
        <f t="shared" si="271"/>
        <v>0</v>
      </c>
      <c r="MFE64" s="44">
        <f t="shared" si="271"/>
        <v>0</v>
      </c>
      <c r="MFF64" s="44">
        <f t="shared" si="271"/>
        <v>0</v>
      </c>
      <c r="MFG64" s="44">
        <f t="shared" si="271"/>
        <v>0</v>
      </c>
      <c r="MFH64" s="44">
        <f t="shared" si="271"/>
        <v>0</v>
      </c>
      <c r="MFI64" s="44">
        <f t="shared" si="271"/>
        <v>0</v>
      </c>
      <c r="MFJ64" s="44">
        <f t="shared" si="271"/>
        <v>0</v>
      </c>
      <c r="MFK64" s="44">
        <f t="shared" si="271"/>
        <v>0</v>
      </c>
      <c r="MFL64" s="44">
        <f t="shared" si="271"/>
        <v>0</v>
      </c>
      <c r="MFM64" s="44">
        <f t="shared" si="271"/>
        <v>0</v>
      </c>
      <c r="MFN64" s="44">
        <f t="shared" si="271"/>
        <v>0</v>
      </c>
      <c r="MFO64" s="44">
        <f t="shared" si="271"/>
        <v>0</v>
      </c>
      <c r="MFP64" s="44">
        <f t="shared" si="271"/>
        <v>0</v>
      </c>
      <c r="MFQ64" s="44">
        <f t="shared" si="271"/>
        <v>0</v>
      </c>
      <c r="MFR64" s="44">
        <f t="shared" si="271"/>
        <v>0</v>
      </c>
      <c r="MFS64" s="44">
        <f t="shared" si="271"/>
        <v>0</v>
      </c>
      <c r="MFT64" s="44">
        <f t="shared" si="271"/>
        <v>0</v>
      </c>
      <c r="MFU64" s="44">
        <f t="shared" si="271"/>
        <v>0</v>
      </c>
      <c r="MFV64" s="44">
        <f t="shared" si="271"/>
        <v>0</v>
      </c>
      <c r="MFW64" s="44">
        <f t="shared" si="271"/>
        <v>0</v>
      </c>
      <c r="MFX64" s="44">
        <f t="shared" si="271"/>
        <v>0</v>
      </c>
      <c r="MFY64" s="44">
        <f t="shared" si="271"/>
        <v>0</v>
      </c>
      <c r="MFZ64" s="44">
        <f t="shared" si="271"/>
        <v>0</v>
      </c>
      <c r="MGA64" s="44">
        <f t="shared" si="271"/>
        <v>0</v>
      </c>
      <c r="MGB64" s="44">
        <f t="shared" si="271"/>
        <v>0</v>
      </c>
      <c r="MGC64" s="44">
        <f t="shared" si="271"/>
        <v>0</v>
      </c>
      <c r="MGD64" s="44">
        <f t="shared" si="271"/>
        <v>0</v>
      </c>
      <c r="MGE64" s="44">
        <f t="shared" si="271"/>
        <v>0</v>
      </c>
      <c r="MGF64" s="44">
        <f t="shared" si="271"/>
        <v>0</v>
      </c>
      <c r="MGG64" s="44">
        <f t="shared" si="271"/>
        <v>0</v>
      </c>
      <c r="MGH64" s="44">
        <f t="shared" si="271"/>
        <v>0</v>
      </c>
      <c r="MGI64" s="44">
        <f t="shared" si="271"/>
        <v>0</v>
      </c>
      <c r="MGJ64" s="44">
        <f t="shared" si="271"/>
        <v>0</v>
      </c>
      <c r="MGK64" s="44">
        <f t="shared" si="271"/>
        <v>0</v>
      </c>
      <c r="MGL64" s="44">
        <f t="shared" ref="MGL64:MIW64" si="272">SUM(MGL56:MGL57)</f>
        <v>0</v>
      </c>
      <c r="MGM64" s="44">
        <f t="shared" si="272"/>
        <v>0</v>
      </c>
      <c r="MGN64" s="44">
        <f t="shared" si="272"/>
        <v>0</v>
      </c>
      <c r="MGO64" s="44">
        <f t="shared" si="272"/>
        <v>0</v>
      </c>
      <c r="MGP64" s="44">
        <f t="shared" si="272"/>
        <v>0</v>
      </c>
      <c r="MGQ64" s="44">
        <f t="shared" si="272"/>
        <v>0</v>
      </c>
      <c r="MGR64" s="44">
        <f t="shared" si="272"/>
        <v>0</v>
      </c>
      <c r="MGS64" s="44">
        <f t="shared" si="272"/>
        <v>0</v>
      </c>
      <c r="MGT64" s="44">
        <f t="shared" si="272"/>
        <v>0</v>
      </c>
      <c r="MGU64" s="44">
        <f t="shared" si="272"/>
        <v>0</v>
      </c>
      <c r="MGV64" s="44">
        <f t="shared" si="272"/>
        <v>0</v>
      </c>
      <c r="MGW64" s="44">
        <f t="shared" si="272"/>
        <v>0</v>
      </c>
      <c r="MGX64" s="44">
        <f t="shared" si="272"/>
        <v>0</v>
      </c>
      <c r="MGY64" s="44">
        <f t="shared" si="272"/>
        <v>0</v>
      </c>
      <c r="MGZ64" s="44">
        <f t="shared" si="272"/>
        <v>0</v>
      </c>
      <c r="MHA64" s="44">
        <f t="shared" si="272"/>
        <v>0</v>
      </c>
      <c r="MHB64" s="44">
        <f t="shared" si="272"/>
        <v>0</v>
      </c>
      <c r="MHC64" s="44">
        <f t="shared" si="272"/>
        <v>0</v>
      </c>
      <c r="MHD64" s="44">
        <f t="shared" si="272"/>
        <v>0</v>
      </c>
      <c r="MHE64" s="44">
        <f t="shared" si="272"/>
        <v>0</v>
      </c>
      <c r="MHF64" s="44">
        <f t="shared" si="272"/>
        <v>0</v>
      </c>
      <c r="MHG64" s="44">
        <f t="shared" si="272"/>
        <v>0</v>
      </c>
      <c r="MHH64" s="44">
        <f t="shared" si="272"/>
        <v>0</v>
      </c>
      <c r="MHI64" s="44">
        <f t="shared" si="272"/>
        <v>0</v>
      </c>
      <c r="MHJ64" s="44">
        <f t="shared" si="272"/>
        <v>0</v>
      </c>
      <c r="MHK64" s="44">
        <f t="shared" si="272"/>
        <v>0</v>
      </c>
      <c r="MHL64" s="44">
        <f t="shared" si="272"/>
        <v>0</v>
      </c>
      <c r="MHM64" s="44">
        <f t="shared" si="272"/>
        <v>0</v>
      </c>
      <c r="MHN64" s="44">
        <f t="shared" si="272"/>
        <v>0</v>
      </c>
      <c r="MHO64" s="44">
        <f t="shared" si="272"/>
        <v>0</v>
      </c>
      <c r="MHP64" s="44">
        <f t="shared" si="272"/>
        <v>0</v>
      </c>
      <c r="MHQ64" s="44">
        <f t="shared" si="272"/>
        <v>0</v>
      </c>
      <c r="MHR64" s="44">
        <f t="shared" si="272"/>
        <v>0</v>
      </c>
      <c r="MHS64" s="44">
        <f t="shared" si="272"/>
        <v>0</v>
      </c>
      <c r="MHT64" s="44">
        <f t="shared" si="272"/>
        <v>0</v>
      </c>
      <c r="MHU64" s="44">
        <f t="shared" si="272"/>
        <v>0</v>
      </c>
      <c r="MHV64" s="44">
        <f t="shared" si="272"/>
        <v>0</v>
      </c>
      <c r="MHW64" s="44">
        <f t="shared" si="272"/>
        <v>0</v>
      </c>
      <c r="MHX64" s="44">
        <f t="shared" si="272"/>
        <v>0</v>
      </c>
      <c r="MHY64" s="44">
        <f t="shared" si="272"/>
        <v>0</v>
      </c>
      <c r="MHZ64" s="44">
        <f t="shared" si="272"/>
        <v>0</v>
      </c>
      <c r="MIA64" s="44">
        <f t="shared" si="272"/>
        <v>0</v>
      </c>
      <c r="MIB64" s="44">
        <f t="shared" si="272"/>
        <v>0</v>
      </c>
      <c r="MIC64" s="44">
        <f t="shared" si="272"/>
        <v>0</v>
      </c>
      <c r="MID64" s="44">
        <f t="shared" si="272"/>
        <v>0</v>
      </c>
      <c r="MIE64" s="44">
        <f t="shared" si="272"/>
        <v>0</v>
      </c>
      <c r="MIF64" s="44">
        <f t="shared" si="272"/>
        <v>0</v>
      </c>
      <c r="MIG64" s="44">
        <f t="shared" si="272"/>
        <v>0</v>
      </c>
      <c r="MIH64" s="44">
        <f t="shared" si="272"/>
        <v>0</v>
      </c>
      <c r="MII64" s="44">
        <f t="shared" si="272"/>
        <v>0</v>
      </c>
      <c r="MIJ64" s="44">
        <f t="shared" si="272"/>
        <v>0</v>
      </c>
      <c r="MIK64" s="44">
        <f t="shared" si="272"/>
        <v>0</v>
      </c>
      <c r="MIL64" s="44">
        <f t="shared" si="272"/>
        <v>0</v>
      </c>
      <c r="MIM64" s="44">
        <f t="shared" si="272"/>
        <v>0</v>
      </c>
      <c r="MIN64" s="44">
        <f t="shared" si="272"/>
        <v>0</v>
      </c>
      <c r="MIO64" s="44">
        <f t="shared" si="272"/>
        <v>0</v>
      </c>
      <c r="MIP64" s="44">
        <f t="shared" si="272"/>
        <v>0</v>
      </c>
      <c r="MIQ64" s="44">
        <f t="shared" si="272"/>
        <v>0</v>
      </c>
      <c r="MIR64" s="44">
        <f t="shared" si="272"/>
        <v>0</v>
      </c>
      <c r="MIS64" s="44">
        <f t="shared" si="272"/>
        <v>0</v>
      </c>
      <c r="MIT64" s="44">
        <f t="shared" si="272"/>
        <v>0</v>
      </c>
      <c r="MIU64" s="44">
        <f t="shared" si="272"/>
        <v>0</v>
      </c>
      <c r="MIV64" s="44">
        <f t="shared" si="272"/>
        <v>0</v>
      </c>
      <c r="MIW64" s="44">
        <f t="shared" si="272"/>
        <v>0</v>
      </c>
      <c r="MIX64" s="44">
        <f t="shared" ref="MIX64:MLI64" si="273">SUM(MIX56:MIX57)</f>
        <v>0</v>
      </c>
      <c r="MIY64" s="44">
        <f t="shared" si="273"/>
        <v>0</v>
      </c>
      <c r="MIZ64" s="44">
        <f t="shared" si="273"/>
        <v>0</v>
      </c>
      <c r="MJA64" s="44">
        <f t="shared" si="273"/>
        <v>0</v>
      </c>
      <c r="MJB64" s="44">
        <f t="shared" si="273"/>
        <v>0</v>
      </c>
      <c r="MJC64" s="44">
        <f t="shared" si="273"/>
        <v>0</v>
      </c>
      <c r="MJD64" s="44">
        <f t="shared" si="273"/>
        <v>0</v>
      </c>
      <c r="MJE64" s="44">
        <f t="shared" si="273"/>
        <v>0</v>
      </c>
      <c r="MJF64" s="44">
        <f t="shared" si="273"/>
        <v>0</v>
      </c>
      <c r="MJG64" s="44">
        <f t="shared" si="273"/>
        <v>0</v>
      </c>
      <c r="MJH64" s="44">
        <f t="shared" si="273"/>
        <v>0</v>
      </c>
      <c r="MJI64" s="44">
        <f t="shared" si="273"/>
        <v>0</v>
      </c>
      <c r="MJJ64" s="44">
        <f t="shared" si="273"/>
        <v>0</v>
      </c>
      <c r="MJK64" s="44">
        <f t="shared" si="273"/>
        <v>0</v>
      </c>
      <c r="MJL64" s="44">
        <f t="shared" si="273"/>
        <v>0</v>
      </c>
      <c r="MJM64" s="44">
        <f t="shared" si="273"/>
        <v>0</v>
      </c>
      <c r="MJN64" s="44">
        <f t="shared" si="273"/>
        <v>0</v>
      </c>
      <c r="MJO64" s="44">
        <f t="shared" si="273"/>
        <v>0</v>
      </c>
      <c r="MJP64" s="44">
        <f t="shared" si="273"/>
        <v>0</v>
      </c>
      <c r="MJQ64" s="44">
        <f t="shared" si="273"/>
        <v>0</v>
      </c>
      <c r="MJR64" s="44">
        <f t="shared" si="273"/>
        <v>0</v>
      </c>
      <c r="MJS64" s="44">
        <f t="shared" si="273"/>
        <v>0</v>
      </c>
      <c r="MJT64" s="44">
        <f t="shared" si="273"/>
        <v>0</v>
      </c>
      <c r="MJU64" s="44">
        <f t="shared" si="273"/>
        <v>0</v>
      </c>
      <c r="MJV64" s="44">
        <f t="shared" si="273"/>
        <v>0</v>
      </c>
      <c r="MJW64" s="44">
        <f t="shared" si="273"/>
        <v>0</v>
      </c>
      <c r="MJX64" s="44">
        <f t="shared" si="273"/>
        <v>0</v>
      </c>
      <c r="MJY64" s="44">
        <f t="shared" si="273"/>
        <v>0</v>
      </c>
      <c r="MJZ64" s="44">
        <f t="shared" si="273"/>
        <v>0</v>
      </c>
      <c r="MKA64" s="44">
        <f t="shared" si="273"/>
        <v>0</v>
      </c>
      <c r="MKB64" s="44">
        <f t="shared" si="273"/>
        <v>0</v>
      </c>
      <c r="MKC64" s="44">
        <f t="shared" si="273"/>
        <v>0</v>
      </c>
      <c r="MKD64" s="44">
        <f t="shared" si="273"/>
        <v>0</v>
      </c>
      <c r="MKE64" s="44">
        <f t="shared" si="273"/>
        <v>0</v>
      </c>
      <c r="MKF64" s="44">
        <f t="shared" si="273"/>
        <v>0</v>
      </c>
      <c r="MKG64" s="44">
        <f t="shared" si="273"/>
        <v>0</v>
      </c>
      <c r="MKH64" s="44">
        <f t="shared" si="273"/>
        <v>0</v>
      </c>
      <c r="MKI64" s="44">
        <f t="shared" si="273"/>
        <v>0</v>
      </c>
      <c r="MKJ64" s="44">
        <f t="shared" si="273"/>
        <v>0</v>
      </c>
      <c r="MKK64" s="44">
        <f t="shared" si="273"/>
        <v>0</v>
      </c>
      <c r="MKL64" s="44">
        <f t="shared" si="273"/>
        <v>0</v>
      </c>
      <c r="MKM64" s="44">
        <f t="shared" si="273"/>
        <v>0</v>
      </c>
      <c r="MKN64" s="44">
        <f t="shared" si="273"/>
        <v>0</v>
      </c>
      <c r="MKO64" s="44">
        <f t="shared" si="273"/>
        <v>0</v>
      </c>
      <c r="MKP64" s="44">
        <f t="shared" si="273"/>
        <v>0</v>
      </c>
      <c r="MKQ64" s="44">
        <f t="shared" si="273"/>
        <v>0</v>
      </c>
      <c r="MKR64" s="44">
        <f t="shared" si="273"/>
        <v>0</v>
      </c>
      <c r="MKS64" s="44">
        <f t="shared" si="273"/>
        <v>0</v>
      </c>
      <c r="MKT64" s="44">
        <f t="shared" si="273"/>
        <v>0</v>
      </c>
      <c r="MKU64" s="44">
        <f t="shared" si="273"/>
        <v>0</v>
      </c>
      <c r="MKV64" s="44">
        <f t="shared" si="273"/>
        <v>0</v>
      </c>
      <c r="MKW64" s="44">
        <f t="shared" si="273"/>
        <v>0</v>
      </c>
      <c r="MKX64" s="44">
        <f t="shared" si="273"/>
        <v>0</v>
      </c>
      <c r="MKY64" s="44">
        <f t="shared" si="273"/>
        <v>0</v>
      </c>
      <c r="MKZ64" s="44">
        <f t="shared" si="273"/>
        <v>0</v>
      </c>
      <c r="MLA64" s="44">
        <f t="shared" si="273"/>
        <v>0</v>
      </c>
      <c r="MLB64" s="44">
        <f t="shared" si="273"/>
        <v>0</v>
      </c>
      <c r="MLC64" s="44">
        <f t="shared" si="273"/>
        <v>0</v>
      </c>
      <c r="MLD64" s="44">
        <f t="shared" si="273"/>
        <v>0</v>
      </c>
      <c r="MLE64" s="44">
        <f t="shared" si="273"/>
        <v>0</v>
      </c>
      <c r="MLF64" s="44">
        <f t="shared" si="273"/>
        <v>0</v>
      </c>
      <c r="MLG64" s="44">
        <f t="shared" si="273"/>
        <v>0</v>
      </c>
      <c r="MLH64" s="44">
        <f t="shared" si="273"/>
        <v>0</v>
      </c>
      <c r="MLI64" s="44">
        <f t="shared" si="273"/>
        <v>0</v>
      </c>
      <c r="MLJ64" s="44">
        <f t="shared" ref="MLJ64:MNU64" si="274">SUM(MLJ56:MLJ57)</f>
        <v>0</v>
      </c>
      <c r="MLK64" s="44">
        <f t="shared" si="274"/>
        <v>0</v>
      </c>
      <c r="MLL64" s="44">
        <f t="shared" si="274"/>
        <v>0</v>
      </c>
      <c r="MLM64" s="44">
        <f t="shared" si="274"/>
        <v>0</v>
      </c>
      <c r="MLN64" s="44">
        <f t="shared" si="274"/>
        <v>0</v>
      </c>
      <c r="MLO64" s="44">
        <f t="shared" si="274"/>
        <v>0</v>
      </c>
      <c r="MLP64" s="44">
        <f t="shared" si="274"/>
        <v>0</v>
      </c>
      <c r="MLQ64" s="44">
        <f t="shared" si="274"/>
        <v>0</v>
      </c>
      <c r="MLR64" s="44">
        <f t="shared" si="274"/>
        <v>0</v>
      </c>
      <c r="MLS64" s="44">
        <f t="shared" si="274"/>
        <v>0</v>
      </c>
      <c r="MLT64" s="44">
        <f t="shared" si="274"/>
        <v>0</v>
      </c>
      <c r="MLU64" s="44">
        <f t="shared" si="274"/>
        <v>0</v>
      </c>
      <c r="MLV64" s="44">
        <f t="shared" si="274"/>
        <v>0</v>
      </c>
      <c r="MLW64" s="44">
        <f t="shared" si="274"/>
        <v>0</v>
      </c>
      <c r="MLX64" s="44">
        <f t="shared" si="274"/>
        <v>0</v>
      </c>
      <c r="MLY64" s="44">
        <f t="shared" si="274"/>
        <v>0</v>
      </c>
      <c r="MLZ64" s="44">
        <f t="shared" si="274"/>
        <v>0</v>
      </c>
      <c r="MMA64" s="44">
        <f t="shared" si="274"/>
        <v>0</v>
      </c>
      <c r="MMB64" s="44">
        <f t="shared" si="274"/>
        <v>0</v>
      </c>
      <c r="MMC64" s="44">
        <f t="shared" si="274"/>
        <v>0</v>
      </c>
      <c r="MMD64" s="44">
        <f t="shared" si="274"/>
        <v>0</v>
      </c>
      <c r="MME64" s="44">
        <f t="shared" si="274"/>
        <v>0</v>
      </c>
      <c r="MMF64" s="44">
        <f t="shared" si="274"/>
        <v>0</v>
      </c>
      <c r="MMG64" s="44">
        <f t="shared" si="274"/>
        <v>0</v>
      </c>
      <c r="MMH64" s="44">
        <f t="shared" si="274"/>
        <v>0</v>
      </c>
      <c r="MMI64" s="44">
        <f t="shared" si="274"/>
        <v>0</v>
      </c>
      <c r="MMJ64" s="44">
        <f t="shared" si="274"/>
        <v>0</v>
      </c>
      <c r="MMK64" s="44">
        <f t="shared" si="274"/>
        <v>0</v>
      </c>
      <c r="MML64" s="44">
        <f t="shared" si="274"/>
        <v>0</v>
      </c>
      <c r="MMM64" s="44">
        <f t="shared" si="274"/>
        <v>0</v>
      </c>
      <c r="MMN64" s="44">
        <f t="shared" si="274"/>
        <v>0</v>
      </c>
      <c r="MMO64" s="44">
        <f t="shared" si="274"/>
        <v>0</v>
      </c>
      <c r="MMP64" s="44">
        <f t="shared" si="274"/>
        <v>0</v>
      </c>
      <c r="MMQ64" s="44">
        <f t="shared" si="274"/>
        <v>0</v>
      </c>
      <c r="MMR64" s="44">
        <f t="shared" si="274"/>
        <v>0</v>
      </c>
      <c r="MMS64" s="44">
        <f t="shared" si="274"/>
        <v>0</v>
      </c>
      <c r="MMT64" s="44">
        <f t="shared" si="274"/>
        <v>0</v>
      </c>
      <c r="MMU64" s="44">
        <f t="shared" si="274"/>
        <v>0</v>
      </c>
      <c r="MMV64" s="44">
        <f t="shared" si="274"/>
        <v>0</v>
      </c>
      <c r="MMW64" s="44">
        <f t="shared" si="274"/>
        <v>0</v>
      </c>
      <c r="MMX64" s="44">
        <f t="shared" si="274"/>
        <v>0</v>
      </c>
      <c r="MMY64" s="44">
        <f t="shared" si="274"/>
        <v>0</v>
      </c>
      <c r="MMZ64" s="44">
        <f t="shared" si="274"/>
        <v>0</v>
      </c>
      <c r="MNA64" s="44">
        <f t="shared" si="274"/>
        <v>0</v>
      </c>
      <c r="MNB64" s="44">
        <f t="shared" si="274"/>
        <v>0</v>
      </c>
      <c r="MNC64" s="44">
        <f t="shared" si="274"/>
        <v>0</v>
      </c>
      <c r="MND64" s="44">
        <f t="shared" si="274"/>
        <v>0</v>
      </c>
      <c r="MNE64" s="44">
        <f t="shared" si="274"/>
        <v>0</v>
      </c>
      <c r="MNF64" s="44">
        <f t="shared" si="274"/>
        <v>0</v>
      </c>
      <c r="MNG64" s="44">
        <f t="shared" si="274"/>
        <v>0</v>
      </c>
      <c r="MNH64" s="44">
        <f t="shared" si="274"/>
        <v>0</v>
      </c>
      <c r="MNI64" s="44">
        <f t="shared" si="274"/>
        <v>0</v>
      </c>
      <c r="MNJ64" s="44">
        <f t="shared" si="274"/>
        <v>0</v>
      </c>
      <c r="MNK64" s="44">
        <f t="shared" si="274"/>
        <v>0</v>
      </c>
      <c r="MNL64" s="44">
        <f t="shared" si="274"/>
        <v>0</v>
      </c>
      <c r="MNM64" s="44">
        <f t="shared" si="274"/>
        <v>0</v>
      </c>
      <c r="MNN64" s="44">
        <f t="shared" si="274"/>
        <v>0</v>
      </c>
      <c r="MNO64" s="44">
        <f t="shared" si="274"/>
        <v>0</v>
      </c>
      <c r="MNP64" s="44">
        <f t="shared" si="274"/>
        <v>0</v>
      </c>
      <c r="MNQ64" s="44">
        <f t="shared" si="274"/>
        <v>0</v>
      </c>
      <c r="MNR64" s="44">
        <f t="shared" si="274"/>
        <v>0</v>
      </c>
      <c r="MNS64" s="44">
        <f t="shared" si="274"/>
        <v>0</v>
      </c>
      <c r="MNT64" s="44">
        <f t="shared" si="274"/>
        <v>0</v>
      </c>
      <c r="MNU64" s="44">
        <f t="shared" si="274"/>
        <v>0</v>
      </c>
      <c r="MNV64" s="44">
        <f t="shared" ref="MNV64:MQG64" si="275">SUM(MNV56:MNV57)</f>
        <v>0</v>
      </c>
      <c r="MNW64" s="44">
        <f t="shared" si="275"/>
        <v>0</v>
      </c>
      <c r="MNX64" s="44">
        <f t="shared" si="275"/>
        <v>0</v>
      </c>
      <c r="MNY64" s="44">
        <f t="shared" si="275"/>
        <v>0</v>
      </c>
      <c r="MNZ64" s="44">
        <f t="shared" si="275"/>
        <v>0</v>
      </c>
      <c r="MOA64" s="44">
        <f t="shared" si="275"/>
        <v>0</v>
      </c>
      <c r="MOB64" s="44">
        <f t="shared" si="275"/>
        <v>0</v>
      </c>
      <c r="MOC64" s="44">
        <f t="shared" si="275"/>
        <v>0</v>
      </c>
      <c r="MOD64" s="44">
        <f t="shared" si="275"/>
        <v>0</v>
      </c>
      <c r="MOE64" s="44">
        <f t="shared" si="275"/>
        <v>0</v>
      </c>
      <c r="MOF64" s="44">
        <f t="shared" si="275"/>
        <v>0</v>
      </c>
      <c r="MOG64" s="44">
        <f t="shared" si="275"/>
        <v>0</v>
      </c>
      <c r="MOH64" s="44">
        <f t="shared" si="275"/>
        <v>0</v>
      </c>
      <c r="MOI64" s="44">
        <f t="shared" si="275"/>
        <v>0</v>
      </c>
      <c r="MOJ64" s="44">
        <f t="shared" si="275"/>
        <v>0</v>
      </c>
      <c r="MOK64" s="44">
        <f t="shared" si="275"/>
        <v>0</v>
      </c>
      <c r="MOL64" s="44">
        <f t="shared" si="275"/>
        <v>0</v>
      </c>
      <c r="MOM64" s="44">
        <f t="shared" si="275"/>
        <v>0</v>
      </c>
      <c r="MON64" s="44">
        <f t="shared" si="275"/>
        <v>0</v>
      </c>
      <c r="MOO64" s="44">
        <f t="shared" si="275"/>
        <v>0</v>
      </c>
      <c r="MOP64" s="44">
        <f t="shared" si="275"/>
        <v>0</v>
      </c>
      <c r="MOQ64" s="44">
        <f t="shared" si="275"/>
        <v>0</v>
      </c>
      <c r="MOR64" s="44">
        <f t="shared" si="275"/>
        <v>0</v>
      </c>
      <c r="MOS64" s="44">
        <f t="shared" si="275"/>
        <v>0</v>
      </c>
      <c r="MOT64" s="44">
        <f t="shared" si="275"/>
        <v>0</v>
      </c>
      <c r="MOU64" s="44">
        <f t="shared" si="275"/>
        <v>0</v>
      </c>
      <c r="MOV64" s="44">
        <f t="shared" si="275"/>
        <v>0</v>
      </c>
      <c r="MOW64" s="44">
        <f t="shared" si="275"/>
        <v>0</v>
      </c>
      <c r="MOX64" s="44">
        <f t="shared" si="275"/>
        <v>0</v>
      </c>
      <c r="MOY64" s="44">
        <f t="shared" si="275"/>
        <v>0</v>
      </c>
      <c r="MOZ64" s="44">
        <f t="shared" si="275"/>
        <v>0</v>
      </c>
      <c r="MPA64" s="44">
        <f t="shared" si="275"/>
        <v>0</v>
      </c>
      <c r="MPB64" s="44">
        <f t="shared" si="275"/>
        <v>0</v>
      </c>
      <c r="MPC64" s="44">
        <f t="shared" si="275"/>
        <v>0</v>
      </c>
      <c r="MPD64" s="44">
        <f t="shared" si="275"/>
        <v>0</v>
      </c>
      <c r="MPE64" s="44">
        <f t="shared" si="275"/>
        <v>0</v>
      </c>
      <c r="MPF64" s="44">
        <f t="shared" si="275"/>
        <v>0</v>
      </c>
      <c r="MPG64" s="44">
        <f t="shared" si="275"/>
        <v>0</v>
      </c>
      <c r="MPH64" s="44">
        <f t="shared" si="275"/>
        <v>0</v>
      </c>
      <c r="MPI64" s="44">
        <f t="shared" si="275"/>
        <v>0</v>
      </c>
      <c r="MPJ64" s="44">
        <f t="shared" si="275"/>
        <v>0</v>
      </c>
      <c r="MPK64" s="44">
        <f t="shared" si="275"/>
        <v>0</v>
      </c>
      <c r="MPL64" s="44">
        <f t="shared" si="275"/>
        <v>0</v>
      </c>
      <c r="MPM64" s="44">
        <f t="shared" si="275"/>
        <v>0</v>
      </c>
      <c r="MPN64" s="44">
        <f t="shared" si="275"/>
        <v>0</v>
      </c>
      <c r="MPO64" s="44">
        <f t="shared" si="275"/>
        <v>0</v>
      </c>
      <c r="MPP64" s="44">
        <f t="shared" si="275"/>
        <v>0</v>
      </c>
      <c r="MPQ64" s="44">
        <f t="shared" si="275"/>
        <v>0</v>
      </c>
      <c r="MPR64" s="44">
        <f t="shared" si="275"/>
        <v>0</v>
      </c>
      <c r="MPS64" s="44">
        <f t="shared" si="275"/>
        <v>0</v>
      </c>
      <c r="MPT64" s="44">
        <f t="shared" si="275"/>
        <v>0</v>
      </c>
      <c r="MPU64" s="44">
        <f t="shared" si="275"/>
        <v>0</v>
      </c>
      <c r="MPV64" s="44">
        <f t="shared" si="275"/>
        <v>0</v>
      </c>
      <c r="MPW64" s="44">
        <f t="shared" si="275"/>
        <v>0</v>
      </c>
      <c r="MPX64" s="44">
        <f t="shared" si="275"/>
        <v>0</v>
      </c>
      <c r="MPY64" s="44">
        <f t="shared" si="275"/>
        <v>0</v>
      </c>
      <c r="MPZ64" s="44">
        <f t="shared" si="275"/>
        <v>0</v>
      </c>
      <c r="MQA64" s="44">
        <f t="shared" si="275"/>
        <v>0</v>
      </c>
      <c r="MQB64" s="44">
        <f t="shared" si="275"/>
        <v>0</v>
      </c>
      <c r="MQC64" s="44">
        <f t="shared" si="275"/>
        <v>0</v>
      </c>
      <c r="MQD64" s="44">
        <f t="shared" si="275"/>
        <v>0</v>
      </c>
      <c r="MQE64" s="44">
        <f t="shared" si="275"/>
        <v>0</v>
      </c>
      <c r="MQF64" s="44">
        <f t="shared" si="275"/>
        <v>0</v>
      </c>
      <c r="MQG64" s="44">
        <f t="shared" si="275"/>
        <v>0</v>
      </c>
      <c r="MQH64" s="44">
        <f t="shared" ref="MQH64:MSS64" si="276">SUM(MQH56:MQH57)</f>
        <v>0</v>
      </c>
      <c r="MQI64" s="44">
        <f t="shared" si="276"/>
        <v>0</v>
      </c>
      <c r="MQJ64" s="44">
        <f t="shared" si="276"/>
        <v>0</v>
      </c>
      <c r="MQK64" s="44">
        <f t="shared" si="276"/>
        <v>0</v>
      </c>
      <c r="MQL64" s="44">
        <f t="shared" si="276"/>
        <v>0</v>
      </c>
      <c r="MQM64" s="44">
        <f t="shared" si="276"/>
        <v>0</v>
      </c>
      <c r="MQN64" s="44">
        <f t="shared" si="276"/>
        <v>0</v>
      </c>
      <c r="MQO64" s="44">
        <f t="shared" si="276"/>
        <v>0</v>
      </c>
      <c r="MQP64" s="44">
        <f t="shared" si="276"/>
        <v>0</v>
      </c>
      <c r="MQQ64" s="44">
        <f t="shared" si="276"/>
        <v>0</v>
      </c>
      <c r="MQR64" s="44">
        <f t="shared" si="276"/>
        <v>0</v>
      </c>
      <c r="MQS64" s="44">
        <f t="shared" si="276"/>
        <v>0</v>
      </c>
      <c r="MQT64" s="44">
        <f t="shared" si="276"/>
        <v>0</v>
      </c>
      <c r="MQU64" s="44">
        <f t="shared" si="276"/>
        <v>0</v>
      </c>
      <c r="MQV64" s="44">
        <f t="shared" si="276"/>
        <v>0</v>
      </c>
      <c r="MQW64" s="44">
        <f t="shared" si="276"/>
        <v>0</v>
      </c>
      <c r="MQX64" s="44">
        <f t="shared" si="276"/>
        <v>0</v>
      </c>
      <c r="MQY64" s="44">
        <f t="shared" si="276"/>
        <v>0</v>
      </c>
      <c r="MQZ64" s="44">
        <f t="shared" si="276"/>
        <v>0</v>
      </c>
      <c r="MRA64" s="44">
        <f t="shared" si="276"/>
        <v>0</v>
      </c>
      <c r="MRB64" s="44">
        <f t="shared" si="276"/>
        <v>0</v>
      </c>
      <c r="MRC64" s="44">
        <f t="shared" si="276"/>
        <v>0</v>
      </c>
      <c r="MRD64" s="44">
        <f t="shared" si="276"/>
        <v>0</v>
      </c>
      <c r="MRE64" s="44">
        <f t="shared" si="276"/>
        <v>0</v>
      </c>
      <c r="MRF64" s="44">
        <f t="shared" si="276"/>
        <v>0</v>
      </c>
      <c r="MRG64" s="44">
        <f t="shared" si="276"/>
        <v>0</v>
      </c>
      <c r="MRH64" s="44">
        <f t="shared" si="276"/>
        <v>0</v>
      </c>
      <c r="MRI64" s="44">
        <f t="shared" si="276"/>
        <v>0</v>
      </c>
      <c r="MRJ64" s="44">
        <f t="shared" si="276"/>
        <v>0</v>
      </c>
      <c r="MRK64" s="44">
        <f t="shared" si="276"/>
        <v>0</v>
      </c>
      <c r="MRL64" s="44">
        <f t="shared" si="276"/>
        <v>0</v>
      </c>
      <c r="MRM64" s="44">
        <f t="shared" si="276"/>
        <v>0</v>
      </c>
      <c r="MRN64" s="44">
        <f t="shared" si="276"/>
        <v>0</v>
      </c>
      <c r="MRO64" s="44">
        <f t="shared" si="276"/>
        <v>0</v>
      </c>
      <c r="MRP64" s="44">
        <f t="shared" si="276"/>
        <v>0</v>
      </c>
      <c r="MRQ64" s="44">
        <f t="shared" si="276"/>
        <v>0</v>
      </c>
      <c r="MRR64" s="44">
        <f t="shared" si="276"/>
        <v>0</v>
      </c>
      <c r="MRS64" s="44">
        <f t="shared" si="276"/>
        <v>0</v>
      </c>
      <c r="MRT64" s="44">
        <f t="shared" si="276"/>
        <v>0</v>
      </c>
      <c r="MRU64" s="44">
        <f t="shared" si="276"/>
        <v>0</v>
      </c>
      <c r="MRV64" s="44">
        <f t="shared" si="276"/>
        <v>0</v>
      </c>
      <c r="MRW64" s="44">
        <f t="shared" si="276"/>
        <v>0</v>
      </c>
      <c r="MRX64" s="44">
        <f t="shared" si="276"/>
        <v>0</v>
      </c>
      <c r="MRY64" s="44">
        <f t="shared" si="276"/>
        <v>0</v>
      </c>
      <c r="MRZ64" s="44">
        <f t="shared" si="276"/>
        <v>0</v>
      </c>
      <c r="MSA64" s="44">
        <f t="shared" si="276"/>
        <v>0</v>
      </c>
      <c r="MSB64" s="44">
        <f t="shared" si="276"/>
        <v>0</v>
      </c>
      <c r="MSC64" s="44">
        <f t="shared" si="276"/>
        <v>0</v>
      </c>
      <c r="MSD64" s="44">
        <f t="shared" si="276"/>
        <v>0</v>
      </c>
      <c r="MSE64" s="44">
        <f t="shared" si="276"/>
        <v>0</v>
      </c>
      <c r="MSF64" s="44">
        <f t="shared" si="276"/>
        <v>0</v>
      </c>
      <c r="MSG64" s="44">
        <f t="shared" si="276"/>
        <v>0</v>
      </c>
      <c r="MSH64" s="44">
        <f t="shared" si="276"/>
        <v>0</v>
      </c>
      <c r="MSI64" s="44">
        <f t="shared" si="276"/>
        <v>0</v>
      </c>
      <c r="MSJ64" s="44">
        <f t="shared" si="276"/>
        <v>0</v>
      </c>
      <c r="MSK64" s="44">
        <f t="shared" si="276"/>
        <v>0</v>
      </c>
      <c r="MSL64" s="44">
        <f t="shared" si="276"/>
        <v>0</v>
      </c>
      <c r="MSM64" s="44">
        <f t="shared" si="276"/>
        <v>0</v>
      </c>
      <c r="MSN64" s="44">
        <f t="shared" si="276"/>
        <v>0</v>
      </c>
      <c r="MSO64" s="44">
        <f t="shared" si="276"/>
        <v>0</v>
      </c>
      <c r="MSP64" s="44">
        <f t="shared" si="276"/>
        <v>0</v>
      </c>
      <c r="MSQ64" s="44">
        <f t="shared" si="276"/>
        <v>0</v>
      </c>
      <c r="MSR64" s="44">
        <f t="shared" si="276"/>
        <v>0</v>
      </c>
      <c r="MSS64" s="44">
        <f t="shared" si="276"/>
        <v>0</v>
      </c>
      <c r="MST64" s="44">
        <f t="shared" ref="MST64:MVE64" si="277">SUM(MST56:MST57)</f>
        <v>0</v>
      </c>
      <c r="MSU64" s="44">
        <f t="shared" si="277"/>
        <v>0</v>
      </c>
      <c r="MSV64" s="44">
        <f t="shared" si="277"/>
        <v>0</v>
      </c>
      <c r="MSW64" s="44">
        <f t="shared" si="277"/>
        <v>0</v>
      </c>
      <c r="MSX64" s="44">
        <f t="shared" si="277"/>
        <v>0</v>
      </c>
      <c r="MSY64" s="44">
        <f t="shared" si="277"/>
        <v>0</v>
      </c>
      <c r="MSZ64" s="44">
        <f t="shared" si="277"/>
        <v>0</v>
      </c>
      <c r="MTA64" s="44">
        <f t="shared" si="277"/>
        <v>0</v>
      </c>
      <c r="MTB64" s="44">
        <f t="shared" si="277"/>
        <v>0</v>
      </c>
      <c r="MTC64" s="44">
        <f t="shared" si="277"/>
        <v>0</v>
      </c>
      <c r="MTD64" s="44">
        <f t="shared" si="277"/>
        <v>0</v>
      </c>
      <c r="MTE64" s="44">
        <f t="shared" si="277"/>
        <v>0</v>
      </c>
      <c r="MTF64" s="44">
        <f t="shared" si="277"/>
        <v>0</v>
      </c>
      <c r="MTG64" s="44">
        <f t="shared" si="277"/>
        <v>0</v>
      </c>
      <c r="MTH64" s="44">
        <f t="shared" si="277"/>
        <v>0</v>
      </c>
      <c r="MTI64" s="44">
        <f t="shared" si="277"/>
        <v>0</v>
      </c>
      <c r="MTJ64" s="44">
        <f t="shared" si="277"/>
        <v>0</v>
      </c>
      <c r="MTK64" s="44">
        <f t="shared" si="277"/>
        <v>0</v>
      </c>
      <c r="MTL64" s="44">
        <f t="shared" si="277"/>
        <v>0</v>
      </c>
      <c r="MTM64" s="44">
        <f t="shared" si="277"/>
        <v>0</v>
      </c>
      <c r="MTN64" s="44">
        <f t="shared" si="277"/>
        <v>0</v>
      </c>
      <c r="MTO64" s="44">
        <f t="shared" si="277"/>
        <v>0</v>
      </c>
      <c r="MTP64" s="44">
        <f t="shared" si="277"/>
        <v>0</v>
      </c>
      <c r="MTQ64" s="44">
        <f t="shared" si="277"/>
        <v>0</v>
      </c>
      <c r="MTR64" s="44">
        <f t="shared" si="277"/>
        <v>0</v>
      </c>
      <c r="MTS64" s="44">
        <f t="shared" si="277"/>
        <v>0</v>
      </c>
      <c r="MTT64" s="44">
        <f t="shared" si="277"/>
        <v>0</v>
      </c>
      <c r="MTU64" s="44">
        <f t="shared" si="277"/>
        <v>0</v>
      </c>
      <c r="MTV64" s="44">
        <f t="shared" si="277"/>
        <v>0</v>
      </c>
      <c r="MTW64" s="44">
        <f t="shared" si="277"/>
        <v>0</v>
      </c>
      <c r="MTX64" s="44">
        <f t="shared" si="277"/>
        <v>0</v>
      </c>
      <c r="MTY64" s="44">
        <f t="shared" si="277"/>
        <v>0</v>
      </c>
      <c r="MTZ64" s="44">
        <f t="shared" si="277"/>
        <v>0</v>
      </c>
      <c r="MUA64" s="44">
        <f t="shared" si="277"/>
        <v>0</v>
      </c>
      <c r="MUB64" s="44">
        <f t="shared" si="277"/>
        <v>0</v>
      </c>
      <c r="MUC64" s="44">
        <f t="shared" si="277"/>
        <v>0</v>
      </c>
      <c r="MUD64" s="44">
        <f t="shared" si="277"/>
        <v>0</v>
      </c>
      <c r="MUE64" s="44">
        <f t="shared" si="277"/>
        <v>0</v>
      </c>
      <c r="MUF64" s="44">
        <f t="shared" si="277"/>
        <v>0</v>
      </c>
      <c r="MUG64" s="44">
        <f t="shared" si="277"/>
        <v>0</v>
      </c>
      <c r="MUH64" s="44">
        <f t="shared" si="277"/>
        <v>0</v>
      </c>
      <c r="MUI64" s="44">
        <f t="shared" si="277"/>
        <v>0</v>
      </c>
      <c r="MUJ64" s="44">
        <f t="shared" si="277"/>
        <v>0</v>
      </c>
      <c r="MUK64" s="44">
        <f t="shared" si="277"/>
        <v>0</v>
      </c>
      <c r="MUL64" s="44">
        <f t="shared" si="277"/>
        <v>0</v>
      </c>
      <c r="MUM64" s="44">
        <f t="shared" si="277"/>
        <v>0</v>
      </c>
      <c r="MUN64" s="44">
        <f t="shared" si="277"/>
        <v>0</v>
      </c>
      <c r="MUO64" s="44">
        <f t="shared" si="277"/>
        <v>0</v>
      </c>
      <c r="MUP64" s="44">
        <f t="shared" si="277"/>
        <v>0</v>
      </c>
      <c r="MUQ64" s="44">
        <f t="shared" si="277"/>
        <v>0</v>
      </c>
      <c r="MUR64" s="44">
        <f t="shared" si="277"/>
        <v>0</v>
      </c>
      <c r="MUS64" s="44">
        <f t="shared" si="277"/>
        <v>0</v>
      </c>
      <c r="MUT64" s="44">
        <f t="shared" si="277"/>
        <v>0</v>
      </c>
      <c r="MUU64" s="44">
        <f t="shared" si="277"/>
        <v>0</v>
      </c>
      <c r="MUV64" s="44">
        <f t="shared" si="277"/>
        <v>0</v>
      </c>
      <c r="MUW64" s="44">
        <f t="shared" si="277"/>
        <v>0</v>
      </c>
      <c r="MUX64" s="44">
        <f t="shared" si="277"/>
        <v>0</v>
      </c>
      <c r="MUY64" s="44">
        <f t="shared" si="277"/>
        <v>0</v>
      </c>
      <c r="MUZ64" s="44">
        <f t="shared" si="277"/>
        <v>0</v>
      </c>
      <c r="MVA64" s="44">
        <f t="shared" si="277"/>
        <v>0</v>
      </c>
      <c r="MVB64" s="44">
        <f t="shared" si="277"/>
        <v>0</v>
      </c>
      <c r="MVC64" s="44">
        <f t="shared" si="277"/>
        <v>0</v>
      </c>
      <c r="MVD64" s="44">
        <f t="shared" si="277"/>
        <v>0</v>
      </c>
      <c r="MVE64" s="44">
        <f t="shared" si="277"/>
        <v>0</v>
      </c>
      <c r="MVF64" s="44">
        <f t="shared" ref="MVF64:MXQ64" si="278">SUM(MVF56:MVF57)</f>
        <v>0</v>
      </c>
      <c r="MVG64" s="44">
        <f t="shared" si="278"/>
        <v>0</v>
      </c>
      <c r="MVH64" s="44">
        <f t="shared" si="278"/>
        <v>0</v>
      </c>
      <c r="MVI64" s="44">
        <f t="shared" si="278"/>
        <v>0</v>
      </c>
      <c r="MVJ64" s="44">
        <f t="shared" si="278"/>
        <v>0</v>
      </c>
      <c r="MVK64" s="44">
        <f t="shared" si="278"/>
        <v>0</v>
      </c>
      <c r="MVL64" s="44">
        <f t="shared" si="278"/>
        <v>0</v>
      </c>
      <c r="MVM64" s="44">
        <f t="shared" si="278"/>
        <v>0</v>
      </c>
      <c r="MVN64" s="44">
        <f t="shared" si="278"/>
        <v>0</v>
      </c>
      <c r="MVO64" s="44">
        <f t="shared" si="278"/>
        <v>0</v>
      </c>
      <c r="MVP64" s="44">
        <f t="shared" si="278"/>
        <v>0</v>
      </c>
      <c r="MVQ64" s="44">
        <f t="shared" si="278"/>
        <v>0</v>
      </c>
      <c r="MVR64" s="44">
        <f t="shared" si="278"/>
        <v>0</v>
      </c>
      <c r="MVS64" s="44">
        <f t="shared" si="278"/>
        <v>0</v>
      </c>
      <c r="MVT64" s="44">
        <f t="shared" si="278"/>
        <v>0</v>
      </c>
      <c r="MVU64" s="44">
        <f t="shared" si="278"/>
        <v>0</v>
      </c>
      <c r="MVV64" s="44">
        <f t="shared" si="278"/>
        <v>0</v>
      </c>
      <c r="MVW64" s="44">
        <f t="shared" si="278"/>
        <v>0</v>
      </c>
      <c r="MVX64" s="44">
        <f t="shared" si="278"/>
        <v>0</v>
      </c>
      <c r="MVY64" s="44">
        <f t="shared" si="278"/>
        <v>0</v>
      </c>
      <c r="MVZ64" s="44">
        <f t="shared" si="278"/>
        <v>0</v>
      </c>
      <c r="MWA64" s="44">
        <f t="shared" si="278"/>
        <v>0</v>
      </c>
      <c r="MWB64" s="44">
        <f t="shared" si="278"/>
        <v>0</v>
      </c>
      <c r="MWC64" s="44">
        <f t="shared" si="278"/>
        <v>0</v>
      </c>
      <c r="MWD64" s="44">
        <f t="shared" si="278"/>
        <v>0</v>
      </c>
      <c r="MWE64" s="44">
        <f t="shared" si="278"/>
        <v>0</v>
      </c>
      <c r="MWF64" s="44">
        <f t="shared" si="278"/>
        <v>0</v>
      </c>
      <c r="MWG64" s="44">
        <f t="shared" si="278"/>
        <v>0</v>
      </c>
      <c r="MWH64" s="44">
        <f t="shared" si="278"/>
        <v>0</v>
      </c>
      <c r="MWI64" s="44">
        <f t="shared" si="278"/>
        <v>0</v>
      </c>
      <c r="MWJ64" s="44">
        <f t="shared" si="278"/>
        <v>0</v>
      </c>
      <c r="MWK64" s="44">
        <f t="shared" si="278"/>
        <v>0</v>
      </c>
      <c r="MWL64" s="44">
        <f t="shared" si="278"/>
        <v>0</v>
      </c>
      <c r="MWM64" s="44">
        <f t="shared" si="278"/>
        <v>0</v>
      </c>
      <c r="MWN64" s="44">
        <f t="shared" si="278"/>
        <v>0</v>
      </c>
      <c r="MWO64" s="44">
        <f t="shared" si="278"/>
        <v>0</v>
      </c>
      <c r="MWP64" s="44">
        <f t="shared" si="278"/>
        <v>0</v>
      </c>
      <c r="MWQ64" s="44">
        <f t="shared" si="278"/>
        <v>0</v>
      </c>
      <c r="MWR64" s="44">
        <f t="shared" si="278"/>
        <v>0</v>
      </c>
      <c r="MWS64" s="44">
        <f t="shared" si="278"/>
        <v>0</v>
      </c>
      <c r="MWT64" s="44">
        <f t="shared" si="278"/>
        <v>0</v>
      </c>
      <c r="MWU64" s="44">
        <f t="shared" si="278"/>
        <v>0</v>
      </c>
      <c r="MWV64" s="44">
        <f t="shared" si="278"/>
        <v>0</v>
      </c>
      <c r="MWW64" s="44">
        <f t="shared" si="278"/>
        <v>0</v>
      </c>
      <c r="MWX64" s="44">
        <f t="shared" si="278"/>
        <v>0</v>
      </c>
      <c r="MWY64" s="44">
        <f t="shared" si="278"/>
        <v>0</v>
      </c>
      <c r="MWZ64" s="44">
        <f t="shared" si="278"/>
        <v>0</v>
      </c>
      <c r="MXA64" s="44">
        <f t="shared" si="278"/>
        <v>0</v>
      </c>
      <c r="MXB64" s="44">
        <f t="shared" si="278"/>
        <v>0</v>
      </c>
      <c r="MXC64" s="44">
        <f t="shared" si="278"/>
        <v>0</v>
      </c>
      <c r="MXD64" s="44">
        <f t="shared" si="278"/>
        <v>0</v>
      </c>
      <c r="MXE64" s="44">
        <f t="shared" si="278"/>
        <v>0</v>
      </c>
      <c r="MXF64" s="44">
        <f t="shared" si="278"/>
        <v>0</v>
      </c>
      <c r="MXG64" s="44">
        <f t="shared" si="278"/>
        <v>0</v>
      </c>
      <c r="MXH64" s="44">
        <f t="shared" si="278"/>
        <v>0</v>
      </c>
      <c r="MXI64" s="44">
        <f t="shared" si="278"/>
        <v>0</v>
      </c>
      <c r="MXJ64" s="44">
        <f t="shared" si="278"/>
        <v>0</v>
      </c>
      <c r="MXK64" s="44">
        <f t="shared" si="278"/>
        <v>0</v>
      </c>
      <c r="MXL64" s="44">
        <f t="shared" si="278"/>
        <v>0</v>
      </c>
      <c r="MXM64" s="44">
        <f t="shared" si="278"/>
        <v>0</v>
      </c>
      <c r="MXN64" s="44">
        <f t="shared" si="278"/>
        <v>0</v>
      </c>
      <c r="MXO64" s="44">
        <f t="shared" si="278"/>
        <v>0</v>
      </c>
      <c r="MXP64" s="44">
        <f t="shared" si="278"/>
        <v>0</v>
      </c>
      <c r="MXQ64" s="44">
        <f t="shared" si="278"/>
        <v>0</v>
      </c>
      <c r="MXR64" s="44">
        <f t="shared" ref="MXR64:NAC64" si="279">SUM(MXR56:MXR57)</f>
        <v>0</v>
      </c>
      <c r="MXS64" s="44">
        <f t="shared" si="279"/>
        <v>0</v>
      </c>
      <c r="MXT64" s="44">
        <f t="shared" si="279"/>
        <v>0</v>
      </c>
      <c r="MXU64" s="44">
        <f t="shared" si="279"/>
        <v>0</v>
      </c>
      <c r="MXV64" s="44">
        <f t="shared" si="279"/>
        <v>0</v>
      </c>
      <c r="MXW64" s="44">
        <f t="shared" si="279"/>
        <v>0</v>
      </c>
      <c r="MXX64" s="44">
        <f t="shared" si="279"/>
        <v>0</v>
      </c>
      <c r="MXY64" s="44">
        <f t="shared" si="279"/>
        <v>0</v>
      </c>
      <c r="MXZ64" s="44">
        <f t="shared" si="279"/>
        <v>0</v>
      </c>
      <c r="MYA64" s="44">
        <f t="shared" si="279"/>
        <v>0</v>
      </c>
      <c r="MYB64" s="44">
        <f t="shared" si="279"/>
        <v>0</v>
      </c>
      <c r="MYC64" s="44">
        <f t="shared" si="279"/>
        <v>0</v>
      </c>
      <c r="MYD64" s="44">
        <f t="shared" si="279"/>
        <v>0</v>
      </c>
      <c r="MYE64" s="44">
        <f t="shared" si="279"/>
        <v>0</v>
      </c>
      <c r="MYF64" s="44">
        <f t="shared" si="279"/>
        <v>0</v>
      </c>
      <c r="MYG64" s="44">
        <f t="shared" si="279"/>
        <v>0</v>
      </c>
      <c r="MYH64" s="44">
        <f t="shared" si="279"/>
        <v>0</v>
      </c>
      <c r="MYI64" s="44">
        <f t="shared" si="279"/>
        <v>0</v>
      </c>
      <c r="MYJ64" s="44">
        <f t="shared" si="279"/>
        <v>0</v>
      </c>
      <c r="MYK64" s="44">
        <f t="shared" si="279"/>
        <v>0</v>
      </c>
      <c r="MYL64" s="44">
        <f t="shared" si="279"/>
        <v>0</v>
      </c>
      <c r="MYM64" s="44">
        <f t="shared" si="279"/>
        <v>0</v>
      </c>
      <c r="MYN64" s="44">
        <f t="shared" si="279"/>
        <v>0</v>
      </c>
      <c r="MYO64" s="44">
        <f t="shared" si="279"/>
        <v>0</v>
      </c>
      <c r="MYP64" s="44">
        <f t="shared" si="279"/>
        <v>0</v>
      </c>
      <c r="MYQ64" s="44">
        <f t="shared" si="279"/>
        <v>0</v>
      </c>
      <c r="MYR64" s="44">
        <f t="shared" si="279"/>
        <v>0</v>
      </c>
      <c r="MYS64" s="44">
        <f t="shared" si="279"/>
        <v>0</v>
      </c>
      <c r="MYT64" s="44">
        <f t="shared" si="279"/>
        <v>0</v>
      </c>
      <c r="MYU64" s="44">
        <f t="shared" si="279"/>
        <v>0</v>
      </c>
      <c r="MYV64" s="44">
        <f t="shared" si="279"/>
        <v>0</v>
      </c>
      <c r="MYW64" s="44">
        <f t="shared" si="279"/>
        <v>0</v>
      </c>
      <c r="MYX64" s="44">
        <f t="shared" si="279"/>
        <v>0</v>
      </c>
      <c r="MYY64" s="44">
        <f t="shared" si="279"/>
        <v>0</v>
      </c>
      <c r="MYZ64" s="44">
        <f t="shared" si="279"/>
        <v>0</v>
      </c>
      <c r="MZA64" s="44">
        <f t="shared" si="279"/>
        <v>0</v>
      </c>
      <c r="MZB64" s="44">
        <f t="shared" si="279"/>
        <v>0</v>
      </c>
      <c r="MZC64" s="44">
        <f t="shared" si="279"/>
        <v>0</v>
      </c>
      <c r="MZD64" s="44">
        <f t="shared" si="279"/>
        <v>0</v>
      </c>
      <c r="MZE64" s="44">
        <f t="shared" si="279"/>
        <v>0</v>
      </c>
      <c r="MZF64" s="44">
        <f t="shared" si="279"/>
        <v>0</v>
      </c>
      <c r="MZG64" s="44">
        <f t="shared" si="279"/>
        <v>0</v>
      </c>
      <c r="MZH64" s="44">
        <f t="shared" si="279"/>
        <v>0</v>
      </c>
      <c r="MZI64" s="44">
        <f t="shared" si="279"/>
        <v>0</v>
      </c>
      <c r="MZJ64" s="44">
        <f t="shared" si="279"/>
        <v>0</v>
      </c>
      <c r="MZK64" s="44">
        <f t="shared" si="279"/>
        <v>0</v>
      </c>
      <c r="MZL64" s="44">
        <f t="shared" si="279"/>
        <v>0</v>
      </c>
      <c r="MZM64" s="44">
        <f t="shared" si="279"/>
        <v>0</v>
      </c>
      <c r="MZN64" s="44">
        <f t="shared" si="279"/>
        <v>0</v>
      </c>
      <c r="MZO64" s="44">
        <f t="shared" si="279"/>
        <v>0</v>
      </c>
      <c r="MZP64" s="44">
        <f t="shared" si="279"/>
        <v>0</v>
      </c>
      <c r="MZQ64" s="44">
        <f t="shared" si="279"/>
        <v>0</v>
      </c>
      <c r="MZR64" s="44">
        <f t="shared" si="279"/>
        <v>0</v>
      </c>
      <c r="MZS64" s="44">
        <f t="shared" si="279"/>
        <v>0</v>
      </c>
      <c r="MZT64" s="44">
        <f t="shared" si="279"/>
        <v>0</v>
      </c>
      <c r="MZU64" s="44">
        <f t="shared" si="279"/>
        <v>0</v>
      </c>
      <c r="MZV64" s="44">
        <f t="shared" si="279"/>
        <v>0</v>
      </c>
      <c r="MZW64" s="44">
        <f t="shared" si="279"/>
        <v>0</v>
      </c>
      <c r="MZX64" s="44">
        <f t="shared" si="279"/>
        <v>0</v>
      </c>
      <c r="MZY64" s="44">
        <f t="shared" si="279"/>
        <v>0</v>
      </c>
      <c r="MZZ64" s="44">
        <f t="shared" si="279"/>
        <v>0</v>
      </c>
      <c r="NAA64" s="44">
        <f t="shared" si="279"/>
        <v>0</v>
      </c>
      <c r="NAB64" s="44">
        <f t="shared" si="279"/>
        <v>0</v>
      </c>
      <c r="NAC64" s="44">
        <f t="shared" si="279"/>
        <v>0</v>
      </c>
      <c r="NAD64" s="44">
        <f t="shared" ref="NAD64:NCO64" si="280">SUM(NAD56:NAD57)</f>
        <v>0</v>
      </c>
      <c r="NAE64" s="44">
        <f t="shared" si="280"/>
        <v>0</v>
      </c>
      <c r="NAF64" s="44">
        <f t="shared" si="280"/>
        <v>0</v>
      </c>
      <c r="NAG64" s="44">
        <f t="shared" si="280"/>
        <v>0</v>
      </c>
      <c r="NAH64" s="44">
        <f t="shared" si="280"/>
        <v>0</v>
      </c>
      <c r="NAI64" s="44">
        <f t="shared" si="280"/>
        <v>0</v>
      </c>
      <c r="NAJ64" s="44">
        <f t="shared" si="280"/>
        <v>0</v>
      </c>
      <c r="NAK64" s="44">
        <f t="shared" si="280"/>
        <v>0</v>
      </c>
      <c r="NAL64" s="44">
        <f t="shared" si="280"/>
        <v>0</v>
      </c>
      <c r="NAM64" s="44">
        <f t="shared" si="280"/>
        <v>0</v>
      </c>
      <c r="NAN64" s="44">
        <f t="shared" si="280"/>
        <v>0</v>
      </c>
      <c r="NAO64" s="44">
        <f t="shared" si="280"/>
        <v>0</v>
      </c>
      <c r="NAP64" s="44">
        <f t="shared" si="280"/>
        <v>0</v>
      </c>
      <c r="NAQ64" s="44">
        <f t="shared" si="280"/>
        <v>0</v>
      </c>
      <c r="NAR64" s="44">
        <f t="shared" si="280"/>
        <v>0</v>
      </c>
      <c r="NAS64" s="44">
        <f t="shared" si="280"/>
        <v>0</v>
      </c>
      <c r="NAT64" s="44">
        <f t="shared" si="280"/>
        <v>0</v>
      </c>
      <c r="NAU64" s="44">
        <f t="shared" si="280"/>
        <v>0</v>
      </c>
      <c r="NAV64" s="44">
        <f t="shared" si="280"/>
        <v>0</v>
      </c>
      <c r="NAW64" s="44">
        <f t="shared" si="280"/>
        <v>0</v>
      </c>
      <c r="NAX64" s="44">
        <f t="shared" si="280"/>
        <v>0</v>
      </c>
      <c r="NAY64" s="44">
        <f t="shared" si="280"/>
        <v>0</v>
      </c>
      <c r="NAZ64" s="44">
        <f t="shared" si="280"/>
        <v>0</v>
      </c>
      <c r="NBA64" s="44">
        <f t="shared" si="280"/>
        <v>0</v>
      </c>
      <c r="NBB64" s="44">
        <f t="shared" si="280"/>
        <v>0</v>
      </c>
      <c r="NBC64" s="44">
        <f t="shared" si="280"/>
        <v>0</v>
      </c>
      <c r="NBD64" s="44">
        <f t="shared" si="280"/>
        <v>0</v>
      </c>
      <c r="NBE64" s="44">
        <f t="shared" si="280"/>
        <v>0</v>
      </c>
      <c r="NBF64" s="44">
        <f t="shared" si="280"/>
        <v>0</v>
      </c>
      <c r="NBG64" s="44">
        <f t="shared" si="280"/>
        <v>0</v>
      </c>
      <c r="NBH64" s="44">
        <f t="shared" si="280"/>
        <v>0</v>
      </c>
      <c r="NBI64" s="44">
        <f t="shared" si="280"/>
        <v>0</v>
      </c>
      <c r="NBJ64" s="44">
        <f t="shared" si="280"/>
        <v>0</v>
      </c>
      <c r="NBK64" s="44">
        <f t="shared" si="280"/>
        <v>0</v>
      </c>
      <c r="NBL64" s="44">
        <f t="shared" si="280"/>
        <v>0</v>
      </c>
      <c r="NBM64" s="44">
        <f t="shared" si="280"/>
        <v>0</v>
      </c>
      <c r="NBN64" s="44">
        <f t="shared" si="280"/>
        <v>0</v>
      </c>
      <c r="NBO64" s="44">
        <f t="shared" si="280"/>
        <v>0</v>
      </c>
      <c r="NBP64" s="44">
        <f t="shared" si="280"/>
        <v>0</v>
      </c>
      <c r="NBQ64" s="44">
        <f t="shared" si="280"/>
        <v>0</v>
      </c>
      <c r="NBR64" s="44">
        <f t="shared" si="280"/>
        <v>0</v>
      </c>
      <c r="NBS64" s="44">
        <f t="shared" si="280"/>
        <v>0</v>
      </c>
      <c r="NBT64" s="44">
        <f t="shared" si="280"/>
        <v>0</v>
      </c>
      <c r="NBU64" s="44">
        <f t="shared" si="280"/>
        <v>0</v>
      </c>
      <c r="NBV64" s="44">
        <f t="shared" si="280"/>
        <v>0</v>
      </c>
      <c r="NBW64" s="44">
        <f t="shared" si="280"/>
        <v>0</v>
      </c>
      <c r="NBX64" s="44">
        <f t="shared" si="280"/>
        <v>0</v>
      </c>
      <c r="NBY64" s="44">
        <f t="shared" si="280"/>
        <v>0</v>
      </c>
      <c r="NBZ64" s="44">
        <f t="shared" si="280"/>
        <v>0</v>
      </c>
      <c r="NCA64" s="44">
        <f t="shared" si="280"/>
        <v>0</v>
      </c>
      <c r="NCB64" s="44">
        <f t="shared" si="280"/>
        <v>0</v>
      </c>
      <c r="NCC64" s="44">
        <f t="shared" si="280"/>
        <v>0</v>
      </c>
      <c r="NCD64" s="44">
        <f t="shared" si="280"/>
        <v>0</v>
      </c>
      <c r="NCE64" s="44">
        <f t="shared" si="280"/>
        <v>0</v>
      </c>
      <c r="NCF64" s="44">
        <f t="shared" si="280"/>
        <v>0</v>
      </c>
      <c r="NCG64" s="44">
        <f t="shared" si="280"/>
        <v>0</v>
      </c>
      <c r="NCH64" s="44">
        <f t="shared" si="280"/>
        <v>0</v>
      </c>
      <c r="NCI64" s="44">
        <f t="shared" si="280"/>
        <v>0</v>
      </c>
      <c r="NCJ64" s="44">
        <f t="shared" si="280"/>
        <v>0</v>
      </c>
      <c r="NCK64" s="44">
        <f t="shared" si="280"/>
        <v>0</v>
      </c>
      <c r="NCL64" s="44">
        <f t="shared" si="280"/>
        <v>0</v>
      </c>
      <c r="NCM64" s="44">
        <f t="shared" si="280"/>
        <v>0</v>
      </c>
      <c r="NCN64" s="44">
        <f t="shared" si="280"/>
        <v>0</v>
      </c>
      <c r="NCO64" s="44">
        <f t="shared" si="280"/>
        <v>0</v>
      </c>
      <c r="NCP64" s="44">
        <f t="shared" ref="NCP64:NFA64" si="281">SUM(NCP56:NCP57)</f>
        <v>0</v>
      </c>
      <c r="NCQ64" s="44">
        <f t="shared" si="281"/>
        <v>0</v>
      </c>
      <c r="NCR64" s="44">
        <f t="shared" si="281"/>
        <v>0</v>
      </c>
      <c r="NCS64" s="44">
        <f t="shared" si="281"/>
        <v>0</v>
      </c>
      <c r="NCT64" s="44">
        <f t="shared" si="281"/>
        <v>0</v>
      </c>
      <c r="NCU64" s="44">
        <f t="shared" si="281"/>
        <v>0</v>
      </c>
      <c r="NCV64" s="44">
        <f t="shared" si="281"/>
        <v>0</v>
      </c>
      <c r="NCW64" s="44">
        <f t="shared" si="281"/>
        <v>0</v>
      </c>
      <c r="NCX64" s="44">
        <f t="shared" si="281"/>
        <v>0</v>
      </c>
      <c r="NCY64" s="44">
        <f t="shared" si="281"/>
        <v>0</v>
      </c>
      <c r="NCZ64" s="44">
        <f t="shared" si="281"/>
        <v>0</v>
      </c>
      <c r="NDA64" s="44">
        <f t="shared" si="281"/>
        <v>0</v>
      </c>
      <c r="NDB64" s="44">
        <f t="shared" si="281"/>
        <v>0</v>
      </c>
      <c r="NDC64" s="44">
        <f t="shared" si="281"/>
        <v>0</v>
      </c>
      <c r="NDD64" s="44">
        <f t="shared" si="281"/>
        <v>0</v>
      </c>
      <c r="NDE64" s="44">
        <f t="shared" si="281"/>
        <v>0</v>
      </c>
      <c r="NDF64" s="44">
        <f t="shared" si="281"/>
        <v>0</v>
      </c>
      <c r="NDG64" s="44">
        <f t="shared" si="281"/>
        <v>0</v>
      </c>
      <c r="NDH64" s="44">
        <f t="shared" si="281"/>
        <v>0</v>
      </c>
      <c r="NDI64" s="44">
        <f t="shared" si="281"/>
        <v>0</v>
      </c>
      <c r="NDJ64" s="44">
        <f t="shared" si="281"/>
        <v>0</v>
      </c>
      <c r="NDK64" s="44">
        <f t="shared" si="281"/>
        <v>0</v>
      </c>
      <c r="NDL64" s="44">
        <f t="shared" si="281"/>
        <v>0</v>
      </c>
      <c r="NDM64" s="44">
        <f t="shared" si="281"/>
        <v>0</v>
      </c>
      <c r="NDN64" s="44">
        <f t="shared" si="281"/>
        <v>0</v>
      </c>
      <c r="NDO64" s="44">
        <f t="shared" si="281"/>
        <v>0</v>
      </c>
      <c r="NDP64" s="44">
        <f t="shared" si="281"/>
        <v>0</v>
      </c>
      <c r="NDQ64" s="44">
        <f t="shared" si="281"/>
        <v>0</v>
      </c>
      <c r="NDR64" s="44">
        <f t="shared" si="281"/>
        <v>0</v>
      </c>
      <c r="NDS64" s="44">
        <f t="shared" si="281"/>
        <v>0</v>
      </c>
      <c r="NDT64" s="44">
        <f t="shared" si="281"/>
        <v>0</v>
      </c>
      <c r="NDU64" s="44">
        <f t="shared" si="281"/>
        <v>0</v>
      </c>
      <c r="NDV64" s="44">
        <f t="shared" si="281"/>
        <v>0</v>
      </c>
      <c r="NDW64" s="44">
        <f t="shared" si="281"/>
        <v>0</v>
      </c>
      <c r="NDX64" s="44">
        <f t="shared" si="281"/>
        <v>0</v>
      </c>
      <c r="NDY64" s="44">
        <f t="shared" si="281"/>
        <v>0</v>
      </c>
      <c r="NDZ64" s="44">
        <f t="shared" si="281"/>
        <v>0</v>
      </c>
      <c r="NEA64" s="44">
        <f t="shared" si="281"/>
        <v>0</v>
      </c>
      <c r="NEB64" s="44">
        <f t="shared" si="281"/>
        <v>0</v>
      </c>
      <c r="NEC64" s="44">
        <f t="shared" si="281"/>
        <v>0</v>
      </c>
      <c r="NED64" s="44">
        <f t="shared" si="281"/>
        <v>0</v>
      </c>
      <c r="NEE64" s="44">
        <f t="shared" si="281"/>
        <v>0</v>
      </c>
      <c r="NEF64" s="44">
        <f t="shared" si="281"/>
        <v>0</v>
      </c>
      <c r="NEG64" s="44">
        <f t="shared" si="281"/>
        <v>0</v>
      </c>
      <c r="NEH64" s="44">
        <f t="shared" si="281"/>
        <v>0</v>
      </c>
      <c r="NEI64" s="44">
        <f t="shared" si="281"/>
        <v>0</v>
      </c>
      <c r="NEJ64" s="44">
        <f t="shared" si="281"/>
        <v>0</v>
      </c>
      <c r="NEK64" s="44">
        <f t="shared" si="281"/>
        <v>0</v>
      </c>
      <c r="NEL64" s="44">
        <f t="shared" si="281"/>
        <v>0</v>
      </c>
      <c r="NEM64" s="44">
        <f t="shared" si="281"/>
        <v>0</v>
      </c>
      <c r="NEN64" s="44">
        <f t="shared" si="281"/>
        <v>0</v>
      </c>
      <c r="NEO64" s="44">
        <f t="shared" si="281"/>
        <v>0</v>
      </c>
      <c r="NEP64" s="44">
        <f t="shared" si="281"/>
        <v>0</v>
      </c>
      <c r="NEQ64" s="44">
        <f t="shared" si="281"/>
        <v>0</v>
      </c>
      <c r="NER64" s="44">
        <f t="shared" si="281"/>
        <v>0</v>
      </c>
      <c r="NES64" s="44">
        <f t="shared" si="281"/>
        <v>0</v>
      </c>
      <c r="NET64" s="44">
        <f t="shared" si="281"/>
        <v>0</v>
      </c>
      <c r="NEU64" s="44">
        <f t="shared" si="281"/>
        <v>0</v>
      </c>
      <c r="NEV64" s="44">
        <f t="shared" si="281"/>
        <v>0</v>
      </c>
      <c r="NEW64" s="44">
        <f t="shared" si="281"/>
        <v>0</v>
      </c>
      <c r="NEX64" s="44">
        <f t="shared" si="281"/>
        <v>0</v>
      </c>
      <c r="NEY64" s="44">
        <f t="shared" si="281"/>
        <v>0</v>
      </c>
      <c r="NEZ64" s="44">
        <f t="shared" si="281"/>
        <v>0</v>
      </c>
      <c r="NFA64" s="44">
        <f t="shared" si="281"/>
        <v>0</v>
      </c>
      <c r="NFB64" s="44">
        <f t="shared" ref="NFB64:NHM64" si="282">SUM(NFB56:NFB57)</f>
        <v>0</v>
      </c>
      <c r="NFC64" s="44">
        <f t="shared" si="282"/>
        <v>0</v>
      </c>
      <c r="NFD64" s="44">
        <f t="shared" si="282"/>
        <v>0</v>
      </c>
      <c r="NFE64" s="44">
        <f t="shared" si="282"/>
        <v>0</v>
      </c>
      <c r="NFF64" s="44">
        <f t="shared" si="282"/>
        <v>0</v>
      </c>
      <c r="NFG64" s="44">
        <f t="shared" si="282"/>
        <v>0</v>
      </c>
      <c r="NFH64" s="44">
        <f t="shared" si="282"/>
        <v>0</v>
      </c>
      <c r="NFI64" s="44">
        <f t="shared" si="282"/>
        <v>0</v>
      </c>
      <c r="NFJ64" s="44">
        <f t="shared" si="282"/>
        <v>0</v>
      </c>
      <c r="NFK64" s="44">
        <f t="shared" si="282"/>
        <v>0</v>
      </c>
      <c r="NFL64" s="44">
        <f t="shared" si="282"/>
        <v>0</v>
      </c>
      <c r="NFM64" s="44">
        <f t="shared" si="282"/>
        <v>0</v>
      </c>
      <c r="NFN64" s="44">
        <f t="shared" si="282"/>
        <v>0</v>
      </c>
      <c r="NFO64" s="44">
        <f t="shared" si="282"/>
        <v>0</v>
      </c>
      <c r="NFP64" s="44">
        <f t="shared" si="282"/>
        <v>0</v>
      </c>
      <c r="NFQ64" s="44">
        <f t="shared" si="282"/>
        <v>0</v>
      </c>
      <c r="NFR64" s="44">
        <f t="shared" si="282"/>
        <v>0</v>
      </c>
      <c r="NFS64" s="44">
        <f t="shared" si="282"/>
        <v>0</v>
      </c>
      <c r="NFT64" s="44">
        <f t="shared" si="282"/>
        <v>0</v>
      </c>
      <c r="NFU64" s="44">
        <f t="shared" si="282"/>
        <v>0</v>
      </c>
      <c r="NFV64" s="44">
        <f t="shared" si="282"/>
        <v>0</v>
      </c>
      <c r="NFW64" s="44">
        <f t="shared" si="282"/>
        <v>0</v>
      </c>
      <c r="NFX64" s="44">
        <f t="shared" si="282"/>
        <v>0</v>
      </c>
      <c r="NFY64" s="44">
        <f t="shared" si="282"/>
        <v>0</v>
      </c>
      <c r="NFZ64" s="44">
        <f t="shared" si="282"/>
        <v>0</v>
      </c>
      <c r="NGA64" s="44">
        <f t="shared" si="282"/>
        <v>0</v>
      </c>
      <c r="NGB64" s="44">
        <f t="shared" si="282"/>
        <v>0</v>
      </c>
      <c r="NGC64" s="44">
        <f t="shared" si="282"/>
        <v>0</v>
      </c>
      <c r="NGD64" s="44">
        <f t="shared" si="282"/>
        <v>0</v>
      </c>
      <c r="NGE64" s="44">
        <f t="shared" si="282"/>
        <v>0</v>
      </c>
      <c r="NGF64" s="44">
        <f t="shared" si="282"/>
        <v>0</v>
      </c>
      <c r="NGG64" s="44">
        <f t="shared" si="282"/>
        <v>0</v>
      </c>
      <c r="NGH64" s="44">
        <f t="shared" si="282"/>
        <v>0</v>
      </c>
      <c r="NGI64" s="44">
        <f t="shared" si="282"/>
        <v>0</v>
      </c>
      <c r="NGJ64" s="44">
        <f t="shared" si="282"/>
        <v>0</v>
      </c>
      <c r="NGK64" s="44">
        <f t="shared" si="282"/>
        <v>0</v>
      </c>
      <c r="NGL64" s="44">
        <f t="shared" si="282"/>
        <v>0</v>
      </c>
      <c r="NGM64" s="44">
        <f t="shared" si="282"/>
        <v>0</v>
      </c>
      <c r="NGN64" s="44">
        <f t="shared" si="282"/>
        <v>0</v>
      </c>
      <c r="NGO64" s="44">
        <f t="shared" si="282"/>
        <v>0</v>
      </c>
      <c r="NGP64" s="44">
        <f t="shared" si="282"/>
        <v>0</v>
      </c>
      <c r="NGQ64" s="44">
        <f t="shared" si="282"/>
        <v>0</v>
      </c>
      <c r="NGR64" s="44">
        <f t="shared" si="282"/>
        <v>0</v>
      </c>
      <c r="NGS64" s="44">
        <f t="shared" si="282"/>
        <v>0</v>
      </c>
      <c r="NGT64" s="44">
        <f t="shared" si="282"/>
        <v>0</v>
      </c>
      <c r="NGU64" s="44">
        <f t="shared" si="282"/>
        <v>0</v>
      </c>
      <c r="NGV64" s="44">
        <f t="shared" si="282"/>
        <v>0</v>
      </c>
      <c r="NGW64" s="44">
        <f t="shared" si="282"/>
        <v>0</v>
      </c>
      <c r="NGX64" s="44">
        <f t="shared" si="282"/>
        <v>0</v>
      </c>
      <c r="NGY64" s="44">
        <f t="shared" si="282"/>
        <v>0</v>
      </c>
      <c r="NGZ64" s="44">
        <f t="shared" si="282"/>
        <v>0</v>
      </c>
      <c r="NHA64" s="44">
        <f t="shared" si="282"/>
        <v>0</v>
      </c>
      <c r="NHB64" s="44">
        <f t="shared" si="282"/>
        <v>0</v>
      </c>
      <c r="NHC64" s="44">
        <f t="shared" si="282"/>
        <v>0</v>
      </c>
      <c r="NHD64" s="44">
        <f t="shared" si="282"/>
        <v>0</v>
      </c>
      <c r="NHE64" s="44">
        <f t="shared" si="282"/>
        <v>0</v>
      </c>
      <c r="NHF64" s="44">
        <f t="shared" si="282"/>
        <v>0</v>
      </c>
      <c r="NHG64" s="44">
        <f t="shared" si="282"/>
        <v>0</v>
      </c>
      <c r="NHH64" s="44">
        <f t="shared" si="282"/>
        <v>0</v>
      </c>
      <c r="NHI64" s="44">
        <f t="shared" si="282"/>
        <v>0</v>
      </c>
      <c r="NHJ64" s="44">
        <f t="shared" si="282"/>
        <v>0</v>
      </c>
      <c r="NHK64" s="44">
        <f t="shared" si="282"/>
        <v>0</v>
      </c>
      <c r="NHL64" s="44">
        <f t="shared" si="282"/>
        <v>0</v>
      </c>
      <c r="NHM64" s="44">
        <f t="shared" si="282"/>
        <v>0</v>
      </c>
      <c r="NHN64" s="44">
        <f t="shared" ref="NHN64:NJY64" si="283">SUM(NHN56:NHN57)</f>
        <v>0</v>
      </c>
      <c r="NHO64" s="44">
        <f t="shared" si="283"/>
        <v>0</v>
      </c>
      <c r="NHP64" s="44">
        <f t="shared" si="283"/>
        <v>0</v>
      </c>
      <c r="NHQ64" s="44">
        <f t="shared" si="283"/>
        <v>0</v>
      </c>
      <c r="NHR64" s="44">
        <f t="shared" si="283"/>
        <v>0</v>
      </c>
      <c r="NHS64" s="44">
        <f t="shared" si="283"/>
        <v>0</v>
      </c>
      <c r="NHT64" s="44">
        <f t="shared" si="283"/>
        <v>0</v>
      </c>
      <c r="NHU64" s="44">
        <f t="shared" si="283"/>
        <v>0</v>
      </c>
      <c r="NHV64" s="44">
        <f t="shared" si="283"/>
        <v>0</v>
      </c>
      <c r="NHW64" s="44">
        <f t="shared" si="283"/>
        <v>0</v>
      </c>
      <c r="NHX64" s="44">
        <f t="shared" si="283"/>
        <v>0</v>
      </c>
      <c r="NHY64" s="44">
        <f t="shared" si="283"/>
        <v>0</v>
      </c>
      <c r="NHZ64" s="44">
        <f t="shared" si="283"/>
        <v>0</v>
      </c>
      <c r="NIA64" s="44">
        <f t="shared" si="283"/>
        <v>0</v>
      </c>
      <c r="NIB64" s="44">
        <f t="shared" si="283"/>
        <v>0</v>
      </c>
      <c r="NIC64" s="44">
        <f t="shared" si="283"/>
        <v>0</v>
      </c>
      <c r="NID64" s="44">
        <f t="shared" si="283"/>
        <v>0</v>
      </c>
      <c r="NIE64" s="44">
        <f t="shared" si="283"/>
        <v>0</v>
      </c>
      <c r="NIF64" s="44">
        <f t="shared" si="283"/>
        <v>0</v>
      </c>
      <c r="NIG64" s="44">
        <f t="shared" si="283"/>
        <v>0</v>
      </c>
      <c r="NIH64" s="44">
        <f t="shared" si="283"/>
        <v>0</v>
      </c>
      <c r="NII64" s="44">
        <f t="shared" si="283"/>
        <v>0</v>
      </c>
      <c r="NIJ64" s="44">
        <f t="shared" si="283"/>
        <v>0</v>
      </c>
      <c r="NIK64" s="44">
        <f t="shared" si="283"/>
        <v>0</v>
      </c>
      <c r="NIL64" s="44">
        <f t="shared" si="283"/>
        <v>0</v>
      </c>
      <c r="NIM64" s="44">
        <f t="shared" si="283"/>
        <v>0</v>
      </c>
      <c r="NIN64" s="44">
        <f t="shared" si="283"/>
        <v>0</v>
      </c>
      <c r="NIO64" s="44">
        <f t="shared" si="283"/>
        <v>0</v>
      </c>
      <c r="NIP64" s="44">
        <f t="shared" si="283"/>
        <v>0</v>
      </c>
      <c r="NIQ64" s="44">
        <f t="shared" si="283"/>
        <v>0</v>
      </c>
      <c r="NIR64" s="44">
        <f t="shared" si="283"/>
        <v>0</v>
      </c>
      <c r="NIS64" s="44">
        <f t="shared" si="283"/>
        <v>0</v>
      </c>
      <c r="NIT64" s="44">
        <f t="shared" si="283"/>
        <v>0</v>
      </c>
      <c r="NIU64" s="44">
        <f t="shared" si="283"/>
        <v>0</v>
      </c>
      <c r="NIV64" s="44">
        <f t="shared" si="283"/>
        <v>0</v>
      </c>
      <c r="NIW64" s="44">
        <f t="shared" si="283"/>
        <v>0</v>
      </c>
      <c r="NIX64" s="44">
        <f t="shared" si="283"/>
        <v>0</v>
      </c>
      <c r="NIY64" s="44">
        <f t="shared" si="283"/>
        <v>0</v>
      </c>
      <c r="NIZ64" s="44">
        <f t="shared" si="283"/>
        <v>0</v>
      </c>
      <c r="NJA64" s="44">
        <f t="shared" si="283"/>
        <v>0</v>
      </c>
      <c r="NJB64" s="44">
        <f t="shared" si="283"/>
        <v>0</v>
      </c>
      <c r="NJC64" s="44">
        <f t="shared" si="283"/>
        <v>0</v>
      </c>
      <c r="NJD64" s="44">
        <f t="shared" si="283"/>
        <v>0</v>
      </c>
      <c r="NJE64" s="44">
        <f t="shared" si="283"/>
        <v>0</v>
      </c>
      <c r="NJF64" s="44">
        <f t="shared" si="283"/>
        <v>0</v>
      </c>
      <c r="NJG64" s="44">
        <f t="shared" si="283"/>
        <v>0</v>
      </c>
      <c r="NJH64" s="44">
        <f t="shared" si="283"/>
        <v>0</v>
      </c>
      <c r="NJI64" s="44">
        <f t="shared" si="283"/>
        <v>0</v>
      </c>
      <c r="NJJ64" s="44">
        <f t="shared" si="283"/>
        <v>0</v>
      </c>
      <c r="NJK64" s="44">
        <f t="shared" si="283"/>
        <v>0</v>
      </c>
      <c r="NJL64" s="44">
        <f t="shared" si="283"/>
        <v>0</v>
      </c>
      <c r="NJM64" s="44">
        <f t="shared" si="283"/>
        <v>0</v>
      </c>
      <c r="NJN64" s="44">
        <f t="shared" si="283"/>
        <v>0</v>
      </c>
      <c r="NJO64" s="44">
        <f t="shared" si="283"/>
        <v>0</v>
      </c>
      <c r="NJP64" s="44">
        <f t="shared" si="283"/>
        <v>0</v>
      </c>
      <c r="NJQ64" s="44">
        <f t="shared" si="283"/>
        <v>0</v>
      </c>
      <c r="NJR64" s="44">
        <f t="shared" si="283"/>
        <v>0</v>
      </c>
      <c r="NJS64" s="44">
        <f t="shared" si="283"/>
        <v>0</v>
      </c>
      <c r="NJT64" s="44">
        <f t="shared" si="283"/>
        <v>0</v>
      </c>
      <c r="NJU64" s="44">
        <f t="shared" si="283"/>
        <v>0</v>
      </c>
      <c r="NJV64" s="44">
        <f t="shared" si="283"/>
        <v>0</v>
      </c>
      <c r="NJW64" s="44">
        <f t="shared" si="283"/>
        <v>0</v>
      </c>
      <c r="NJX64" s="44">
        <f t="shared" si="283"/>
        <v>0</v>
      </c>
      <c r="NJY64" s="44">
        <f t="shared" si="283"/>
        <v>0</v>
      </c>
      <c r="NJZ64" s="44">
        <f t="shared" ref="NJZ64:NMK64" si="284">SUM(NJZ56:NJZ57)</f>
        <v>0</v>
      </c>
      <c r="NKA64" s="44">
        <f t="shared" si="284"/>
        <v>0</v>
      </c>
      <c r="NKB64" s="44">
        <f t="shared" si="284"/>
        <v>0</v>
      </c>
      <c r="NKC64" s="44">
        <f t="shared" si="284"/>
        <v>0</v>
      </c>
      <c r="NKD64" s="44">
        <f t="shared" si="284"/>
        <v>0</v>
      </c>
      <c r="NKE64" s="44">
        <f t="shared" si="284"/>
        <v>0</v>
      </c>
      <c r="NKF64" s="44">
        <f t="shared" si="284"/>
        <v>0</v>
      </c>
      <c r="NKG64" s="44">
        <f t="shared" si="284"/>
        <v>0</v>
      </c>
      <c r="NKH64" s="44">
        <f t="shared" si="284"/>
        <v>0</v>
      </c>
      <c r="NKI64" s="44">
        <f t="shared" si="284"/>
        <v>0</v>
      </c>
      <c r="NKJ64" s="44">
        <f t="shared" si="284"/>
        <v>0</v>
      </c>
      <c r="NKK64" s="44">
        <f t="shared" si="284"/>
        <v>0</v>
      </c>
      <c r="NKL64" s="44">
        <f t="shared" si="284"/>
        <v>0</v>
      </c>
      <c r="NKM64" s="44">
        <f t="shared" si="284"/>
        <v>0</v>
      </c>
      <c r="NKN64" s="44">
        <f t="shared" si="284"/>
        <v>0</v>
      </c>
      <c r="NKO64" s="44">
        <f t="shared" si="284"/>
        <v>0</v>
      </c>
      <c r="NKP64" s="44">
        <f t="shared" si="284"/>
        <v>0</v>
      </c>
      <c r="NKQ64" s="44">
        <f t="shared" si="284"/>
        <v>0</v>
      </c>
      <c r="NKR64" s="44">
        <f t="shared" si="284"/>
        <v>0</v>
      </c>
      <c r="NKS64" s="44">
        <f t="shared" si="284"/>
        <v>0</v>
      </c>
      <c r="NKT64" s="44">
        <f t="shared" si="284"/>
        <v>0</v>
      </c>
      <c r="NKU64" s="44">
        <f t="shared" si="284"/>
        <v>0</v>
      </c>
      <c r="NKV64" s="44">
        <f t="shared" si="284"/>
        <v>0</v>
      </c>
      <c r="NKW64" s="44">
        <f t="shared" si="284"/>
        <v>0</v>
      </c>
      <c r="NKX64" s="44">
        <f t="shared" si="284"/>
        <v>0</v>
      </c>
      <c r="NKY64" s="44">
        <f t="shared" si="284"/>
        <v>0</v>
      </c>
      <c r="NKZ64" s="44">
        <f t="shared" si="284"/>
        <v>0</v>
      </c>
      <c r="NLA64" s="44">
        <f t="shared" si="284"/>
        <v>0</v>
      </c>
      <c r="NLB64" s="44">
        <f t="shared" si="284"/>
        <v>0</v>
      </c>
      <c r="NLC64" s="44">
        <f t="shared" si="284"/>
        <v>0</v>
      </c>
      <c r="NLD64" s="44">
        <f t="shared" si="284"/>
        <v>0</v>
      </c>
      <c r="NLE64" s="44">
        <f t="shared" si="284"/>
        <v>0</v>
      </c>
      <c r="NLF64" s="44">
        <f t="shared" si="284"/>
        <v>0</v>
      </c>
      <c r="NLG64" s="44">
        <f t="shared" si="284"/>
        <v>0</v>
      </c>
      <c r="NLH64" s="44">
        <f t="shared" si="284"/>
        <v>0</v>
      </c>
      <c r="NLI64" s="44">
        <f t="shared" si="284"/>
        <v>0</v>
      </c>
      <c r="NLJ64" s="44">
        <f t="shared" si="284"/>
        <v>0</v>
      </c>
      <c r="NLK64" s="44">
        <f t="shared" si="284"/>
        <v>0</v>
      </c>
      <c r="NLL64" s="44">
        <f t="shared" si="284"/>
        <v>0</v>
      </c>
      <c r="NLM64" s="44">
        <f t="shared" si="284"/>
        <v>0</v>
      </c>
      <c r="NLN64" s="44">
        <f t="shared" si="284"/>
        <v>0</v>
      </c>
      <c r="NLO64" s="44">
        <f t="shared" si="284"/>
        <v>0</v>
      </c>
      <c r="NLP64" s="44">
        <f t="shared" si="284"/>
        <v>0</v>
      </c>
      <c r="NLQ64" s="44">
        <f t="shared" si="284"/>
        <v>0</v>
      </c>
      <c r="NLR64" s="44">
        <f t="shared" si="284"/>
        <v>0</v>
      </c>
      <c r="NLS64" s="44">
        <f t="shared" si="284"/>
        <v>0</v>
      </c>
      <c r="NLT64" s="44">
        <f t="shared" si="284"/>
        <v>0</v>
      </c>
      <c r="NLU64" s="44">
        <f t="shared" si="284"/>
        <v>0</v>
      </c>
      <c r="NLV64" s="44">
        <f t="shared" si="284"/>
        <v>0</v>
      </c>
      <c r="NLW64" s="44">
        <f t="shared" si="284"/>
        <v>0</v>
      </c>
      <c r="NLX64" s="44">
        <f t="shared" si="284"/>
        <v>0</v>
      </c>
      <c r="NLY64" s="44">
        <f t="shared" si="284"/>
        <v>0</v>
      </c>
      <c r="NLZ64" s="44">
        <f t="shared" si="284"/>
        <v>0</v>
      </c>
      <c r="NMA64" s="44">
        <f t="shared" si="284"/>
        <v>0</v>
      </c>
      <c r="NMB64" s="44">
        <f t="shared" si="284"/>
        <v>0</v>
      </c>
      <c r="NMC64" s="44">
        <f t="shared" si="284"/>
        <v>0</v>
      </c>
      <c r="NMD64" s="44">
        <f t="shared" si="284"/>
        <v>0</v>
      </c>
      <c r="NME64" s="44">
        <f t="shared" si="284"/>
        <v>0</v>
      </c>
      <c r="NMF64" s="44">
        <f t="shared" si="284"/>
        <v>0</v>
      </c>
      <c r="NMG64" s="44">
        <f t="shared" si="284"/>
        <v>0</v>
      </c>
      <c r="NMH64" s="44">
        <f t="shared" si="284"/>
        <v>0</v>
      </c>
      <c r="NMI64" s="44">
        <f t="shared" si="284"/>
        <v>0</v>
      </c>
      <c r="NMJ64" s="44">
        <f t="shared" si="284"/>
        <v>0</v>
      </c>
      <c r="NMK64" s="44">
        <f t="shared" si="284"/>
        <v>0</v>
      </c>
      <c r="NML64" s="44">
        <f t="shared" ref="NML64:NOW64" si="285">SUM(NML56:NML57)</f>
        <v>0</v>
      </c>
      <c r="NMM64" s="44">
        <f t="shared" si="285"/>
        <v>0</v>
      </c>
      <c r="NMN64" s="44">
        <f t="shared" si="285"/>
        <v>0</v>
      </c>
      <c r="NMO64" s="44">
        <f t="shared" si="285"/>
        <v>0</v>
      </c>
      <c r="NMP64" s="44">
        <f t="shared" si="285"/>
        <v>0</v>
      </c>
      <c r="NMQ64" s="44">
        <f t="shared" si="285"/>
        <v>0</v>
      </c>
      <c r="NMR64" s="44">
        <f t="shared" si="285"/>
        <v>0</v>
      </c>
      <c r="NMS64" s="44">
        <f t="shared" si="285"/>
        <v>0</v>
      </c>
      <c r="NMT64" s="44">
        <f t="shared" si="285"/>
        <v>0</v>
      </c>
      <c r="NMU64" s="44">
        <f t="shared" si="285"/>
        <v>0</v>
      </c>
      <c r="NMV64" s="44">
        <f t="shared" si="285"/>
        <v>0</v>
      </c>
      <c r="NMW64" s="44">
        <f t="shared" si="285"/>
        <v>0</v>
      </c>
      <c r="NMX64" s="44">
        <f t="shared" si="285"/>
        <v>0</v>
      </c>
      <c r="NMY64" s="44">
        <f t="shared" si="285"/>
        <v>0</v>
      </c>
      <c r="NMZ64" s="44">
        <f t="shared" si="285"/>
        <v>0</v>
      </c>
      <c r="NNA64" s="44">
        <f t="shared" si="285"/>
        <v>0</v>
      </c>
      <c r="NNB64" s="44">
        <f t="shared" si="285"/>
        <v>0</v>
      </c>
      <c r="NNC64" s="44">
        <f t="shared" si="285"/>
        <v>0</v>
      </c>
      <c r="NND64" s="44">
        <f t="shared" si="285"/>
        <v>0</v>
      </c>
      <c r="NNE64" s="44">
        <f t="shared" si="285"/>
        <v>0</v>
      </c>
      <c r="NNF64" s="44">
        <f t="shared" si="285"/>
        <v>0</v>
      </c>
      <c r="NNG64" s="44">
        <f t="shared" si="285"/>
        <v>0</v>
      </c>
      <c r="NNH64" s="44">
        <f t="shared" si="285"/>
        <v>0</v>
      </c>
      <c r="NNI64" s="44">
        <f t="shared" si="285"/>
        <v>0</v>
      </c>
      <c r="NNJ64" s="44">
        <f t="shared" si="285"/>
        <v>0</v>
      </c>
      <c r="NNK64" s="44">
        <f t="shared" si="285"/>
        <v>0</v>
      </c>
      <c r="NNL64" s="44">
        <f t="shared" si="285"/>
        <v>0</v>
      </c>
      <c r="NNM64" s="44">
        <f t="shared" si="285"/>
        <v>0</v>
      </c>
      <c r="NNN64" s="44">
        <f t="shared" si="285"/>
        <v>0</v>
      </c>
      <c r="NNO64" s="44">
        <f t="shared" si="285"/>
        <v>0</v>
      </c>
      <c r="NNP64" s="44">
        <f t="shared" si="285"/>
        <v>0</v>
      </c>
      <c r="NNQ64" s="44">
        <f t="shared" si="285"/>
        <v>0</v>
      </c>
      <c r="NNR64" s="44">
        <f t="shared" si="285"/>
        <v>0</v>
      </c>
      <c r="NNS64" s="44">
        <f t="shared" si="285"/>
        <v>0</v>
      </c>
      <c r="NNT64" s="44">
        <f t="shared" si="285"/>
        <v>0</v>
      </c>
      <c r="NNU64" s="44">
        <f t="shared" si="285"/>
        <v>0</v>
      </c>
      <c r="NNV64" s="44">
        <f t="shared" si="285"/>
        <v>0</v>
      </c>
      <c r="NNW64" s="44">
        <f t="shared" si="285"/>
        <v>0</v>
      </c>
      <c r="NNX64" s="44">
        <f t="shared" si="285"/>
        <v>0</v>
      </c>
      <c r="NNY64" s="44">
        <f t="shared" si="285"/>
        <v>0</v>
      </c>
      <c r="NNZ64" s="44">
        <f t="shared" si="285"/>
        <v>0</v>
      </c>
      <c r="NOA64" s="44">
        <f t="shared" si="285"/>
        <v>0</v>
      </c>
      <c r="NOB64" s="44">
        <f t="shared" si="285"/>
        <v>0</v>
      </c>
      <c r="NOC64" s="44">
        <f t="shared" si="285"/>
        <v>0</v>
      </c>
      <c r="NOD64" s="44">
        <f t="shared" si="285"/>
        <v>0</v>
      </c>
      <c r="NOE64" s="44">
        <f t="shared" si="285"/>
        <v>0</v>
      </c>
      <c r="NOF64" s="44">
        <f t="shared" si="285"/>
        <v>0</v>
      </c>
      <c r="NOG64" s="44">
        <f t="shared" si="285"/>
        <v>0</v>
      </c>
      <c r="NOH64" s="44">
        <f t="shared" si="285"/>
        <v>0</v>
      </c>
      <c r="NOI64" s="44">
        <f t="shared" si="285"/>
        <v>0</v>
      </c>
      <c r="NOJ64" s="44">
        <f t="shared" si="285"/>
        <v>0</v>
      </c>
      <c r="NOK64" s="44">
        <f t="shared" si="285"/>
        <v>0</v>
      </c>
      <c r="NOL64" s="44">
        <f t="shared" si="285"/>
        <v>0</v>
      </c>
      <c r="NOM64" s="44">
        <f t="shared" si="285"/>
        <v>0</v>
      </c>
      <c r="NON64" s="44">
        <f t="shared" si="285"/>
        <v>0</v>
      </c>
      <c r="NOO64" s="44">
        <f t="shared" si="285"/>
        <v>0</v>
      </c>
      <c r="NOP64" s="44">
        <f t="shared" si="285"/>
        <v>0</v>
      </c>
      <c r="NOQ64" s="44">
        <f t="shared" si="285"/>
        <v>0</v>
      </c>
      <c r="NOR64" s="44">
        <f t="shared" si="285"/>
        <v>0</v>
      </c>
      <c r="NOS64" s="44">
        <f t="shared" si="285"/>
        <v>0</v>
      </c>
      <c r="NOT64" s="44">
        <f t="shared" si="285"/>
        <v>0</v>
      </c>
      <c r="NOU64" s="44">
        <f t="shared" si="285"/>
        <v>0</v>
      </c>
      <c r="NOV64" s="44">
        <f t="shared" si="285"/>
        <v>0</v>
      </c>
      <c r="NOW64" s="44">
        <f t="shared" si="285"/>
        <v>0</v>
      </c>
      <c r="NOX64" s="44">
        <f t="shared" ref="NOX64:NRI64" si="286">SUM(NOX56:NOX57)</f>
        <v>0</v>
      </c>
      <c r="NOY64" s="44">
        <f t="shared" si="286"/>
        <v>0</v>
      </c>
      <c r="NOZ64" s="44">
        <f t="shared" si="286"/>
        <v>0</v>
      </c>
      <c r="NPA64" s="44">
        <f t="shared" si="286"/>
        <v>0</v>
      </c>
      <c r="NPB64" s="44">
        <f t="shared" si="286"/>
        <v>0</v>
      </c>
      <c r="NPC64" s="44">
        <f t="shared" si="286"/>
        <v>0</v>
      </c>
      <c r="NPD64" s="44">
        <f t="shared" si="286"/>
        <v>0</v>
      </c>
      <c r="NPE64" s="44">
        <f t="shared" si="286"/>
        <v>0</v>
      </c>
      <c r="NPF64" s="44">
        <f t="shared" si="286"/>
        <v>0</v>
      </c>
      <c r="NPG64" s="44">
        <f t="shared" si="286"/>
        <v>0</v>
      </c>
      <c r="NPH64" s="44">
        <f t="shared" si="286"/>
        <v>0</v>
      </c>
      <c r="NPI64" s="44">
        <f t="shared" si="286"/>
        <v>0</v>
      </c>
      <c r="NPJ64" s="44">
        <f t="shared" si="286"/>
        <v>0</v>
      </c>
      <c r="NPK64" s="44">
        <f t="shared" si="286"/>
        <v>0</v>
      </c>
      <c r="NPL64" s="44">
        <f t="shared" si="286"/>
        <v>0</v>
      </c>
      <c r="NPM64" s="44">
        <f t="shared" si="286"/>
        <v>0</v>
      </c>
      <c r="NPN64" s="44">
        <f t="shared" si="286"/>
        <v>0</v>
      </c>
      <c r="NPO64" s="44">
        <f t="shared" si="286"/>
        <v>0</v>
      </c>
      <c r="NPP64" s="44">
        <f t="shared" si="286"/>
        <v>0</v>
      </c>
      <c r="NPQ64" s="44">
        <f t="shared" si="286"/>
        <v>0</v>
      </c>
      <c r="NPR64" s="44">
        <f t="shared" si="286"/>
        <v>0</v>
      </c>
      <c r="NPS64" s="44">
        <f t="shared" si="286"/>
        <v>0</v>
      </c>
      <c r="NPT64" s="44">
        <f t="shared" si="286"/>
        <v>0</v>
      </c>
      <c r="NPU64" s="44">
        <f t="shared" si="286"/>
        <v>0</v>
      </c>
      <c r="NPV64" s="44">
        <f t="shared" si="286"/>
        <v>0</v>
      </c>
      <c r="NPW64" s="44">
        <f t="shared" si="286"/>
        <v>0</v>
      </c>
      <c r="NPX64" s="44">
        <f t="shared" si="286"/>
        <v>0</v>
      </c>
      <c r="NPY64" s="44">
        <f t="shared" si="286"/>
        <v>0</v>
      </c>
      <c r="NPZ64" s="44">
        <f t="shared" si="286"/>
        <v>0</v>
      </c>
      <c r="NQA64" s="44">
        <f t="shared" si="286"/>
        <v>0</v>
      </c>
      <c r="NQB64" s="44">
        <f t="shared" si="286"/>
        <v>0</v>
      </c>
      <c r="NQC64" s="44">
        <f t="shared" si="286"/>
        <v>0</v>
      </c>
      <c r="NQD64" s="44">
        <f t="shared" si="286"/>
        <v>0</v>
      </c>
      <c r="NQE64" s="44">
        <f t="shared" si="286"/>
        <v>0</v>
      </c>
      <c r="NQF64" s="44">
        <f t="shared" si="286"/>
        <v>0</v>
      </c>
      <c r="NQG64" s="44">
        <f t="shared" si="286"/>
        <v>0</v>
      </c>
      <c r="NQH64" s="44">
        <f t="shared" si="286"/>
        <v>0</v>
      </c>
      <c r="NQI64" s="44">
        <f t="shared" si="286"/>
        <v>0</v>
      </c>
      <c r="NQJ64" s="44">
        <f t="shared" si="286"/>
        <v>0</v>
      </c>
      <c r="NQK64" s="44">
        <f t="shared" si="286"/>
        <v>0</v>
      </c>
      <c r="NQL64" s="44">
        <f t="shared" si="286"/>
        <v>0</v>
      </c>
      <c r="NQM64" s="44">
        <f t="shared" si="286"/>
        <v>0</v>
      </c>
      <c r="NQN64" s="44">
        <f t="shared" si="286"/>
        <v>0</v>
      </c>
      <c r="NQO64" s="44">
        <f t="shared" si="286"/>
        <v>0</v>
      </c>
      <c r="NQP64" s="44">
        <f t="shared" si="286"/>
        <v>0</v>
      </c>
      <c r="NQQ64" s="44">
        <f t="shared" si="286"/>
        <v>0</v>
      </c>
      <c r="NQR64" s="44">
        <f t="shared" si="286"/>
        <v>0</v>
      </c>
      <c r="NQS64" s="44">
        <f t="shared" si="286"/>
        <v>0</v>
      </c>
      <c r="NQT64" s="44">
        <f t="shared" si="286"/>
        <v>0</v>
      </c>
      <c r="NQU64" s="44">
        <f t="shared" si="286"/>
        <v>0</v>
      </c>
      <c r="NQV64" s="44">
        <f t="shared" si="286"/>
        <v>0</v>
      </c>
      <c r="NQW64" s="44">
        <f t="shared" si="286"/>
        <v>0</v>
      </c>
      <c r="NQX64" s="44">
        <f t="shared" si="286"/>
        <v>0</v>
      </c>
      <c r="NQY64" s="44">
        <f t="shared" si="286"/>
        <v>0</v>
      </c>
      <c r="NQZ64" s="44">
        <f t="shared" si="286"/>
        <v>0</v>
      </c>
      <c r="NRA64" s="44">
        <f t="shared" si="286"/>
        <v>0</v>
      </c>
      <c r="NRB64" s="44">
        <f t="shared" si="286"/>
        <v>0</v>
      </c>
      <c r="NRC64" s="44">
        <f t="shared" si="286"/>
        <v>0</v>
      </c>
      <c r="NRD64" s="44">
        <f t="shared" si="286"/>
        <v>0</v>
      </c>
      <c r="NRE64" s="44">
        <f t="shared" si="286"/>
        <v>0</v>
      </c>
      <c r="NRF64" s="44">
        <f t="shared" si="286"/>
        <v>0</v>
      </c>
      <c r="NRG64" s="44">
        <f t="shared" si="286"/>
        <v>0</v>
      </c>
      <c r="NRH64" s="44">
        <f t="shared" si="286"/>
        <v>0</v>
      </c>
      <c r="NRI64" s="44">
        <f t="shared" si="286"/>
        <v>0</v>
      </c>
      <c r="NRJ64" s="44">
        <f t="shared" ref="NRJ64:NTU64" si="287">SUM(NRJ56:NRJ57)</f>
        <v>0</v>
      </c>
      <c r="NRK64" s="44">
        <f t="shared" si="287"/>
        <v>0</v>
      </c>
      <c r="NRL64" s="44">
        <f t="shared" si="287"/>
        <v>0</v>
      </c>
      <c r="NRM64" s="44">
        <f t="shared" si="287"/>
        <v>0</v>
      </c>
      <c r="NRN64" s="44">
        <f t="shared" si="287"/>
        <v>0</v>
      </c>
      <c r="NRO64" s="44">
        <f t="shared" si="287"/>
        <v>0</v>
      </c>
      <c r="NRP64" s="44">
        <f t="shared" si="287"/>
        <v>0</v>
      </c>
      <c r="NRQ64" s="44">
        <f t="shared" si="287"/>
        <v>0</v>
      </c>
      <c r="NRR64" s="44">
        <f t="shared" si="287"/>
        <v>0</v>
      </c>
      <c r="NRS64" s="44">
        <f t="shared" si="287"/>
        <v>0</v>
      </c>
      <c r="NRT64" s="44">
        <f t="shared" si="287"/>
        <v>0</v>
      </c>
      <c r="NRU64" s="44">
        <f t="shared" si="287"/>
        <v>0</v>
      </c>
      <c r="NRV64" s="44">
        <f t="shared" si="287"/>
        <v>0</v>
      </c>
      <c r="NRW64" s="44">
        <f t="shared" si="287"/>
        <v>0</v>
      </c>
      <c r="NRX64" s="44">
        <f t="shared" si="287"/>
        <v>0</v>
      </c>
      <c r="NRY64" s="44">
        <f t="shared" si="287"/>
        <v>0</v>
      </c>
      <c r="NRZ64" s="44">
        <f t="shared" si="287"/>
        <v>0</v>
      </c>
      <c r="NSA64" s="44">
        <f t="shared" si="287"/>
        <v>0</v>
      </c>
      <c r="NSB64" s="44">
        <f t="shared" si="287"/>
        <v>0</v>
      </c>
      <c r="NSC64" s="44">
        <f t="shared" si="287"/>
        <v>0</v>
      </c>
      <c r="NSD64" s="44">
        <f t="shared" si="287"/>
        <v>0</v>
      </c>
      <c r="NSE64" s="44">
        <f t="shared" si="287"/>
        <v>0</v>
      </c>
      <c r="NSF64" s="44">
        <f t="shared" si="287"/>
        <v>0</v>
      </c>
      <c r="NSG64" s="44">
        <f t="shared" si="287"/>
        <v>0</v>
      </c>
      <c r="NSH64" s="44">
        <f t="shared" si="287"/>
        <v>0</v>
      </c>
      <c r="NSI64" s="44">
        <f t="shared" si="287"/>
        <v>0</v>
      </c>
      <c r="NSJ64" s="44">
        <f t="shared" si="287"/>
        <v>0</v>
      </c>
      <c r="NSK64" s="44">
        <f t="shared" si="287"/>
        <v>0</v>
      </c>
      <c r="NSL64" s="44">
        <f t="shared" si="287"/>
        <v>0</v>
      </c>
      <c r="NSM64" s="44">
        <f t="shared" si="287"/>
        <v>0</v>
      </c>
      <c r="NSN64" s="44">
        <f t="shared" si="287"/>
        <v>0</v>
      </c>
      <c r="NSO64" s="44">
        <f t="shared" si="287"/>
        <v>0</v>
      </c>
      <c r="NSP64" s="44">
        <f t="shared" si="287"/>
        <v>0</v>
      </c>
      <c r="NSQ64" s="44">
        <f t="shared" si="287"/>
        <v>0</v>
      </c>
      <c r="NSR64" s="44">
        <f t="shared" si="287"/>
        <v>0</v>
      </c>
      <c r="NSS64" s="44">
        <f t="shared" si="287"/>
        <v>0</v>
      </c>
      <c r="NST64" s="44">
        <f t="shared" si="287"/>
        <v>0</v>
      </c>
      <c r="NSU64" s="44">
        <f t="shared" si="287"/>
        <v>0</v>
      </c>
      <c r="NSV64" s="44">
        <f t="shared" si="287"/>
        <v>0</v>
      </c>
      <c r="NSW64" s="44">
        <f t="shared" si="287"/>
        <v>0</v>
      </c>
      <c r="NSX64" s="44">
        <f t="shared" si="287"/>
        <v>0</v>
      </c>
      <c r="NSY64" s="44">
        <f t="shared" si="287"/>
        <v>0</v>
      </c>
      <c r="NSZ64" s="44">
        <f t="shared" si="287"/>
        <v>0</v>
      </c>
      <c r="NTA64" s="44">
        <f t="shared" si="287"/>
        <v>0</v>
      </c>
      <c r="NTB64" s="44">
        <f t="shared" si="287"/>
        <v>0</v>
      </c>
      <c r="NTC64" s="44">
        <f t="shared" si="287"/>
        <v>0</v>
      </c>
      <c r="NTD64" s="44">
        <f t="shared" si="287"/>
        <v>0</v>
      </c>
      <c r="NTE64" s="44">
        <f t="shared" si="287"/>
        <v>0</v>
      </c>
      <c r="NTF64" s="44">
        <f t="shared" si="287"/>
        <v>0</v>
      </c>
      <c r="NTG64" s="44">
        <f t="shared" si="287"/>
        <v>0</v>
      </c>
      <c r="NTH64" s="44">
        <f t="shared" si="287"/>
        <v>0</v>
      </c>
      <c r="NTI64" s="44">
        <f t="shared" si="287"/>
        <v>0</v>
      </c>
      <c r="NTJ64" s="44">
        <f t="shared" si="287"/>
        <v>0</v>
      </c>
      <c r="NTK64" s="44">
        <f t="shared" si="287"/>
        <v>0</v>
      </c>
      <c r="NTL64" s="44">
        <f t="shared" si="287"/>
        <v>0</v>
      </c>
      <c r="NTM64" s="44">
        <f t="shared" si="287"/>
        <v>0</v>
      </c>
      <c r="NTN64" s="44">
        <f t="shared" si="287"/>
        <v>0</v>
      </c>
      <c r="NTO64" s="44">
        <f t="shared" si="287"/>
        <v>0</v>
      </c>
      <c r="NTP64" s="44">
        <f t="shared" si="287"/>
        <v>0</v>
      </c>
      <c r="NTQ64" s="44">
        <f t="shared" si="287"/>
        <v>0</v>
      </c>
      <c r="NTR64" s="44">
        <f t="shared" si="287"/>
        <v>0</v>
      </c>
      <c r="NTS64" s="44">
        <f t="shared" si="287"/>
        <v>0</v>
      </c>
      <c r="NTT64" s="44">
        <f t="shared" si="287"/>
        <v>0</v>
      </c>
      <c r="NTU64" s="44">
        <f t="shared" si="287"/>
        <v>0</v>
      </c>
      <c r="NTV64" s="44">
        <f t="shared" ref="NTV64:NWG64" si="288">SUM(NTV56:NTV57)</f>
        <v>0</v>
      </c>
      <c r="NTW64" s="44">
        <f t="shared" si="288"/>
        <v>0</v>
      </c>
      <c r="NTX64" s="44">
        <f t="shared" si="288"/>
        <v>0</v>
      </c>
      <c r="NTY64" s="44">
        <f t="shared" si="288"/>
        <v>0</v>
      </c>
      <c r="NTZ64" s="44">
        <f t="shared" si="288"/>
        <v>0</v>
      </c>
      <c r="NUA64" s="44">
        <f t="shared" si="288"/>
        <v>0</v>
      </c>
      <c r="NUB64" s="44">
        <f t="shared" si="288"/>
        <v>0</v>
      </c>
      <c r="NUC64" s="44">
        <f t="shared" si="288"/>
        <v>0</v>
      </c>
      <c r="NUD64" s="44">
        <f t="shared" si="288"/>
        <v>0</v>
      </c>
      <c r="NUE64" s="44">
        <f t="shared" si="288"/>
        <v>0</v>
      </c>
      <c r="NUF64" s="44">
        <f t="shared" si="288"/>
        <v>0</v>
      </c>
      <c r="NUG64" s="44">
        <f t="shared" si="288"/>
        <v>0</v>
      </c>
      <c r="NUH64" s="44">
        <f t="shared" si="288"/>
        <v>0</v>
      </c>
      <c r="NUI64" s="44">
        <f t="shared" si="288"/>
        <v>0</v>
      </c>
      <c r="NUJ64" s="44">
        <f t="shared" si="288"/>
        <v>0</v>
      </c>
      <c r="NUK64" s="44">
        <f t="shared" si="288"/>
        <v>0</v>
      </c>
      <c r="NUL64" s="44">
        <f t="shared" si="288"/>
        <v>0</v>
      </c>
      <c r="NUM64" s="44">
        <f t="shared" si="288"/>
        <v>0</v>
      </c>
      <c r="NUN64" s="44">
        <f t="shared" si="288"/>
        <v>0</v>
      </c>
      <c r="NUO64" s="44">
        <f t="shared" si="288"/>
        <v>0</v>
      </c>
      <c r="NUP64" s="44">
        <f t="shared" si="288"/>
        <v>0</v>
      </c>
      <c r="NUQ64" s="44">
        <f t="shared" si="288"/>
        <v>0</v>
      </c>
      <c r="NUR64" s="44">
        <f t="shared" si="288"/>
        <v>0</v>
      </c>
      <c r="NUS64" s="44">
        <f t="shared" si="288"/>
        <v>0</v>
      </c>
      <c r="NUT64" s="44">
        <f t="shared" si="288"/>
        <v>0</v>
      </c>
      <c r="NUU64" s="44">
        <f t="shared" si="288"/>
        <v>0</v>
      </c>
      <c r="NUV64" s="44">
        <f t="shared" si="288"/>
        <v>0</v>
      </c>
      <c r="NUW64" s="44">
        <f t="shared" si="288"/>
        <v>0</v>
      </c>
      <c r="NUX64" s="44">
        <f t="shared" si="288"/>
        <v>0</v>
      </c>
      <c r="NUY64" s="44">
        <f t="shared" si="288"/>
        <v>0</v>
      </c>
      <c r="NUZ64" s="44">
        <f t="shared" si="288"/>
        <v>0</v>
      </c>
      <c r="NVA64" s="44">
        <f t="shared" si="288"/>
        <v>0</v>
      </c>
      <c r="NVB64" s="44">
        <f t="shared" si="288"/>
        <v>0</v>
      </c>
      <c r="NVC64" s="44">
        <f t="shared" si="288"/>
        <v>0</v>
      </c>
      <c r="NVD64" s="44">
        <f t="shared" si="288"/>
        <v>0</v>
      </c>
      <c r="NVE64" s="44">
        <f t="shared" si="288"/>
        <v>0</v>
      </c>
      <c r="NVF64" s="44">
        <f t="shared" si="288"/>
        <v>0</v>
      </c>
      <c r="NVG64" s="44">
        <f t="shared" si="288"/>
        <v>0</v>
      </c>
      <c r="NVH64" s="44">
        <f t="shared" si="288"/>
        <v>0</v>
      </c>
      <c r="NVI64" s="44">
        <f t="shared" si="288"/>
        <v>0</v>
      </c>
      <c r="NVJ64" s="44">
        <f t="shared" si="288"/>
        <v>0</v>
      </c>
      <c r="NVK64" s="44">
        <f t="shared" si="288"/>
        <v>0</v>
      </c>
      <c r="NVL64" s="44">
        <f t="shared" si="288"/>
        <v>0</v>
      </c>
      <c r="NVM64" s="44">
        <f t="shared" si="288"/>
        <v>0</v>
      </c>
      <c r="NVN64" s="44">
        <f t="shared" si="288"/>
        <v>0</v>
      </c>
      <c r="NVO64" s="44">
        <f t="shared" si="288"/>
        <v>0</v>
      </c>
      <c r="NVP64" s="44">
        <f t="shared" si="288"/>
        <v>0</v>
      </c>
      <c r="NVQ64" s="44">
        <f t="shared" si="288"/>
        <v>0</v>
      </c>
      <c r="NVR64" s="44">
        <f t="shared" si="288"/>
        <v>0</v>
      </c>
      <c r="NVS64" s="44">
        <f t="shared" si="288"/>
        <v>0</v>
      </c>
      <c r="NVT64" s="44">
        <f t="shared" si="288"/>
        <v>0</v>
      </c>
      <c r="NVU64" s="44">
        <f t="shared" si="288"/>
        <v>0</v>
      </c>
      <c r="NVV64" s="44">
        <f t="shared" si="288"/>
        <v>0</v>
      </c>
      <c r="NVW64" s="44">
        <f t="shared" si="288"/>
        <v>0</v>
      </c>
      <c r="NVX64" s="44">
        <f t="shared" si="288"/>
        <v>0</v>
      </c>
      <c r="NVY64" s="44">
        <f t="shared" si="288"/>
        <v>0</v>
      </c>
      <c r="NVZ64" s="44">
        <f t="shared" si="288"/>
        <v>0</v>
      </c>
      <c r="NWA64" s="44">
        <f t="shared" si="288"/>
        <v>0</v>
      </c>
      <c r="NWB64" s="44">
        <f t="shared" si="288"/>
        <v>0</v>
      </c>
      <c r="NWC64" s="44">
        <f t="shared" si="288"/>
        <v>0</v>
      </c>
      <c r="NWD64" s="44">
        <f t="shared" si="288"/>
        <v>0</v>
      </c>
      <c r="NWE64" s="44">
        <f t="shared" si="288"/>
        <v>0</v>
      </c>
      <c r="NWF64" s="44">
        <f t="shared" si="288"/>
        <v>0</v>
      </c>
      <c r="NWG64" s="44">
        <f t="shared" si="288"/>
        <v>0</v>
      </c>
      <c r="NWH64" s="44">
        <f t="shared" ref="NWH64:NYS64" si="289">SUM(NWH56:NWH57)</f>
        <v>0</v>
      </c>
      <c r="NWI64" s="44">
        <f t="shared" si="289"/>
        <v>0</v>
      </c>
      <c r="NWJ64" s="44">
        <f t="shared" si="289"/>
        <v>0</v>
      </c>
      <c r="NWK64" s="44">
        <f t="shared" si="289"/>
        <v>0</v>
      </c>
      <c r="NWL64" s="44">
        <f t="shared" si="289"/>
        <v>0</v>
      </c>
      <c r="NWM64" s="44">
        <f t="shared" si="289"/>
        <v>0</v>
      </c>
      <c r="NWN64" s="44">
        <f t="shared" si="289"/>
        <v>0</v>
      </c>
      <c r="NWO64" s="44">
        <f t="shared" si="289"/>
        <v>0</v>
      </c>
      <c r="NWP64" s="44">
        <f t="shared" si="289"/>
        <v>0</v>
      </c>
      <c r="NWQ64" s="44">
        <f t="shared" si="289"/>
        <v>0</v>
      </c>
      <c r="NWR64" s="44">
        <f t="shared" si="289"/>
        <v>0</v>
      </c>
      <c r="NWS64" s="44">
        <f t="shared" si="289"/>
        <v>0</v>
      </c>
      <c r="NWT64" s="44">
        <f t="shared" si="289"/>
        <v>0</v>
      </c>
      <c r="NWU64" s="44">
        <f t="shared" si="289"/>
        <v>0</v>
      </c>
      <c r="NWV64" s="44">
        <f t="shared" si="289"/>
        <v>0</v>
      </c>
      <c r="NWW64" s="44">
        <f t="shared" si="289"/>
        <v>0</v>
      </c>
      <c r="NWX64" s="44">
        <f t="shared" si="289"/>
        <v>0</v>
      </c>
      <c r="NWY64" s="44">
        <f t="shared" si="289"/>
        <v>0</v>
      </c>
      <c r="NWZ64" s="44">
        <f t="shared" si="289"/>
        <v>0</v>
      </c>
      <c r="NXA64" s="44">
        <f t="shared" si="289"/>
        <v>0</v>
      </c>
      <c r="NXB64" s="44">
        <f t="shared" si="289"/>
        <v>0</v>
      </c>
      <c r="NXC64" s="44">
        <f t="shared" si="289"/>
        <v>0</v>
      </c>
      <c r="NXD64" s="44">
        <f t="shared" si="289"/>
        <v>0</v>
      </c>
      <c r="NXE64" s="44">
        <f t="shared" si="289"/>
        <v>0</v>
      </c>
      <c r="NXF64" s="44">
        <f t="shared" si="289"/>
        <v>0</v>
      </c>
      <c r="NXG64" s="44">
        <f t="shared" si="289"/>
        <v>0</v>
      </c>
      <c r="NXH64" s="44">
        <f t="shared" si="289"/>
        <v>0</v>
      </c>
      <c r="NXI64" s="44">
        <f t="shared" si="289"/>
        <v>0</v>
      </c>
      <c r="NXJ64" s="44">
        <f t="shared" si="289"/>
        <v>0</v>
      </c>
      <c r="NXK64" s="44">
        <f t="shared" si="289"/>
        <v>0</v>
      </c>
      <c r="NXL64" s="44">
        <f t="shared" si="289"/>
        <v>0</v>
      </c>
      <c r="NXM64" s="44">
        <f t="shared" si="289"/>
        <v>0</v>
      </c>
      <c r="NXN64" s="44">
        <f t="shared" si="289"/>
        <v>0</v>
      </c>
      <c r="NXO64" s="44">
        <f t="shared" si="289"/>
        <v>0</v>
      </c>
      <c r="NXP64" s="44">
        <f t="shared" si="289"/>
        <v>0</v>
      </c>
      <c r="NXQ64" s="44">
        <f t="shared" si="289"/>
        <v>0</v>
      </c>
      <c r="NXR64" s="44">
        <f t="shared" si="289"/>
        <v>0</v>
      </c>
      <c r="NXS64" s="44">
        <f t="shared" si="289"/>
        <v>0</v>
      </c>
      <c r="NXT64" s="44">
        <f t="shared" si="289"/>
        <v>0</v>
      </c>
      <c r="NXU64" s="44">
        <f t="shared" si="289"/>
        <v>0</v>
      </c>
      <c r="NXV64" s="44">
        <f t="shared" si="289"/>
        <v>0</v>
      </c>
      <c r="NXW64" s="44">
        <f t="shared" si="289"/>
        <v>0</v>
      </c>
      <c r="NXX64" s="44">
        <f t="shared" si="289"/>
        <v>0</v>
      </c>
      <c r="NXY64" s="44">
        <f t="shared" si="289"/>
        <v>0</v>
      </c>
      <c r="NXZ64" s="44">
        <f t="shared" si="289"/>
        <v>0</v>
      </c>
      <c r="NYA64" s="44">
        <f t="shared" si="289"/>
        <v>0</v>
      </c>
      <c r="NYB64" s="44">
        <f t="shared" si="289"/>
        <v>0</v>
      </c>
      <c r="NYC64" s="44">
        <f t="shared" si="289"/>
        <v>0</v>
      </c>
      <c r="NYD64" s="44">
        <f t="shared" si="289"/>
        <v>0</v>
      </c>
      <c r="NYE64" s="44">
        <f t="shared" si="289"/>
        <v>0</v>
      </c>
      <c r="NYF64" s="44">
        <f t="shared" si="289"/>
        <v>0</v>
      </c>
      <c r="NYG64" s="44">
        <f t="shared" si="289"/>
        <v>0</v>
      </c>
      <c r="NYH64" s="44">
        <f t="shared" si="289"/>
        <v>0</v>
      </c>
      <c r="NYI64" s="44">
        <f t="shared" si="289"/>
        <v>0</v>
      </c>
      <c r="NYJ64" s="44">
        <f t="shared" si="289"/>
        <v>0</v>
      </c>
      <c r="NYK64" s="44">
        <f t="shared" si="289"/>
        <v>0</v>
      </c>
      <c r="NYL64" s="44">
        <f t="shared" si="289"/>
        <v>0</v>
      </c>
      <c r="NYM64" s="44">
        <f t="shared" si="289"/>
        <v>0</v>
      </c>
      <c r="NYN64" s="44">
        <f t="shared" si="289"/>
        <v>0</v>
      </c>
      <c r="NYO64" s="44">
        <f t="shared" si="289"/>
        <v>0</v>
      </c>
      <c r="NYP64" s="44">
        <f t="shared" si="289"/>
        <v>0</v>
      </c>
      <c r="NYQ64" s="44">
        <f t="shared" si="289"/>
        <v>0</v>
      </c>
      <c r="NYR64" s="44">
        <f t="shared" si="289"/>
        <v>0</v>
      </c>
      <c r="NYS64" s="44">
        <f t="shared" si="289"/>
        <v>0</v>
      </c>
      <c r="NYT64" s="44">
        <f t="shared" ref="NYT64:OBE64" si="290">SUM(NYT56:NYT57)</f>
        <v>0</v>
      </c>
      <c r="NYU64" s="44">
        <f t="shared" si="290"/>
        <v>0</v>
      </c>
      <c r="NYV64" s="44">
        <f t="shared" si="290"/>
        <v>0</v>
      </c>
      <c r="NYW64" s="44">
        <f t="shared" si="290"/>
        <v>0</v>
      </c>
      <c r="NYX64" s="44">
        <f t="shared" si="290"/>
        <v>0</v>
      </c>
      <c r="NYY64" s="44">
        <f t="shared" si="290"/>
        <v>0</v>
      </c>
      <c r="NYZ64" s="44">
        <f t="shared" si="290"/>
        <v>0</v>
      </c>
      <c r="NZA64" s="44">
        <f t="shared" si="290"/>
        <v>0</v>
      </c>
      <c r="NZB64" s="44">
        <f t="shared" si="290"/>
        <v>0</v>
      </c>
      <c r="NZC64" s="44">
        <f t="shared" si="290"/>
        <v>0</v>
      </c>
      <c r="NZD64" s="44">
        <f t="shared" si="290"/>
        <v>0</v>
      </c>
      <c r="NZE64" s="44">
        <f t="shared" si="290"/>
        <v>0</v>
      </c>
      <c r="NZF64" s="44">
        <f t="shared" si="290"/>
        <v>0</v>
      </c>
      <c r="NZG64" s="44">
        <f t="shared" si="290"/>
        <v>0</v>
      </c>
      <c r="NZH64" s="44">
        <f t="shared" si="290"/>
        <v>0</v>
      </c>
      <c r="NZI64" s="44">
        <f t="shared" si="290"/>
        <v>0</v>
      </c>
      <c r="NZJ64" s="44">
        <f t="shared" si="290"/>
        <v>0</v>
      </c>
      <c r="NZK64" s="44">
        <f t="shared" si="290"/>
        <v>0</v>
      </c>
      <c r="NZL64" s="44">
        <f t="shared" si="290"/>
        <v>0</v>
      </c>
      <c r="NZM64" s="44">
        <f t="shared" si="290"/>
        <v>0</v>
      </c>
      <c r="NZN64" s="44">
        <f t="shared" si="290"/>
        <v>0</v>
      </c>
      <c r="NZO64" s="44">
        <f t="shared" si="290"/>
        <v>0</v>
      </c>
      <c r="NZP64" s="44">
        <f t="shared" si="290"/>
        <v>0</v>
      </c>
      <c r="NZQ64" s="44">
        <f t="shared" si="290"/>
        <v>0</v>
      </c>
      <c r="NZR64" s="44">
        <f t="shared" si="290"/>
        <v>0</v>
      </c>
      <c r="NZS64" s="44">
        <f t="shared" si="290"/>
        <v>0</v>
      </c>
      <c r="NZT64" s="44">
        <f t="shared" si="290"/>
        <v>0</v>
      </c>
      <c r="NZU64" s="44">
        <f t="shared" si="290"/>
        <v>0</v>
      </c>
      <c r="NZV64" s="44">
        <f t="shared" si="290"/>
        <v>0</v>
      </c>
      <c r="NZW64" s="44">
        <f t="shared" si="290"/>
        <v>0</v>
      </c>
      <c r="NZX64" s="44">
        <f t="shared" si="290"/>
        <v>0</v>
      </c>
      <c r="NZY64" s="44">
        <f t="shared" si="290"/>
        <v>0</v>
      </c>
      <c r="NZZ64" s="44">
        <f t="shared" si="290"/>
        <v>0</v>
      </c>
      <c r="OAA64" s="44">
        <f t="shared" si="290"/>
        <v>0</v>
      </c>
      <c r="OAB64" s="44">
        <f t="shared" si="290"/>
        <v>0</v>
      </c>
      <c r="OAC64" s="44">
        <f t="shared" si="290"/>
        <v>0</v>
      </c>
      <c r="OAD64" s="44">
        <f t="shared" si="290"/>
        <v>0</v>
      </c>
      <c r="OAE64" s="44">
        <f t="shared" si="290"/>
        <v>0</v>
      </c>
      <c r="OAF64" s="44">
        <f t="shared" si="290"/>
        <v>0</v>
      </c>
      <c r="OAG64" s="44">
        <f t="shared" si="290"/>
        <v>0</v>
      </c>
      <c r="OAH64" s="44">
        <f t="shared" si="290"/>
        <v>0</v>
      </c>
      <c r="OAI64" s="44">
        <f t="shared" si="290"/>
        <v>0</v>
      </c>
      <c r="OAJ64" s="44">
        <f t="shared" si="290"/>
        <v>0</v>
      </c>
      <c r="OAK64" s="44">
        <f t="shared" si="290"/>
        <v>0</v>
      </c>
      <c r="OAL64" s="44">
        <f t="shared" si="290"/>
        <v>0</v>
      </c>
      <c r="OAM64" s="44">
        <f t="shared" si="290"/>
        <v>0</v>
      </c>
      <c r="OAN64" s="44">
        <f t="shared" si="290"/>
        <v>0</v>
      </c>
      <c r="OAO64" s="44">
        <f t="shared" si="290"/>
        <v>0</v>
      </c>
      <c r="OAP64" s="44">
        <f t="shared" si="290"/>
        <v>0</v>
      </c>
      <c r="OAQ64" s="44">
        <f t="shared" si="290"/>
        <v>0</v>
      </c>
      <c r="OAR64" s="44">
        <f t="shared" si="290"/>
        <v>0</v>
      </c>
      <c r="OAS64" s="44">
        <f t="shared" si="290"/>
        <v>0</v>
      </c>
      <c r="OAT64" s="44">
        <f t="shared" si="290"/>
        <v>0</v>
      </c>
      <c r="OAU64" s="44">
        <f t="shared" si="290"/>
        <v>0</v>
      </c>
      <c r="OAV64" s="44">
        <f t="shared" si="290"/>
        <v>0</v>
      </c>
      <c r="OAW64" s="44">
        <f t="shared" si="290"/>
        <v>0</v>
      </c>
      <c r="OAX64" s="44">
        <f t="shared" si="290"/>
        <v>0</v>
      </c>
      <c r="OAY64" s="44">
        <f t="shared" si="290"/>
        <v>0</v>
      </c>
      <c r="OAZ64" s="44">
        <f t="shared" si="290"/>
        <v>0</v>
      </c>
      <c r="OBA64" s="44">
        <f t="shared" si="290"/>
        <v>0</v>
      </c>
      <c r="OBB64" s="44">
        <f t="shared" si="290"/>
        <v>0</v>
      </c>
      <c r="OBC64" s="44">
        <f t="shared" si="290"/>
        <v>0</v>
      </c>
      <c r="OBD64" s="44">
        <f t="shared" si="290"/>
        <v>0</v>
      </c>
      <c r="OBE64" s="44">
        <f t="shared" si="290"/>
        <v>0</v>
      </c>
      <c r="OBF64" s="44">
        <f t="shared" ref="OBF64:ODQ64" si="291">SUM(OBF56:OBF57)</f>
        <v>0</v>
      </c>
      <c r="OBG64" s="44">
        <f t="shared" si="291"/>
        <v>0</v>
      </c>
      <c r="OBH64" s="44">
        <f t="shared" si="291"/>
        <v>0</v>
      </c>
      <c r="OBI64" s="44">
        <f t="shared" si="291"/>
        <v>0</v>
      </c>
      <c r="OBJ64" s="44">
        <f t="shared" si="291"/>
        <v>0</v>
      </c>
      <c r="OBK64" s="44">
        <f t="shared" si="291"/>
        <v>0</v>
      </c>
      <c r="OBL64" s="44">
        <f t="shared" si="291"/>
        <v>0</v>
      </c>
      <c r="OBM64" s="44">
        <f t="shared" si="291"/>
        <v>0</v>
      </c>
      <c r="OBN64" s="44">
        <f t="shared" si="291"/>
        <v>0</v>
      </c>
      <c r="OBO64" s="44">
        <f t="shared" si="291"/>
        <v>0</v>
      </c>
      <c r="OBP64" s="44">
        <f t="shared" si="291"/>
        <v>0</v>
      </c>
      <c r="OBQ64" s="44">
        <f t="shared" si="291"/>
        <v>0</v>
      </c>
      <c r="OBR64" s="44">
        <f t="shared" si="291"/>
        <v>0</v>
      </c>
      <c r="OBS64" s="44">
        <f t="shared" si="291"/>
        <v>0</v>
      </c>
      <c r="OBT64" s="44">
        <f t="shared" si="291"/>
        <v>0</v>
      </c>
      <c r="OBU64" s="44">
        <f t="shared" si="291"/>
        <v>0</v>
      </c>
      <c r="OBV64" s="44">
        <f t="shared" si="291"/>
        <v>0</v>
      </c>
      <c r="OBW64" s="44">
        <f t="shared" si="291"/>
        <v>0</v>
      </c>
      <c r="OBX64" s="44">
        <f t="shared" si="291"/>
        <v>0</v>
      </c>
      <c r="OBY64" s="44">
        <f t="shared" si="291"/>
        <v>0</v>
      </c>
      <c r="OBZ64" s="44">
        <f t="shared" si="291"/>
        <v>0</v>
      </c>
      <c r="OCA64" s="44">
        <f t="shared" si="291"/>
        <v>0</v>
      </c>
      <c r="OCB64" s="44">
        <f t="shared" si="291"/>
        <v>0</v>
      </c>
      <c r="OCC64" s="44">
        <f t="shared" si="291"/>
        <v>0</v>
      </c>
      <c r="OCD64" s="44">
        <f t="shared" si="291"/>
        <v>0</v>
      </c>
      <c r="OCE64" s="44">
        <f t="shared" si="291"/>
        <v>0</v>
      </c>
      <c r="OCF64" s="44">
        <f t="shared" si="291"/>
        <v>0</v>
      </c>
      <c r="OCG64" s="44">
        <f t="shared" si="291"/>
        <v>0</v>
      </c>
      <c r="OCH64" s="44">
        <f t="shared" si="291"/>
        <v>0</v>
      </c>
      <c r="OCI64" s="44">
        <f t="shared" si="291"/>
        <v>0</v>
      </c>
      <c r="OCJ64" s="44">
        <f t="shared" si="291"/>
        <v>0</v>
      </c>
      <c r="OCK64" s="44">
        <f t="shared" si="291"/>
        <v>0</v>
      </c>
      <c r="OCL64" s="44">
        <f t="shared" si="291"/>
        <v>0</v>
      </c>
      <c r="OCM64" s="44">
        <f t="shared" si="291"/>
        <v>0</v>
      </c>
      <c r="OCN64" s="44">
        <f t="shared" si="291"/>
        <v>0</v>
      </c>
      <c r="OCO64" s="44">
        <f t="shared" si="291"/>
        <v>0</v>
      </c>
      <c r="OCP64" s="44">
        <f t="shared" si="291"/>
        <v>0</v>
      </c>
      <c r="OCQ64" s="44">
        <f t="shared" si="291"/>
        <v>0</v>
      </c>
      <c r="OCR64" s="44">
        <f t="shared" si="291"/>
        <v>0</v>
      </c>
      <c r="OCS64" s="44">
        <f t="shared" si="291"/>
        <v>0</v>
      </c>
      <c r="OCT64" s="44">
        <f t="shared" si="291"/>
        <v>0</v>
      </c>
      <c r="OCU64" s="44">
        <f t="shared" si="291"/>
        <v>0</v>
      </c>
      <c r="OCV64" s="44">
        <f t="shared" si="291"/>
        <v>0</v>
      </c>
      <c r="OCW64" s="44">
        <f t="shared" si="291"/>
        <v>0</v>
      </c>
      <c r="OCX64" s="44">
        <f t="shared" si="291"/>
        <v>0</v>
      </c>
      <c r="OCY64" s="44">
        <f t="shared" si="291"/>
        <v>0</v>
      </c>
      <c r="OCZ64" s="44">
        <f t="shared" si="291"/>
        <v>0</v>
      </c>
      <c r="ODA64" s="44">
        <f t="shared" si="291"/>
        <v>0</v>
      </c>
      <c r="ODB64" s="44">
        <f t="shared" si="291"/>
        <v>0</v>
      </c>
      <c r="ODC64" s="44">
        <f t="shared" si="291"/>
        <v>0</v>
      </c>
      <c r="ODD64" s="44">
        <f t="shared" si="291"/>
        <v>0</v>
      </c>
      <c r="ODE64" s="44">
        <f t="shared" si="291"/>
        <v>0</v>
      </c>
      <c r="ODF64" s="44">
        <f t="shared" si="291"/>
        <v>0</v>
      </c>
      <c r="ODG64" s="44">
        <f t="shared" si="291"/>
        <v>0</v>
      </c>
      <c r="ODH64" s="44">
        <f t="shared" si="291"/>
        <v>0</v>
      </c>
      <c r="ODI64" s="44">
        <f t="shared" si="291"/>
        <v>0</v>
      </c>
      <c r="ODJ64" s="44">
        <f t="shared" si="291"/>
        <v>0</v>
      </c>
      <c r="ODK64" s="44">
        <f t="shared" si="291"/>
        <v>0</v>
      </c>
      <c r="ODL64" s="44">
        <f t="shared" si="291"/>
        <v>0</v>
      </c>
      <c r="ODM64" s="44">
        <f t="shared" si="291"/>
        <v>0</v>
      </c>
      <c r="ODN64" s="44">
        <f t="shared" si="291"/>
        <v>0</v>
      </c>
      <c r="ODO64" s="44">
        <f t="shared" si="291"/>
        <v>0</v>
      </c>
      <c r="ODP64" s="44">
        <f t="shared" si="291"/>
        <v>0</v>
      </c>
      <c r="ODQ64" s="44">
        <f t="shared" si="291"/>
        <v>0</v>
      </c>
      <c r="ODR64" s="44">
        <f t="shared" ref="ODR64:OGC64" si="292">SUM(ODR56:ODR57)</f>
        <v>0</v>
      </c>
      <c r="ODS64" s="44">
        <f t="shared" si="292"/>
        <v>0</v>
      </c>
      <c r="ODT64" s="44">
        <f t="shared" si="292"/>
        <v>0</v>
      </c>
      <c r="ODU64" s="44">
        <f t="shared" si="292"/>
        <v>0</v>
      </c>
      <c r="ODV64" s="44">
        <f t="shared" si="292"/>
        <v>0</v>
      </c>
      <c r="ODW64" s="44">
        <f t="shared" si="292"/>
        <v>0</v>
      </c>
      <c r="ODX64" s="44">
        <f t="shared" si="292"/>
        <v>0</v>
      </c>
      <c r="ODY64" s="44">
        <f t="shared" si="292"/>
        <v>0</v>
      </c>
      <c r="ODZ64" s="44">
        <f t="shared" si="292"/>
        <v>0</v>
      </c>
      <c r="OEA64" s="44">
        <f t="shared" si="292"/>
        <v>0</v>
      </c>
      <c r="OEB64" s="44">
        <f t="shared" si="292"/>
        <v>0</v>
      </c>
      <c r="OEC64" s="44">
        <f t="shared" si="292"/>
        <v>0</v>
      </c>
      <c r="OED64" s="44">
        <f t="shared" si="292"/>
        <v>0</v>
      </c>
      <c r="OEE64" s="44">
        <f t="shared" si="292"/>
        <v>0</v>
      </c>
      <c r="OEF64" s="44">
        <f t="shared" si="292"/>
        <v>0</v>
      </c>
      <c r="OEG64" s="44">
        <f t="shared" si="292"/>
        <v>0</v>
      </c>
      <c r="OEH64" s="44">
        <f t="shared" si="292"/>
        <v>0</v>
      </c>
      <c r="OEI64" s="44">
        <f t="shared" si="292"/>
        <v>0</v>
      </c>
      <c r="OEJ64" s="44">
        <f t="shared" si="292"/>
        <v>0</v>
      </c>
      <c r="OEK64" s="44">
        <f t="shared" si="292"/>
        <v>0</v>
      </c>
      <c r="OEL64" s="44">
        <f t="shared" si="292"/>
        <v>0</v>
      </c>
      <c r="OEM64" s="44">
        <f t="shared" si="292"/>
        <v>0</v>
      </c>
      <c r="OEN64" s="44">
        <f t="shared" si="292"/>
        <v>0</v>
      </c>
      <c r="OEO64" s="44">
        <f t="shared" si="292"/>
        <v>0</v>
      </c>
      <c r="OEP64" s="44">
        <f t="shared" si="292"/>
        <v>0</v>
      </c>
      <c r="OEQ64" s="44">
        <f t="shared" si="292"/>
        <v>0</v>
      </c>
      <c r="OER64" s="44">
        <f t="shared" si="292"/>
        <v>0</v>
      </c>
      <c r="OES64" s="44">
        <f t="shared" si="292"/>
        <v>0</v>
      </c>
      <c r="OET64" s="44">
        <f t="shared" si="292"/>
        <v>0</v>
      </c>
      <c r="OEU64" s="44">
        <f t="shared" si="292"/>
        <v>0</v>
      </c>
      <c r="OEV64" s="44">
        <f t="shared" si="292"/>
        <v>0</v>
      </c>
      <c r="OEW64" s="44">
        <f t="shared" si="292"/>
        <v>0</v>
      </c>
      <c r="OEX64" s="44">
        <f t="shared" si="292"/>
        <v>0</v>
      </c>
      <c r="OEY64" s="44">
        <f t="shared" si="292"/>
        <v>0</v>
      </c>
      <c r="OEZ64" s="44">
        <f t="shared" si="292"/>
        <v>0</v>
      </c>
      <c r="OFA64" s="44">
        <f t="shared" si="292"/>
        <v>0</v>
      </c>
      <c r="OFB64" s="44">
        <f t="shared" si="292"/>
        <v>0</v>
      </c>
      <c r="OFC64" s="44">
        <f t="shared" si="292"/>
        <v>0</v>
      </c>
      <c r="OFD64" s="44">
        <f t="shared" si="292"/>
        <v>0</v>
      </c>
      <c r="OFE64" s="44">
        <f t="shared" si="292"/>
        <v>0</v>
      </c>
      <c r="OFF64" s="44">
        <f t="shared" si="292"/>
        <v>0</v>
      </c>
      <c r="OFG64" s="44">
        <f t="shared" si="292"/>
        <v>0</v>
      </c>
      <c r="OFH64" s="44">
        <f t="shared" si="292"/>
        <v>0</v>
      </c>
      <c r="OFI64" s="44">
        <f t="shared" si="292"/>
        <v>0</v>
      </c>
      <c r="OFJ64" s="44">
        <f t="shared" si="292"/>
        <v>0</v>
      </c>
      <c r="OFK64" s="44">
        <f t="shared" si="292"/>
        <v>0</v>
      </c>
      <c r="OFL64" s="44">
        <f t="shared" si="292"/>
        <v>0</v>
      </c>
      <c r="OFM64" s="44">
        <f t="shared" si="292"/>
        <v>0</v>
      </c>
      <c r="OFN64" s="44">
        <f t="shared" si="292"/>
        <v>0</v>
      </c>
      <c r="OFO64" s="44">
        <f t="shared" si="292"/>
        <v>0</v>
      </c>
      <c r="OFP64" s="44">
        <f t="shared" si="292"/>
        <v>0</v>
      </c>
      <c r="OFQ64" s="44">
        <f t="shared" si="292"/>
        <v>0</v>
      </c>
      <c r="OFR64" s="44">
        <f t="shared" si="292"/>
        <v>0</v>
      </c>
      <c r="OFS64" s="44">
        <f t="shared" si="292"/>
        <v>0</v>
      </c>
      <c r="OFT64" s="44">
        <f t="shared" si="292"/>
        <v>0</v>
      </c>
      <c r="OFU64" s="44">
        <f t="shared" si="292"/>
        <v>0</v>
      </c>
      <c r="OFV64" s="44">
        <f t="shared" si="292"/>
        <v>0</v>
      </c>
      <c r="OFW64" s="44">
        <f t="shared" si="292"/>
        <v>0</v>
      </c>
      <c r="OFX64" s="44">
        <f t="shared" si="292"/>
        <v>0</v>
      </c>
      <c r="OFY64" s="44">
        <f t="shared" si="292"/>
        <v>0</v>
      </c>
      <c r="OFZ64" s="44">
        <f t="shared" si="292"/>
        <v>0</v>
      </c>
      <c r="OGA64" s="44">
        <f t="shared" si="292"/>
        <v>0</v>
      </c>
      <c r="OGB64" s="44">
        <f t="shared" si="292"/>
        <v>0</v>
      </c>
      <c r="OGC64" s="44">
        <f t="shared" si="292"/>
        <v>0</v>
      </c>
      <c r="OGD64" s="44">
        <f t="shared" ref="OGD64:OIO64" si="293">SUM(OGD56:OGD57)</f>
        <v>0</v>
      </c>
      <c r="OGE64" s="44">
        <f t="shared" si="293"/>
        <v>0</v>
      </c>
      <c r="OGF64" s="44">
        <f t="shared" si="293"/>
        <v>0</v>
      </c>
      <c r="OGG64" s="44">
        <f t="shared" si="293"/>
        <v>0</v>
      </c>
      <c r="OGH64" s="44">
        <f t="shared" si="293"/>
        <v>0</v>
      </c>
      <c r="OGI64" s="44">
        <f t="shared" si="293"/>
        <v>0</v>
      </c>
      <c r="OGJ64" s="44">
        <f t="shared" si="293"/>
        <v>0</v>
      </c>
      <c r="OGK64" s="44">
        <f t="shared" si="293"/>
        <v>0</v>
      </c>
      <c r="OGL64" s="44">
        <f t="shared" si="293"/>
        <v>0</v>
      </c>
      <c r="OGM64" s="44">
        <f t="shared" si="293"/>
        <v>0</v>
      </c>
      <c r="OGN64" s="44">
        <f t="shared" si="293"/>
        <v>0</v>
      </c>
      <c r="OGO64" s="44">
        <f t="shared" si="293"/>
        <v>0</v>
      </c>
      <c r="OGP64" s="44">
        <f t="shared" si="293"/>
        <v>0</v>
      </c>
      <c r="OGQ64" s="44">
        <f t="shared" si="293"/>
        <v>0</v>
      </c>
      <c r="OGR64" s="44">
        <f t="shared" si="293"/>
        <v>0</v>
      </c>
      <c r="OGS64" s="44">
        <f t="shared" si="293"/>
        <v>0</v>
      </c>
      <c r="OGT64" s="44">
        <f t="shared" si="293"/>
        <v>0</v>
      </c>
      <c r="OGU64" s="44">
        <f t="shared" si="293"/>
        <v>0</v>
      </c>
      <c r="OGV64" s="44">
        <f t="shared" si="293"/>
        <v>0</v>
      </c>
      <c r="OGW64" s="44">
        <f t="shared" si="293"/>
        <v>0</v>
      </c>
      <c r="OGX64" s="44">
        <f t="shared" si="293"/>
        <v>0</v>
      </c>
      <c r="OGY64" s="44">
        <f t="shared" si="293"/>
        <v>0</v>
      </c>
      <c r="OGZ64" s="44">
        <f t="shared" si="293"/>
        <v>0</v>
      </c>
      <c r="OHA64" s="44">
        <f t="shared" si="293"/>
        <v>0</v>
      </c>
      <c r="OHB64" s="44">
        <f t="shared" si="293"/>
        <v>0</v>
      </c>
      <c r="OHC64" s="44">
        <f t="shared" si="293"/>
        <v>0</v>
      </c>
      <c r="OHD64" s="44">
        <f t="shared" si="293"/>
        <v>0</v>
      </c>
      <c r="OHE64" s="44">
        <f t="shared" si="293"/>
        <v>0</v>
      </c>
      <c r="OHF64" s="44">
        <f t="shared" si="293"/>
        <v>0</v>
      </c>
      <c r="OHG64" s="44">
        <f t="shared" si="293"/>
        <v>0</v>
      </c>
      <c r="OHH64" s="44">
        <f t="shared" si="293"/>
        <v>0</v>
      </c>
      <c r="OHI64" s="44">
        <f t="shared" si="293"/>
        <v>0</v>
      </c>
      <c r="OHJ64" s="44">
        <f t="shared" si="293"/>
        <v>0</v>
      </c>
      <c r="OHK64" s="44">
        <f t="shared" si="293"/>
        <v>0</v>
      </c>
      <c r="OHL64" s="44">
        <f t="shared" si="293"/>
        <v>0</v>
      </c>
      <c r="OHM64" s="44">
        <f t="shared" si="293"/>
        <v>0</v>
      </c>
      <c r="OHN64" s="44">
        <f t="shared" si="293"/>
        <v>0</v>
      </c>
      <c r="OHO64" s="44">
        <f t="shared" si="293"/>
        <v>0</v>
      </c>
      <c r="OHP64" s="44">
        <f t="shared" si="293"/>
        <v>0</v>
      </c>
      <c r="OHQ64" s="44">
        <f t="shared" si="293"/>
        <v>0</v>
      </c>
      <c r="OHR64" s="44">
        <f t="shared" si="293"/>
        <v>0</v>
      </c>
      <c r="OHS64" s="44">
        <f t="shared" si="293"/>
        <v>0</v>
      </c>
      <c r="OHT64" s="44">
        <f t="shared" si="293"/>
        <v>0</v>
      </c>
      <c r="OHU64" s="44">
        <f t="shared" si="293"/>
        <v>0</v>
      </c>
      <c r="OHV64" s="44">
        <f t="shared" si="293"/>
        <v>0</v>
      </c>
      <c r="OHW64" s="44">
        <f t="shared" si="293"/>
        <v>0</v>
      </c>
      <c r="OHX64" s="44">
        <f t="shared" si="293"/>
        <v>0</v>
      </c>
      <c r="OHY64" s="44">
        <f t="shared" si="293"/>
        <v>0</v>
      </c>
      <c r="OHZ64" s="44">
        <f t="shared" si="293"/>
        <v>0</v>
      </c>
      <c r="OIA64" s="44">
        <f t="shared" si="293"/>
        <v>0</v>
      </c>
      <c r="OIB64" s="44">
        <f t="shared" si="293"/>
        <v>0</v>
      </c>
      <c r="OIC64" s="44">
        <f t="shared" si="293"/>
        <v>0</v>
      </c>
      <c r="OID64" s="44">
        <f t="shared" si="293"/>
        <v>0</v>
      </c>
      <c r="OIE64" s="44">
        <f t="shared" si="293"/>
        <v>0</v>
      </c>
      <c r="OIF64" s="44">
        <f t="shared" si="293"/>
        <v>0</v>
      </c>
      <c r="OIG64" s="44">
        <f t="shared" si="293"/>
        <v>0</v>
      </c>
      <c r="OIH64" s="44">
        <f t="shared" si="293"/>
        <v>0</v>
      </c>
      <c r="OII64" s="44">
        <f t="shared" si="293"/>
        <v>0</v>
      </c>
      <c r="OIJ64" s="44">
        <f t="shared" si="293"/>
        <v>0</v>
      </c>
      <c r="OIK64" s="44">
        <f t="shared" si="293"/>
        <v>0</v>
      </c>
      <c r="OIL64" s="44">
        <f t="shared" si="293"/>
        <v>0</v>
      </c>
      <c r="OIM64" s="44">
        <f t="shared" si="293"/>
        <v>0</v>
      </c>
      <c r="OIN64" s="44">
        <f t="shared" si="293"/>
        <v>0</v>
      </c>
      <c r="OIO64" s="44">
        <f t="shared" si="293"/>
        <v>0</v>
      </c>
      <c r="OIP64" s="44">
        <f t="shared" ref="OIP64:OLA64" si="294">SUM(OIP56:OIP57)</f>
        <v>0</v>
      </c>
      <c r="OIQ64" s="44">
        <f t="shared" si="294"/>
        <v>0</v>
      </c>
      <c r="OIR64" s="44">
        <f t="shared" si="294"/>
        <v>0</v>
      </c>
      <c r="OIS64" s="44">
        <f t="shared" si="294"/>
        <v>0</v>
      </c>
      <c r="OIT64" s="44">
        <f t="shared" si="294"/>
        <v>0</v>
      </c>
      <c r="OIU64" s="44">
        <f t="shared" si="294"/>
        <v>0</v>
      </c>
      <c r="OIV64" s="44">
        <f t="shared" si="294"/>
        <v>0</v>
      </c>
      <c r="OIW64" s="44">
        <f t="shared" si="294"/>
        <v>0</v>
      </c>
      <c r="OIX64" s="44">
        <f t="shared" si="294"/>
        <v>0</v>
      </c>
      <c r="OIY64" s="44">
        <f t="shared" si="294"/>
        <v>0</v>
      </c>
      <c r="OIZ64" s="44">
        <f t="shared" si="294"/>
        <v>0</v>
      </c>
      <c r="OJA64" s="44">
        <f t="shared" si="294"/>
        <v>0</v>
      </c>
      <c r="OJB64" s="44">
        <f t="shared" si="294"/>
        <v>0</v>
      </c>
      <c r="OJC64" s="44">
        <f t="shared" si="294"/>
        <v>0</v>
      </c>
      <c r="OJD64" s="44">
        <f t="shared" si="294"/>
        <v>0</v>
      </c>
      <c r="OJE64" s="44">
        <f t="shared" si="294"/>
        <v>0</v>
      </c>
      <c r="OJF64" s="44">
        <f t="shared" si="294"/>
        <v>0</v>
      </c>
      <c r="OJG64" s="44">
        <f t="shared" si="294"/>
        <v>0</v>
      </c>
      <c r="OJH64" s="44">
        <f t="shared" si="294"/>
        <v>0</v>
      </c>
      <c r="OJI64" s="44">
        <f t="shared" si="294"/>
        <v>0</v>
      </c>
      <c r="OJJ64" s="44">
        <f t="shared" si="294"/>
        <v>0</v>
      </c>
      <c r="OJK64" s="44">
        <f t="shared" si="294"/>
        <v>0</v>
      </c>
      <c r="OJL64" s="44">
        <f t="shared" si="294"/>
        <v>0</v>
      </c>
      <c r="OJM64" s="44">
        <f t="shared" si="294"/>
        <v>0</v>
      </c>
      <c r="OJN64" s="44">
        <f t="shared" si="294"/>
        <v>0</v>
      </c>
      <c r="OJO64" s="44">
        <f t="shared" si="294"/>
        <v>0</v>
      </c>
      <c r="OJP64" s="44">
        <f t="shared" si="294"/>
        <v>0</v>
      </c>
      <c r="OJQ64" s="44">
        <f t="shared" si="294"/>
        <v>0</v>
      </c>
      <c r="OJR64" s="44">
        <f t="shared" si="294"/>
        <v>0</v>
      </c>
      <c r="OJS64" s="44">
        <f t="shared" si="294"/>
        <v>0</v>
      </c>
      <c r="OJT64" s="44">
        <f t="shared" si="294"/>
        <v>0</v>
      </c>
      <c r="OJU64" s="44">
        <f t="shared" si="294"/>
        <v>0</v>
      </c>
      <c r="OJV64" s="44">
        <f t="shared" si="294"/>
        <v>0</v>
      </c>
      <c r="OJW64" s="44">
        <f t="shared" si="294"/>
        <v>0</v>
      </c>
      <c r="OJX64" s="44">
        <f t="shared" si="294"/>
        <v>0</v>
      </c>
      <c r="OJY64" s="44">
        <f t="shared" si="294"/>
        <v>0</v>
      </c>
      <c r="OJZ64" s="44">
        <f t="shared" si="294"/>
        <v>0</v>
      </c>
      <c r="OKA64" s="44">
        <f t="shared" si="294"/>
        <v>0</v>
      </c>
      <c r="OKB64" s="44">
        <f t="shared" si="294"/>
        <v>0</v>
      </c>
      <c r="OKC64" s="44">
        <f t="shared" si="294"/>
        <v>0</v>
      </c>
      <c r="OKD64" s="44">
        <f t="shared" si="294"/>
        <v>0</v>
      </c>
      <c r="OKE64" s="44">
        <f t="shared" si="294"/>
        <v>0</v>
      </c>
      <c r="OKF64" s="44">
        <f t="shared" si="294"/>
        <v>0</v>
      </c>
      <c r="OKG64" s="44">
        <f t="shared" si="294"/>
        <v>0</v>
      </c>
      <c r="OKH64" s="44">
        <f t="shared" si="294"/>
        <v>0</v>
      </c>
      <c r="OKI64" s="44">
        <f t="shared" si="294"/>
        <v>0</v>
      </c>
      <c r="OKJ64" s="44">
        <f t="shared" si="294"/>
        <v>0</v>
      </c>
      <c r="OKK64" s="44">
        <f t="shared" si="294"/>
        <v>0</v>
      </c>
      <c r="OKL64" s="44">
        <f t="shared" si="294"/>
        <v>0</v>
      </c>
      <c r="OKM64" s="44">
        <f t="shared" si="294"/>
        <v>0</v>
      </c>
      <c r="OKN64" s="44">
        <f t="shared" si="294"/>
        <v>0</v>
      </c>
      <c r="OKO64" s="44">
        <f t="shared" si="294"/>
        <v>0</v>
      </c>
      <c r="OKP64" s="44">
        <f t="shared" si="294"/>
        <v>0</v>
      </c>
      <c r="OKQ64" s="44">
        <f t="shared" si="294"/>
        <v>0</v>
      </c>
      <c r="OKR64" s="44">
        <f t="shared" si="294"/>
        <v>0</v>
      </c>
      <c r="OKS64" s="44">
        <f t="shared" si="294"/>
        <v>0</v>
      </c>
      <c r="OKT64" s="44">
        <f t="shared" si="294"/>
        <v>0</v>
      </c>
      <c r="OKU64" s="44">
        <f t="shared" si="294"/>
        <v>0</v>
      </c>
      <c r="OKV64" s="44">
        <f t="shared" si="294"/>
        <v>0</v>
      </c>
      <c r="OKW64" s="44">
        <f t="shared" si="294"/>
        <v>0</v>
      </c>
      <c r="OKX64" s="44">
        <f t="shared" si="294"/>
        <v>0</v>
      </c>
      <c r="OKY64" s="44">
        <f t="shared" si="294"/>
        <v>0</v>
      </c>
      <c r="OKZ64" s="44">
        <f t="shared" si="294"/>
        <v>0</v>
      </c>
      <c r="OLA64" s="44">
        <f t="shared" si="294"/>
        <v>0</v>
      </c>
      <c r="OLB64" s="44">
        <f t="shared" ref="OLB64:ONM64" si="295">SUM(OLB56:OLB57)</f>
        <v>0</v>
      </c>
      <c r="OLC64" s="44">
        <f t="shared" si="295"/>
        <v>0</v>
      </c>
      <c r="OLD64" s="44">
        <f t="shared" si="295"/>
        <v>0</v>
      </c>
      <c r="OLE64" s="44">
        <f t="shared" si="295"/>
        <v>0</v>
      </c>
      <c r="OLF64" s="44">
        <f t="shared" si="295"/>
        <v>0</v>
      </c>
      <c r="OLG64" s="44">
        <f t="shared" si="295"/>
        <v>0</v>
      </c>
      <c r="OLH64" s="44">
        <f t="shared" si="295"/>
        <v>0</v>
      </c>
      <c r="OLI64" s="44">
        <f t="shared" si="295"/>
        <v>0</v>
      </c>
      <c r="OLJ64" s="44">
        <f t="shared" si="295"/>
        <v>0</v>
      </c>
      <c r="OLK64" s="44">
        <f t="shared" si="295"/>
        <v>0</v>
      </c>
      <c r="OLL64" s="44">
        <f t="shared" si="295"/>
        <v>0</v>
      </c>
      <c r="OLM64" s="44">
        <f t="shared" si="295"/>
        <v>0</v>
      </c>
      <c r="OLN64" s="44">
        <f t="shared" si="295"/>
        <v>0</v>
      </c>
      <c r="OLO64" s="44">
        <f t="shared" si="295"/>
        <v>0</v>
      </c>
      <c r="OLP64" s="44">
        <f t="shared" si="295"/>
        <v>0</v>
      </c>
      <c r="OLQ64" s="44">
        <f t="shared" si="295"/>
        <v>0</v>
      </c>
      <c r="OLR64" s="44">
        <f t="shared" si="295"/>
        <v>0</v>
      </c>
      <c r="OLS64" s="44">
        <f t="shared" si="295"/>
        <v>0</v>
      </c>
      <c r="OLT64" s="44">
        <f t="shared" si="295"/>
        <v>0</v>
      </c>
      <c r="OLU64" s="44">
        <f t="shared" si="295"/>
        <v>0</v>
      </c>
      <c r="OLV64" s="44">
        <f t="shared" si="295"/>
        <v>0</v>
      </c>
      <c r="OLW64" s="44">
        <f t="shared" si="295"/>
        <v>0</v>
      </c>
      <c r="OLX64" s="44">
        <f t="shared" si="295"/>
        <v>0</v>
      </c>
      <c r="OLY64" s="44">
        <f t="shared" si="295"/>
        <v>0</v>
      </c>
      <c r="OLZ64" s="44">
        <f t="shared" si="295"/>
        <v>0</v>
      </c>
      <c r="OMA64" s="44">
        <f t="shared" si="295"/>
        <v>0</v>
      </c>
      <c r="OMB64" s="44">
        <f t="shared" si="295"/>
        <v>0</v>
      </c>
      <c r="OMC64" s="44">
        <f t="shared" si="295"/>
        <v>0</v>
      </c>
      <c r="OMD64" s="44">
        <f t="shared" si="295"/>
        <v>0</v>
      </c>
      <c r="OME64" s="44">
        <f t="shared" si="295"/>
        <v>0</v>
      </c>
      <c r="OMF64" s="44">
        <f t="shared" si="295"/>
        <v>0</v>
      </c>
      <c r="OMG64" s="44">
        <f t="shared" si="295"/>
        <v>0</v>
      </c>
      <c r="OMH64" s="44">
        <f t="shared" si="295"/>
        <v>0</v>
      </c>
      <c r="OMI64" s="44">
        <f t="shared" si="295"/>
        <v>0</v>
      </c>
      <c r="OMJ64" s="44">
        <f t="shared" si="295"/>
        <v>0</v>
      </c>
      <c r="OMK64" s="44">
        <f t="shared" si="295"/>
        <v>0</v>
      </c>
      <c r="OML64" s="44">
        <f t="shared" si="295"/>
        <v>0</v>
      </c>
      <c r="OMM64" s="44">
        <f t="shared" si="295"/>
        <v>0</v>
      </c>
      <c r="OMN64" s="44">
        <f t="shared" si="295"/>
        <v>0</v>
      </c>
      <c r="OMO64" s="44">
        <f t="shared" si="295"/>
        <v>0</v>
      </c>
      <c r="OMP64" s="44">
        <f t="shared" si="295"/>
        <v>0</v>
      </c>
      <c r="OMQ64" s="44">
        <f t="shared" si="295"/>
        <v>0</v>
      </c>
      <c r="OMR64" s="44">
        <f t="shared" si="295"/>
        <v>0</v>
      </c>
      <c r="OMS64" s="44">
        <f t="shared" si="295"/>
        <v>0</v>
      </c>
      <c r="OMT64" s="44">
        <f t="shared" si="295"/>
        <v>0</v>
      </c>
      <c r="OMU64" s="44">
        <f t="shared" si="295"/>
        <v>0</v>
      </c>
      <c r="OMV64" s="44">
        <f t="shared" si="295"/>
        <v>0</v>
      </c>
      <c r="OMW64" s="44">
        <f t="shared" si="295"/>
        <v>0</v>
      </c>
      <c r="OMX64" s="44">
        <f t="shared" si="295"/>
        <v>0</v>
      </c>
      <c r="OMY64" s="44">
        <f t="shared" si="295"/>
        <v>0</v>
      </c>
      <c r="OMZ64" s="44">
        <f t="shared" si="295"/>
        <v>0</v>
      </c>
      <c r="ONA64" s="44">
        <f t="shared" si="295"/>
        <v>0</v>
      </c>
      <c r="ONB64" s="44">
        <f t="shared" si="295"/>
        <v>0</v>
      </c>
      <c r="ONC64" s="44">
        <f t="shared" si="295"/>
        <v>0</v>
      </c>
      <c r="OND64" s="44">
        <f t="shared" si="295"/>
        <v>0</v>
      </c>
      <c r="ONE64" s="44">
        <f t="shared" si="295"/>
        <v>0</v>
      </c>
      <c r="ONF64" s="44">
        <f t="shared" si="295"/>
        <v>0</v>
      </c>
      <c r="ONG64" s="44">
        <f t="shared" si="295"/>
        <v>0</v>
      </c>
      <c r="ONH64" s="44">
        <f t="shared" si="295"/>
        <v>0</v>
      </c>
      <c r="ONI64" s="44">
        <f t="shared" si="295"/>
        <v>0</v>
      </c>
      <c r="ONJ64" s="44">
        <f t="shared" si="295"/>
        <v>0</v>
      </c>
      <c r="ONK64" s="44">
        <f t="shared" si="295"/>
        <v>0</v>
      </c>
      <c r="ONL64" s="44">
        <f t="shared" si="295"/>
        <v>0</v>
      </c>
      <c r="ONM64" s="44">
        <f t="shared" si="295"/>
        <v>0</v>
      </c>
      <c r="ONN64" s="44">
        <f t="shared" ref="ONN64:OPY64" si="296">SUM(ONN56:ONN57)</f>
        <v>0</v>
      </c>
      <c r="ONO64" s="44">
        <f t="shared" si="296"/>
        <v>0</v>
      </c>
      <c r="ONP64" s="44">
        <f t="shared" si="296"/>
        <v>0</v>
      </c>
      <c r="ONQ64" s="44">
        <f t="shared" si="296"/>
        <v>0</v>
      </c>
      <c r="ONR64" s="44">
        <f t="shared" si="296"/>
        <v>0</v>
      </c>
      <c r="ONS64" s="44">
        <f t="shared" si="296"/>
        <v>0</v>
      </c>
      <c r="ONT64" s="44">
        <f t="shared" si="296"/>
        <v>0</v>
      </c>
      <c r="ONU64" s="44">
        <f t="shared" si="296"/>
        <v>0</v>
      </c>
      <c r="ONV64" s="44">
        <f t="shared" si="296"/>
        <v>0</v>
      </c>
      <c r="ONW64" s="44">
        <f t="shared" si="296"/>
        <v>0</v>
      </c>
      <c r="ONX64" s="44">
        <f t="shared" si="296"/>
        <v>0</v>
      </c>
      <c r="ONY64" s="44">
        <f t="shared" si="296"/>
        <v>0</v>
      </c>
      <c r="ONZ64" s="44">
        <f t="shared" si="296"/>
        <v>0</v>
      </c>
      <c r="OOA64" s="44">
        <f t="shared" si="296"/>
        <v>0</v>
      </c>
      <c r="OOB64" s="44">
        <f t="shared" si="296"/>
        <v>0</v>
      </c>
      <c r="OOC64" s="44">
        <f t="shared" si="296"/>
        <v>0</v>
      </c>
      <c r="OOD64" s="44">
        <f t="shared" si="296"/>
        <v>0</v>
      </c>
      <c r="OOE64" s="44">
        <f t="shared" si="296"/>
        <v>0</v>
      </c>
      <c r="OOF64" s="44">
        <f t="shared" si="296"/>
        <v>0</v>
      </c>
      <c r="OOG64" s="44">
        <f t="shared" si="296"/>
        <v>0</v>
      </c>
      <c r="OOH64" s="44">
        <f t="shared" si="296"/>
        <v>0</v>
      </c>
      <c r="OOI64" s="44">
        <f t="shared" si="296"/>
        <v>0</v>
      </c>
      <c r="OOJ64" s="44">
        <f t="shared" si="296"/>
        <v>0</v>
      </c>
      <c r="OOK64" s="44">
        <f t="shared" si="296"/>
        <v>0</v>
      </c>
      <c r="OOL64" s="44">
        <f t="shared" si="296"/>
        <v>0</v>
      </c>
      <c r="OOM64" s="44">
        <f t="shared" si="296"/>
        <v>0</v>
      </c>
      <c r="OON64" s="44">
        <f t="shared" si="296"/>
        <v>0</v>
      </c>
      <c r="OOO64" s="44">
        <f t="shared" si="296"/>
        <v>0</v>
      </c>
      <c r="OOP64" s="44">
        <f t="shared" si="296"/>
        <v>0</v>
      </c>
      <c r="OOQ64" s="44">
        <f t="shared" si="296"/>
        <v>0</v>
      </c>
      <c r="OOR64" s="44">
        <f t="shared" si="296"/>
        <v>0</v>
      </c>
      <c r="OOS64" s="44">
        <f t="shared" si="296"/>
        <v>0</v>
      </c>
      <c r="OOT64" s="44">
        <f t="shared" si="296"/>
        <v>0</v>
      </c>
      <c r="OOU64" s="44">
        <f t="shared" si="296"/>
        <v>0</v>
      </c>
      <c r="OOV64" s="44">
        <f t="shared" si="296"/>
        <v>0</v>
      </c>
      <c r="OOW64" s="44">
        <f t="shared" si="296"/>
        <v>0</v>
      </c>
      <c r="OOX64" s="44">
        <f t="shared" si="296"/>
        <v>0</v>
      </c>
      <c r="OOY64" s="44">
        <f t="shared" si="296"/>
        <v>0</v>
      </c>
      <c r="OOZ64" s="44">
        <f t="shared" si="296"/>
        <v>0</v>
      </c>
      <c r="OPA64" s="44">
        <f t="shared" si="296"/>
        <v>0</v>
      </c>
      <c r="OPB64" s="44">
        <f t="shared" si="296"/>
        <v>0</v>
      </c>
      <c r="OPC64" s="44">
        <f t="shared" si="296"/>
        <v>0</v>
      </c>
      <c r="OPD64" s="44">
        <f t="shared" si="296"/>
        <v>0</v>
      </c>
      <c r="OPE64" s="44">
        <f t="shared" si="296"/>
        <v>0</v>
      </c>
      <c r="OPF64" s="44">
        <f t="shared" si="296"/>
        <v>0</v>
      </c>
      <c r="OPG64" s="44">
        <f t="shared" si="296"/>
        <v>0</v>
      </c>
      <c r="OPH64" s="44">
        <f t="shared" si="296"/>
        <v>0</v>
      </c>
      <c r="OPI64" s="44">
        <f t="shared" si="296"/>
        <v>0</v>
      </c>
      <c r="OPJ64" s="44">
        <f t="shared" si="296"/>
        <v>0</v>
      </c>
      <c r="OPK64" s="44">
        <f t="shared" si="296"/>
        <v>0</v>
      </c>
      <c r="OPL64" s="44">
        <f t="shared" si="296"/>
        <v>0</v>
      </c>
      <c r="OPM64" s="44">
        <f t="shared" si="296"/>
        <v>0</v>
      </c>
      <c r="OPN64" s="44">
        <f t="shared" si="296"/>
        <v>0</v>
      </c>
      <c r="OPO64" s="44">
        <f t="shared" si="296"/>
        <v>0</v>
      </c>
      <c r="OPP64" s="44">
        <f t="shared" si="296"/>
        <v>0</v>
      </c>
      <c r="OPQ64" s="44">
        <f t="shared" si="296"/>
        <v>0</v>
      </c>
      <c r="OPR64" s="44">
        <f t="shared" si="296"/>
        <v>0</v>
      </c>
      <c r="OPS64" s="44">
        <f t="shared" si="296"/>
        <v>0</v>
      </c>
      <c r="OPT64" s="44">
        <f t="shared" si="296"/>
        <v>0</v>
      </c>
      <c r="OPU64" s="44">
        <f t="shared" si="296"/>
        <v>0</v>
      </c>
      <c r="OPV64" s="44">
        <f t="shared" si="296"/>
        <v>0</v>
      </c>
      <c r="OPW64" s="44">
        <f t="shared" si="296"/>
        <v>0</v>
      </c>
      <c r="OPX64" s="44">
        <f t="shared" si="296"/>
        <v>0</v>
      </c>
      <c r="OPY64" s="44">
        <f t="shared" si="296"/>
        <v>0</v>
      </c>
      <c r="OPZ64" s="44">
        <f t="shared" ref="OPZ64:OSK64" si="297">SUM(OPZ56:OPZ57)</f>
        <v>0</v>
      </c>
      <c r="OQA64" s="44">
        <f t="shared" si="297"/>
        <v>0</v>
      </c>
      <c r="OQB64" s="44">
        <f t="shared" si="297"/>
        <v>0</v>
      </c>
      <c r="OQC64" s="44">
        <f t="shared" si="297"/>
        <v>0</v>
      </c>
      <c r="OQD64" s="44">
        <f t="shared" si="297"/>
        <v>0</v>
      </c>
      <c r="OQE64" s="44">
        <f t="shared" si="297"/>
        <v>0</v>
      </c>
      <c r="OQF64" s="44">
        <f t="shared" si="297"/>
        <v>0</v>
      </c>
      <c r="OQG64" s="44">
        <f t="shared" si="297"/>
        <v>0</v>
      </c>
      <c r="OQH64" s="44">
        <f t="shared" si="297"/>
        <v>0</v>
      </c>
      <c r="OQI64" s="44">
        <f t="shared" si="297"/>
        <v>0</v>
      </c>
      <c r="OQJ64" s="44">
        <f t="shared" si="297"/>
        <v>0</v>
      </c>
      <c r="OQK64" s="44">
        <f t="shared" si="297"/>
        <v>0</v>
      </c>
      <c r="OQL64" s="44">
        <f t="shared" si="297"/>
        <v>0</v>
      </c>
      <c r="OQM64" s="44">
        <f t="shared" si="297"/>
        <v>0</v>
      </c>
      <c r="OQN64" s="44">
        <f t="shared" si="297"/>
        <v>0</v>
      </c>
      <c r="OQO64" s="44">
        <f t="shared" si="297"/>
        <v>0</v>
      </c>
      <c r="OQP64" s="44">
        <f t="shared" si="297"/>
        <v>0</v>
      </c>
      <c r="OQQ64" s="44">
        <f t="shared" si="297"/>
        <v>0</v>
      </c>
      <c r="OQR64" s="44">
        <f t="shared" si="297"/>
        <v>0</v>
      </c>
      <c r="OQS64" s="44">
        <f t="shared" si="297"/>
        <v>0</v>
      </c>
      <c r="OQT64" s="44">
        <f t="shared" si="297"/>
        <v>0</v>
      </c>
      <c r="OQU64" s="44">
        <f t="shared" si="297"/>
        <v>0</v>
      </c>
      <c r="OQV64" s="44">
        <f t="shared" si="297"/>
        <v>0</v>
      </c>
      <c r="OQW64" s="44">
        <f t="shared" si="297"/>
        <v>0</v>
      </c>
      <c r="OQX64" s="44">
        <f t="shared" si="297"/>
        <v>0</v>
      </c>
      <c r="OQY64" s="44">
        <f t="shared" si="297"/>
        <v>0</v>
      </c>
      <c r="OQZ64" s="44">
        <f t="shared" si="297"/>
        <v>0</v>
      </c>
      <c r="ORA64" s="44">
        <f t="shared" si="297"/>
        <v>0</v>
      </c>
      <c r="ORB64" s="44">
        <f t="shared" si="297"/>
        <v>0</v>
      </c>
      <c r="ORC64" s="44">
        <f t="shared" si="297"/>
        <v>0</v>
      </c>
      <c r="ORD64" s="44">
        <f t="shared" si="297"/>
        <v>0</v>
      </c>
      <c r="ORE64" s="44">
        <f t="shared" si="297"/>
        <v>0</v>
      </c>
      <c r="ORF64" s="44">
        <f t="shared" si="297"/>
        <v>0</v>
      </c>
      <c r="ORG64" s="44">
        <f t="shared" si="297"/>
        <v>0</v>
      </c>
      <c r="ORH64" s="44">
        <f t="shared" si="297"/>
        <v>0</v>
      </c>
      <c r="ORI64" s="44">
        <f t="shared" si="297"/>
        <v>0</v>
      </c>
      <c r="ORJ64" s="44">
        <f t="shared" si="297"/>
        <v>0</v>
      </c>
      <c r="ORK64" s="44">
        <f t="shared" si="297"/>
        <v>0</v>
      </c>
      <c r="ORL64" s="44">
        <f t="shared" si="297"/>
        <v>0</v>
      </c>
      <c r="ORM64" s="44">
        <f t="shared" si="297"/>
        <v>0</v>
      </c>
      <c r="ORN64" s="44">
        <f t="shared" si="297"/>
        <v>0</v>
      </c>
      <c r="ORO64" s="44">
        <f t="shared" si="297"/>
        <v>0</v>
      </c>
      <c r="ORP64" s="44">
        <f t="shared" si="297"/>
        <v>0</v>
      </c>
      <c r="ORQ64" s="44">
        <f t="shared" si="297"/>
        <v>0</v>
      </c>
      <c r="ORR64" s="44">
        <f t="shared" si="297"/>
        <v>0</v>
      </c>
      <c r="ORS64" s="44">
        <f t="shared" si="297"/>
        <v>0</v>
      </c>
      <c r="ORT64" s="44">
        <f t="shared" si="297"/>
        <v>0</v>
      </c>
      <c r="ORU64" s="44">
        <f t="shared" si="297"/>
        <v>0</v>
      </c>
      <c r="ORV64" s="44">
        <f t="shared" si="297"/>
        <v>0</v>
      </c>
      <c r="ORW64" s="44">
        <f t="shared" si="297"/>
        <v>0</v>
      </c>
      <c r="ORX64" s="44">
        <f t="shared" si="297"/>
        <v>0</v>
      </c>
      <c r="ORY64" s="44">
        <f t="shared" si="297"/>
        <v>0</v>
      </c>
      <c r="ORZ64" s="44">
        <f t="shared" si="297"/>
        <v>0</v>
      </c>
      <c r="OSA64" s="44">
        <f t="shared" si="297"/>
        <v>0</v>
      </c>
      <c r="OSB64" s="44">
        <f t="shared" si="297"/>
        <v>0</v>
      </c>
      <c r="OSC64" s="44">
        <f t="shared" si="297"/>
        <v>0</v>
      </c>
      <c r="OSD64" s="44">
        <f t="shared" si="297"/>
        <v>0</v>
      </c>
      <c r="OSE64" s="44">
        <f t="shared" si="297"/>
        <v>0</v>
      </c>
      <c r="OSF64" s="44">
        <f t="shared" si="297"/>
        <v>0</v>
      </c>
      <c r="OSG64" s="44">
        <f t="shared" si="297"/>
        <v>0</v>
      </c>
      <c r="OSH64" s="44">
        <f t="shared" si="297"/>
        <v>0</v>
      </c>
      <c r="OSI64" s="44">
        <f t="shared" si="297"/>
        <v>0</v>
      </c>
      <c r="OSJ64" s="44">
        <f t="shared" si="297"/>
        <v>0</v>
      </c>
      <c r="OSK64" s="44">
        <f t="shared" si="297"/>
        <v>0</v>
      </c>
      <c r="OSL64" s="44">
        <f t="shared" ref="OSL64:OUW64" si="298">SUM(OSL56:OSL57)</f>
        <v>0</v>
      </c>
      <c r="OSM64" s="44">
        <f t="shared" si="298"/>
        <v>0</v>
      </c>
      <c r="OSN64" s="44">
        <f t="shared" si="298"/>
        <v>0</v>
      </c>
      <c r="OSO64" s="44">
        <f t="shared" si="298"/>
        <v>0</v>
      </c>
      <c r="OSP64" s="44">
        <f t="shared" si="298"/>
        <v>0</v>
      </c>
      <c r="OSQ64" s="44">
        <f t="shared" si="298"/>
        <v>0</v>
      </c>
      <c r="OSR64" s="44">
        <f t="shared" si="298"/>
        <v>0</v>
      </c>
      <c r="OSS64" s="44">
        <f t="shared" si="298"/>
        <v>0</v>
      </c>
      <c r="OST64" s="44">
        <f t="shared" si="298"/>
        <v>0</v>
      </c>
      <c r="OSU64" s="44">
        <f t="shared" si="298"/>
        <v>0</v>
      </c>
      <c r="OSV64" s="44">
        <f t="shared" si="298"/>
        <v>0</v>
      </c>
      <c r="OSW64" s="44">
        <f t="shared" si="298"/>
        <v>0</v>
      </c>
      <c r="OSX64" s="44">
        <f t="shared" si="298"/>
        <v>0</v>
      </c>
      <c r="OSY64" s="44">
        <f t="shared" si="298"/>
        <v>0</v>
      </c>
      <c r="OSZ64" s="44">
        <f t="shared" si="298"/>
        <v>0</v>
      </c>
      <c r="OTA64" s="44">
        <f t="shared" si="298"/>
        <v>0</v>
      </c>
      <c r="OTB64" s="44">
        <f t="shared" si="298"/>
        <v>0</v>
      </c>
      <c r="OTC64" s="44">
        <f t="shared" si="298"/>
        <v>0</v>
      </c>
      <c r="OTD64" s="44">
        <f t="shared" si="298"/>
        <v>0</v>
      </c>
      <c r="OTE64" s="44">
        <f t="shared" si="298"/>
        <v>0</v>
      </c>
      <c r="OTF64" s="44">
        <f t="shared" si="298"/>
        <v>0</v>
      </c>
      <c r="OTG64" s="44">
        <f t="shared" si="298"/>
        <v>0</v>
      </c>
      <c r="OTH64" s="44">
        <f t="shared" si="298"/>
        <v>0</v>
      </c>
      <c r="OTI64" s="44">
        <f t="shared" si="298"/>
        <v>0</v>
      </c>
      <c r="OTJ64" s="44">
        <f t="shared" si="298"/>
        <v>0</v>
      </c>
      <c r="OTK64" s="44">
        <f t="shared" si="298"/>
        <v>0</v>
      </c>
      <c r="OTL64" s="44">
        <f t="shared" si="298"/>
        <v>0</v>
      </c>
      <c r="OTM64" s="44">
        <f t="shared" si="298"/>
        <v>0</v>
      </c>
      <c r="OTN64" s="44">
        <f t="shared" si="298"/>
        <v>0</v>
      </c>
      <c r="OTO64" s="44">
        <f t="shared" si="298"/>
        <v>0</v>
      </c>
      <c r="OTP64" s="44">
        <f t="shared" si="298"/>
        <v>0</v>
      </c>
      <c r="OTQ64" s="44">
        <f t="shared" si="298"/>
        <v>0</v>
      </c>
      <c r="OTR64" s="44">
        <f t="shared" si="298"/>
        <v>0</v>
      </c>
      <c r="OTS64" s="44">
        <f t="shared" si="298"/>
        <v>0</v>
      </c>
      <c r="OTT64" s="44">
        <f t="shared" si="298"/>
        <v>0</v>
      </c>
      <c r="OTU64" s="44">
        <f t="shared" si="298"/>
        <v>0</v>
      </c>
      <c r="OTV64" s="44">
        <f t="shared" si="298"/>
        <v>0</v>
      </c>
      <c r="OTW64" s="44">
        <f t="shared" si="298"/>
        <v>0</v>
      </c>
      <c r="OTX64" s="44">
        <f t="shared" si="298"/>
        <v>0</v>
      </c>
      <c r="OTY64" s="44">
        <f t="shared" si="298"/>
        <v>0</v>
      </c>
      <c r="OTZ64" s="44">
        <f t="shared" si="298"/>
        <v>0</v>
      </c>
      <c r="OUA64" s="44">
        <f t="shared" si="298"/>
        <v>0</v>
      </c>
      <c r="OUB64" s="44">
        <f t="shared" si="298"/>
        <v>0</v>
      </c>
      <c r="OUC64" s="44">
        <f t="shared" si="298"/>
        <v>0</v>
      </c>
      <c r="OUD64" s="44">
        <f t="shared" si="298"/>
        <v>0</v>
      </c>
      <c r="OUE64" s="44">
        <f t="shared" si="298"/>
        <v>0</v>
      </c>
      <c r="OUF64" s="44">
        <f t="shared" si="298"/>
        <v>0</v>
      </c>
      <c r="OUG64" s="44">
        <f t="shared" si="298"/>
        <v>0</v>
      </c>
      <c r="OUH64" s="44">
        <f t="shared" si="298"/>
        <v>0</v>
      </c>
      <c r="OUI64" s="44">
        <f t="shared" si="298"/>
        <v>0</v>
      </c>
      <c r="OUJ64" s="44">
        <f t="shared" si="298"/>
        <v>0</v>
      </c>
      <c r="OUK64" s="44">
        <f t="shared" si="298"/>
        <v>0</v>
      </c>
      <c r="OUL64" s="44">
        <f t="shared" si="298"/>
        <v>0</v>
      </c>
      <c r="OUM64" s="44">
        <f t="shared" si="298"/>
        <v>0</v>
      </c>
      <c r="OUN64" s="44">
        <f t="shared" si="298"/>
        <v>0</v>
      </c>
      <c r="OUO64" s="44">
        <f t="shared" si="298"/>
        <v>0</v>
      </c>
      <c r="OUP64" s="44">
        <f t="shared" si="298"/>
        <v>0</v>
      </c>
      <c r="OUQ64" s="44">
        <f t="shared" si="298"/>
        <v>0</v>
      </c>
      <c r="OUR64" s="44">
        <f t="shared" si="298"/>
        <v>0</v>
      </c>
      <c r="OUS64" s="44">
        <f t="shared" si="298"/>
        <v>0</v>
      </c>
      <c r="OUT64" s="44">
        <f t="shared" si="298"/>
        <v>0</v>
      </c>
      <c r="OUU64" s="44">
        <f t="shared" si="298"/>
        <v>0</v>
      </c>
      <c r="OUV64" s="44">
        <f t="shared" si="298"/>
        <v>0</v>
      </c>
      <c r="OUW64" s="44">
        <f t="shared" si="298"/>
        <v>0</v>
      </c>
      <c r="OUX64" s="44">
        <f t="shared" ref="OUX64:OXI64" si="299">SUM(OUX56:OUX57)</f>
        <v>0</v>
      </c>
      <c r="OUY64" s="44">
        <f t="shared" si="299"/>
        <v>0</v>
      </c>
      <c r="OUZ64" s="44">
        <f t="shared" si="299"/>
        <v>0</v>
      </c>
      <c r="OVA64" s="44">
        <f t="shared" si="299"/>
        <v>0</v>
      </c>
      <c r="OVB64" s="44">
        <f t="shared" si="299"/>
        <v>0</v>
      </c>
      <c r="OVC64" s="44">
        <f t="shared" si="299"/>
        <v>0</v>
      </c>
      <c r="OVD64" s="44">
        <f t="shared" si="299"/>
        <v>0</v>
      </c>
      <c r="OVE64" s="44">
        <f t="shared" si="299"/>
        <v>0</v>
      </c>
      <c r="OVF64" s="44">
        <f t="shared" si="299"/>
        <v>0</v>
      </c>
      <c r="OVG64" s="44">
        <f t="shared" si="299"/>
        <v>0</v>
      </c>
      <c r="OVH64" s="44">
        <f t="shared" si="299"/>
        <v>0</v>
      </c>
      <c r="OVI64" s="44">
        <f t="shared" si="299"/>
        <v>0</v>
      </c>
      <c r="OVJ64" s="44">
        <f t="shared" si="299"/>
        <v>0</v>
      </c>
      <c r="OVK64" s="44">
        <f t="shared" si="299"/>
        <v>0</v>
      </c>
      <c r="OVL64" s="44">
        <f t="shared" si="299"/>
        <v>0</v>
      </c>
      <c r="OVM64" s="44">
        <f t="shared" si="299"/>
        <v>0</v>
      </c>
      <c r="OVN64" s="44">
        <f t="shared" si="299"/>
        <v>0</v>
      </c>
      <c r="OVO64" s="44">
        <f t="shared" si="299"/>
        <v>0</v>
      </c>
      <c r="OVP64" s="44">
        <f t="shared" si="299"/>
        <v>0</v>
      </c>
      <c r="OVQ64" s="44">
        <f t="shared" si="299"/>
        <v>0</v>
      </c>
      <c r="OVR64" s="44">
        <f t="shared" si="299"/>
        <v>0</v>
      </c>
      <c r="OVS64" s="44">
        <f t="shared" si="299"/>
        <v>0</v>
      </c>
      <c r="OVT64" s="44">
        <f t="shared" si="299"/>
        <v>0</v>
      </c>
      <c r="OVU64" s="44">
        <f t="shared" si="299"/>
        <v>0</v>
      </c>
      <c r="OVV64" s="44">
        <f t="shared" si="299"/>
        <v>0</v>
      </c>
      <c r="OVW64" s="44">
        <f t="shared" si="299"/>
        <v>0</v>
      </c>
      <c r="OVX64" s="44">
        <f t="shared" si="299"/>
        <v>0</v>
      </c>
      <c r="OVY64" s="44">
        <f t="shared" si="299"/>
        <v>0</v>
      </c>
      <c r="OVZ64" s="44">
        <f t="shared" si="299"/>
        <v>0</v>
      </c>
      <c r="OWA64" s="44">
        <f t="shared" si="299"/>
        <v>0</v>
      </c>
      <c r="OWB64" s="44">
        <f t="shared" si="299"/>
        <v>0</v>
      </c>
      <c r="OWC64" s="44">
        <f t="shared" si="299"/>
        <v>0</v>
      </c>
      <c r="OWD64" s="44">
        <f t="shared" si="299"/>
        <v>0</v>
      </c>
      <c r="OWE64" s="44">
        <f t="shared" si="299"/>
        <v>0</v>
      </c>
      <c r="OWF64" s="44">
        <f t="shared" si="299"/>
        <v>0</v>
      </c>
      <c r="OWG64" s="44">
        <f t="shared" si="299"/>
        <v>0</v>
      </c>
      <c r="OWH64" s="44">
        <f t="shared" si="299"/>
        <v>0</v>
      </c>
      <c r="OWI64" s="44">
        <f t="shared" si="299"/>
        <v>0</v>
      </c>
      <c r="OWJ64" s="44">
        <f t="shared" si="299"/>
        <v>0</v>
      </c>
      <c r="OWK64" s="44">
        <f t="shared" si="299"/>
        <v>0</v>
      </c>
      <c r="OWL64" s="44">
        <f t="shared" si="299"/>
        <v>0</v>
      </c>
      <c r="OWM64" s="44">
        <f t="shared" si="299"/>
        <v>0</v>
      </c>
      <c r="OWN64" s="44">
        <f t="shared" si="299"/>
        <v>0</v>
      </c>
      <c r="OWO64" s="44">
        <f t="shared" si="299"/>
        <v>0</v>
      </c>
      <c r="OWP64" s="44">
        <f t="shared" si="299"/>
        <v>0</v>
      </c>
      <c r="OWQ64" s="44">
        <f t="shared" si="299"/>
        <v>0</v>
      </c>
      <c r="OWR64" s="44">
        <f t="shared" si="299"/>
        <v>0</v>
      </c>
      <c r="OWS64" s="44">
        <f t="shared" si="299"/>
        <v>0</v>
      </c>
      <c r="OWT64" s="44">
        <f t="shared" si="299"/>
        <v>0</v>
      </c>
      <c r="OWU64" s="44">
        <f t="shared" si="299"/>
        <v>0</v>
      </c>
      <c r="OWV64" s="44">
        <f t="shared" si="299"/>
        <v>0</v>
      </c>
      <c r="OWW64" s="44">
        <f t="shared" si="299"/>
        <v>0</v>
      </c>
      <c r="OWX64" s="44">
        <f t="shared" si="299"/>
        <v>0</v>
      </c>
      <c r="OWY64" s="44">
        <f t="shared" si="299"/>
        <v>0</v>
      </c>
      <c r="OWZ64" s="44">
        <f t="shared" si="299"/>
        <v>0</v>
      </c>
      <c r="OXA64" s="44">
        <f t="shared" si="299"/>
        <v>0</v>
      </c>
      <c r="OXB64" s="44">
        <f t="shared" si="299"/>
        <v>0</v>
      </c>
      <c r="OXC64" s="44">
        <f t="shared" si="299"/>
        <v>0</v>
      </c>
      <c r="OXD64" s="44">
        <f t="shared" si="299"/>
        <v>0</v>
      </c>
      <c r="OXE64" s="44">
        <f t="shared" si="299"/>
        <v>0</v>
      </c>
      <c r="OXF64" s="44">
        <f t="shared" si="299"/>
        <v>0</v>
      </c>
      <c r="OXG64" s="44">
        <f t="shared" si="299"/>
        <v>0</v>
      </c>
      <c r="OXH64" s="44">
        <f t="shared" si="299"/>
        <v>0</v>
      </c>
      <c r="OXI64" s="44">
        <f t="shared" si="299"/>
        <v>0</v>
      </c>
      <c r="OXJ64" s="44">
        <f t="shared" ref="OXJ64:OZU64" si="300">SUM(OXJ56:OXJ57)</f>
        <v>0</v>
      </c>
      <c r="OXK64" s="44">
        <f t="shared" si="300"/>
        <v>0</v>
      </c>
      <c r="OXL64" s="44">
        <f t="shared" si="300"/>
        <v>0</v>
      </c>
      <c r="OXM64" s="44">
        <f t="shared" si="300"/>
        <v>0</v>
      </c>
      <c r="OXN64" s="44">
        <f t="shared" si="300"/>
        <v>0</v>
      </c>
      <c r="OXO64" s="44">
        <f t="shared" si="300"/>
        <v>0</v>
      </c>
      <c r="OXP64" s="44">
        <f t="shared" si="300"/>
        <v>0</v>
      </c>
      <c r="OXQ64" s="44">
        <f t="shared" si="300"/>
        <v>0</v>
      </c>
      <c r="OXR64" s="44">
        <f t="shared" si="300"/>
        <v>0</v>
      </c>
      <c r="OXS64" s="44">
        <f t="shared" si="300"/>
        <v>0</v>
      </c>
      <c r="OXT64" s="44">
        <f t="shared" si="300"/>
        <v>0</v>
      </c>
      <c r="OXU64" s="44">
        <f t="shared" si="300"/>
        <v>0</v>
      </c>
      <c r="OXV64" s="44">
        <f t="shared" si="300"/>
        <v>0</v>
      </c>
      <c r="OXW64" s="44">
        <f t="shared" si="300"/>
        <v>0</v>
      </c>
      <c r="OXX64" s="44">
        <f t="shared" si="300"/>
        <v>0</v>
      </c>
      <c r="OXY64" s="44">
        <f t="shared" si="300"/>
        <v>0</v>
      </c>
      <c r="OXZ64" s="44">
        <f t="shared" si="300"/>
        <v>0</v>
      </c>
      <c r="OYA64" s="44">
        <f t="shared" si="300"/>
        <v>0</v>
      </c>
      <c r="OYB64" s="44">
        <f t="shared" si="300"/>
        <v>0</v>
      </c>
      <c r="OYC64" s="44">
        <f t="shared" si="300"/>
        <v>0</v>
      </c>
      <c r="OYD64" s="44">
        <f t="shared" si="300"/>
        <v>0</v>
      </c>
      <c r="OYE64" s="44">
        <f t="shared" si="300"/>
        <v>0</v>
      </c>
      <c r="OYF64" s="44">
        <f t="shared" si="300"/>
        <v>0</v>
      </c>
      <c r="OYG64" s="44">
        <f t="shared" si="300"/>
        <v>0</v>
      </c>
      <c r="OYH64" s="44">
        <f t="shared" si="300"/>
        <v>0</v>
      </c>
      <c r="OYI64" s="44">
        <f t="shared" si="300"/>
        <v>0</v>
      </c>
      <c r="OYJ64" s="44">
        <f t="shared" si="300"/>
        <v>0</v>
      </c>
      <c r="OYK64" s="44">
        <f t="shared" si="300"/>
        <v>0</v>
      </c>
      <c r="OYL64" s="44">
        <f t="shared" si="300"/>
        <v>0</v>
      </c>
      <c r="OYM64" s="44">
        <f t="shared" si="300"/>
        <v>0</v>
      </c>
      <c r="OYN64" s="44">
        <f t="shared" si="300"/>
        <v>0</v>
      </c>
      <c r="OYO64" s="44">
        <f t="shared" si="300"/>
        <v>0</v>
      </c>
      <c r="OYP64" s="44">
        <f t="shared" si="300"/>
        <v>0</v>
      </c>
      <c r="OYQ64" s="44">
        <f t="shared" si="300"/>
        <v>0</v>
      </c>
      <c r="OYR64" s="44">
        <f t="shared" si="300"/>
        <v>0</v>
      </c>
      <c r="OYS64" s="44">
        <f t="shared" si="300"/>
        <v>0</v>
      </c>
      <c r="OYT64" s="44">
        <f t="shared" si="300"/>
        <v>0</v>
      </c>
      <c r="OYU64" s="44">
        <f t="shared" si="300"/>
        <v>0</v>
      </c>
      <c r="OYV64" s="44">
        <f t="shared" si="300"/>
        <v>0</v>
      </c>
      <c r="OYW64" s="44">
        <f t="shared" si="300"/>
        <v>0</v>
      </c>
      <c r="OYX64" s="44">
        <f t="shared" si="300"/>
        <v>0</v>
      </c>
      <c r="OYY64" s="44">
        <f t="shared" si="300"/>
        <v>0</v>
      </c>
      <c r="OYZ64" s="44">
        <f t="shared" si="300"/>
        <v>0</v>
      </c>
      <c r="OZA64" s="44">
        <f t="shared" si="300"/>
        <v>0</v>
      </c>
      <c r="OZB64" s="44">
        <f t="shared" si="300"/>
        <v>0</v>
      </c>
      <c r="OZC64" s="44">
        <f t="shared" si="300"/>
        <v>0</v>
      </c>
      <c r="OZD64" s="44">
        <f t="shared" si="300"/>
        <v>0</v>
      </c>
      <c r="OZE64" s="44">
        <f t="shared" si="300"/>
        <v>0</v>
      </c>
      <c r="OZF64" s="44">
        <f t="shared" si="300"/>
        <v>0</v>
      </c>
      <c r="OZG64" s="44">
        <f t="shared" si="300"/>
        <v>0</v>
      </c>
      <c r="OZH64" s="44">
        <f t="shared" si="300"/>
        <v>0</v>
      </c>
      <c r="OZI64" s="44">
        <f t="shared" si="300"/>
        <v>0</v>
      </c>
      <c r="OZJ64" s="44">
        <f t="shared" si="300"/>
        <v>0</v>
      </c>
      <c r="OZK64" s="44">
        <f t="shared" si="300"/>
        <v>0</v>
      </c>
      <c r="OZL64" s="44">
        <f t="shared" si="300"/>
        <v>0</v>
      </c>
      <c r="OZM64" s="44">
        <f t="shared" si="300"/>
        <v>0</v>
      </c>
      <c r="OZN64" s="44">
        <f t="shared" si="300"/>
        <v>0</v>
      </c>
      <c r="OZO64" s="44">
        <f t="shared" si="300"/>
        <v>0</v>
      </c>
      <c r="OZP64" s="44">
        <f t="shared" si="300"/>
        <v>0</v>
      </c>
      <c r="OZQ64" s="44">
        <f t="shared" si="300"/>
        <v>0</v>
      </c>
      <c r="OZR64" s="44">
        <f t="shared" si="300"/>
        <v>0</v>
      </c>
      <c r="OZS64" s="44">
        <f t="shared" si="300"/>
        <v>0</v>
      </c>
      <c r="OZT64" s="44">
        <f t="shared" si="300"/>
        <v>0</v>
      </c>
      <c r="OZU64" s="44">
        <f t="shared" si="300"/>
        <v>0</v>
      </c>
      <c r="OZV64" s="44">
        <f t="shared" ref="OZV64:PCG64" si="301">SUM(OZV56:OZV57)</f>
        <v>0</v>
      </c>
      <c r="OZW64" s="44">
        <f t="shared" si="301"/>
        <v>0</v>
      </c>
      <c r="OZX64" s="44">
        <f t="shared" si="301"/>
        <v>0</v>
      </c>
      <c r="OZY64" s="44">
        <f t="shared" si="301"/>
        <v>0</v>
      </c>
      <c r="OZZ64" s="44">
        <f t="shared" si="301"/>
        <v>0</v>
      </c>
      <c r="PAA64" s="44">
        <f t="shared" si="301"/>
        <v>0</v>
      </c>
      <c r="PAB64" s="44">
        <f t="shared" si="301"/>
        <v>0</v>
      </c>
      <c r="PAC64" s="44">
        <f t="shared" si="301"/>
        <v>0</v>
      </c>
      <c r="PAD64" s="44">
        <f t="shared" si="301"/>
        <v>0</v>
      </c>
      <c r="PAE64" s="44">
        <f t="shared" si="301"/>
        <v>0</v>
      </c>
      <c r="PAF64" s="44">
        <f t="shared" si="301"/>
        <v>0</v>
      </c>
      <c r="PAG64" s="44">
        <f t="shared" si="301"/>
        <v>0</v>
      </c>
      <c r="PAH64" s="44">
        <f t="shared" si="301"/>
        <v>0</v>
      </c>
      <c r="PAI64" s="44">
        <f t="shared" si="301"/>
        <v>0</v>
      </c>
      <c r="PAJ64" s="44">
        <f t="shared" si="301"/>
        <v>0</v>
      </c>
      <c r="PAK64" s="44">
        <f t="shared" si="301"/>
        <v>0</v>
      </c>
      <c r="PAL64" s="44">
        <f t="shared" si="301"/>
        <v>0</v>
      </c>
      <c r="PAM64" s="44">
        <f t="shared" si="301"/>
        <v>0</v>
      </c>
      <c r="PAN64" s="44">
        <f t="shared" si="301"/>
        <v>0</v>
      </c>
      <c r="PAO64" s="44">
        <f t="shared" si="301"/>
        <v>0</v>
      </c>
      <c r="PAP64" s="44">
        <f t="shared" si="301"/>
        <v>0</v>
      </c>
      <c r="PAQ64" s="44">
        <f t="shared" si="301"/>
        <v>0</v>
      </c>
      <c r="PAR64" s="44">
        <f t="shared" si="301"/>
        <v>0</v>
      </c>
      <c r="PAS64" s="44">
        <f t="shared" si="301"/>
        <v>0</v>
      </c>
      <c r="PAT64" s="44">
        <f t="shared" si="301"/>
        <v>0</v>
      </c>
      <c r="PAU64" s="44">
        <f t="shared" si="301"/>
        <v>0</v>
      </c>
      <c r="PAV64" s="44">
        <f t="shared" si="301"/>
        <v>0</v>
      </c>
      <c r="PAW64" s="44">
        <f t="shared" si="301"/>
        <v>0</v>
      </c>
      <c r="PAX64" s="44">
        <f t="shared" si="301"/>
        <v>0</v>
      </c>
      <c r="PAY64" s="44">
        <f t="shared" si="301"/>
        <v>0</v>
      </c>
      <c r="PAZ64" s="44">
        <f t="shared" si="301"/>
        <v>0</v>
      </c>
      <c r="PBA64" s="44">
        <f t="shared" si="301"/>
        <v>0</v>
      </c>
      <c r="PBB64" s="44">
        <f t="shared" si="301"/>
        <v>0</v>
      </c>
      <c r="PBC64" s="44">
        <f t="shared" si="301"/>
        <v>0</v>
      </c>
      <c r="PBD64" s="44">
        <f t="shared" si="301"/>
        <v>0</v>
      </c>
      <c r="PBE64" s="44">
        <f t="shared" si="301"/>
        <v>0</v>
      </c>
      <c r="PBF64" s="44">
        <f t="shared" si="301"/>
        <v>0</v>
      </c>
      <c r="PBG64" s="44">
        <f t="shared" si="301"/>
        <v>0</v>
      </c>
      <c r="PBH64" s="44">
        <f t="shared" si="301"/>
        <v>0</v>
      </c>
      <c r="PBI64" s="44">
        <f t="shared" si="301"/>
        <v>0</v>
      </c>
      <c r="PBJ64" s="44">
        <f t="shared" si="301"/>
        <v>0</v>
      </c>
      <c r="PBK64" s="44">
        <f t="shared" si="301"/>
        <v>0</v>
      </c>
      <c r="PBL64" s="44">
        <f t="shared" si="301"/>
        <v>0</v>
      </c>
      <c r="PBM64" s="44">
        <f t="shared" si="301"/>
        <v>0</v>
      </c>
      <c r="PBN64" s="44">
        <f t="shared" si="301"/>
        <v>0</v>
      </c>
      <c r="PBO64" s="44">
        <f t="shared" si="301"/>
        <v>0</v>
      </c>
      <c r="PBP64" s="44">
        <f t="shared" si="301"/>
        <v>0</v>
      </c>
      <c r="PBQ64" s="44">
        <f t="shared" si="301"/>
        <v>0</v>
      </c>
      <c r="PBR64" s="44">
        <f t="shared" si="301"/>
        <v>0</v>
      </c>
      <c r="PBS64" s="44">
        <f t="shared" si="301"/>
        <v>0</v>
      </c>
      <c r="PBT64" s="44">
        <f t="shared" si="301"/>
        <v>0</v>
      </c>
      <c r="PBU64" s="44">
        <f t="shared" si="301"/>
        <v>0</v>
      </c>
      <c r="PBV64" s="44">
        <f t="shared" si="301"/>
        <v>0</v>
      </c>
      <c r="PBW64" s="44">
        <f t="shared" si="301"/>
        <v>0</v>
      </c>
      <c r="PBX64" s="44">
        <f t="shared" si="301"/>
        <v>0</v>
      </c>
      <c r="PBY64" s="44">
        <f t="shared" si="301"/>
        <v>0</v>
      </c>
      <c r="PBZ64" s="44">
        <f t="shared" si="301"/>
        <v>0</v>
      </c>
      <c r="PCA64" s="44">
        <f t="shared" si="301"/>
        <v>0</v>
      </c>
      <c r="PCB64" s="44">
        <f t="shared" si="301"/>
        <v>0</v>
      </c>
      <c r="PCC64" s="44">
        <f t="shared" si="301"/>
        <v>0</v>
      </c>
      <c r="PCD64" s="44">
        <f t="shared" si="301"/>
        <v>0</v>
      </c>
      <c r="PCE64" s="44">
        <f t="shared" si="301"/>
        <v>0</v>
      </c>
      <c r="PCF64" s="44">
        <f t="shared" si="301"/>
        <v>0</v>
      </c>
      <c r="PCG64" s="44">
        <f t="shared" si="301"/>
        <v>0</v>
      </c>
      <c r="PCH64" s="44">
        <f t="shared" ref="PCH64:PES64" si="302">SUM(PCH56:PCH57)</f>
        <v>0</v>
      </c>
      <c r="PCI64" s="44">
        <f t="shared" si="302"/>
        <v>0</v>
      </c>
      <c r="PCJ64" s="44">
        <f t="shared" si="302"/>
        <v>0</v>
      </c>
      <c r="PCK64" s="44">
        <f t="shared" si="302"/>
        <v>0</v>
      </c>
      <c r="PCL64" s="44">
        <f t="shared" si="302"/>
        <v>0</v>
      </c>
      <c r="PCM64" s="44">
        <f t="shared" si="302"/>
        <v>0</v>
      </c>
      <c r="PCN64" s="44">
        <f t="shared" si="302"/>
        <v>0</v>
      </c>
      <c r="PCO64" s="44">
        <f t="shared" si="302"/>
        <v>0</v>
      </c>
      <c r="PCP64" s="44">
        <f t="shared" si="302"/>
        <v>0</v>
      </c>
      <c r="PCQ64" s="44">
        <f t="shared" si="302"/>
        <v>0</v>
      </c>
      <c r="PCR64" s="44">
        <f t="shared" si="302"/>
        <v>0</v>
      </c>
      <c r="PCS64" s="44">
        <f t="shared" si="302"/>
        <v>0</v>
      </c>
      <c r="PCT64" s="44">
        <f t="shared" si="302"/>
        <v>0</v>
      </c>
      <c r="PCU64" s="44">
        <f t="shared" si="302"/>
        <v>0</v>
      </c>
      <c r="PCV64" s="44">
        <f t="shared" si="302"/>
        <v>0</v>
      </c>
      <c r="PCW64" s="44">
        <f t="shared" si="302"/>
        <v>0</v>
      </c>
      <c r="PCX64" s="44">
        <f t="shared" si="302"/>
        <v>0</v>
      </c>
      <c r="PCY64" s="44">
        <f t="shared" si="302"/>
        <v>0</v>
      </c>
      <c r="PCZ64" s="44">
        <f t="shared" si="302"/>
        <v>0</v>
      </c>
      <c r="PDA64" s="44">
        <f t="shared" si="302"/>
        <v>0</v>
      </c>
      <c r="PDB64" s="44">
        <f t="shared" si="302"/>
        <v>0</v>
      </c>
      <c r="PDC64" s="44">
        <f t="shared" si="302"/>
        <v>0</v>
      </c>
      <c r="PDD64" s="44">
        <f t="shared" si="302"/>
        <v>0</v>
      </c>
      <c r="PDE64" s="44">
        <f t="shared" si="302"/>
        <v>0</v>
      </c>
      <c r="PDF64" s="44">
        <f t="shared" si="302"/>
        <v>0</v>
      </c>
      <c r="PDG64" s="44">
        <f t="shared" si="302"/>
        <v>0</v>
      </c>
      <c r="PDH64" s="44">
        <f t="shared" si="302"/>
        <v>0</v>
      </c>
      <c r="PDI64" s="44">
        <f t="shared" si="302"/>
        <v>0</v>
      </c>
      <c r="PDJ64" s="44">
        <f t="shared" si="302"/>
        <v>0</v>
      </c>
      <c r="PDK64" s="44">
        <f t="shared" si="302"/>
        <v>0</v>
      </c>
      <c r="PDL64" s="44">
        <f t="shared" si="302"/>
        <v>0</v>
      </c>
      <c r="PDM64" s="44">
        <f t="shared" si="302"/>
        <v>0</v>
      </c>
      <c r="PDN64" s="44">
        <f t="shared" si="302"/>
        <v>0</v>
      </c>
      <c r="PDO64" s="44">
        <f t="shared" si="302"/>
        <v>0</v>
      </c>
      <c r="PDP64" s="44">
        <f t="shared" si="302"/>
        <v>0</v>
      </c>
      <c r="PDQ64" s="44">
        <f t="shared" si="302"/>
        <v>0</v>
      </c>
      <c r="PDR64" s="44">
        <f t="shared" si="302"/>
        <v>0</v>
      </c>
      <c r="PDS64" s="44">
        <f t="shared" si="302"/>
        <v>0</v>
      </c>
      <c r="PDT64" s="44">
        <f t="shared" si="302"/>
        <v>0</v>
      </c>
      <c r="PDU64" s="44">
        <f t="shared" si="302"/>
        <v>0</v>
      </c>
      <c r="PDV64" s="44">
        <f t="shared" si="302"/>
        <v>0</v>
      </c>
      <c r="PDW64" s="44">
        <f t="shared" si="302"/>
        <v>0</v>
      </c>
      <c r="PDX64" s="44">
        <f t="shared" si="302"/>
        <v>0</v>
      </c>
      <c r="PDY64" s="44">
        <f t="shared" si="302"/>
        <v>0</v>
      </c>
      <c r="PDZ64" s="44">
        <f t="shared" si="302"/>
        <v>0</v>
      </c>
      <c r="PEA64" s="44">
        <f t="shared" si="302"/>
        <v>0</v>
      </c>
      <c r="PEB64" s="44">
        <f t="shared" si="302"/>
        <v>0</v>
      </c>
      <c r="PEC64" s="44">
        <f t="shared" si="302"/>
        <v>0</v>
      </c>
      <c r="PED64" s="44">
        <f t="shared" si="302"/>
        <v>0</v>
      </c>
      <c r="PEE64" s="44">
        <f t="shared" si="302"/>
        <v>0</v>
      </c>
      <c r="PEF64" s="44">
        <f t="shared" si="302"/>
        <v>0</v>
      </c>
      <c r="PEG64" s="44">
        <f t="shared" si="302"/>
        <v>0</v>
      </c>
      <c r="PEH64" s="44">
        <f t="shared" si="302"/>
        <v>0</v>
      </c>
      <c r="PEI64" s="44">
        <f t="shared" si="302"/>
        <v>0</v>
      </c>
      <c r="PEJ64" s="44">
        <f t="shared" si="302"/>
        <v>0</v>
      </c>
      <c r="PEK64" s="44">
        <f t="shared" si="302"/>
        <v>0</v>
      </c>
      <c r="PEL64" s="44">
        <f t="shared" si="302"/>
        <v>0</v>
      </c>
      <c r="PEM64" s="44">
        <f t="shared" si="302"/>
        <v>0</v>
      </c>
      <c r="PEN64" s="44">
        <f t="shared" si="302"/>
        <v>0</v>
      </c>
      <c r="PEO64" s="44">
        <f t="shared" si="302"/>
        <v>0</v>
      </c>
      <c r="PEP64" s="44">
        <f t="shared" si="302"/>
        <v>0</v>
      </c>
      <c r="PEQ64" s="44">
        <f t="shared" si="302"/>
        <v>0</v>
      </c>
      <c r="PER64" s="44">
        <f t="shared" si="302"/>
        <v>0</v>
      </c>
      <c r="PES64" s="44">
        <f t="shared" si="302"/>
        <v>0</v>
      </c>
      <c r="PET64" s="44">
        <f t="shared" ref="PET64:PHE64" si="303">SUM(PET56:PET57)</f>
        <v>0</v>
      </c>
      <c r="PEU64" s="44">
        <f t="shared" si="303"/>
        <v>0</v>
      </c>
      <c r="PEV64" s="44">
        <f t="shared" si="303"/>
        <v>0</v>
      </c>
      <c r="PEW64" s="44">
        <f t="shared" si="303"/>
        <v>0</v>
      </c>
      <c r="PEX64" s="44">
        <f t="shared" si="303"/>
        <v>0</v>
      </c>
      <c r="PEY64" s="44">
        <f t="shared" si="303"/>
        <v>0</v>
      </c>
      <c r="PEZ64" s="44">
        <f t="shared" si="303"/>
        <v>0</v>
      </c>
      <c r="PFA64" s="44">
        <f t="shared" si="303"/>
        <v>0</v>
      </c>
      <c r="PFB64" s="44">
        <f t="shared" si="303"/>
        <v>0</v>
      </c>
      <c r="PFC64" s="44">
        <f t="shared" si="303"/>
        <v>0</v>
      </c>
      <c r="PFD64" s="44">
        <f t="shared" si="303"/>
        <v>0</v>
      </c>
      <c r="PFE64" s="44">
        <f t="shared" si="303"/>
        <v>0</v>
      </c>
      <c r="PFF64" s="44">
        <f t="shared" si="303"/>
        <v>0</v>
      </c>
      <c r="PFG64" s="44">
        <f t="shared" si="303"/>
        <v>0</v>
      </c>
      <c r="PFH64" s="44">
        <f t="shared" si="303"/>
        <v>0</v>
      </c>
      <c r="PFI64" s="44">
        <f t="shared" si="303"/>
        <v>0</v>
      </c>
      <c r="PFJ64" s="44">
        <f t="shared" si="303"/>
        <v>0</v>
      </c>
      <c r="PFK64" s="44">
        <f t="shared" si="303"/>
        <v>0</v>
      </c>
      <c r="PFL64" s="44">
        <f t="shared" si="303"/>
        <v>0</v>
      </c>
      <c r="PFM64" s="44">
        <f t="shared" si="303"/>
        <v>0</v>
      </c>
      <c r="PFN64" s="44">
        <f t="shared" si="303"/>
        <v>0</v>
      </c>
      <c r="PFO64" s="44">
        <f t="shared" si="303"/>
        <v>0</v>
      </c>
      <c r="PFP64" s="44">
        <f t="shared" si="303"/>
        <v>0</v>
      </c>
      <c r="PFQ64" s="44">
        <f t="shared" si="303"/>
        <v>0</v>
      </c>
      <c r="PFR64" s="44">
        <f t="shared" si="303"/>
        <v>0</v>
      </c>
      <c r="PFS64" s="44">
        <f t="shared" si="303"/>
        <v>0</v>
      </c>
      <c r="PFT64" s="44">
        <f t="shared" si="303"/>
        <v>0</v>
      </c>
      <c r="PFU64" s="44">
        <f t="shared" si="303"/>
        <v>0</v>
      </c>
      <c r="PFV64" s="44">
        <f t="shared" si="303"/>
        <v>0</v>
      </c>
      <c r="PFW64" s="44">
        <f t="shared" si="303"/>
        <v>0</v>
      </c>
      <c r="PFX64" s="44">
        <f t="shared" si="303"/>
        <v>0</v>
      </c>
      <c r="PFY64" s="44">
        <f t="shared" si="303"/>
        <v>0</v>
      </c>
      <c r="PFZ64" s="44">
        <f t="shared" si="303"/>
        <v>0</v>
      </c>
      <c r="PGA64" s="44">
        <f t="shared" si="303"/>
        <v>0</v>
      </c>
      <c r="PGB64" s="44">
        <f t="shared" si="303"/>
        <v>0</v>
      </c>
      <c r="PGC64" s="44">
        <f t="shared" si="303"/>
        <v>0</v>
      </c>
      <c r="PGD64" s="44">
        <f t="shared" si="303"/>
        <v>0</v>
      </c>
      <c r="PGE64" s="44">
        <f t="shared" si="303"/>
        <v>0</v>
      </c>
      <c r="PGF64" s="44">
        <f t="shared" si="303"/>
        <v>0</v>
      </c>
      <c r="PGG64" s="44">
        <f t="shared" si="303"/>
        <v>0</v>
      </c>
      <c r="PGH64" s="44">
        <f t="shared" si="303"/>
        <v>0</v>
      </c>
      <c r="PGI64" s="44">
        <f t="shared" si="303"/>
        <v>0</v>
      </c>
      <c r="PGJ64" s="44">
        <f t="shared" si="303"/>
        <v>0</v>
      </c>
      <c r="PGK64" s="44">
        <f t="shared" si="303"/>
        <v>0</v>
      </c>
      <c r="PGL64" s="44">
        <f t="shared" si="303"/>
        <v>0</v>
      </c>
      <c r="PGM64" s="44">
        <f t="shared" si="303"/>
        <v>0</v>
      </c>
      <c r="PGN64" s="44">
        <f t="shared" si="303"/>
        <v>0</v>
      </c>
      <c r="PGO64" s="44">
        <f t="shared" si="303"/>
        <v>0</v>
      </c>
      <c r="PGP64" s="44">
        <f t="shared" si="303"/>
        <v>0</v>
      </c>
      <c r="PGQ64" s="44">
        <f t="shared" si="303"/>
        <v>0</v>
      </c>
      <c r="PGR64" s="44">
        <f t="shared" si="303"/>
        <v>0</v>
      </c>
      <c r="PGS64" s="44">
        <f t="shared" si="303"/>
        <v>0</v>
      </c>
      <c r="PGT64" s="44">
        <f t="shared" si="303"/>
        <v>0</v>
      </c>
      <c r="PGU64" s="44">
        <f t="shared" si="303"/>
        <v>0</v>
      </c>
      <c r="PGV64" s="44">
        <f t="shared" si="303"/>
        <v>0</v>
      </c>
      <c r="PGW64" s="44">
        <f t="shared" si="303"/>
        <v>0</v>
      </c>
      <c r="PGX64" s="44">
        <f t="shared" si="303"/>
        <v>0</v>
      </c>
      <c r="PGY64" s="44">
        <f t="shared" si="303"/>
        <v>0</v>
      </c>
      <c r="PGZ64" s="44">
        <f t="shared" si="303"/>
        <v>0</v>
      </c>
      <c r="PHA64" s="44">
        <f t="shared" si="303"/>
        <v>0</v>
      </c>
      <c r="PHB64" s="44">
        <f t="shared" si="303"/>
        <v>0</v>
      </c>
      <c r="PHC64" s="44">
        <f t="shared" si="303"/>
        <v>0</v>
      </c>
      <c r="PHD64" s="44">
        <f t="shared" si="303"/>
        <v>0</v>
      </c>
      <c r="PHE64" s="44">
        <f t="shared" si="303"/>
        <v>0</v>
      </c>
      <c r="PHF64" s="44">
        <f t="shared" ref="PHF64:PJQ64" si="304">SUM(PHF56:PHF57)</f>
        <v>0</v>
      </c>
      <c r="PHG64" s="44">
        <f t="shared" si="304"/>
        <v>0</v>
      </c>
      <c r="PHH64" s="44">
        <f t="shared" si="304"/>
        <v>0</v>
      </c>
      <c r="PHI64" s="44">
        <f t="shared" si="304"/>
        <v>0</v>
      </c>
      <c r="PHJ64" s="44">
        <f t="shared" si="304"/>
        <v>0</v>
      </c>
      <c r="PHK64" s="44">
        <f t="shared" si="304"/>
        <v>0</v>
      </c>
      <c r="PHL64" s="44">
        <f t="shared" si="304"/>
        <v>0</v>
      </c>
      <c r="PHM64" s="44">
        <f t="shared" si="304"/>
        <v>0</v>
      </c>
      <c r="PHN64" s="44">
        <f t="shared" si="304"/>
        <v>0</v>
      </c>
      <c r="PHO64" s="44">
        <f t="shared" si="304"/>
        <v>0</v>
      </c>
      <c r="PHP64" s="44">
        <f t="shared" si="304"/>
        <v>0</v>
      </c>
      <c r="PHQ64" s="44">
        <f t="shared" si="304"/>
        <v>0</v>
      </c>
      <c r="PHR64" s="44">
        <f t="shared" si="304"/>
        <v>0</v>
      </c>
      <c r="PHS64" s="44">
        <f t="shared" si="304"/>
        <v>0</v>
      </c>
      <c r="PHT64" s="44">
        <f t="shared" si="304"/>
        <v>0</v>
      </c>
      <c r="PHU64" s="44">
        <f t="shared" si="304"/>
        <v>0</v>
      </c>
      <c r="PHV64" s="44">
        <f t="shared" si="304"/>
        <v>0</v>
      </c>
      <c r="PHW64" s="44">
        <f t="shared" si="304"/>
        <v>0</v>
      </c>
      <c r="PHX64" s="44">
        <f t="shared" si="304"/>
        <v>0</v>
      </c>
      <c r="PHY64" s="44">
        <f t="shared" si="304"/>
        <v>0</v>
      </c>
      <c r="PHZ64" s="44">
        <f t="shared" si="304"/>
        <v>0</v>
      </c>
      <c r="PIA64" s="44">
        <f t="shared" si="304"/>
        <v>0</v>
      </c>
      <c r="PIB64" s="44">
        <f t="shared" si="304"/>
        <v>0</v>
      </c>
      <c r="PIC64" s="44">
        <f t="shared" si="304"/>
        <v>0</v>
      </c>
      <c r="PID64" s="44">
        <f t="shared" si="304"/>
        <v>0</v>
      </c>
      <c r="PIE64" s="44">
        <f t="shared" si="304"/>
        <v>0</v>
      </c>
      <c r="PIF64" s="44">
        <f t="shared" si="304"/>
        <v>0</v>
      </c>
      <c r="PIG64" s="44">
        <f t="shared" si="304"/>
        <v>0</v>
      </c>
      <c r="PIH64" s="44">
        <f t="shared" si="304"/>
        <v>0</v>
      </c>
      <c r="PII64" s="44">
        <f t="shared" si="304"/>
        <v>0</v>
      </c>
      <c r="PIJ64" s="44">
        <f t="shared" si="304"/>
        <v>0</v>
      </c>
      <c r="PIK64" s="44">
        <f t="shared" si="304"/>
        <v>0</v>
      </c>
      <c r="PIL64" s="44">
        <f t="shared" si="304"/>
        <v>0</v>
      </c>
      <c r="PIM64" s="44">
        <f t="shared" si="304"/>
        <v>0</v>
      </c>
      <c r="PIN64" s="44">
        <f t="shared" si="304"/>
        <v>0</v>
      </c>
      <c r="PIO64" s="44">
        <f t="shared" si="304"/>
        <v>0</v>
      </c>
      <c r="PIP64" s="44">
        <f t="shared" si="304"/>
        <v>0</v>
      </c>
      <c r="PIQ64" s="44">
        <f t="shared" si="304"/>
        <v>0</v>
      </c>
      <c r="PIR64" s="44">
        <f t="shared" si="304"/>
        <v>0</v>
      </c>
      <c r="PIS64" s="44">
        <f t="shared" si="304"/>
        <v>0</v>
      </c>
      <c r="PIT64" s="44">
        <f t="shared" si="304"/>
        <v>0</v>
      </c>
      <c r="PIU64" s="44">
        <f t="shared" si="304"/>
        <v>0</v>
      </c>
      <c r="PIV64" s="44">
        <f t="shared" si="304"/>
        <v>0</v>
      </c>
      <c r="PIW64" s="44">
        <f t="shared" si="304"/>
        <v>0</v>
      </c>
      <c r="PIX64" s="44">
        <f t="shared" si="304"/>
        <v>0</v>
      </c>
      <c r="PIY64" s="44">
        <f t="shared" si="304"/>
        <v>0</v>
      </c>
      <c r="PIZ64" s="44">
        <f t="shared" si="304"/>
        <v>0</v>
      </c>
      <c r="PJA64" s="44">
        <f t="shared" si="304"/>
        <v>0</v>
      </c>
      <c r="PJB64" s="44">
        <f t="shared" si="304"/>
        <v>0</v>
      </c>
      <c r="PJC64" s="44">
        <f t="shared" si="304"/>
        <v>0</v>
      </c>
      <c r="PJD64" s="44">
        <f t="shared" si="304"/>
        <v>0</v>
      </c>
      <c r="PJE64" s="44">
        <f t="shared" si="304"/>
        <v>0</v>
      </c>
      <c r="PJF64" s="44">
        <f t="shared" si="304"/>
        <v>0</v>
      </c>
      <c r="PJG64" s="44">
        <f t="shared" si="304"/>
        <v>0</v>
      </c>
      <c r="PJH64" s="44">
        <f t="shared" si="304"/>
        <v>0</v>
      </c>
      <c r="PJI64" s="44">
        <f t="shared" si="304"/>
        <v>0</v>
      </c>
      <c r="PJJ64" s="44">
        <f t="shared" si="304"/>
        <v>0</v>
      </c>
      <c r="PJK64" s="44">
        <f t="shared" si="304"/>
        <v>0</v>
      </c>
      <c r="PJL64" s="44">
        <f t="shared" si="304"/>
        <v>0</v>
      </c>
      <c r="PJM64" s="44">
        <f t="shared" si="304"/>
        <v>0</v>
      </c>
      <c r="PJN64" s="44">
        <f t="shared" si="304"/>
        <v>0</v>
      </c>
      <c r="PJO64" s="44">
        <f t="shared" si="304"/>
        <v>0</v>
      </c>
      <c r="PJP64" s="44">
        <f t="shared" si="304"/>
        <v>0</v>
      </c>
      <c r="PJQ64" s="44">
        <f t="shared" si="304"/>
        <v>0</v>
      </c>
      <c r="PJR64" s="44">
        <f t="shared" ref="PJR64:PMC64" si="305">SUM(PJR56:PJR57)</f>
        <v>0</v>
      </c>
      <c r="PJS64" s="44">
        <f t="shared" si="305"/>
        <v>0</v>
      </c>
      <c r="PJT64" s="44">
        <f t="shared" si="305"/>
        <v>0</v>
      </c>
      <c r="PJU64" s="44">
        <f t="shared" si="305"/>
        <v>0</v>
      </c>
      <c r="PJV64" s="44">
        <f t="shared" si="305"/>
        <v>0</v>
      </c>
      <c r="PJW64" s="44">
        <f t="shared" si="305"/>
        <v>0</v>
      </c>
      <c r="PJX64" s="44">
        <f t="shared" si="305"/>
        <v>0</v>
      </c>
      <c r="PJY64" s="44">
        <f t="shared" si="305"/>
        <v>0</v>
      </c>
      <c r="PJZ64" s="44">
        <f t="shared" si="305"/>
        <v>0</v>
      </c>
      <c r="PKA64" s="44">
        <f t="shared" si="305"/>
        <v>0</v>
      </c>
      <c r="PKB64" s="44">
        <f t="shared" si="305"/>
        <v>0</v>
      </c>
      <c r="PKC64" s="44">
        <f t="shared" si="305"/>
        <v>0</v>
      </c>
      <c r="PKD64" s="44">
        <f t="shared" si="305"/>
        <v>0</v>
      </c>
      <c r="PKE64" s="44">
        <f t="shared" si="305"/>
        <v>0</v>
      </c>
      <c r="PKF64" s="44">
        <f t="shared" si="305"/>
        <v>0</v>
      </c>
      <c r="PKG64" s="44">
        <f t="shared" si="305"/>
        <v>0</v>
      </c>
      <c r="PKH64" s="44">
        <f t="shared" si="305"/>
        <v>0</v>
      </c>
      <c r="PKI64" s="44">
        <f t="shared" si="305"/>
        <v>0</v>
      </c>
      <c r="PKJ64" s="44">
        <f t="shared" si="305"/>
        <v>0</v>
      </c>
      <c r="PKK64" s="44">
        <f t="shared" si="305"/>
        <v>0</v>
      </c>
      <c r="PKL64" s="44">
        <f t="shared" si="305"/>
        <v>0</v>
      </c>
      <c r="PKM64" s="44">
        <f t="shared" si="305"/>
        <v>0</v>
      </c>
      <c r="PKN64" s="44">
        <f t="shared" si="305"/>
        <v>0</v>
      </c>
      <c r="PKO64" s="44">
        <f t="shared" si="305"/>
        <v>0</v>
      </c>
      <c r="PKP64" s="44">
        <f t="shared" si="305"/>
        <v>0</v>
      </c>
      <c r="PKQ64" s="44">
        <f t="shared" si="305"/>
        <v>0</v>
      </c>
      <c r="PKR64" s="44">
        <f t="shared" si="305"/>
        <v>0</v>
      </c>
      <c r="PKS64" s="44">
        <f t="shared" si="305"/>
        <v>0</v>
      </c>
      <c r="PKT64" s="44">
        <f t="shared" si="305"/>
        <v>0</v>
      </c>
      <c r="PKU64" s="44">
        <f t="shared" si="305"/>
        <v>0</v>
      </c>
      <c r="PKV64" s="44">
        <f t="shared" si="305"/>
        <v>0</v>
      </c>
      <c r="PKW64" s="44">
        <f t="shared" si="305"/>
        <v>0</v>
      </c>
      <c r="PKX64" s="44">
        <f t="shared" si="305"/>
        <v>0</v>
      </c>
      <c r="PKY64" s="44">
        <f t="shared" si="305"/>
        <v>0</v>
      </c>
      <c r="PKZ64" s="44">
        <f t="shared" si="305"/>
        <v>0</v>
      </c>
      <c r="PLA64" s="44">
        <f t="shared" si="305"/>
        <v>0</v>
      </c>
      <c r="PLB64" s="44">
        <f t="shared" si="305"/>
        <v>0</v>
      </c>
      <c r="PLC64" s="44">
        <f t="shared" si="305"/>
        <v>0</v>
      </c>
      <c r="PLD64" s="44">
        <f t="shared" si="305"/>
        <v>0</v>
      </c>
      <c r="PLE64" s="44">
        <f t="shared" si="305"/>
        <v>0</v>
      </c>
      <c r="PLF64" s="44">
        <f t="shared" si="305"/>
        <v>0</v>
      </c>
      <c r="PLG64" s="44">
        <f t="shared" si="305"/>
        <v>0</v>
      </c>
      <c r="PLH64" s="44">
        <f t="shared" si="305"/>
        <v>0</v>
      </c>
      <c r="PLI64" s="44">
        <f t="shared" si="305"/>
        <v>0</v>
      </c>
      <c r="PLJ64" s="44">
        <f t="shared" si="305"/>
        <v>0</v>
      </c>
      <c r="PLK64" s="44">
        <f t="shared" si="305"/>
        <v>0</v>
      </c>
      <c r="PLL64" s="44">
        <f t="shared" si="305"/>
        <v>0</v>
      </c>
      <c r="PLM64" s="44">
        <f t="shared" si="305"/>
        <v>0</v>
      </c>
      <c r="PLN64" s="44">
        <f t="shared" si="305"/>
        <v>0</v>
      </c>
      <c r="PLO64" s="44">
        <f t="shared" si="305"/>
        <v>0</v>
      </c>
      <c r="PLP64" s="44">
        <f t="shared" si="305"/>
        <v>0</v>
      </c>
      <c r="PLQ64" s="44">
        <f t="shared" si="305"/>
        <v>0</v>
      </c>
      <c r="PLR64" s="44">
        <f t="shared" si="305"/>
        <v>0</v>
      </c>
      <c r="PLS64" s="44">
        <f t="shared" si="305"/>
        <v>0</v>
      </c>
      <c r="PLT64" s="44">
        <f t="shared" si="305"/>
        <v>0</v>
      </c>
      <c r="PLU64" s="44">
        <f t="shared" si="305"/>
        <v>0</v>
      </c>
      <c r="PLV64" s="44">
        <f t="shared" si="305"/>
        <v>0</v>
      </c>
      <c r="PLW64" s="44">
        <f t="shared" si="305"/>
        <v>0</v>
      </c>
      <c r="PLX64" s="44">
        <f t="shared" si="305"/>
        <v>0</v>
      </c>
      <c r="PLY64" s="44">
        <f t="shared" si="305"/>
        <v>0</v>
      </c>
      <c r="PLZ64" s="44">
        <f t="shared" si="305"/>
        <v>0</v>
      </c>
      <c r="PMA64" s="44">
        <f t="shared" si="305"/>
        <v>0</v>
      </c>
      <c r="PMB64" s="44">
        <f t="shared" si="305"/>
        <v>0</v>
      </c>
      <c r="PMC64" s="44">
        <f t="shared" si="305"/>
        <v>0</v>
      </c>
      <c r="PMD64" s="44">
        <f t="shared" ref="PMD64:POO64" si="306">SUM(PMD56:PMD57)</f>
        <v>0</v>
      </c>
      <c r="PME64" s="44">
        <f t="shared" si="306"/>
        <v>0</v>
      </c>
      <c r="PMF64" s="44">
        <f t="shared" si="306"/>
        <v>0</v>
      </c>
      <c r="PMG64" s="44">
        <f t="shared" si="306"/>
        <v>0</v>
      </c>
      <c r="PMH64" s="44">
        <f t="shared" si="306"/>
        <v>0</v>
      </c>
      <c r="PMI64" s="44">
        <f t="shared" si="306"/>
        <v>0</v>
      </c>
      <c r="PMJ64" s="44">
        <f t="shared" si="306"/>
        <v>0</v>
      </c>
      <c r="PMK64" s="44">
        <f t="shared" si="306"/>
        <v>0</v>
      </c>
      <c r="PML64" s="44">
        <f t="shared" si="306"/>
        <v>0</v>
      </c>
      <c r="PMM64" s="44">
        <f t="shared" si="306"/>
        <v>0</v>
      </c>
      <c r="PMN64" s="44">
        <f t="shared" si="306"/>
        <v>0</v>
      </c>
      <c r="PMO64" s="44">
        <f t="shared" si="306"/>
        <v>0</v>
      </c>
      <c r="PMP64" s="44">
        <f t="shared" si="306"/>
        <v>0</v>
      </c>
      <c r="PMQ64" s="44">
        <f t="shared" si="306"/>
        <v>0</v>
      </c>
      <c r="PMR64" s="44">
        <f t="shared" si="306"/>
        <v>0</v>
      </c>
      <c r="PMS64" s="44">
        <f t="shared" si="306"/>
        <v>0</v>
      </c>
      <c r="PMT64" s="44">
        <f t="shared" si="306"/>
        <v>0</v>
      </c>
      <c r="PMU64" s="44">
        <f t="shared" si="306"/>
        <v>0</v>
      </c>
      <c r="PMV64" s="44">
        <f t="shared" si="306"/>
        <v>0</v>
      </c>
      <c r="PMW64" s="44">
        <f t="shared" si="306"/>
        <v>0</v>
      </c>
      <c r="PMX64" s="44">
        <f t="shared" si="306"/>
        <v>0</v>
      </c>
      <c r="PMY64" s="44">
        <f t="shared" si="306"/>
        <v>0</v>
      </c>
      <c r="PMZ64" s="44">
        <f t="shared" si="306"/>
        <v>0</v>
      </c>
      <c r="PNA64" s="44">
        <f t="shared" si="306"/>
        <v>0</v>
      </c>
      <c r="PNB64" s="44">
        <f t="shared" si="306"/>
        <v>0</v>
      </c>
      <c r="PNC64" s="44">
        <f t="shared" si="306"/>
        <v>0</v>
      </c>
      <c r="PND64" s="44">
        <f t="shared" si="306"/>
        <v>0</v>
      </c>
      <c r="PNE64" s="44">
        <f t="shared" si="306"/>
        <v>0</v>
      </c>
      <c r="PNF64" s="44">
        <f t="shared" si="306"/>
        <v>0</v>
      </c>
      <c r="PNG64" s="44">
        <f t="shared" si="306"/>
        <v>0</v>
      </c>
      <c r="PNH64" s="44">
        <f t="shared" si="306"/>
        <v>0</v>
      </c>
      <c r="PNI64" s="44">
        <f t="shared" si="306"/>
        <v>0</v>
      </c>
      <c r="PNJ64" s="44">
        <f t="shared" si="306"/>
        <v>0</v>
      </c>
      <c r="PNK64" s="44">
        <f t="shared" si="306"/>
        <v>0</v>
      </c>
      <c r="PNL64" s="44">
        <f t="shared" si="306"/>
        <v>0</v>
      </c>
      <c r="PNM64" s="44">
        <f t="shared" si="306"/>
        <v>0</v>
      </c>
      <c r="PNN64" s="44">
        <f t="shared" si="306"/>
        <v>0</v>
      </c>
      <c r="PNO64" s="44">
        <f t="shared" si="306"/>
        <v>0</v>
      </c>
      <c r="PNP64" s="44">
        <f t="shared" si="306"/>
        <v>0</v>
      </c>
      <c r="PNQ64" s="44">
        <f t="shared" si="306"/>
        <v>0</v>
      </c>
      <c r="PNR64" s="44">
        <f t="shared" si="306"/>
        <v>0</v>
      </c>
      <c r="PNS64" s="44">
        <f t="shared" si="306"/>
        <v>0</v>
      </c>
      <c r="PNT64" s="44">
        <f t="shared" si="306"/>
        <v>0</v>
      </c>
      <c r="PNU64" s="44">
        <f t="shared" si="306"/>
        <v>0</v>
      </c>
      <c r="PNV64" s="44">
        <f t="shared" si="306"/>
        <v>0</v>
      </c>
      <c r="PNW64" s="44">
        <f t="shared" si="306"/>
        <v>0</v>
      </c>
      <c r="PNX64" s="44">
        <f t="shared" si="306"/>
        <v>0</v>
      </c>
      <c r="PNY64" s="44">
        <f t="shared" si="306"/>
        <v>0</v>
      </c>
      <c r="PNZ64" s="44">
        <f t="shared" si="306"/>
        <v>0</v>
      </c>
      <c r="POA64" s="44">
        <f t="shared" si="306"/>
        <v>0</v>
      </c>
      <c r="POB64" s="44">
        <f t="shared" si="306"/>
        <v>0</v>
      </c>
      <c r="POC64" s="44">
        <f t="shared" si="306"/>
        <v>0</v>
      </c>
      <c r="POD64" s="44">
        <f t="shared" si="306"/>
        <v>0</v>
      </c>
      <c r="POE64" s="44">
        <f t="shared" si="306"/>
        <v>0</v>
      </c>
      <c r="POF64" s="44">
        <f t="shared" si="306"/>
        <v>0</v>
      </c>
      <c r="POG64" s="44">
        <f t="shared" si="306"/>
        <v>0</v>
      </c>
      <c r="POH64" s="44">
        <f t="shared" si="306"/>
        <v>0</v>
      </c>
      <c r="POI64" s="44">
        <f t="shared" si="306"/>
        <v>0</v>
      </c>
      <c r="POJ64" s="44">
        <f t="shared" si="306"/>
        <v>0</v>
      </c>
      <c r="POK64" s="44">
        <f t="shared" si="306"/>
        <v>0</v>
      </c>
      <c r="POL64" s="44">
        <f t="shared" si="306"/>
        <v>0</v>
      </c>
      <c r="POM64" s="44">
        <f t="shared" si="306"/>
        <v>0</v>
      </c>
      <c r="PON64" s="44">
        <f t="shared" si="306"/>
        <v>0</v>
      </c>
      <c r="POO64" s="44">
        <f t="shared" si="306"/>
        <v>0</v>
      </c>
      <c r="POP64" s="44">
        <f t="shared" ref="POP64:PRA64" si="307">SUM(POP56:POP57)</f>
        <v>0</v>
      </c>
      <c r="POQ64" s="44">
        <f t="shared" si="307"/>
        <v>0</v>
      </c>
      <c r="POR64" s="44">
        <f t="shared" si="307"/>
        <v>0</v>
      </c>
      <c r="POS64" s="44">
        <f t="shared" si="307"/>
        <v>0</v>
      </c>
      <c r="POT64" s="44">
        <f t="shared" si="307"/>
        <v>0</v>
      </c>
      <c r="POU64" s="44">
        <f t="shared" si="307"/>
        <v>0</v>
      </c>
      <c r="POV64" s="44">
        <f t="shared" si="307"/>
        <v>0</v>
      </c>
      <c r="POW64" s="44">
        <f t="shared" si="307"/>
        <v>0</v>
      </c>
      <c r="POX64" s="44">
        <f t="shared" si="307"/>
        <v>0</v>
      </c>
      <c r="POY64" s="44">
        <f t="shared" si="307"/>
        <v>0</v>
      </c>
      <c r="POZ64" s="44">
        <f t="shared" si="307"/>
        <v>0</v>
      </c>
      <c r="PPA64" s="44">
        <f t="shared" si="307"/>
        <v>0</v>
      </c>
      <c r="PPB64" s="44">
        <f t="shared" si="307"/>
        <v>0</v>
      </c>
      <c r="PPC64" s="44">
        <f t="shared" si="307"/>
        <v>0</v>
      </c>
      <c r="PPD64" s="44">
        <f t="shared" si="307"/>
        <v>0</v>
      </c>
      <c r="PPE64" s="44">
        <f t="shared" si="307"/>
        <v>0</v>
      </c>
      <c r="PPF64" s="44">
        <f t="shared" si="307"/>
        <v>0</v>
      </c>
      <c r="PPG64" s="44">
        <f t="shared" si="307"/>
        <v>0</v>
      </c>
      <c r="PPH64" s="44">
        <f t="shared" si="307"/>
        <v>0</v>
      </c>
      <c r="PPI64" s="44">
        <f t="shared" si="307"/>
        <v>0</v>
      </c>
      <c r="PPJ64" s="44">
        <f t="shared" si="307"/>
        <v>0</v>
      </c>
      <c r="PPK64" s="44">
        <f t="shared" si="307"/>
        <v>0</v>
      </c>
      <c r="PPL64" s="44">
        <f t="shared" si="307"/>
        <v>0</v>
      </c>
      <c r="PPM64" s="44">
        <f t="shared" si="307"/>
        <v>0</v>
      </c>
      <c r="PPN64" s="44">
        <f t="shared" si="307"/>
        <v>0</v>
      </c>
      <c r="PPO64" s="44">
        <f t="shared" si="307"/>
        <v>0</v>
      </c>
      <c r="PPP64" s="44">
        <f t="shared" si="307"/>
        <v>0</v>
      </c>
      <c r="PPQ64" s="44">
        <f t="shared" si="307"/>
        <v>0</v>
      </c>
      <c r="PPR64" s="44">
        <f t="shared" si="307"/>
        <v>0</v>
      </c>
      <c r="PPS64" s="44">
        <f t="shared" si="307"/>
        <v>0</v>
      </c>
      <c r="PPT64" s="44">
        <f t="shared" si="307"/>
        <v>0</v>
      </c>
      <c r="PPU64" s="44">
        <f t="shared" si="307"/>
        <v>0</v>
      </c>
      <c r="PPV64" s="44">
        <f t="shared" si="307"/>
        <v>0</v>
      </c>
      <c r="PPW64" s="44">
        <f t="shared" si="307"/>
        <v>0</v>
      </c>
      <c r="PPX64" s="44">
        <f t="shared" si="307"/>
        <v>0</v>
      </c>
      <c r="PPY64" s="44">
        <f t="shared" si="307"/>
        <v>0</v>
      </c>
      <c r="PPZ64" s="44">
        <f t="shared" si="307"/>
        <v>0</v>
      </c>
      <c r="PQA64" s="44">
        <f t="shared" si="307"/>
        <v>0</v>
      </c>
      <c r="PQB64" s="44">
        <f t="shared" si="307"/>
        <v>0</v>
      </c>
      <c r="PQC64" s="44">
        <f t="shared" si="307"/>
        <v>0</v>
      </c>
      <c r="PQD64" s="44">
        <f t="shared" si="307"/>
        <v>0</v>
      </c>
      <c r="PQE64" s="44">
        <f t="shared" si="307"/>
        <v>0</v>
      </c>
      <c r="PQF64" s="44">
        <f t="shared" si="307"/>
        <v>0</v>
      </c>
      <c r="PQG64" s="44">
        <f t="shared" si="307"/>
        <v>0</v>
      </c>
      <c r="PQH64" s="44">
        <f t="shared" si="307"/>
        <v>0</v>
      </c>
      <c r="PQI64" s="44">
        <f t="shared" si="307"/>
        <v>0</v>
      </c>
      <c r="PQJ64" s="44">
        <f t="shared" si="307"/>
        <v>0</v>
      </c>
      <c r="PQK64" s="44">
        <f t="shared" si="307"/>
        <v>0</v>
      </c>
      <c r="PQL64" s="44">
        <f t="shared" si="307"/>
        <v>0</v>
      </c>
      <c r="PQM64" s="44">
        <f t="shared" si="307"/>
        <v>0</v>
      </c>
      <c r="PQN64" s="44">
        <f t="shared" si="307"/>
        <v>0</v>
      </c>
      <c r="PQO64" s="44">
        <f t="shared" si="307"/>
        <v>0</v>
      </c>
      <c r="PQP64" s="44">
        <f t="shared" si="307"/>
        <v>0</v>
      </c>
      <c r="PQQ64" s="44">
        <f t="shared" si="307"/>
        <v>0</v>
      </c>
      <c r="PQR64" s="44">
        <f t="shared" si="307"/>
        <v>0</v>
      </c>
      <c r="PQS64" s="44">
        <f t="shared" si="307"/>
        <v>0</v>
      </c>
      <c r="PQT64" s="44">
        <f t="shared" si="307"/>
        <v>0</v>
      </c>
      <c r="PQU64" s="44">
        <f t="shared" si="307"/>
        <v>0</v>
      </c>
      <c r="PQV64" s="44">
        <f t="shared" si="307"/>
        <v>0</v>
      </c>
      <c r="PQW64" s="44">
        <f t="shared" si="307"/>
        <v>0</v>
      </c>
      <c r="PQX64" s="44">
        <f t="shared" si="307"/>
        <v>0</v>
      </c>
      <c r="PQY64" s="44">
        <f t="shared" si="307"/>
        <v>0</v>
      </c>
      <c r="PQZ64" s="44">
        <f t="shared" si="307"/>
        <v>0</v>
      </c>
      <c r="PRA64" s="44">
        <f t="shared" si="307"/>
        <v>0</v>
      </c>
      <c r="PRB64" s="44">
        <f t="shared" ref="PRB64:PTM64" si="308">SUM(PRB56:PRB57)</f>
        <v>0</v>
      </c>
      <c r="PRC64" s="44">
        <f t="shared" si="308"/>
        <v>0</v>
      </c>
      <c r="PRD64" s="44">
        <f t="shared" si="308"/>
        <v>0</v>
      </c>
      <c r="PRE64" s="44">
        <f t="shared" si="308"/>
        <v>0</v>
      </c>
      <c r="PRF64" s="44">
        <f t="shared" si="308"/>
        <v>0</v>
      </c>
      <c r="PRG64" s="44">
        <f t="shared" si="308"/>
        <v>0</v>
      </c>
      <c r="PRH64" s="44">
        <f t="shared" si="308"/>
        <v>0</v>
      </c>
      <c r="PRI64" s="44">
        <f t="shared" si="308"/>
        <v>0</v>
      </c>
      <c r="PRJ64" s="44">
        <f t="shared" si="308"/>
        <v>0</v>
      </c>
      <c r="PRK64" s="44">
        <f t="shared" si="308"/>
        <v>0</v>
      </c>
      <c r="PRL64" s="44">
        <f t="shared" si="308"/>
        <v>0</v>
      </c>
      <c r="PRM64" s="44">
        <f t="shared" si="308"/>
        <v>0</v>
      </c>
      <c r="PRN64" s="44">
        <f t="shared" si="308"/>
        <v>0</v>
      </c>
      <c r="PRO64" s="44">
        <f t="shared" si="308"/>
        <v>0</v>
      </c>
      <c r="PRP64" s="44">
        <f t="shared" si="308"/>
        <v>0</v>
      </c>
      <c r="PRQ64" s="44">
        <f t="shared" si="308"/>
        <v>0</v>
      </c>
      <c r="PRR64" s="44">
        <f t="shared" si="308"/>
        <v>0</v>
      </c>
      <c r="PRS64" s="44">
        <f t="shared" si="308"/>
        <v>0</v>
      </c>
      <c r="PRT64" s="44">
        <f t="shared" si="308"/>
        <v>0</v>
      </c>
      <c r="PRU64" s="44">
        <f t="shared" si="308"/>
        <v>0</v>
      </c>
      <c r="PRV64" s="44">
        <f t="shared" si="308"/>
        <v>0</v>
      </c>
      <c r="PRW64" s="44">
        <f t="shared" si="308"/>
        <v>0</v>
      </c>
      <c r="PRX64" s="44">
        <f t="shared" si="308"/>
        <v>0</v>
      </c>
      <c r="PRY64" s="44">
        <f t="shared" si="308"/>
        <v>0</v>
      </c>
      <c r="PRZ64" s="44">
        <f t="shared" si="308"/>
        <v>0</v>
      </c>
      <c r="PSA64" s="44">
        <f t="shared" si="308"/>
        <v>0</v>
      </c>
      <c r="PSB64" s="44">
        <f t="shared" si="308"/>
        <v>0</v>
      </c>
      <c r="PSC64" s="44">
        <f t="shared" si="308"/>
        <v>0</v>
      </c>
      <c r="PSD64" s="44">
        <f t="shared" si="308"/>
        <v>0</v>
      </c>
      <c r="PSE64" s="44">
        <f t="shared" si="308"/>
        <v>0</v>
      </c>
      <c r="PSF64" s="44">
        <f t="shared" si="308"/>
        <v>0</v>
      </c>
      <c r="PSG64" s="44">
        <f t="shared" si="308"/>
        <v>0</v>
      </c>
      <c r="PSH64" s="44">
        <f t="shared" si="308"/>
        <v>0</v>
      </c>
      <c r="PSI64" s="44">
        <f t="shared" si="308"/>
        <v>0</v>
      </c>
      <c r="PSJ64" s="44">
        <f t="shared" si="308"/>
        <v>0</v>
      </c>
      <c r="PSK64" s="44">
        <f t="shared" si="308"/>
        <v>0</v>
      </c>
      <c r="PSL64" s="44">
        <f t="shared" si="308"/>
        <v>0</v>
      </c>
      <c r="PSM64" s="44">
        <f t="shared" si="308"/>
        <v>0</v>
      </c>
      <c r="PSN64" s="44">
        <f t="shared" si="308"/>
        <v>0</v>
      </c>
      <c r="PSO64" s="44">
        <f t="shared" si="308"/>
        <v>0</v>
      </c>
      <c r="PSP64" s="44">
        <f t="shared" si="308"/>
        <v>0</v>
      </c>
      <c r="PSQ64" s="44">
        <f t="shared" si="308"/>
        <v>0</v>
      </c>
      <c r="PSR64" s="44">
        <f t="shared" si="308"/>
        <v>0</v>
      </c>
      <c r="PSS64" s="44">
        <f t="shared" si="308"/>
        <v>0</v>
      </c>
      <c r="PST64" s="44">
        <f t="shared" si="308"/>
        <v>0</v>
      </c>
      <c r="PSU64" s="44">
        <f t="shared" si="308"/>
        <v>0</v>
      </c>
      <c r="PSV64" s="44">
        <f t="shared" si="308"/>
        <v>0</v>
      </c>
      <c r="PSW64" s="44">
        <f t="shared" si="308"/>
        <v>0</v>
      </c>
      <c r="PSX64" s="44">
        <f t="shared" si="308"/>
        <v>0</v>
      </c>
      <c r="PSY64" s="44">
        <f t="shared" si="308"/>
        <v>0</v>
      </c>
      <c r="PSZ64" s="44">
        <f t="shared" si="308"/>
        <v>0</v>
      </c>
      <c r="PTA64" s="44">
        <f t="shared" si="308"/>
        <v>0</v>
      </c>
      <c r="PTB64" s="44">
        <f t="shared" si="308"/>
        <v>0</v>
      </c>
      <c r="PTC64" s="44">
        <f t="shared" si="308"/>
        <v>0</v>
      </c>
      <c r="PTD64" s="44">
        <f t="shared" si="308"/>
        <v>0</v>
      </c>
      <c r="PTE64" s="44">
        <f t="shared" si="308"/>
        <v>0</v>
      </c>
      <c r="PTF64" s="44">
        <f t="shared" si="308"/>
        <v>0</v>
      </c>
      <c r="PTG64" s="44">
        <f t="shared" si="308"/>
        <v>0</v>
      </c>
      <c r="PTH64" s="44">
        <f t="shared" si="308"/>
        <v>0</v>
      </c>
      <c r="PTI64" s="44">
        <f t="shared" si="308"/>
        <v>0</v>
      </c>
      <c r="PTJ64" s="44">
        <f t="shared" si="308"/>
        <v>0</v>
      </c>
      <c r="PTK64" s="44">
        <f t="shared" si="308"/>
        <v>0</v>
      </c>
      <c r="PTL64" s="44">
        <f t="shared" si="308"/>
        <v>0</v>
      </c>
      <c r="PTM64" s="44">
        <f t="shared" si="308"/>
        <v>0</v>
      </c>
      <c r="PTN64" s="44">
        <f t="shared" ref="PTN64:PVY64" si="309">SUM(PTN56:PTN57)</f>
        <v>0</v>
      </c>
      <c r="PTO64" s="44">
        <f t="shared" si="309"/>
        <v>0</v>
      </c>
      <c r="PTP64" s="44">
        <f t="shared" si="309"/>
        <v>0</v>
      </c>
      <c r="PTQ64" s="44">
        <f t="shared" si="309"/>
        <v>0</v>
      </c>
      <c r="PTR64" s="44">
        <f t="shared" si="309"/>
        <v>0</v>
      </c>
      <c r="PTS64" s="44">
        <f t="shared" si="309"/>
        <v>0</v>
      </c>
      <c r="PTT64" s="44">
        <f t="shared" si="309"/>
        <v>0</v>
      </c>
      <c r="PTU64" s="44">
        <f t="shared" si="309"/>
        <v>0</v>
      </c>
      <c r="PTV64" s="44">
        <f t="shared" si="309"/>
        <v>0</v>
      </c>
      <c r="PTW64" s="44">
        <f t="shared" si="309"/>
        <v>0</v>
      </c>
      <c r="PTX64" s="44">
        <f t="shared" si="309"/>
        <v>0</v>
      </c>
      <c r="PTY64" s="44">
        <f t="shared" si="309"/>
        <v>0</v>
      </c>
      <c r="PTZ64" s="44">
        <f t="shared" si="309"/>
        <v>0</v>
      </c>
      <c r="PUA64" s="44">
        <f t="shared" si="309"/>
        <v>0</v>
      </c>
      <c r="PUB64" s="44">
        <f t="shared" si="309"/>
        <v>0</v>
      </c>
      <c r="PUC64" s="44">
        <f t="shared" si="309"/>
        <v>0</v>
      </c>
      <c r="PUD64" s="44">
        <f t="shared" si="309"/>
        <v>0</v>
      </c>
      <c r="PUE64" s="44">
        <f t="shared" si="309"/>
        <v>0</v>
      </c>
      <c r="PUF64" s="44">
        <f t="shared" si="309"/>
        <v>0</v>
      </c>
      <c r="PUG64" s="44">
        <f t="shared" si="309"/>
        <v>0</v>
      </c>
      <c r="PUH64" s="44">
        <f t="shared" si="309"/>
        <v>0</v>
      </c>
      <c r="PUI64" s="44">
        <f t="shared" si="309"/>
        <v>0</v>
      </c>
      <c r="PUJ64" s="44">
        <f t="shared" si="309"/>
        <v>0</v>
      </c>
      <c r="PUK64" s="44">
        <f t="shared" si="309"/>
        <v>0</v>
      </c>
      <c r="PUL64" s="44">
        <f t="shared" si="309"/>
        <v>0</v>
      </c>
      <c r="PUM64" s="44">
        <f t="shared" si="309"/>
        <v>0</v>
      </c>
      <c r="PUN64" s="44">
        <f t="shared" si="309"/>
        <v>0</v>
      </c>
      <c r="PUO64" s="44">
        <f t="shared" si="309"/>
        <v>0</v>
      </c>
      <c r="PUP64" s="44">
        <f t="shared" si="309"/>
        <v>0</v>
      </c>
      <c r="PUQ64" s="44">
        <f t="shared" si="309"/>
        <v>0</v>
      </c>
      <c r="PUR64" s="44">
        <f t="shared" si="309"/>
        <v>0</v>
      </c>
      <c r="PUS64" s="44">
        <f t="shared" si="309"/>
        <v>0</v>
      </c>
      <c r="PUT64" s="44">
        <f t="shared" si="309"/>
        <v>0</v>
      </c>
      <c r="PUU64" s="44">
        <f t="shared" si="309"/>
        <v>0</v>
      </c>
      <c r="PUV64" s="44">
        <f t="shared" si="309"/>
        <v>0</v>
      </c>
      <c r="PUW64" s="44">
        <f t="shared" si="309"/>
        <v>0</v>
      </c>
      <c r="PUX64" s="44">
        <f t="shared" si="309"/>
        <v>0</v>
      </c>
      <c r="PUY64" s="44">
        <f t="shared" si="309"/>
        <v>0</v>
      </c>
      <c r="PUZ64" s="44">
        <f t="shared" si="309"/>
        <v>0</v>
      </c>
      <c r="PVA64" s="44">
        <f t="shared" si="309"/>
        <v>0</v>
      </c>
      <c r="PVB64" s="44">
        <f t="shared" si="309"/>
        <v>0</v>
      </c>
      <c r="PVC64" s="44">
        <f t="shared" si="309"/>
        <v>0</v>
      </c>
      <c r="PVD64" s="44">
        <f t="shared" si="309"/>
        <v>0</v>
      </c>
      <c r="PVE64" s="44">
        <f t="shared" si="309"/>
        <v>0</v>
      </c>
      <c r="PVF64" s="44">
        <f t="shared" si="309"/>
        <v>0</v>
      </c>
      <c r="PVG64" s="44">
        <f t="shared" si="309"/>
        <v>0</v>
      </c>
      <c r="PVH64" s="44">
        <f t="shared" si="309"/>
        <v>0</v>
      </c>
      <c r="PVI64" s="44">
        <f t="shared" si="309"/>
        <v>0</v>
      </c>
      <c r="PVJ64" s="44">
        <f t="shared" si="309"/>
        <v>0</v>
      </c>
      <c r="PVK64" s="44">
        <f t="shared" si="309"/>
        <v>0</v>
      </c>
      <c r="PVL64" s="44">
        <f t="shared" si="309"/>
        <v>0</v>
      </c>
      <c r="PVM64" s="44">
        <f t="shared" si="309"/>
        <v>0</v>
      </c>
      <c r="PVN64" s="44">
        <f t="shared" si="309"/>
        <v>0</v>
      </c>
      <c r="PVO64" s="44">
        <f t="shared" si="309"/>
        <v>0</v>
      </c>
      <c r="PVP64" s="44">
        <f t="shared" si="309"/>
        <v>0</v>
      </c>
      <c r="PVQ64" s="44">
        <f t="shared" si="309"/>
        <v>0</v>
      </c>
      <c r="PVR64" s="44">
        <f t="shared" si="309"/>
        <v>0</v>
      </c>
      <c r="PVS64" s="44">
        <f t="shared" si="309"/>
        <v>0</v>
      </c>
      <c r="PVT64" s="44">
        <f t="shared" si="309"/>
        <v>0</v>
      </c>
      <c r="PVU64" s="44">
        <f t="shared" si="309"/>
        <v>0</v>
      </c>
      <c r="PVV64" s="44">
        <f t="shared" si="309"/>
        <v>0</v>
      </c>
      <c r="PVW64" s="44">
        <f t="shared" si="309"/>
        <v>0</v>
      </c>
      <c r="PVX64" s="44">
        <f t="shared" si="309"/>
        <v>0</v>
      </c>
      <c r="PVY64" s="44">
        <f t="shared" si="309"/>
        <v>0</v>
      </c>
      <c r="PVZ64" s="44">
        <f t="shared" ref="PVZ64:PYK64" si="310">SUM(PVZ56:PVZ57)</f>
        <v>0</v>
      </c>
      <c r="PWA64" s="44">
        <f t="shared" si="310"/>
        <v>0</v>
      </c>
      <c r="PWB64" s="44">
        <f t="shared" si="310"/>
        <v>0</v>
      </c>
      <c r="PWC64" s="44">
        <f t="shared" si="310"/>
        <v>0</v>
      </c>
      <c r="PWD64" s="44">
        <f t="shared" si="310"/>
        <v>0</v>
      </c>
      <c r="PWE64" s="44">
        <f t="shared" si="310"/>
        <v>0</v>
      </c>
      <c r="PWF64" s="44">
        <f t="shared" si="310"/>
        <v>0</v>
      </c>
      <c r="PWG64" s="44">
        <f t="shared" si="310"/>
        <v>0</v>
      </c>
      <c r="PWH64" s="44">
        <f t="shared" si="310"/>
        <v>0</v>
      </c>
      <c r="PWI64" s="44">
        <f t="shared" si="310"/>
        <v>0</v>
      </c>
      <c r="PWJ64" s="44">
        <f t="shared" si="310"/>
        <v>0</v>
      </c>
      <c r="PWK64" s="44">
        <f t="shared" si="310"/>
        <v>0</v>
      </c>
      <c r="PWL64" s="44">
        <f t="shared" si="310"/>
        <v>0</v>
      </c>
      <c r="PWM64" s="44">
        <f t="shared" si="310"/>
        <v>0</v>
      </c>
      <c r="PWN64" s="44">
        <f t="shared" si="310"/>
        <v>0</v>
      </c>
      <c r="PWO64" s="44">
        <f t="shared" si="310"/>
        <v>0</v>
      </c>
      <c r="PWP64" s="44">
        <f t="shared" si="310"/>
        <v>0</v>
      </c>
      <c r="PWQ64" s="44">
        <f t="shared" si="310"/>
        <v>0</v>
      </c>
      <c r="PWR64" s="44">
        <f t="shared" si="310"/>
        <v>0</v>
      </c>
      <c r="PWS64" s="44">
        <f t="shared" si="310"/>
        <v>0</v>
      </c>
      <c r="PWT64" s="44">
        <f t="shared" si="310"/>
        <v>0</v>
      </c>
      <c r="PWU64" s="44">
        <f t="shared" si="310"/>
        <v>0</v>
      </c>
      <c r="PWV64" s="44">
        <f t="shared" si="310"/>
        <v>0</v>
      </c>
      <c r="PWW64" s="44">
        <f t="shared" si="310"/>
        <v>0</v>
      </c>
      <c r="PWX64" s="44">
        <f t="shared" si="310"/>
        <v>0</v>
      </c>
      <c r="PWY64" s="44">
        <f t="shared" si="310"/>
        <v>0</v>
      </c>
      <c r="PWZ64" s="44">
        <f t="shared" si="310"/>
        <v>0</v>
      </c>
      <c r="PXA64" s="44">
        <f t="shared" si="310"/>
        <v>0</v>
      </c>
      <c r="PXB64" s="44">
        <f t="shared" si="310"/>
        <v>0</v>
      </c>
      <c r="PXC64" s="44">
        <f t="shared" si="310"/>
        <v>0</v>
      </c>
      <c r="PXD64" s="44">
        <f t="shared" si="310"/>
        <v>0</v>
      </c>
      <c r="PXE64" s="44">
        <f t="shared" si="310"/>
        <v>0</v>
      </c>
      <c r="PXF64" s="44">
        <f t="shared" si="310"/>
        <v>0</v>
      </c>
      <c r="PXG64" s="44">
        <f t="shared" si="310"/>
        <v>0</v>
      </c>
      <c r="PXH64" s="44">
        <f t="shared" si="310"/>
        <v>0</v>
      </c>
      <c r="PXI64" s="44">
        <f t="shared" si="310"/>
        <v>0</v>
      </c>
      <c r="PXJ64" s="44">
        <f t="shared" si="310"/>
        <v>0</v>
      </c>
      <c r="PXK64" s="44">
        <f t="shared" si="310"/>
        <v>0</v>
      </c>
      <c r="PXL64" s="44">
        <f t="shared" si="310"/>
        <v>0</v>
      </c>
      <c r="PXM64" s="44">
        <f t="shared" si="310"/>
        <v>0</v>
      </c>
      <c r="PXN64" s="44">
        <f t="shared" si="310"/>
        <v>0</v>
      </c>
      <c r="PXO64" s="44">
        <f t="shared" si="310"/>
        <v>0</v>
      </c>
      <c r="PXP64" s="44">
        <f t="shared" si="310"/>
        <v>0</v>
      </c>
      <c r="PXQ64" s="44">
        <f t="shared" si="310"/>
        <v>0</v>
      </c>
      <c r="PXR64" s="44">
        <f t="shared" si="310"/>
        <v>0</v>
      </c>
      <c r="PXS64" s="44">
        <f t="shared" si="310"/>
        <v>0</v>
      </c>
      <c r="PXT64" s="44">
        <f t="shared" si="310"/>
        <v>0</v>
      </c>
      <c r="PXU64" s="44">
        <f t="shared" si="310"/>
        <v>0</v>
      </c>
      <c r="PXV64" s="44">
        <f t="shared" si="310"/>
        <v>0</v>
      </c>
      <c r="PXW64" s="44">
        <f t="shared" si="310"/>
        <v>0</v>
      </c>
      <c r="PXX64" s="44">
        <f t="shared" si="310"/>
        <v>0</v>
      </c>
      <c r="PXY64" s="44">
        <f t="shared" si="310"/>
        <v>0</v>
      </c>
      <c r="PXZ64" s="44">
        <f t="shared" si="310"/>
        <v>0</v>
      </c>
      <c r="PYA64" s="44">
        <f t="shared" si="310"/>
        <v>0</v>
      </c>
      <c r="PYB64" s="44">
        <f t="shared" si="310"/>
        <v>0</v>
      </c>
      <c r="PYC64" s="44">
        <f t="shared" si="310"/>
        <v>0</v>
      </c>
      <c r="PYD64" s="44">
        <f t="shared" si="310"/>
        <v>0</v>
      </c>
      <c r="PYE64" s="44">
        <f t="shared" si="310"/>
        <v>0</v>
      </c>
      <c r="PYF64" s="44">
        <f t="shared" si="310"/>
        <v>0</v>
      </c>
      <c r="PYG64" s="44">
        <f t="shared" si="310"/>
        <v>0</v>
      </c>
      <c r="PYH64" s="44">
        <f t="shared" si="310"/>
        <v>0</v>
      </c>
      <c r="PYI64" s="44">
        <f t="shared" si="310"/>
        <v>0</v>
      </c>
      <c r="PYJ64" s="44">
        <f t="shared" si="310"/>
        <v>0</v>
      </c>
      <c r="PYK64" s="44">
        <f t="shared" si="310"/>
        <v>0</v>
      </c>
      <c r="PYL64" s="44">
        <f t="shared" ref="PYL64:QAW64" si="311">SUM(PYL56:PYL57)</f>
        <v>0</v>
      </c>
      <c r="PYM64" s="44">
        <f t="shared" si="311"/>
        <v>0</v>
      </c>
      <c r="PYN64" s="44">
        <f t="shared" si="311"/>
        <v>0</v>
      </c>
      <c r="PYO64" s="44">
        <f t="shared" si="311"/>
        <v>0</v>
      </c>
      <c r="PYP64" s="44">
        <f t="shared" si="311"/>
        <v>0</v>
      </c>
      <c r="PYQ64" s="44">
        <f t="shared" si="311"/>
        <v>0</v>
      </c>
      <c r="PYR64" s="44">
        <f t="shared" si="311"/>
        <v>0</v>
      </c>
      <c r="PYS64" s="44">
        <f t="shared" si="311"/>
        <v>0</v>
      </c>
      <c r="PYT64" s="44">
        <f t="shared" si="311"/>
        <v>0</v>
      </c>
      <c r="PYU64" s="44">
        <f t="shared" si="311"/>
        <v>0</v>
      </c>
      <c r="PYV64" s="44">
        <f t="shared" si="311"/>
        <v>0</v>
      </c>
      <c r="PYW64" s="44">
        <f t="shared" si="311"/>
        <v>0</v>
      </c>
      <c r="PYX64" s="44">
        <f t="shared" si="311"/>
        <v>0</v>
      </c>
      <c r="PYY64" s="44">
        <f t="shared" si="311"/>
        <v>0</v>
      </c>
      <c r="PYZ64" s="44">
        <f t="shared" si="311"/>
        <v>0</v>
      </c>
      <c r="PZA64" s="44">
        <f t="shared" si="311"/>
        <v>0</v>
      </c>
      <c r="PZB64" s="44">
        <f t="shared" si="311"/>
        <v>0</v>
      </c>
      <c r="PZC64" s="44">
        <f t="shared" si="311"/>
        <v>0</v>
      </c>
      <c r="PZD64" s="44">
        <f t="shared" si="311"/>
        <v>0</v>
      </c>
      <c r="PZE64" s="44">
        <f t="shared" si="311"/>
        <v>0</v>
      </c>
      <c r="PZF64" s="44">
        <f t="shared" si="311"/>
        <v>0</v>
      </c>
      <c r="PZG64" s="44">
        <f t="shared" si="311"/>
        <v>0</v>
      </c>
      <c r="PZH64" s="44">
        <f t="shared" si="311"/>
        <v>0</v>
      </c>
      <c r="PZI64" s="44">
        <f t="shared" si="311"/>
        <v>0</v>
      </c>
      <c r="PZJ64" s="44">
        <f t="shared" si="311"/>
        <v>0</v>
      </c>
      <c r="PZK64" s="44">
        <f t="shared" si="311"/>
        <v>0</v>
      </c>
      <c r="PZL64" s="44">
        <f t="shared" si="311"/>
        <v>0</v>
      </c>
      <c r="PZM64" s="44">
        <f t="shared" si="311"/>
        <v>0</v>
      </c>
      <c r="PZN64" s="44">
        <f t="shared" si="311"/>
        <v>0</v>
      </c>
      <c r="PZO64" s="44">
        <f t="shared" si="311"/>
        <v>0</v>
      </c>
      <c r="PZP64" s="44">
        <f t="shared" si="311"/>
        <v>0</v>
      </c>
      <c r="PZQ64" s="44">
        <f t="shared" si="311"/>
        <v>0</v>
      </c>
      <c r="PZR64" s="44">
        <f t="shared" si="311"/>
        <v>0</v>
      </c>
      <c r="PZS64" s="44">
        <f t="shared" si="311"/>
        <v>0</v>
      </c>
      <c r="PZT64" s="44">
        <f t="shared" si="311"/>
        <v>0</v>
      </c>
      <c r="PZU64" s="44">
        <f t="shared" si="311"/>
        <v>0</v>
      </c>
      <c r="PZV64" s="44">
        <f t="shared" si="311"/>
        <v>0</v>
      </c>
      <c r="PZW64" s="44">
        <f t="shared" si="311"/>
        <v>0</v>
      </c>
      <c r="PZX64" s="44">
        <f t="shared" si="311"/>
        <v>0</v>
      </c>
      <c r="PZY64" s="44">
        <f t="shared" si="311"/>
        <v>0</v>
      </c>
      <c r="PZZ64" s="44">
        <f t="shared" si="311"/>
        <v>0</v>
      </c>
      <c r="QAA64" s="44">
        <f t="shared" si="311"/>
        <v>0</v>
      </c>
      <c r="QAB64" s="44">
        <f t="shared" si="311"/>
        <v>0</v>
      </c>
      <c r="QAC64" s="44">
        <f t="shared" si="311"/>
        <v>0</v>
      </c>
      <c r="QAD64" s="44">
        <f t="shared" si="311"/>
        <v>0</v>
      </c>
      <c r="QAE64" s="44">
        <f t="shared" si="311"/>
        <v>0</v>
      </c>
      <c r="QAF64" s="44">
        <f t="shared" si="311"/>
        <v>0</v>
      </c>
      <c r="QAG64" s="44">
        <f t="shared" si="311"/>
        <v>0</v>
      </c>
      <c r="QAH64" s="44">
        <f t="shared" si="311"/>
        <v>0</v>
      </c>
      <c r="QAI64" s="44">
        <f t="shared" si="311"/>
        <v>0</v>
      </c>
      <c r="QAJ64" s="44">
        <f t="shared" si="311"/>
        <v>0</v>
      </c>
      <c r="QAK64" s="44">
        <f t="shared" si="311"/>
        <v>0</v>
      </c>
      <c r="QAL64" s="44">
        <f t="shared" si="311"/>
        <v>0</v>
      </c>
      <c r="QAM64" s="44">
        <f t="shared" si="311"/>
        <v>0</v>
      </c>
      <c r="QAN64" s="44">
        <f t="shared" si="311"/>
        <v>0</v>
      </c>
      <c r="QAO64" s="44">
        <f t="shared" si="311"/>
        <v>0</v>
      </c>
      <c r="QAP64" s="44">
        <f t="shared" si="311"/>
        <v>0</v>
      </c>
      <c r="QAQ64" s="44">
        <f t="shared" si="311"/>
        <v>0</v>
      </c>
      <c r="QAR64" s="44">
        <f t="shared" si="311"/>
        <v>0</v>
      </c>
      <c r="QAS64" s="44">
        <f t="shared" si="311"/>
        <v>0</v>
      </c>
      <c r="QAT64" s="44">
        <f t="shared" si="311"/>
        <v>0</v>
      </c>
      <c r="QAU64" s="44">
        <f t="shared" si="311"/>
        <v>0</v>
      </c>
      <c r="QAV64" s="44">
        <f t="shared" si="311"/>
        <v>0</v>
      </c>
      <c r="QAW64" s="44">
        <f t="shared" si="311"/>
        <v>0</v>
      </c>
      <c r="QAX64" s="44">
        <f t="shared" ref="QAX64:QDI64" si="312">SUM(QAX56:QAX57)</f>
        <v>0</v>
      </c>
      <c r="QAY64" s="44">
        <f t="shared" si="312"/>
        <v>0</v>
      </c>
      <c r="QAZ64" s="44">
        <f t="shared" si="312"/>
        <v>0</v>
      </c>
      <c r="QBA64" s="44">
        <f t="shared" si="312"/>
        <v>0</v>
      </c>
      <c r="QBB64" s="44">
        <f t="shared" si="312"/>
        <v>0</v>
      </c>
      <c r="QBC64" s="44">
        <f t="shared" si="312"/>
        <v>0</v>
      </c>
      <c r="QBD64" s="44">
        <f t="shared" si="312"/>
        <v>0</v>
      </c>
      <c r="QBE64" s="44">
        <f t="shared" si="312"/>
        <v>0</v>
      </c>
      <c r="QBF64" s="44">
        <f t="shared" si="312"/>
        <v>0</v>
      </c>
      <c r="QBG64" s="44">
        <f t="shared" si="312"/>
        <v>0</v>
      </c>
      <c r="QBH64" s="44">
        <f t="shared" si="312"/>
        <v>0</v>
      </c>
      <c r="QBI64" s="44">
        <f t="shared" si="312"/>
        <v>0</v>
      </c>
      <c r="QBJ64" s="44">
        <f t="shared" si="312"/>
        <v>0</v>
      </c>
      <c r="QBK64" s="44">
        <f t="shared" si="312"/>
        <v>0</v>
      </c>
      <c r="QBL64" s="44">
        <f t="shared" si="312"/>
        <v>0</v>
      </c>
      <c r="QBM64" s="44">
        <f t="shared" si="312"/>
        <v>0</v>
      </c>
      <c r="QBN64" s="44">
        <f t="shared" si="312"/>
        <v>0</v>
      </c>
      <c r="QBO64" s="44">
        <f t="shared" si="312"/>
        <v>0</v>
      </c>
      <c r="QBP64" s="44">
        <f t="shared" si="312"/>
        <v>0</v>
      </c>
      <c r="QBQ64" s="44">
        <f t="shared" si="312"/>
        <v>0</v>
      </c>
      <c r="QBR64" s="44">
        <f t="shared" si="312"/>
        <v>0</v>
      </c>
      <c r="QBS64" s="44">
        <f t="shared" si="312"/>
        <v>0</v>
      </c>
      <c r="QBT64" s="44">
        <f t="shared" si="312"/>
        <v>0</v>
      </c>
      <c r="QBU64" s="44">
        <f t="shared" si="312"/>
        <v>0</v>
      </c>
      <c r="QBV64" s="44">
        <f t="shared" si="312"/>
        <v>0</v>
      </c>
      <c r="QBW64" s="44">
        <f t="shared" si="312"/>
        <v>0</v>
      </c>
      <c r="QBX64" s="44">
        <f t="shared" si="312"/>
        <v>0</v>
      </c>
      <c r="QBY64" s="44">
        <f t="shared" si="312"/>
        <v>0</v>
      </c>
      <c r="QBZ64" s="44">
        <f t="shared" si="312"/>
        <v>0</v>
      </c>
      <c r="QCA64" s="44">
        <f t="shared" si="312"/>
        <v>0</v>
      </c>
      <c r="QCB64" s="44">
        <f t="shared" si="312"/>
        <v>0</v>
      </c>
      <c r="QCC64" s="44">
        <f t="shared" si="312"/>
        <v>0</v>
      </c>
      <c r="QCD64" s="44">
        <f t="shared" si="312"/>
        <v>0</v>
      </c>
      <c r="QCE64" s="44">
        <f t="shared" si="312"/>
        <v>0</v>
      </c>
      <c r="QCF64" s="44">
        <f t="shared" si="312"/>
        <v>0</v>
      </c>
      <c r="QCG64" s="44">
        <f t="shared" si="312"/>
        <v>0</v>
      </c>
      <c r="QCH64" s="44">
        <f t="shared" si="312"/>
        <v>0</v>
      </c>
      <c r="QCI64" s="44">
        <f t="shared" si="312"/>
        <v>0</v>
      </c>
      <c r="QCJ64" s="44">
        <f t="shared" si="312"/>
        <v>0</v>
      </c>
      <c r="QCK64" s="44">
        <f t="shared" si="312"/>
        <v>0</v>
      </c>
      <c r="QCL64" s="44">
        <f t="shared" si="312"/>
        <v>0</v>
      </c>
      <c r="QCM64" s="44">
        <f t="shared" si="312"/>
        <v>0</v>
      </c>
      <c r="QCN64" s="44">
        <f t="shared" si="312"/>
        <v>0</v>
      </c>
      <c r="QCO64" s="44">
        <f t="shared" si="312"/>
        <v>0</v>
      </c>
      <c r="QCP64" s="44">
        <f t="shared" si="312"/>
        <v>0</v>
      </c>
      <c r="QCQ64" s="44">
        <f t="shared" si="312"/>
        <v>0</v>
      </c>
      <c r="QCR64" s="44">
        <f t="shared" si="312"/>
        <v>0</v>
      </c>
      <c r="QCS64" s="44">
        <f t="shared" si="312"/>
        <v>0</v>
      </c>
      <c r="QCT64" s="44">
        <f t="shared" si="312"/>
        <v>0</v>
      </c>
      <c r="QCU64" s="44">
        <f t="shared" si="312"/>
        <v>0</v>
      </c>
      <c r="QCV64" s="44">
        <f t="shared" si="312"/>
        <v>0</v>
      </c>
      <c r="QCW64" s="44">
        <f t="shared" si="312"/>
        <v>0</v>
      </c>
      <c r="QCX64" s="44">
        <f t="shared" si="312"/>
        <v>0</v>
      </c>
      <c r="QCY64" s="44">
        <f t="shared" si="312"/>
        <v>0</v>
      </c>
      <c r="QCZ64" s="44">
        <f t="shared" si="312"/>
        <v>0</v>
      </c>
      <c r="QDA64" s="44">
        <f t="shared" si="312"/>
        <v>0</v>
      </c>
      <c r="QDB64" s="44">
        <f t="shared" si="312"/>
        <v>0</v>
      </c>
      <c r="QDC64" s="44">
        <f t="shared" si="312"/>
        <v>0</v>
      </c>
      <c r="QDD64" s="44">
        <f t="shared" si="312"/>
        <v>0</v>
      </c>
      <c r="QDE64" s="44">
        <f t="shared" si="312"/>
        <v>0</v>
      </c>
      <c r="QDF64" s="44">
        <f t="shared" si="312"/>
        <v>0</v>
      </c>
      <c r="QDG64" s="44">
        <f t="shared" si="312"/>
        <v>0</v>
      </c>
      <c r="QDH64" s="44">
        <f t="shared" si="312"/>
        <v>0</v>
      </c>
      <c r="QDI64" s="44">
        <f t="shared" si="312"/>
        <v>0</v>
      </c>
      <c r="QDJ64" s="44">
        <f t="shared" ref="QDJ64:QFU64" si="313">SUM(QDJ56:QDJ57)</f>
        <v>0</v>
      </c>
      <c r="QDK64" s="44">
        <f t="shared" si="313"/>
        <v>0</v>
      </c>
      <c r="QDL64" s="44">
        <f t="shared" si="313"/>
        <v>0</v>
      </c>
      <c r="QDM64" s="44">
        <f t="shared" si="313"/>
        <v>0</v>
      </c>
      <c r="QDN64" s="44">
        <f t="shared" si="313"/>
        <v>0</v>
      </c>
      <c r="QDO64" s="44">
        <f t="shared" si="313"/>
        <v>0</v>
      </c>
      <c r="QDP64" s="44">
        <f t="shared" si="313"/>
        <v>0</v>
      </c>
      <c r="QDQ64" s="44">
        <f t="shared" si="313"/>
        <v>0</v>
      </c>
      <c r="QDR64" s="44">
        <f t="shared" si="313"/>
        <v>0</v>
      </c>
      <c r="QDS64" s="44">
        <f t="shared" si="313"/>
        <v>0</v>
      </c>
      <c r="QDT64" s="44">
        <f t="shared" si="313"/>
        <v>0</v>
      </c>
      <c r="QDU64" s="44">
        <f t="shared" si="313"/>
        <v>0</v>
      </c>
      <c r="QDV64" s="44">
        <f t="shared" si="313"/>
        <v>0</v>
      </c>
      <c r="QDW64" s="44">
        <f t="shared" si="313"/>
        <v>0</v>
      </c>
      <c r="QDX64" s="44">
        <f t="shared" si="313"/>
        <v>0</v>
      </c>
      <c r="QDY64" s="44">
        <f t="shared" si="313"/>
        <v>0</v>
      </c>
      <c r="QDZ64" s="44">
        <f t="shared" si="313"/>
        <v>0</v>
      </c>
      <c r="QEA64" s="44">
        <f t="shared" si="313"/>
        <v>0</v>
      </c>
      <c r="QEB64" s="44">
        <f t="shared" si="313"/>
        <v>0</v>
      </c>
      <c r="QEC64" s="44">
        <f t="shared" si="313"/>
        <v>0</v>
      </c>
      <c r="QED64" s="44">
        <f t="shared" si="313"/>
        <v>0</v>
      </c>
      <c r="QEE64" s="44">
        <f t="shared" si="313"/>
        <v>0</v>
      </c>
      <c r="QEF64" s="44">
        <f t="shared" si="313"/>
        <v>0</v>
      </c>
      <c r="QEG64" s="44">
        <f t="shared" si="313"/>
        <v>0</v>
      </c>
      <c r="QEH64" s="44">
        <f t="shared" si="313"/>
        <v>0</v>
      </c>
      <c r="QEI64" s="44">
        <f t="shared" si="313"/>
        <v>0</v>
      </c>
      <c r="QEJ64" s="44">
        <f t="shared" si="313"/>
        <v>0</v>
      </c>
      <c r="QEK64" s="44">
        <f t="shared" si="313"/>
        <v>0</v>
      </c>
      <c r="QEL64" s="44">
        <f t="shared" si="313"/>
        <v>0</v>
      </c>
      <c r="QEM64" s="44">
        <f t="shared" si="313"/>
        <v>0</v>
      </c>
      <c r="QEN64" s="44">
        <f t="shared" si="313"/>
        <v>0</v>
      </c>
      <c r="QEO64" s="44">
        <f t="shared" si="313"/>
        <v>0</v>
      </c>
      <c r="QEP64" s="44">
        <f t="shared" si="313"/>
        <v>0</v>
      </c>
      <c r="QEQ64" s="44">
        <f t="shared" si="313"/>
        <v>0</v>
      </c>
      <c r="QER64" s="44">
        <f t="shared" si="313"/>
        <v>0</v>
      </c>
      <c r="QES64" s="44">
        <f t="shared" si="313"/>
        <v>0</v>
      </c>
      <c r="QET64" s="44">
        <f t="shared" si="313"/>
        <v>0</v>
      </c>
      <c r="QEU64" s="44">
        <f t="shared" si="313"/>
        <v>0</v>
      </c>
      <c r="QEV64" s="44">
        <f t="shared" si="313"/>
        <v>0</v>
      </c>
      <c r="QEW64" s="44">
        <f t="shared" si="313"/>
        <v>0</v>
      </c>
      <c r="QEX64" s="44">
        <f t="shared" si="313"/>
        <v>0</v>
      </c>
      <c r="QEY64" s="44">
        <f t="shared" si="313"/>
        <v>0</v>
      </c>
      <c r="QEZ64" s="44">
        <f t="shared" si="313"/>
        <v>0</v>
      </c>
      <c r="QFA64" s="44">
        <f t="shared" si="313"/>
        <v>0</v>
      </c>
      <c r="QFB64" s="44">
        <f t="shared" si="313"/>
        <v>0</v>
      </c>
      <c r="QFC64" s="44">
        <f t="shared" si="313"/>
        <v>0</v>
      </c>
      <c r="QFD64" s="44">
        <f t="shared" si="313"/>
        <v>0</v>
      </c>
      <c r="QFE64" s="44">
        <f t="shared" si="313"/>
        <v>0</v>
      </c>
      <c r="QFF64" s="44">
        <f t="shared" si="313"/>
        <v>0</v>
      </c>
      <c r="QFG64" s="44">
        <f t="shared" si="313"/>
        <v>0</v>
      </c>
      <c r="QFH64" s="44">
        <f t="shared" si="313"/>
        <v>0</v>
      </c>
      <c r="QFI64" s="44">
        <f t="shared" si="313"/>
        <v>0</v>
      </c>
      <c r="QFJ64" s="44">
        <f t="shared" si="313"/>
        <v>0</v>
      </c>
      <c r="QFK64" s="44">
        <f t="shared" si="313"/>
        <v>0</v>
      </c>
      <c r="QFL64" s="44">
        <f t="shared" si="313"/>
        <v>0</v>
      </c>
      <c r="QFM64" s="44">
        <f t="shared" si="313"/>
        <v>0</v>
      </c>
      <c r="QFN64" s="44">
        <f t="shared" si="313"/>
        <v>0</v>
      </c>
      <c r="QFO64" s="44">
        <f t="shared" si="313"/>
        <v>0</v>
      </c>
      <c r="QFP64" s="44">
        <f t="shared" si="313"/>
        <v>0</v>
      </c>
      <c r="QFQ64" s="44">
        <f t="shared" si="313"/>
        <v>0</v>
      </c>
      <c r="QFR64" s="44">
        <f t="shared" si="313"/>
        <v>0</v>
      </c>
      <c r="QFS64" s="44">
        <f t="shared" si="313"/>
        <v>0</v>
      </c>
      <c r="QFT64" s="44">
        <f t="shared" si="313"/>
        <v>0</v>
      </c>
      <c r="QFU64" s="44">
        <f t="shared" si="313"/>
        <v>0</v>
      </c>
      <c r="QFV64" s="44">
        <f t="shared" ref="QFV64:QIG64" si="314">SUM(QFV56:QFV57)</f>
        <v>0</v>
      </c>
      <c r="QFW64" s="44">
        <f t="shared" si="314"/>
        <v>0</v>
      </c>
      <c r="QFX64" s="44">
        <f t="shared" si="314"/>
        <v>0</v>
      </c>
      <c r="QFY64" s="44">
        <f t="shared" si="314"/>
        <v>0</v>
      </c>
      <c r="QFZ64" s="44">
        <f t="shared" si="314"/>
        <v>0</v>
      </c>
      <c r="QGA64" s="44">
        <f t="shared" si="314"/>
        <v>0</v>
      </c>
      <c r="QGB64" s="44">
        <f t="shared" si="314"/>
        <v>0</v>
      </c>
      <c r="QGC64" s="44">
        <f t="shared" si="314"/>
        <v>0</v>
      </c>
      <c r="QGD64" s="44">
        <f t="shared" si="314"/>
        <v>0</v>
      </c>
      <c r="QGE64" s="44">
        <f t="shared" si="314"/>
        <v>0</v>
      </c>
      <c r="QGF64" s="44">
        <f t="shared" si="314"/>
        <v>0</v>
      </c>
      <c r="QGG64" s="44">
        <f t="shared" si="314"/>
        <v>0</v>
      </c>
      <c r="QGH64" s="44">
        <f t="shared" si="314"/>
        <v>0</v>
      </c>
      <c r="QGI64" s="44">
        <f t="shared" si="314"/>
        <v>0</v>
      </c>
      <c r="QGJ64" s="44">
        <f t="shared" si="314"/>
        <v>0</v>
      </c>
      <c r="QGK64" s="44">
        <f t="shared" si="314"/>
        <v>0</v>
      </c>
      <c r="QGL64" s="44">
        <f t="shared" si="314"/>
        <v>0</v>
      </c>
      <c r="QGM64" s="44">
        <f t="shared" si="314"/>
        <v>0</v>
      </c>
      <c r="QGN64" s="44">
        <f t="shared" si="314"/>
        <v>0</v>
      </c>
      <c r="QGO64" s="44">
        <f t="shared" si="314"/>
        <v>0</v>
      </c>
      <c r="QGP64" s="44">
        <f t="shared" si="314"/>
        <v>0</v>
      </c>
      <c r="QGQ64" s="44">
        <f t="shared" si="314"/>
        <v>0</v>
      </c>
      <c r="QGR64" s="44">
        <f t="shared" si="314"/>
        <v>0</v>
      </c>
      <c r="QGS64" s="44">
        <f t="shared" si="314"/>
        <v>0</v>
      </c>
      <c r="QGT64" s="44">
        <f t="shared" si="314"/>
        <v>0</v>
      </c>
      <c r="QGU64" s="44">
        <f t="shared" si="314"/>
        <v>0</v>
      </c>
      <c r="QGV64" s="44">
        <f t="shared" si="314"/>
        <v>0</v>
      </c>
      <c r="QGW64" s="44">
        <f t="shared" si="314"/>
        <v>0</v>
      </c>
      <c r="QGX64" s="44">
        <f t="shared" si="314"/>
        <v>0</v>
      </c>
      <c r="QGY64" s="44">
        <f t="shared" si="314"/>
        <v>0</v>
      </c>
      <c r="QGZ64" s="44">
        <f t="shared" si="314"/>
        <v>0</v>
      </c>
      <c r="QHA64" s="44">
        <f t="shared" si="314"/>
        <v>0</v>
      </c>
      <c r="QHB64" s="44">
        <f t="shared" si="314"/>
        <v>0</v>
      </c>
      <c r="QHC64" s="44">
        <f t="shared" si="314"/>
        <v>0</v>
      </c>
      <c r="QHD64" s="44">
        <f t="shared" si="314"/>
        <v>0</v>
      </c>
      <c r="QHE64" s="44">
        <f t="shared" si="314"/>
        <v>0</v>
      </c>
      <c r="QHF64" s="44">
        <f t="shared" si="314"/>
        <v>0</v>
      </c>
      <c r="QHG64" s="44">
        <f t="shared" si="314"/>
        <v>0</v>
      </c>
      <c r="QHH64" s="44">
        <f t="shared" si="314"/>
        <v>0</v>
      </c>
      <c r="QHI64" s="44">
        <f t="shared" si="314"/>
        <v>0</v>
      </c>
      <c r="QHJ64" s="44">
        <f t="shared" si="314"/>
        <v>0</v>
      </c>
      <c r="QHK64" s="44">
        <f t="shared" si="314"/>
        <v>0</v>
      </c>
      <c r="QHL64" s="44">
        <f t="shared" si="314"/>
        <v>0</v>
      </c>
      <c r="QHM64" s="44">
        <f t="shared" si="314"/>
        <v>0</v>
      </c>
      <c r="QHN64" s="44">
        <f t="shared" si="314"/>
        <v>0</v>
      </c>
      <c r="QHO64" s="44">
        <f t="shared" si="314"/>
        <v>0</v>
      </c>
      <c r="QHP64" s="44">
        <f t="shared" si="314"/>
        <v>0</v>
      </c>
      <c r="QHQ64" s="44">
        <f t="shared" si="314"/>
        <v>0</v>
      </c>
      <c r="QHR64" s="44">
        <f t="shared" si="314"/>
        <v>0</v>
      </c>
      <c r="QHS64" s="44">
        <f t="shared" si="314"/>
        <v>0</v>
      </c>
      <c r="QHT64" s="44">
        <f t="shared" si="314"/>
        <v>0</v>
      </c>
      <c r="QHU64" s="44">
        <f t="shared" si="314"/>
        <v>0</v>
      </c>
      <c r="QHV64" s="44">
        <f t="shared" si="314"/>
        <v>0</v>
      </c>
      <c r="QHW64" s="44">
        <f t="shared" si="314"/>
        <v>0</v>
      </c>
      <c r="QHX64" s="44">
        <f t="shared" si="314"/>
        <v>0</v>
      </c>
      <c r="QHY64" s="44">
        <f t="shared" si="314"/>
        <v>0</v>
      </c>
      <c r="QHZ64" s="44">
        <f t="shared" si="314"/>
        <v>0</v>
      </c>
      <c r="QIA64" s="44">
        <f t="shared" si="314"/>
        <v>0</v>
      </c>
      <c r="QIB64" s="44">
        <f t="shared" si="314"/>
        <v>0</v>
      </c>
      <c r="QIC64" s="44">
        <f t="shared" si="314"/>
        <v>0</v>
      </c>
      <c r="QID64" s="44">
        <f t="shared" si="314"/>
        <v>0</v>
      </c>
      <c r="QIE64" s="44">
        <f t="shared" si="314"/>
        <v>0</v>
      </c>
      <c r="QIF64" s="44">
        <f t="shared" si="314"/>
        <v>0</v>
      </c>
      <c r="QIG64" s="44">
        <f t="shared" si="314"/>
        <v>0</v>
      </c>
      <c r="QIH64" s="44">
        <f t="shared" ref="QIH64:QKS64" si="315">SUM(QIH56:QIH57)</f>
        <v>0</v>
      </c>
      <c r="QII64" s="44">
        <f t="shared" si="315"/>
        <v>0</v>
      </c>
      <c r="QIJ64" s="44">
        <f t="shared" si="315"/>
        <v>0</v>
      </c>
      <c r="QIK64" s="44">
        <f t="shared" si="315"/>
        <v>0</v>
      </c>
      <c r="QIL64" s="44">
        <f t="shared" si="315"/>
        <v>0</v>
      </c>
      <c r="QIM64" s="44">
        <f t="shared" si="315"/>
        <v>0</v>
      </c>
      <c r="QIN64" s="44">
        <f t="shared" si="315"/>
        <v>0</v>
      </c>
      <c r="QIO64" s="44">
        <f t="shared" si="315"/>
        <v>0</v>
      </c>
      <c r="QIP64" s="44">
        <f t="shared" si="315"/>
        <v>0</v>
      </c>
      <c r="QIQ64" s="44">
        <f t="shared" si="315"/>
        <v>0</v>
      </c>
      <c r="QIR64" s="44">
        <f t="shared" si="315"/>
        <v>0</v>
      </c>
      <c r="QIS64" s="44">
        <f t="shared" si="315"/>
        <v>0</v>
      </c>
      <c r="QIT64" s="44">
        <f t="shared" si="315"/>
        <v>0</v>
      </c>
      <c r="QIU64" s="44">
        <f t="shared" si="315"/>
        <v>0</v>
      </c>
      <c r="QIV64" s="44">
        <f t="shared" si="315"/>
        <v>0</v>
      </c>
      <c r="QIW64" s="44">
        <f t="shared" si="315"/>
        <v>0</v>
      </c>
      <c r="QIX64" s="44">
        <f t="shared" si="315"/>
        <v>0</v>
      </c>
      <c r="QIY64" s="44">
        <f t="shared" si="315"/>
        <v>0</v>
      </c>
      <c r="QIZ64" s="44">
        <f t="shared" si="315"/>
        <v>0</v>
      </c>
      <c r="QJA64" s="44">
        <f t="shared" si="315"/>
        <v>0</v>
      </c>
      <c r="QJB64" s="44">
        <f t="shared" si="315"/>
        <v>0</v>
      </c>
      <c r="QJC64" s="44">
        <f t="shared" si="315"/>
        <v>0</v>
      </c>
      <c r="QJD64" s="44">
        <f t="shared" si="315"/>
        <v>0</v>
      </c>
      <c r="QJE64" s="44">
        <f t="shared" si="315"/>
        <v>0</v>
      </c>
      <c r="QJF64" s="44">
        <f t="shared" si="315"/>
        <v>0</v>
      </c>
      <c r="QJG64" s="44">
        <f t="shared" si="315"/>
        <v>0</v>
      </c>
      <c r="QJH64" s="44">
        <f t="shared" si="315"/>
        <v>0</v>
      </c>
      <c r="QJI64" s="44">
        <f t="shared" si="315"/>
        <v>0</v>
      </c>
      <c r="QJJ64" s="44">
        <f t="shared" si="315"/>
        <v>0</v>
      </c>
      <c r="QJK64" s="44">
        <f t="shared" si="315"/>
        <v>0</v>
      </c>
      <c r="QJL64" s="44">
        <f t="shared" si="315"/>
        <v>0</v>
      </c>
      <c r="QJM64" s="44">
        <f t="shared" si="315"/>
        <v>0</v>
      </c>
      <c r="QJN64" s="44">
        <f t="shared" si="315"/>
        <v>0</v>
      </c>
      <c r="QJO64" s="44">
        <f t="shared" si="315"/>
        <v>0</v>
      </c>
      <c r="QJP64" s="44">
        <f t="shared" si="315"/>
        <v>0</v>
      </c>
      <c r="QJQ64" s="44">
        <f t="shared" si="315"/>
        <v>0</v>
      </c>
      <c r="QJR64" s="44">
        <f t="shared" si="315"/>
        <v>0</v>
      </c>
      <c r="QJS64" s="44">
        <f t="shared" si="315"/>
        <v>0</v>
      </c>
      <c r="QJT64" s="44">
        <f t="shared" si="315"/>
        <v>0</v>
      </c>
      <c r="QJU64" s="44">
        <f t="shared" si="315"/>
        <v>0</v>
      </c>
      <c r="QJV64" s="44">
        <f t="shared" si="315"/>
        <v>0</v>
      </c>
      <c r="QJW64" s="44">
        <f t="shared" si="315"/>
        <v>0</v>
      </c>
      <c r="QJX64" s="44">
        <f t="shared" si="315"/>
        <v>0</v>
      </c>
      <c r="QJY64" s="44">
        <f t="shared" si="315"/>
        <v>0</v>
      </c>
      <c r="QJZ64" s="44">
        <f t="shared" si="315"/>
        <v>0</v>
      </c>
      <c r="QKA64" s="44">
        <f t="shared" si="315"/>
        <v>0</v>
      </c>
      <c r="QKB64" s="44">
        <f t="shared" si="315"/>
        <v>0</v>
      </c>
      <c r="QKC64" s="44">
        <f t="shared" si="315"/>
        <v>0</v>
      </c>
      <c r="QKD64" s="44">
        <f t="shared" si="315"/>
        <v>0</v>
      </c>
      <c r="QKE64" s="44">
        <f t="shared" si="315"/>
        <v>0</v>
      </c>
      <c r="QKF64" s="44">
        <f t="shared" si="315"/>
        <v>0</v>
      </c>
      <c r="QKG64" s="44">
        <f t="shared" si="315"/>
        <v>0</v>
      </c>
      <c r="QKH64" s="44">
        <f t="shared" si="315"/>
        <v>0</v>
      </c>
      <c r="QKI64" s="44">
        <f t="shared" si="315"/>
        <v>0</v>
      </c>
      <c r="QKJ64" s="44">
        <f t="shared" si="315"/>
        <v>0</v>
      </c>
      <c r="QKK64" s="44">
        <f t="shared" si="315"/>
        <v>0</v>
      </c>
      <c r="QKL64" s="44">
        <f t="shared" si="315"/>
        <v>0</v>
      </c>
      <c r="QKM64" s="44">
        <f t="shared" si="315"/>
        <v>0</v>
      </c>
      <c r="QKN64" s="44">
        <f t="shared" si="315"/>
        <v>0</v>
      </c>
      <c r="QKO64" s="44">
        <f t="shared" si="315"/>
        <v>0</v>
      </c>
      <c r="QKP64" s="44">
        <f t="shared" si="315"/>
        <v>0</v>
      </c>
      <c r="QKQ64" s="44">
        <f t="shared" si="315"/>
        <v>0</v>
      </c>
      <c r="QKR64" s="44">
        <f t="shared" si="315"/>
        <v>0</v>
      </c>
      <c r="QKS64" s="44">
        <f t="shared" si="315"/>
        <v>0</v>
      </c>
      <c r="QKT64" s="44">
        <f t="shared" ref="QKT64:QNE64" si="316">SUM(QKT56:QKT57)</f>
        <v>0</v>
      </c>
      <c r="QKU64" s="44">
        <f t="shared" si="316"/>
        <v>0</v>
      </c>
      <c r="QKV64" s="44">
        <f t="shared" si="316"/>
        <v>0</v>
      </c>
      <c r="QKW64" s="44">
        <f t="shared" si="316"/>
        <v>0</v>
      </c>
      <c r="QKX64" s="44">
        <f t="shared" si="316"/>
        <v>0</v>
      </c>
      <c r="QKY64" s="44">
        <f t="shared" si="316"/>
        <v>0</v>
      </c>
      <c r="QKZ64" s="44">
        <f t="shared" si="316"/>
        <v>0</v>
      </c>
      <c r="QLA64" s="44">
        <f t="shared" si="316"/>
        <v>0</v>
      </c>
      <c r="QLB64" s="44">
        <f t="shared" si="316"/>
        <v>0</v>
      </c>
      <c r="QLC64" s="44">
        <f t="shared" si="316"/>
        <v>0</v>
      </c>
      <c r="QLD64" s="44">
        <f t="shared" si="316"/>
        <v>0</v>
      </c>
      <c r="QLE64" s="44">
        <f t="shared" si="316"/>
        <v>0</v>
      </c>
      <c r="QLF64" s="44">
        <f t="shared" si="316"/>
        <v>0</v>
      </c>
      <c r="QLG64" s="44">
        <f t="shared" si="316"/>
        <v>0</v>
      </c>
      <c r="QLH64" s="44">
        <f t="shared" si="316"/>
        <v>0</v>
      </c>
      <c r="QLI64" s="44">
        <f t="shared" si="316"/>
        <v>0</v>
      </c>
      <c r="QLJ64" s="44">
        <f t="shared" si="316"/>
        <v>0</v>
      </c>
      <c r="QLK64" s="44">
        <f t="shared" si="316"/>
        <v>0</v>
      </c>
      <c r="QLL64" s="44">
        <f t="shared" si="316"/>
        <v>0</v>
      </c>
      <c r="QLM64" s="44">
        <f t="shared" si="316"/>
        <v>0</v>
      </c>
      <c r="QLN64" s="44">
        <f t="shared" si="316"/>
        <v>0</v>
      </c>
      <c r="QLO64" s="44">
        <f t="shared" si="316"/>
        <v>0</v>
      </c>
      <c r="QLP64" s="44">
        <f t="shared" si="316"/>
        <v>0</v>
      </c>
      <c r="QLQ64" s="44">
        <f t="shared" si="316"/>
        <v>0</v>
      </c>
      <c r="QLR64" s="44">
        <f t="shared" si="316"/>
        <v>0</v>
      </c>
      <c r="QLS64" s="44">
        <f t="shared" si="316"/>
        <v>0</v>
      </c>
      <c r="QLT64" s="44">
        <f t="shared" si="316"/>
        <v>0</v>
      </c>
      <c r="QLU64" s="44">
        <f t="shared" si="316"/>
        <v>0</v>
      </c>
      <c r="QLV64" s="44">
        <f t="shared" si="316"/>
        <v>0</v>
      </c>
      <c r="QLW64" s="44">
        <f t="shared" si="316"/>
        <v>0</v>
      </c>
      <c r="QLX64" s="44">
        <f t="shared" si="316"/>
        <v>0</v>
      </c>
      <c r="QLY64" s="44">
        <f t="shared" si="316"/>
        <v>0</v>
      </c>
      <c r="QLZ64" s="44">
        <f t="shared" si="316"/>
        <v>0</v>
      </c>
      <c r="QMA64" s="44">
        <f t="shared" si="316"/>
        <v>0</v>
      </c>
      <c r="QMB64" s="44">
        <f t="shared" si="316"/>
        <v>0</v>
      </c>
      <c r="QMC64" s="44">
        <f t="shared" si="316"/>
        <v>0</v>
      </c>
      <c r="QMD64" s="44">
        <f t="shared" si="316"/>
        <v>0</v>
      </c>
      <c r="QME64" s="44">
        <f t="shared" si="316"/>
        <v>0</v>
      </c>
      <c r="QMF64" s="44">
        <f t="shared" si="316"/>
        <v>0</v>
      </c>
      <c r="QMG64" s="44">
        <f t="shared" si="316"/>
        <v>0</v>
      </c>
      <c r="QMH64" s="44">
        <f t="shared" si="316"/>
        <v>0</v>
      </c>
      <c r="QMI64" s="44">
        <f t="shared" si="316"/>
        <v>0</v>
      </c>
      <c r="QMJ64" s="44">
        <f t="shared" si="316"/>
        <v>0</v>
      </c>
      <c r="QMK64" s="44">
        <f t="shared" si="316"/>
        <v>0</v>
      </c>
      <c r="QML64" s="44">
        <f t="shared" si="316"/>
        <v>0</v>
      </c>
      <c r="QMM64" s="44">
        <f t="shared" si="316"/>
        <v>0</v>
      </c>
      <c r="QMN64" s="44">
        <f t="shared" si="316"/>
        <v>0</v>
      </c>
      <c r="QMO64" s="44">
        <f t="shared" si="316"/>
        <v>0</v>
      </c>
      <c r="QMP64" s="44">
        <f t="shared" si="316"/>
        <v>0</v>
      </c>
      <c r="QMQ64" s="44">
        <f t="shared" si="316"/>
        <v>0</v>
      </c>
      <c r="QMR64" s="44">
        <f t="shared" si="316"/>
        <v>0</v>
      </c>
      <c r="QMS64" s="44">
        <f t="shared" si="316"/>
        <v>0</v>
      </c>
      <c r="QMT64" s="44">
        <f t="shared" si="316"/>
        <v>0</v>
      </c>
      <c r="QMU64" s="44">
        <f t="shared" si="316"/>
        <v>0</v>
      </c>
      <c r="QMV64" s="44">
        <f t="shared" si="316"/>
        <v>0</v>
      </c>
      <c r="QMW64" s="44">
        <f t="shared" si="316"/>
        <v>0</v>
      </c>
      <c r="QMX64" s="44">
        <f t="shared" si="316"/>
        <v>0</v>
      </c>
      <c r="QMY64" s="44">
        <f t="shared" si="316"/>
        <v>0</v>
      </c>
      <c r="QMZ64" s="44">
        <f t="shared" si="316"/>
        <v>0</v>
      </c>
      <c r="QNA64" s="44">
        <f t="shared" si="316"/>
        <v>0</v>
      </c>
      <c r="QNB64" s="44">
        <f t="shared" si="316"/>
        <v>0</v>
      </c>
      <c r="QNC64" s="44">
        <f t="shared" si="316"/>
        <v>0</v>
      </c>
      <c r="QND64" s="44">
        <f t="shared" si="316"/>
        <v>0</v>
      </c>
      <c r="QNE64" s="44">
        <f t="shared" si="316"/>
        <v>0</v>
      </c>
      <c r="QNF64" s="44">
        <f t="shared" ref="QNF64:QPQ64" si="317">SUM(QNF56:QNF57)</f>
        <v>0</v>
      </c>
      <c r="QNG64" s="44">
        <f t="shared" si="317"/>
        <v>0</v>
      </c>
      <c r="QNH64" s="44">
        <f t="shared" si="317"/>
        <v>0</v>
      </c>
      <c r="QNI64" s="44">
        <f t="shared" si="317"/>
        <v>0</v>
      </c>
      <c r="QNJ64" s="44">
        <f t="shared" si="317"/>
        <v>0</v>
      </c>
      <c r="QNK64" s="44">
        <f t="shared" si="317"/>
        <v>0</v>
      </c>
      <c r="QNL64" s="44">
        <f t="shared" si="317"/>
        <v>0</v>
      </c>
      <c r="QNM64" s="44">
        <f t="shared" si="317"/>
        <v>0</v>
      </c>
      <c r="QNN64" s="44">
        <f t="shared" si="317"/>
        <v>0</v>
      </c>
      <c r="QNO64" s="44">
        <f t="shared" si="317"/>
        <v>0</v>
      </c>
      <c r="QNP64" s="44">
        <f t="shared" si="317"/>
        <v>0</v>
      </c>
      <c r="QNQ64" s="44">
        <f t="shared" si="317"/>
        <v>0</v>
      </c>
      <c r="QNR64" s="44">
        <f t="shared" si="317"/>
        <v>0</v>
      </c>
      <c r="QNS64" s="44">
        <f t="shared" si="317"/>
        <v>0</v>
      </c>
      <c r="QNT64" s="44">
        <f t="shared" si="317"/>
        <v>0</v>
      </c>
      <c r="QNU64" s="44">
        <f t="shared" si="317"/>
        <v>0</v>
      </c>
      <c r="QNV64" s="44">
        <f t="shared" si="317"/>
        <v>0</v>
      </c>
      <c r="QNW64" s="44">
        <f t="shared" si="317"/>
        <v>0</v>
      </c>
      <c r="QNX64" s="44">
        <f t="shared" si="317"/>
        <v>0</v>
      </c>
      <c r="QNY64" s="44">
        <f t="shared" si="317"/>
        <v>0</v>
      </c>
      <c r="QNZ64" s="44">
        <f t="shared" si="317"/>
        <v>0</v>
      </c>
      <c r="QOA64" s="44">
        <f t="shared" si="317"/>
        <v>0</v>
      </c>
      <c r="QOB64" s="44">
        <f t="shared" si="317"/>
        <v>0</v>
      </c>
      <c r="QOC64" s="44">
        <f t="shared" si="317"/>
        <v>0</v>
      </c>
      <c r="QOD64" s="44">
        <f t="shared" si="317"/>
        <v>0</v>
      </c>
      <c r="QOE64" s="44">
        <f t="shared" si="317"/>
        <v>0</v>
      </c>
      <c r="QOF64" s="44">
        <f t="shared" si="317"/>
        <v>0</v>
      </c>
      <c r="QOG64" s="44">
        <f t="shared" si="317"/>
        <v>0</v>
      </c>
      <c r="QOH64" s="44">
        <f t="shared" si="317"/>
        <v>0</v>
      </c>
      <c r="QOI64" s="44">
        <f t="shared" si="317"/>
        <v>0</v>
      </c>
      <c r="QOJ64" s="44">
        <f t="shared" si="317"/>
        <v>0</v>
      </c>
      <c r="QOK64" s="44">
        <f t="shared" si="317"/>
        <v>0</v>
      </c>
      <c r="QOL64" s="44">
        <f t="shared" si="317"/>
        <v>0</v>
      </c>
      <c r="QOM64" s="44">
        <f t="shared" si="317"/>
        <v>0</v>
      </c>
      <c r="QON64" s="44">
        <f t="shared" si="317"/>
        <v>0</v>
      </c>
      <c r="QOO64" s="44">
        <f t="shared" si="317"/>
        <v>0</v>
      </c>
      <c r="QOP64" s="44">
        <f t="shared" si="317"/>
        <v>0</v>
      </c>
      <c r="QOQ64" s="44">
        <f t="shared" si="317"/>
        <v>0</v>
      </c>
      <c r="QOR64" s="44">
        <f t="shared" si="317"/>
        <v>0</v>
      </c>
      <c r="QOS64" s="44">
        <f t="shared" si="317"/>
        <v>0</v>
      </c>
      <c r="QOT64" s="44">
        <f t="shared" si="317"/>
        <v>0</v>
      </c>
      <c r="QOU64" s="44">
        <f t="shared" si="317"/>
        <v>0</v>
      </c>
      <c r="QOV64" s="44">
        <f t="shared" si="317"/>
        <v>0</v>
      </c>
      <c r="QOW64" s="44">
        <f t="shared" si="317"/>
        <v>0</v>
      </c>
      <c r="QOX64" s="44">
        <f t="shared" si="317"/>
        <v>0</v>
      </c>
      <c r="QOY64" s="44">
        <f t="shared" si="317"/>
        <v>0</v>
      </c>
      <c r="QOZ64" s="44">
        <f t="shared" si="317"/>
        <v>0</v>
      </c>
      <c r="QPA64" s="44">
        <f t="shared" si="317"/>
        <v>0</v>
      </c>
      <c r="QPB64" s="44">
        <f t="shared" si="317"/>
        <v>0</v>
      </c>
      <c r="QPC64" s="44">
        <f t="shared" si="317"/>
        <v>0</v>
      </c>
      <c r="QPD64" s="44">
        <f t="shared" si="317"/>
        <v>0</v>
      </c>
      <c r="QPE64" s="44">
        <f t="shared" si="317"/>
        <v>0</v>
      </c>
      <c r="QPF64" s="44">
        <f t="shared" si="317"/>
        <v>0</v>
      </c>
      <c r="QPG64" s="44">
        <f t="shared" si="317"/>
        <v>0</v>
      </c>
      <c r="QPH64" s="44">
        <f t="shared" si="317"/>
        <v>0</v>
      </c>
      <c r="QPI64" s="44">
        <f t="shared" si="317"/>
        <v>0</v>
      </c>
      <c r="QPJ64" s="44">
        <f t="shared" si="317"/>
        <v>0</v>
      </c>
      <c r="QPK64" s="44">
        <f t="shared" si="317"/>
        <v>0</v>
      </c>
      <c r="QPL64" s="44">
        <f t="shared" si="317"/>
        <v>0</v>
      </c>
      <c r="QPM64" s="44">
        <f t="shared" si="317"/>
        <v>0</v>
      </c>
      <c r="QPN64" s="44">
        <f t="shared" si="317"/>
        <v>0</v>
      </c>
      <c r="QPO64" s="44">
        <f t="shared" si="317"/>
        <v>0</v>
      </c>
      <c r="QPP64" s="44">
        <f t="shared" si="317"/>
        <v>0</v>
      </c>
      <c r="QPQ64" s="44">
        <f t="shared" si="317"/>
        <v>0</v>
      </c>
      <c r="QPR64" s="44">
        <f t="shared" ref="QPR64:QSC64" si="318">SUM(QPR56:QPR57)</f>
        <v>0</v>
      </c>
      <c r="QPS64" s="44">
        <f t="shared" si="318"/>
        <v>0</v>
      </c>
      <c r="QPT64" s="44">
        <f t="shared" si="318"/>
        <v>0</v>
      </c>
      <c r="QPU64" s="44">
        <f t="shared" si="318"/>
        <v>0</v>
      </c>
      <c r="QPV64" s="44">
        <f t="shared" si="318"/>
        <v>0</v>
      </c>
      <c r="QPW64" s="44">
        <f t="shared" si="318"/>
        <v>0</v>
      </c>
      <c r="QPX64" s="44">
        <f t="shared" si="318"/>
        <v>0</v>
      </c>
      <c r="QPY64" s="44">
        <f t="shared" si="318"/>
        <v>0</v>
      </c>
      <c r="QPZ64" s="44">
        <f t="shared" si="318"/>
        <v>0</v>
      </c>
      <c r="QQA64" s="44">
        <f t="shared" si="318"/>
        <v>0</v>
      </c>
      <c r="QQB64" s="44">
        <f t="shared" si="318"/>
        <v>0</v>
      </c>
      <c r="QQC64" s="44">
        <f t="shared" si="318"/>
        <v>0</v>
      </c>
      <c r="QQD64" s="44">
        <f t="shared" si="318"/>
        <v>0</v>
      </c>
      <c r="QQE64" s="44">
        <f t="shared" si="318"/>
        <v>0</v>
      </c>
      <c r="QQF64" s="44">
        <f t="shared" si="318"/>
        <v>0</v>
      </c>
      <c r="QQG64" s="44">
        <f t="shared" si="318"/>
        <v>0</v>
      </c>
      <c r="QQH64" s="44">
        <f t="shared" si="318"/>
        <v>0</v>
      </c>
      <c r="QQI64" s="44">
        <f t="shared" si="318"/>
        <v>0</v>
      </c>
      <c r="QQJ64" s="44">
        <f t="shared" si="318"/>
        <v>0</v>
      </c>
      <c r="QQK64" s="44">
        <f t="shared" si="318"/>
        <v>0</v>
      </c>
      <c r="QQL64" s="44">
        <f t="shared" si="318"/>
        <v>0</v>
      </c>
      <c r="QQM64" s="44">
        <f t="shared" si="318"/>
        <v>0</v>
      </c>
      <c r="QQN64" s="44">
        <f t="shared" si="318"/>
        <v>0</v>
      </c>
      <c r="QQO64" s="44">
        <f t="shared" si="318"/>
        <v>0</v>
      </c>
      <c r="QQP64" s="44">
        <f t="shared" si="318"/>
        <v>0</v>
      </c>
      <c r="QQQ64" s="44">
        <f t="shared" si="318"/>
        <v>0</v>
      </c>
      <c r="QQR64" s="44">
        <f t="shared" si="318"/>
        <v>0</v>
      </c>
      <c r="QQS64" s="44">
        <f t="shared" si="318"/>
        <v>0</v>
      </c>
      <c r="QQT64" s="44">
        <f t="shared" si="318"/>
        <v>0</v>
      </c>
      <c r="QQU64" s="44">
        <f t="shared" si="318"/>
        <v>0</v>
      </c>
      <c r="QQV64" s="44">
        <f t="shared" si="318"/>
        <v>0</v>
      </c>
      <c r="QQW64" s="44">
        <f t="shared" si="318"/>
        <v>0</v>
      </c>
      <c r="QQX64" s="44">
        <f t="shared" si="318"/>
        <v>0</v>
      </c>
      <c r="QQY64" s="44">
        <f t="shared" si="318"/>
        <v>0</v>
      </c>
      <c r="QQZ64" s="44">
        <f t="shared" si="318"/>
        <v>0</v>
      </c>
      <c r="QRA64" s="44">
        <f t="shared" si="318"/>
        <v>0</v>
      </c>
      <c r="QRB64" s="44">
        <f t="shared" si="318"/>
        <v>0</v>
      </c>
      <c r="QRC64" s="44">
        <f t="shared" si="318"/>
        <v>0</v>
      </c>
      <c r="QRD64" s="44">
        <f t="shared" si="318"/>
        <v>0</v>
      </c>
      <c r="QRE64" s="44">
        <f t="shared" si="318"/>
        <v>0</v>
      </c>
      <c r="QRF64" s="44">
        <f t="shared" si="318"/>
        <v>0</v>
      </c>
      <c r="QRG64" s="44">
        <f t="shared" si="318"/>
        <v>0</v>
      </c>
      <c r="QRH64" s="44">
        <f t="shared" si="318"/>
        <v>0</v>
      </c>
      <c r="QRI64" s="44">
        <f t="shared" si="318"/>
        <v>0</v>
      </c>
      <c r="QRJ64" s="44">
        <f t="shared" si="318"/>
        <v>0</v>
      </c>
      <c r="QRK64" s="44">
        <f t="shared" si="318"/>
        <v>0</v>
      </c>
      <c r="QRL64" s="44">
        <f t="shared" si="318"/>
        <v>0</v>
      </c>
      <c r="QRM64" s="44">
        <f t="shared" si="318"/>
        <v>0</v>
      </c>
      <c r="QRN64" s="44">
        <f t="shared" si="318"/>
        <v>0</v>
      </c>
      <c r="QRO64" s="44">
        <f t="shared" si="318"/>
        <v>0</v>
      </c>
      <c r="QRP64" s="44">
        <f t="shared" si="318"/>
        <v>0</v>
      </c>
      <c r="QRQ64" s="44">
        <f t="shared" si="318"/>
        <v>0</v>
      </c>
      <c r="QRR64" s="44">
        <f t="shared" si="318"/>
        <v>0</v>
      </c>
      <c r="QRS64" s="44">
        <f t="shared" si="318"/>
        <v>0</v>
      </c>
      <c r="QRT64" s="44">
        <f t="shared" si="318"/>
        <v>0</v>
      </c>
      <c r="QRU64" s="44">
        <f t="shared" si="318"/>
        <v>0</v>
      </c>
      <c r="QRV64" s="44">
        <f t="shared" si="318"/>
        <v>0</v>
      </c>
      <c r="QRW64" s="44">
        <f t="shared" si="318"/>
        <v>0</v>
      </c>
      <c r="QRX64" s="44">
        <f t="shared" si="318"/>
        <v>0</v>
      </c>
      <c r="QRY64" s="44">
        <f t="shared" si="318"/>
        <v>0</v>
      </c>
      <c r="QRZ64" s="44">
        <f t="shared" si="318"/>
        <v>0</v>
      </c>
      <c r="QSA64" s="44">
        <f t="shared" si="318"/>
        <v>0</v>
      </c>
      <c r="QSB64" s="44">
        <f t="shared" si="318"/>
        <v>0</v>
      </c>
      <c r="QSC64" s="44">
        <f t="shared" si="318"/>
        <v>0</v>
      </c>
      <c r="QSD64" s="44">
        <f t="shared" ref="QSD64:QUO64" si="319">SUM(QSD56:QSD57)</f>
        <v>0</v>
      </c>
      <c r="QSE64" s="44">
        <f t="shared" si="319"/>
        <v>0</v>
      </c>
      <c r="QSF64" s="44">
        <f t="shared" si="319"/>
        <v>0</v>
      </c>
      <c r="QSG64" s="44">
        <f t="shared" si="319"/>
        <v>0</v>
      </c>
      <c r="QSH64" s="44">
        <f t="shared" si="319"/>
        <v>0</v>
      </c>
      <c r="QSI64" s="44">
        <f t="shared" si="319"/>
        <v>0</v>
      </c>
      <c r="QSJ64" s="44">
        <f t="shared" si="319"/>
        <v>0</v>
      </c>
      <c r="QSK64" s="44">
        <f t="shared" si="319"/>
        <v>0</v>
      </c>
      <c r="QSL64" s="44">
        <f t="shared" si="319"/>
        <v>0</v>
      </c>
      <c r="QSM64" s="44">
        <f t="shared" si="319"/>
        <v>0</v>
      </c>
      <c r="QSN64" s="44">
        <f t="shared" si="319"/>
        <v>0</v>
      </c>
      <c r="QSO64" s="44">
        <f t="shared" si="319"/>
        <v>0</v>
      </c>
      <c r="QSP64" s="44">
        <f t="shared" si="319"/>
        <v>0</v>
      </c>
      <c r="QSQ64" s="44">
        <f t="shared" si="319"/>
        <v>0</v>
      </c>
      <c r="QSR64" s="44">
        <f t="shared" si="319"/>
        <v>0</v>
      </c>
      <c r="QSS64" s="44">
        <f t="shared" si="319"/>
        <v>0</v>
      </c>
      <c r="QST64" s="44">
        <f t="shared" si="319"/>
        <v>0</v>
      </c>
      <c r="QSU64" s="44">
        <f t="shared" si="319"/>
        <v>0</v>
      </c>
      <c r="QSV64" s="44">
        <f t="shared" si="319"/>
        <v>0</v>
      </c>
      <c r="QSW64" s="44">
        <f t="shared" si="319"/>
        <v>0</v>
      </c>
      <c r="QSX64" s="44">
        <f t="shared" si="319"/>
        <v>0</v>
      </c>
      <c r="QSY64" s="44">
        <f t="shared" si="319"/>
        <v>0</v>
      </c>
      <c r="QSZ64" s="44">
        <f t="shared" si="319"/>
        <v>0</v>
      </c>
      <c r="QTA64" s="44">
        <f t="shared" si="319"/>
        <v>0</v>
      </c>
      <c r="QTB64" s="44">
        <f t="shared" si="319"/>
        <v>0</v>
      </c>
      <c r="QTC64" s="44">
        <f t="shared" si="319"/>
        <v>0</v>
      </c>
      <c r="QTD64" s="44">
        <f t="shared" si="319"/>
        <v>0</v>
      </c>
      <c r="QTE64" s="44">
        <f t="shared" si="319"/>
        <v>0</v>
      </c>
      <c r="QTF64" s="44">
        <f t="shared" si="319"/>
        <v>0</v>
      </c>
      <c r="QTG64" s="44">
        <f t="shared" si="319"/>
        <v>0</v>
      </c>
      <c r="QTH64" s="44">
        <f t="shared" si="319"/>
        <v>0</v>
      </c>
      <c r="QTI64" s="44">
        <f t="shared" si="319"/>
        <v>0</v>
      </c>
      <c r="QTJ64" s="44">
        <f t="shared" si="319"/>
        <v>0</v>
      </c>
      <c r="QTK64" s="44">
        <f t="shared" si="319"/>
        <v>0</v>
      </c>
      <c r="QTL64" s="44">
        <f t="shared" si="319"/>
        <v>0</v>
      </c>
      <c r="QTM64" s="44">
        <f t="shared" si="319"/>
        <v>0</v>
      </c>
      <c r="QTN64" s="44">
        <f t="shared" si="319"/>
        <v>0</v>
      </c>
      <c r="QTO64" s="44">
        <f t="shared" si="319"/>
        <v>0</v>
      </c>
      <c r="QTP64" s="44">
        <f t="shared" si="319"/>
        <v>0</v>
      </c>
      <c r="QTQ64" s="44">
        <f t="shared" si="319"/>
        <v>0</v>
      </c>
      <c r="QTR64" s="44">
        <f t="shared" si="319"/>
        <v>0</v>
      </c>
      <c r="QTS64" s="44">
        <f t="shared" si="319"/>
        <v>0</v>
      </c>
      <c r="QTT64" s="44">
        <f t="shared" si="319"/>
        <v>0</v>
      </c>
      <c r="QTU64" s="44">
        <f t="shared" si="319"/>
        <v>0</v>
      </c>
      <c r="QTV64" s="44">
        <f t="shared" si="319"/>
        <v>0</v>
      </c>
      <c r="QTW64" s="44">
        <f t="shared" si="319"/>
        <v>0</v>
      </c>
      <c r="QTX64" s="44">
        <f t="shared" si="319"/>
        <v>0</v>
      </c>
      <c r="QTY64" s="44">
        <f t="shared" si="319"/>
        <v>0</v>
      </c>
      <c r="QTZ64" s="44">
        <f t="shared" si="319"/>
        <v>0</v>
      </c>
      <c r="QUA64" s="44">
        <f t="shared" si="319"/>
        <v>0</v>
      </c>
      <c r="QUB64" s="44">
        <f t="shared" si="319"/>
        <v>0</v>
      </c>
      <c r="QUC64" s="44">
        <f t="shared" si="319"/>
        <v>0</v>
      </c>
      <c r="QUD64" s="44">
        <f t="shared" si="319"/>
        <v>0</v>
      </c>
      <c r="QUE64" s="44">
        <f t="shared" si="319"/>
        <v>0</v>
      </c>
      <c r="QUF64" s="44">
        <f t="shared" si="319"/>
        <v>0</v>
      </c>
      <c r="QUG64" s="44">
        <f t="shared" si="319"/>
        <v>0</v>
      </c>
      <c r="QUH64" s="44">
        <f t="shared" si="319"/>
        <v>0</v>
      </c>
      <c r="QUI64" s="44">
        <f t="shared" si="319"/>
        <v>0</v>
      </c>
      <c r="QUJ64" s="44">
        <f t="shared" si="319"/>
        <v>0</v>
      </c>
      <c r="QUK64" s="44">
        <f t="shared" si="319"/>
        <v>0</v>
      </c>
      <c r="QUL64" s="44">
        <f t="shared" si="319"/>
        <v>0</v>
      </c>
      <c r="QUM64" s="44">
        <f t="shared" si="319"/>
        <v>0</v>
      </c>
      <c r="QUN64" s="44">
        <f t="shared" si="319"/>
        <v>0</v>
      </c>
      <c r="QUO64" s="44">
        <f t="shared" si="319"/>
        <v>0</v>
      </c>
      <c r="QUP64" s="44">
        <f t="shared" ref="QUP64:QXA64" si="320">SUM(QUP56:QUP57)</f>
        <v>0</v>
      </c>
      <c r="QUQ64" s="44">
        <f t="shared" si="320"/>
        <v>0</v>
      </c>
      <c r="QUR64" s="44">
        <f t="shared" si="320"/>
        <v>0</v>
      </c>
      <c r="QUS64" s="44">
        <f t="shared" si="320"/>
        <v>0</v>
      </c>
      <c r="QUT64" s="44">
        <f t="shared" si="320"/>
        <v>0</v>
      </c>
      <c r="QUU64" s="44">
        <f t="shared" si="320"/>
        <v>0</v>
      </c>
      <c r="QUV64" s="44">
        <f t="shared" si="320"/>
        <v>0</v>
      </c>
      <c r="QUW64" s="44">
        <f t="shared" si="320"/>
        <v>0</v>
      </c>
      <c r="QUX64" s="44">
        <f t="shared" si="320"/>
        <v>0</v>
      </c>
      <c r="QUY64" s="44">
        <f t="shared" si="320"/>
        <v>0</v>
      </c>
      <c r="QUZ64" s="44">
        <f t="shared" si="320"/>
        <v>0</v>
      </c>
      <c r="QVA64" s="44">
        <f t="shared" si="320"/>
        <v>0</v>
      </c>
      <c r="QVB64" s="44">
        <f t="shared" si="320"/>
        <v>0</v>
      </c>
      <c r="QVC64" s="44">
        <f t="shared" si="320"/>
        <v>0</v>
      </c>
      <c r="QVD64" s="44">
        <f t="shared" si="320"/>
        <v>0</v>
      </c>
      <c r="QVE64" s="44">
        <f t="shared" si="320"/>
        <v>0</v>
      </c>
      <c r="QVF64" s="44">
        <f t="shared" si="320"/>
        <v>0</v>
      </c>
      <c r="QVG64" s="44">
        <f t="shared" si="320"/>
        <v>0</v>
      </c>
      <c r="QVH64" s="44">
        <f t="shared" si="320"/>
        <v>0</v>
      </c>
      <c r="QVI64" s="44">
        <f t="shared" si="320"/>
        <v>0</v>
      </c>
      <c r="QVJ64" s="44">
        <f t="shared" si="320"/>
        <v>0</v>
      </c>
      <c r="QVK64" s="44">
        <f t="shared" si="320"/>
        <v>0</v>
      </c>
      <c r="QVL64" s="44">
        <f t="shared" si="320"/>
        <v>0</v>
      </c>
      <c r="QVM64" s="44">
        <f t="shared" si="320"/>
        <v>0</v>
      </c>
      <c r="QVN64" s="44">
        <f t="shared" si="320"/>
        <v>0</v>
      </c>
      <c r="QVO64" s="44">
        <f t="shared" si="320"/>
        <v>0</v>
      </c>
      <c r="QVP64" s="44">
        <f t="shared" si="320"/>
        <v>0</v>
      </c>
      <c r="QVQ64" s="44">
        <f t="shared" si="320"/>
        <v>0</v>
      </c>
      <c r="QVR64" s="44">
        <f t="shared" si="320"/>
        <v>0</v>
      </c>
      <c r="QVS64" s="44">
        <f t="shared" si="320"/>
        <v>0</v>
      </c>
      <c r="QVT64" s="44">
        <f t="shared" si="320"/>
        <v>0</v>
      </c>
      <c r="QVU64" s="44">
        <f t="shared" si="320"/>
        <v>0</v>
      </c>
      <c r="QVV64" s="44">
        <f t="shared" si="320"/>
        <v>0</v>
      </c>
      <c r="QVW64" s="44">
        <f t="shared" si="320"/>
        <v>0</v>
      </c>
      <c r="QVX64" s="44">
        <f t="shared" si="320"/>
        <v>0</v>
      </c>
      <c r="QVY64" s="44">
        <f t="shared" si="320"/>
        <v>0</v>
      </c>
      <c r="QVZ64" s="44">
        <f t="shared" si="320"/>
        <v>0</v>
      </c>
      <c r="QWA64" s="44">
        <f t="shared" si="320"/>
        <v>0</v>
      </c>
      <c r="QWB64" s="44">
        <f t="shared" si="320"/>
        <v>0</v>
      </c>
      <c r="QWC64" s="44">
        <f t="shared" si="320"/>
        <v>0</v>
      </c>
      <c r="QWD64" s="44">
        <f t="shared" si="320"/>
        <v>0</v>
      </c>
      <c r="QWE64" s="44">
        <f t="shared" si="320"/>
        <v>0</v>
      </c>
      <c r="QWF64" s="44">
        <f t="shared" si="320"/>
        <v>0</v>
      </c>
      <c r="QWG64" s="44">
        <f t="shared" si="320"/>
        <v>0</v>
      </c>
      <c r="QWH64" s="44">
        <f t="shared" si="320"/>
        <v>0</v>
      </c>
      <c r="QWI64" s="44">
        <f t="shared" si="320"/>
        <v>0</v>
      </c>
      <c r="QWJ64" s="44">
        <f t="shared" si="320"/>
        <v>0</v>
      </c>
      <c r="QWK64" s="44">
        <f t="shared" si="320"/>
        <v>0</v>
      </c>
      <c r="QWL64" s="44">
        <f t="shared" si="320"/>
        <v>0</v>
      </c>
      <c r="QWM64" s="44">
        <f t="shared" si="320"/>
        <v>0</v>
      </c>
      <c r="QWN64" s="44">
        <f t="shared" si="320"/>
        <v>0</v>
      </c>
      <c r="QWO64" s="44">
        <f t="shared" si="320"/>
        <v>0</v>
      </c>
      <c r="QWP64" s="44">
        <f t="shared" si="320"/>
        <v>0</v>
      </c>
      <c r="QWQ64" s="44">
        <f t="shared" si="320"/>
        <v>0</v>
      </c>
      <c r="QWR64" s="44">
        <f t="shared" si="320"/>
        <v>0</v>
      </c>
      <c r="QWS64" s="44">
        <f t="shared" si="320"/>
        <v>0</v>
      </c>
      <c r="QWT64" s="44">
        <f t="shared" si="320"/>
        <v>0</v>
      </c>
      <c r="QWU64" s="44">
        <f t="shared" si="320"/>
        <v>0</v>
      </c>
      <c r="QWV64" s="44">
        <f t="shared" si="320"/>
        <v>0</v>
      </c>
      <c r="QWW64" s="44">
        <f t="shared" si="320"/>
        <v>0</v>
      </c>
      <c r="QWX64" s="44">
        <f t="shared" si="320"/>
        <v>0</v>
      </c>
      <c r="QWY64" s="44">
        <f t="shared" si="320"/>
        <v>0</v>
      </c>
      <c r="QWZ64" s="44">
        <f t="shared" si="320"/>
        <v>0</v>
      </c>
      <c r="QXA64" s="44">
        <f t="shared" si="320"/>
        <v>0</v>
      </c>
      <c r="QXB64" s="44">
        <f t="shared" ref="QXB64:QZM64" si="321">SUM(QXB56:QXB57)</f>
        <v>0</v>
      </c>
      <c r="QXC64" s="44">
        <f t="shared" si="321"/>
        <v>0</v>
      </c>
      <c r="QXD64" s="44">
        <f t="shared" si="321"/>
        <v>0</v>
      </c>
      <c r="QXE64" s="44">
        <f t="shared" si="321"/>
        <v>0</v>
      </c>
      <c r="QXF64" s="44">
        <f t="shared" si="321"/>
        <v>0</v>
      </c>
      <c r="QXG64" s="44">
        <f t="shared" si="321"/>
        <v>0</v>
      </c>
      <c r="QXH64" s="44">
        <f t="shared" si="321"/>
        <v>0</v>
      </c>
      <c r="QXI64" s="44">
        <f t="shared" si="321"/>
        <v>0</v>
      </c>
      <c r="QXJ64" s="44">
        <f t="shared" si="321"/>
        <v>0</v>
      </c>
      <c r="QXK64" s="44">
        <f t="shared" si="321"/>
        <v>0</v>
      </c>
      <c r="QXL64" s="44">
        <f t="shared" si="321"/>
        <v>0</v>
      </c>
      <c r="QXM64" s="44">
        <f t="shared" si="321"/>
        <v>0</v>
      </c>
      <c r="QXN64" s="44">
        <f t="shared" si="321"/>
        <v>0</v>
      </c>
      <c r="QXO64" s="44">
        <f t="shared" si="321"/>
        <v>0</v>
      </c>
      <c r="QXP64" s="44">
        <f t="shared" si="321"/>
        <v>0</v>
      </c>
      <c r="QXQ64" s="44">
        <f t="shared" si="321"/>
        <v>0</v>
      </c>
      <c r="QXR64" s="44">
        <f t="shared" si="321"/>
        <v>0</v>
      </c>
      <c r="QXS64" s="44">
        <f t="shared" si="321"/>
        <v>0</v>
      </c>
      <c r="QXT64" s="44">
        <f t="shared" si="321"/>
        <v>0</v>
      </c>
      <c r="QXU64" s="44">
        <f t="shared" si="321"/>
        <v>0</v>
      </c>
      <c r="QXV64" s="44">
        <f t="shared" si="321"/>
        <v>0</v>
      </c>
      <c r="QXW64" s="44">
        <f t="shared" si="321"/>
        <v>0</v>
      </c>
      <c r="QXX64" s="44">
        <f t="shared" si="321"/>
        <v>0</v>
      </c>
      <c r="QXY64" s="44">
        <f t="shared" si="321"/>
        <v>0</v>
      </c>
      <c r="QXZ64" s="44">
        <f t="shared" si="321"/>
        <v>0</v>
      </c>
      <c r="QYA64" s="44">
        <f t="shared" si="321"/>
        <v>0</v>
      </c>
      <c r="QYB64" s="44">
        <f t="shared" si="321"/>
        <v>0</v>
      </c>
      <c r="QYC64" s="44">
        <f t="shared" si="321"/>
        <v>0</v>
      </c>
      <c r="QYD64" s="44">
        <f t="shared" si="321"/>
        <v>0</v>
      </c>
      <c r="QYE64" s="44">
        <f t="shared" si="321"/>
        <v>0</v>
      </c>
      <c r="QYF64" s="44">
        <f t="shared" si="321"/>
        <v>0</v>
      </c>
      <c r="QYG64" s="44">
        <f t="shared" si="321"/>
        <v>0</v>
      </c>
      <c r="QYH64" s="44">
        <f t="shared" si="321"/>
        <v>0</v>
      </c>
      <c r="QYI64" s="44">
        <f t="shared" si="321"/>
        <v>0</v>
      </c>
      <c r="QYJ64" s="44">
        <f t="shared" si="321"/>
        <v>0</v>
      </c>
      <c r="QYK64" s="44">
        <f t="shared" si="321"/>
        <v>0</v>
      </c>
      <c r="QYL64" s="44">
        <f t="shared" si="321"/>
        <v>0</v>
      </c>
      <c r="QYM64" s="44">
        <f t="shared" si="321"/>
        <v>0</v>
      </c>
      <c r="QYN64" s="44">
        <f t="shared" si="321"/>
        <v>0</v>
      </c>
      <c r="QYO64" s="44">
        <f t="shared" si="321"/>
        <v>0</v>
      </c>
      <c r="QYP64" s="44">
        <f t="shared" si="321"/>
        <v>0</v>
      </c>
      <c r="QYQ64" s="44">
        <f t="shared" si="321"/>
        <v>0</v>
      </c>
      <c r="QYR64" s="44">
        <f t="shared" si="321"/>
        <v>0</v>
      </c>
      <c r="QYS64" s="44">
        <f t="shared" si="321"/>
        <v>0</v>
      </c>
      <c r="QYT64" s="44">
        <f t="shared" si="321"/>
        <v>0</v>
      </c>
      <c r="QYU64" s="44">
        <f t="shared" si="321"/>
        <v>0</v>
      </c>
      <c r="QYV64" s="44">
        <f t="shared" si="321"/>
        <v>0</v>
      </c>
      <c r="QYW64" s="44">
        <f t="shared" si="321"/>
        <v>0</v>
      </c>
      <c r="QYX64" s="44">
        <f t="shared" si="321"/>
        <v>0</v>
      </c>
      <c r="QYY64" s="44">
        <f t="shared" si="321"/>
        <v>0</v>
      </c>
      <c r="QYZ64" s="44">
        <f t="shared" si="321"/>
        <v>0</v>
      </c>
      <c r="QZA64" s="44">
        <f t="shared" si="321"/>
        <v>0</v>
      </c>
      <c r="QZB64" s="44">
        <f t="shared" si="321"/>
        <v>0</v>
      </c>
      <c r="QZC64" s="44">
        <f t="shared" si="321"/>
        <v>0</v>
      </c>
      <c r="QZD64" s="44">
        <f t="shared" si="321"/>
        <v>0</v>
      </c>
      <c r="QZE64" s="44">
        <f t="shared" si="321"/>
        <v>0</v>
      </c>
      <c r="QZF64" s="44">
        <f t="shared" si="321"/>
        <v>0</v>
      </c>
      <c r="QZG64" s="44">
        <f t="shared" si="321"/>
        <v>0</v>
      </c>
      <c r="QZH64" s="44">
        <f t="shared" si="321"/>
        <v>0</v>
      </c>
      <c r="QZI64" s="44">
        <f t="shared" si="321"/>
        <v>0</v>
      </c>
      <c r="QZJ64" s="44">
        <f t="shared" si="321"/>
        <v>0</v>
      </c>
      <c r="QZK64" s="44">
        <f t="shared" si="321"/>
        <v>0</v>
      </c>
      <c r="QZL64" s="44">
        <f t="shared" si="321"/>
        <v>0</v>
      </c>
      <c r="QZM64" s="44">
        <f t="shared" si="321"/>
        <v>0</v>
      </c>
      <c r="QZN64" s="44">
        <f t="shared" ref="QZN64:RBY64" si="322">SUM(QZN56:QZN57)</f>
        <v>0</v>
      </c>
      <c r="QZO64" s="44">
        <f t="shared" si="322"/>
        <v>0</v>
      </c>
      <c r="QZP64" s="44">
        <f t="shared" si="322"/>
        <v>0</v>
      </c>
      <c r="QZQ64" s="44">
        <f t="shared" si="322"/>
        <v>0</v>
      </c>
      <c r="QZR64" s="44">
        <f t="shared" si="322"/>
        <v>0</v>
      </c>
      <c r="QZS64" s="44">
        <f t="shared" si="322"/>
        <v>0</v>
      </c>
      <c r="QZT64" s="44">
        <f t="shared" si="322"/>
        <v>0</v>
      </c>
      <c r="QZU64" s="44">
        <f t="shared" si="322"/>
        <v>0</v>
      </c>
      <c r="QZV64" s="44">
        <f t="shared" si="322"/>
        <v>0</v>
      </c>
      <c r="QZW64" s="44">
        <f t="shared" si="322"/>
        <v>0</v>
      </c>
      <c r="QZX64" s="44">
        <f t="shared" si="322"/>
        <v>0</v>
      </c>
      <c r="QZY64" s="44">
        <f t="shared" si="322"/>
        <v>0</v>
      </c>
      <c r="QZZ64" s="44">
        <f t="shared" si="322"/>
        <v>0</v>
      </c>
      <c r="RAA64" s="44">
        <f t="shared" si="322"/>
        <v>0</v>
      </c>
      <c r="RAB64" s="44">
        <f t="shared" si="322"/>
        <v>0</v>
      </c>
      <c r="RAC64" s="44">
        <f t="shared" si="322"/>
        <v>0</v>
      </c>
      <c r="RAD64" s="44">
        <f t="shared" si="322"/>
        <v>0</v>
      </c>
      <c r="RAE64" s="44">
        <f t="shared" si="322"/>
        <v>0</v>
      </c>
      <c r="RAF64" s="44">
        <f t="shared" si="322"/>
        <v>0</v>
      </c>
      <c r="RAG64" s="44">
        <f t="shared" si="322"/>
        <v>0</v>
      </c>
      <c r="RAH64" s="44">
        <f t="shared" si="322"/>
        <v>0</v>
      </c>
      <c r="RAI64" s="44">
        <f t="shared" si="322"/>
        <v>0</v>
      </c>
      <c r="RAJ64" s="44">
        <f t="shared" si="322"/>
        <v>0</v>
      </c>
      <c r="RAK64" s="44">
        <f t="shared" si="322"/>
        <v>0</v>
      </c>
      <c r="RAL64" s="44">
        <f t="shared" si="322"/>
        <v>0</v>
      </c>
      <c r="RAM64" s="44">
        <f t="shared" si="322"/>
        <v>0</v>
      </c>
      <c r="RAN64" s="44">
        <f t="shared" si="322"/>
        <v>0</v>
      </c>
      <c r="RAO64" s="44">
        <f t="shared" si="322"/>
        <v>0</v>
      </c>
      <c r="RAP64" s="44">
        <f t="shared" si="322"/>
        <v>0</v>
      </c>
      <c r="RAQ64" s="44">
        <f t="shared" si="322"/>
        <v>0</v>
      </c>
      <c r="RAR64" s="44">
        <f t="shared" si="322"/>
        <v>0</v>
      </c>
      <c r="RAS64" s="44">
        <f t="shared" si="322"/>
        <v>0</v>
      </c>
      <c r="RAT64" s="44">
        <f t="shared" si="322"/>
        <v>0</v>
      </c>
      <c r="RAU64" s="44">
        <f t="shared" si="322"/>
        <v>0</v>
      </c>
      <c r="RAV64" s="44">
        <f t="shared" si="322"/>
        <v>0</v>
      </c>
      <c r="RAW64" s="44">
        <f t="shared" si="322"/>
        <v>0</v>
      </c>
      <c r="RAX64" s="44">
        <f t="shared" si="322"/>
        <v>0</v>
      </c>
      <c r="RAY64" s="44">
        <f t="shared" si="322"/>
        <v>0</v>
      </c>
      <c r="RAZ64" s="44">
        <f t="shared" si="322"/>
        <v>0</v>
      </c>
      <c r="RBA64" s="44">
        <f t="shared" si="322"/>
        <v>0</v>
      </c>
      <c r="RBB64" s="44">
        <f t="shared" si="322"/>
        <v>0</v>
      </c>
      <c r="RBC64" s="44">
        <f t="shared" si="322"/>
        <v>0</v>
      </c>
      <c r="RBD64" s="44">
        <f t="shared" si="322"/>
        <v>0</v>
      </c>
      <c r="RBE64" s="44">
        <f t="shared" si="322"/>
        <v>0</v>
      </c>
      <c r="RBF64" s="44">
        <f t="shared" si="322"/>
        <v>0</v>
      </c>
      <c r="RBG64" s="44">
        <f t="shared" si="322"/>
        <v>0</v>
      </c>
      <c r="RBH64" s="44">
        <f t="shared" si="322"/>
        <v>0</v>
      </c>
      <c r="RBI64" s="44">
        <f t="shared" si="322"/>
        <v>0</v>
      </c>
      <c r="RBJ64" s="44">
        <f t="shared" si="322"/>
        <v>0</v>
      </c>
      <c r="RBK64" s="44">
        <f t="shared" si="322"/>
        <v>0</v>
      </c>
      <c r="RBL64" s="44">
        <f t="shared" si="322"/>
        <v>0</v>
      </c>
      <c r="RBM64" s="44">
        <f t="shared" si="322"/>
        <v>0</v>
      </c>
      <c r="RBN64" s="44">
        <f t="shared" si="322"/>
        <v>0</v>
      </c>
      <c r="RBO64" s="44">
        <f t="shared" si="322"/>
        <v>0</v>
      </c>
      <c r="RBP64" s="44">
        <f t="shared" si="322"/>
        <v>0</v>
      </c>
      <c r="RBQ64" s="44">
        <f t="shared" si="322"/>
        <v>0</v>
      </c>
      <c r="RBR64" s="44">
        <f t="shared" si="322"/>
        <v>0</v>
      </c>
      <c r="RBS64" s="44">
        <f t="shared" si="322"/>
        <v>0</v>
      </c>
      <c r="RBT64" s="44">
        <f t="shared" si="322"/>
        <v>0</v>
      </c>
      <c r="RBU64" s="44">
        <f t="shared" si="322"/>
        <v>0</v>
      </c>
      <c r="RBV64" s="44">
        <f t="shared" si="322"/>
        <v>0</v>
      </c>
      <c r="RBW64" s="44">
        <f t="shared" si="322"/>
        <v>0</v>
      </c>
      <c r="RBX64" s="44">
        <f t="shared" si="322"/>
        <v>0</v>
      </c>
      <c r="RBY64" s="44">
        <f t="shared" si="322"/>
        <v>0</v>
      </c>
      <c r="RBZ64" s="44">
        <f t="shared" ref="RBZ64:REK64" si="323">SUM(RBZ56:RBZ57)</f>
        <v>0</v>
      </c>
      <c r="RCA64" s="44">
        <f t="shared" si="323"/>
        <v>0</v>
      </c>
      <c r="RCB64" s="44">
        <f t="shared" si="323"/>
        <v>0</v>
      </c>
      <c r="RCC64" s="44">
        <f t="shared" si="323"/>
        <v>0</v>
      </c>
      <c r="RCD64" s="44">
        <f t="shared" si="323"/>
        <v>0</v>
      </c>
      <c r="RCE64" s="44">
        <f t="shared" si="323"/>
        <v>0</v>
      </c>
      <c r="RCF64" s="44">
        <f t="shared" si="323"/>
        <v>0</v>
      </c>
      <c r="RCG64" s="44">
        <f t="shared" si="323"/>
        <v>0</v>
      </c>
      <c r="RCH64" s="44">
        <f t="shared" si="323"/>
        <v>0</v>
      </c>
      <c r="RCI64" s="44">
        <f t="shared" si="323"/>
        <v>0</v>
      </c>
      <c r="RCJ64" s="44">
        <f t="shared" si="323"/>
        <v>0</v>
      </c>
      <c r="RCK64" s="44">
        <f t="shared" si="323"/>
        <v>0</v>
      </c>
      <c r="RCL64" s="44">
        <f t="shared" si="323"/>
        <v>0</v>
      </c>
      <c r="RCM64" s="44">
        <f t="shared" si="323"/>
        <v>0</v>
      </c>
      <c r="RCN64" s="44">
        <f t="shared" si="323"/>
        <v>0</v>
      </c>
      <c r="RCO64" s="44">
        <f t="shared" si="323"/>
        <v>0</v>
      </c>
      <c r="RCP64" s="44">
        <f t="shared" si="323"/>
        <v>0</v>
      </c>
      <c r="RCQ64" s="44">
        <f t="shared" si="323"/>
        <v>0</v>
      </c>
      <c r="RCR64" s="44">
        <f t="shared" si="323"/>
        <v>0</v>
      </c>
      <c r="RCS64" s="44">
        <f t="shared" si="323"/>
        <v>0</v>
      </c>
      <c r="RCT64" s="44">
        <f t="shared" si="323"/>
        <v>0</v>
      </c>
      <c r="RCU64" s="44">
        <f t="shared" si="323"/>
        <v>0</v>
      </c>
      <c r="RCV64" s="44">
        <f t="shared" si="323"/>
        <v>0</v>
      </c>
      <c r="RCW64" s="44">
        <f t="shared" si="323"/>
        <v>0</v>
      </c>
      <c r="RCX64" s="44">
        <f t="shared" si="323"/>
        <v>0</v>
      </c>
      <c r="RCY64" s="44">
        <f t="shared" si="323"/>
        <v>0</v>
      </c>
      <c r="RCZ64" s="44">
        <f t="shared" si="323"/>
        <v>0</v>
      </c>
      <c r="RDA64" s="44">
        <f t="shared" si="323"/>
        <v>0</v>
      </c>
      <c r="RDB64" s="44">
        <f t="shared" si="323"/>
        <v>0</v>
      </c>
      <c r="RDC64" s="44">
        <f t="shared" si="323"/>
        <v>0</v>
      </c>
      <c r="RDD64" s="44">
        <f t="shared" si="323"/>
        <v>0</v>
      </c>
      <c r="RDE64" s="44">
        <f t="shared" si="323"/>
        <v>0</v>
      </c>
      <c r="RDF64" s="44">
        <f t="shared" si="323"/>
        <v>0</v>
      </c>
      <c r="RDG64" s="44">
        <f t="shared" si="323"/>
        <v>0</v>
      </c>
      <c r="RDH64" s="44">
        <f t="shared" si="323"/>
        <v>0</v>
      </c>
      <c r="RDI64" s="44">
        <f t="shared" si="323"/>
        <v>0</v>
      </c>
      <c r="RDJ64" s="44">
        <f t="shared" si="323"/>
        <v>0</v>
      </c>
      <c r="RDK64" s="44">
        <f t="shared" si="323"/>
        <v>0</v>
      </c>
      <c r="RDL64" s="44">
        <f t="shared" si="323"/>
        <v>0</v>
      </c>
      <c r="RDM64" s="44">
        <f t="shared" si="323"/>
        <v>0</v>
      </c>
      <c r="RDN64" s="44">
        <f t="shared" si="323"/>
        <v>0</v>
      </c>
      <c r="RDO64" s="44">
        <f t="shared" si="323"/>
        <v>0</v>
      </c>
      <c r="RDP64" s="44">
        <f t="shared" si="323"/>
        <v>0</v>
      </c>
      <c r="RDQ64" s="44">
        <f t="shared" si="323"/>
        <v>0</v>
      </c>
      <c r="RDR64" s="44">
        <f t="shared" si="323"/>
        <v>0</v>
      </c>
      <c r="RDS64" s="44">
        <f t="shared" si="323"/>
        <v>0</v>
      </c>
      <c r="RDT64" s="44">
        <f t="shared" si="323"/>
        <v>0</v>
      </c>
      <c r="RDU64" s="44">
        <f t="shared" si="323"/>
        <v>0</v>
      </c>
      <c r="RDV64" s="44">
        <f t="shared" si="323"/>
        <v>0</v>
      </c>
      <c r="RDW64" s="44">
        <f t="shared" si="323"/>
        <v>0</v>
      </c>
      <c r="RDX64" s="44">
        <f t="shared" si="323"/>
        <v>0</v>
      </c>
      <c r="RDY64" s="44">
        <f t="shared" si="323"/>
        <v>0</v>
      </c>
      <c r="RDZ64" s="44">
        <f t="shared" si="323"/>
        <v>0</v>
      </c>
      <c r="REA64" s="44">
        <f t="shared" si="323"/>
        <v>0</v>
      </c>
      <c r="REB64" s="44">
        <f t="shared" si="323"/>
        <v>0</v>
      </c>
      <c r="REC64" s="44">
        <f t="shared" si="323"/>
        <v>0</v>
      </c>
      <c r="RED64" s="44">
        <f t="shared" si="323"/>
        <v>0</v>
      </c>
      <c r="REE64" s="44">
        <f t="shared" si="323"/>
        <v>0</v>
      </c>
      <c r="REF64" s="44">
        <f t="shared" si="323"/>
        <v>0</v>
      </c>
      <c r="REG64" s="44">
        <f t="shared" si="323"/>
        <v>0</v>
      </c>
      <c r="REH64" s="44">
        <f t="shared" si="323"/>
        <v>0</v>
      </c>
      <c r="REI64" s="44">
        <f t="shared" si="323"/>
        <v>0</v>
      </c>
      <c r="REJ64" s="44">
        <f t="shared" si="323"/>
        <v>0</v>
      </c>
      <c r="REK64" s="44">
        <f t="shared" si="323"/>
        <v>0</v>
      </c>
      <c r="REL64" s="44">
        <f t="shared" ref="REL64:RGW64" si="324">SUM(REL56:REL57)</f>
        <v>0</v>
      </c>
      <c r="REM64" s="44">
        <f t="shared" si="324"/>
        <v>0</v>
      </c>
      <c r="REN64" s="44">
        <f t="shared" si="324"/>
        <v>0</v>
      </c>
      <c r="REO64" s="44">
        <f t="shared" si="324"/>
        <v>0</v>
      </c>
      <c r="REP64" s="44">
        <f t="shared" si="324"/>
        <v>0</v>
      </c>
      <c r="REQ64" s="44">
        <f t="shared" si="324"/>
        <v>0</v>
      </c>
      <c r="RER64" s="44">
        <f t="shared" si="324"/>
        <v>0</v>
      </c>
      <c r="RES64" s="44">
        <f t="shared" si="324"/>
        <v>0</v>
      </c>
      <c r="RET64" s="44">
        <f t="shared" si="324"/>
        <v>0</v>
      </c>
      <c r="REU64" s="44">
        <f t="shared" si="324"/>
        <v>0</v>
      </c>
      <c r="REV64" s="44">
        <f t="shared" si="324"/>
        <v>0</v>
      </c>
      <c r="REW64" s="44">
        <f t="shared" si="324"/>
        <v>0</v>
      </c>
      <c r="REX64" s="44">
        <f t="shared" si="324"/>
        <v>0</v>
      </c>
      <c r="REY64" s="44">
        <f t="shared" si="324"/>
        <v>0</v>
      </c>
      <c r="REZ64" s="44">
        <f t="shared" si="324"/>
        <v>0</v>
      </c>
      <c r="RFA64" s="44">
        <f t="shared" si="324"/>
        <v>0</v>
      </c>
      <c r="RFB64" s="44">
        <f t="shared" si="324"/>
        <v>0</v>
      </c>
      <c r="RFC64" s="44">
        <f t="shared" si="324"/>
        <v>0</v>
      </c>
      <c r="RFD64" s="44">
        <f t="shared" si="324"/>
        <v>0</v>
      </c>
      <c r="RFE64" s="44">
        <f t="shared" si="324"/>
        <v>0</v>
      </c>
      <c r="RFF64" s="44">
        <f t="shared" si="324"/>
        <v>0</v>
      </c>
      <c r="RFG64" s="44">
        <f t="shared" si="324"/>
        <v>0</v>
      </c>
      <c r="RFH64" s="44">
        <f t="shared" si="324"/>
        <v>0</v>
      </c>
      <c r="RFI64" s="44">
        <f t="shared" si="324"/>
        <v>0</v>
      </c>
      <c r="RFJ64" s="44">
        <f t="shared" si="324"/>
        <v>0</v>
      </c>
      <c r="RFK64" s="44">
        <f t="shared" si="324"/>
        <v>0</v>
      </c>
      <c r="RFL64" s="44">
        <f t="shared" si="324"/>
        <v>0</v>
      </c>
      <c r="RFM64" s="44">
        <f t="shared" si="324"/>
        <v>0</v>
      </c>
      <c r="RFN64" s="44">
        <f t="shared" si="324"/>
        <v>0</v>
      </c>
      <c r="RFO64" s="44">
        <f t="shared" si="324"/>
        <v>0</v>
      </c>
      <c r="RFP64" s="44">
        <f t="shared" si="324"/>
        <v>0</v>
      </c>
      <c r="RFQ64" s="44">
        <f t="shared" si="324"/>
        <v>0</v>
      </c>
      <c r="RFR64" s="44">
        <f t="shared" si="324"/>
        <v>0</v>
      </c>
      <c r="RFS64" s="44">
        <f t="shared" si="324"/>
        <v>0</v>
      </c>
      <c r="RFT64" s="44">
        <f t="shared" si="324"/>
        <v>0</v>
      </c>
      <c r="RFU64" s="44">
        <f t="shared" si="324"/>
        <v>0</v>
      </c>
      <c r="RFV64" s="44">
        <f t="shared" si="324"/>
        <v>0</v>
      </c>
      <c r="RFW64" s="44">
        <f t="shared" si="324"/>
        <v>0</v>
      </c>
      <c r="RFX64" s="44">
        <f t="shared" si="324"/>
        <v>0</v>
      </c>
      <c r="RFY64" s="44">
        <f t="shared" si="324"/>
        <v>0</v>
      </c>
      <c r="RFZ64" s="44">
        <f t="shared" si="324"/>
        <v>0</v>
      </c>
      <c r="RGA64" s="44">
        <f t="shared" si="324"/>
        <v>0</v>
      </c>
      <c r="RGB64" s="44">
        <f t="shared" si="324"/>
        <v>0</v>
      </c>
      <c r="RGC64" s="44">
        <f t="shared" si="324"/>
        <v>0</v>
      </c>
      <c r="RGD64" s="44">
        <f t="shared" si="324"/>
        <v>0</v>
      </c>
      <c r="RGE64" s="44">
        <f t="shared" si="324"/>
        <v>0</v>
      </c>
      <c r="RGF64" s="44">
        <f t="shared" si="324"/>
        <v>0</v>
      </c>
      <c r="RGG64" s="44">
        <f t="shared" si="324"/>
        <v>0</v>
      </c>
      <c r="RGH64" s="44">
        <f t="shared" si="324"/>
        <v>0</v>
      </c>
      <c r="RGI64" s="44">
        <f t="shared" si="324"/>
        <v>0</v>
      </c>
      <c r="RGJ64" s="44">
        <f t="shared" si="324"/>
        <v>0</v>
      </c>
      <c r="RGK64" s="44">
        <f t="shared" si="324"/>
        <v>0</v>
      </c>
      <c r="RGL64" s="44">
        <f t="shared" si="324"/>
        <v>0</v>
      </c>
      <c r="RGM64" s="44">
        <f t="shared" si="324"/>
        <v>0</v>
      </c>
      <c r="RGN64" s="44">
        <f t="shared" si="324"/>
        <v>0</v>
      </c>
      <c r="RGO64" s="44">
        <f t="shared" si="324"/>
        <v>0</v>
      </c>
      <c r="RGP64" s="44">
        <f t="shared" si="324"/>
        <v>0</v>
      </c>
      <c r="RGQ64" s="44">
        <f t="shared" si="324"/>
        <v>0</v>
      </c>
      <c r="RGR64" s="44">
        <f t="shared" si="324"/>
        <v>0</v>
      </c>
      <c r="RGS64" s="44">
        <f t="shared" si="324"/>
        <v>0</v>
      </c>
      <c r="RGT64" s="44">
        <f t="shared" si="324"/>
        <v>0</v>
      </c>
      <c r="RGU64" s="44">
        <f t="shared" si="324"/>
        <v>0</v>
      </c>
      <c r="RGV64" s="44">
        <f t="shared" si="324"/>
        <v>0</v>
      </c>
      <c r="RGW64" s="44">
        <f t="shared" si="324"/>
        <v>0</v>
      </c>
      <c r="RGX64" s="44">
        <f t="shared" ref="RGX64:RJI64" si="325">SUM(RGX56:RGX57)</f>
        <v>0</v>
      </c>
      <c r="RGY64" s="44">
        <f t="shared" si="325"/>
        <v>0</v>
      </c>
      <c r="RGZ64" s="44">
        <f t="shared" si="325"/>
        <v>0</v>
      </c>
      <c r="RHA64" s="44">
        <f t="shared" si="325"/>
        <v>0</v>
      </c>
      <c r="RHB64" s="44">
        <f t="shared" si="325"/>
        <v>0</v>
      </c>
      <c r="RHC64" s="44">
        <f t="shared" si="325"/>
        <v>0</v>
      </c>
      <c r="RHD64" s="44">
        <f t="shared" si="325"/>
        <v>0</v>
      </c>
      <c r="RHE64" s="44">
        <f t="shared" si="325"/>
        <v>0</v>
      </c>
      <c r="RHF64" s="44">
        <f t="shared" si="325"/>
        <v>0</v>
      </c>
      <c r="RHG64" s="44">
        <f t="shared" si="325"/>
        <v>0</v>
      </c>
      <c r="RHH64" s="44">
        <f t="shared" si="325"/>
        <v>0</v>
      </c>
      <c r="RHI64" s="44">
        <f t="shared" si="325"/>
        <v>0</v>
      </c>
      <c r="RHJ64" s="44">
        <f t="shared" si="325"/>
        <v>0</v>
      </c>
      <c r="RHK64" s="44">
        <f t="shared" si="325"/>
        <v>0</v>
      </c>
      <c r="RHL64" s="44">
        <f t="shared" si="325"/>
        <v>0</v>
      </c>
      <c r="RHM64" s="44">
        <f t="shared" si="325"/>
        <v>0</v>
      </c>
      <c r="RHN64" s="44">
        <f t="shared" si="325"/>
        <v>0</v>
      </c>
      <c r="RHO64" s="44">
        <f t="shared" si="325"/>
        <v>0</v>
      </c>
      <c r="RHP64" s="44">
        <f t="shared" si="325"/>
        <v>0</v>
      </c>
      <c r="RHQ64" s="44">
        <f t="shared" si="325"/>
        <v>0</v>
      </c>
      <c r="RHR64" s="44">
        <f t="shared" si="325"/>
        <v>0</v>
      </c>
      <c r="RHS64" s="44">
        <f t="shared" si="325"/>
        <v>0</v>
      </c>
      <c r="RHT64" s="44">
        <f t="shared" si="325"/>
        <v>0</v>
      </c>
      <c r="RHU64" s="44">
        <f t="shared" si="325"/>
        <v>0</v>
      </c>
      <c r="RHV64" s="44">
        <f t="shared" si="325"/>
        <v>0</v>
      </c>
      <c r="RHW64" s="44">
        <f t="shared" si="325"/>
        <v>0</v>
      </c>
      <c r="RHX64" s="44">
        <f t="shared" si="325"/>
        <v>0</v>
      </c>
      <c r="RHY64" s="44">
        <f t="shared" si="325"/>
        <v>0</v>
      </c>
      <c r="RHZ64" s="44">
        <f t="shared" si="325"/>
        <v>0</v>
      </c>
      <c r="RIA64" s="44">
        <f t="shared" si="325"/>
        <v>0</v>
      </c>
      <c r="RIB64" s="44">
        <f t="shared" si="325"/>
        <v>0</v>
      </c>
      <c r="RIC64" s="44">
        <f t="shared" si="325"/>
        <v>0</v>
      </c>
      <c r="RID64" s="44">
        <f t="shared" si="325"/>
        <v>0</v>
      </c>
      <c r="RIE64" s="44">
        <f t="shared" si="325"/>
        <v>0</v>
      </c>
      <c r="RIF64" s="44">
        <f t="shared" si="325"/>
        <v>0</v>
      </c>
      <c r="RIG64" s="44">
        <f t="shared" si="325"/>
        <v>0</v>
      </c>
      <c r="RIH64" s="44">
        <f t="shared" si="325"/>
        <v>0</v>
      </c>
      <c r="RII64" s="44">
        <f t="shared" si="325"/>
        <v>0</v>
      </c>
      <c r="RIJ64" s="44">
        <f t="shared" si="325"/>
        <v>0</v>
      </c>
      <c r="RIK64" s="44">
        <f t="shared" si="325"/>
        <v>0</v>
      </c>
      <c r="RIL64" s="44">
        <f t="shared" si="325"/>
        <v>0</v>
      </c>
      <c r="RIM64" s="44">
        <f t="shared" si="325"/>
        <v>0</v>
      </c>
      <c r="RIN64" s="44">
        <f t="shared" si="325"/>
        <v>0</v>
      </c>
      <c r="RIO64" s="44">
        <f t="shared" si="325"/>
        <v>0</v>
      </c>
      <c r="RIP64" s="44">
        <f t="shared" si="325"/>
        <v>0</v>
      </c>
      <c r="RIQ64" s="44">
        <f t="shared" si="325"/>
        <v>0</v>
      </c>
      <c r="RIR64" s="44">
        <f t="shared" si="325"/>
        <v>0</v>
      </c>
      <c r="RIS64" s="44">
        <f t="shared" si="325"/>
        <v>0</v>
      </c>
      <c r="RIT64" s="44">
        <f t="shared" si="325"/>
        <v>0</v>
      </c>
      <c r="RIU64" s="44">
        <f t="shared" si="325"/>
        <v>0</v>
      </c>
      <c r="RIV64" s="44">
        <f t="shared" si="325"/>
        <v>0</v>
      </c>
      <c r="RIW64" s="44">
        <f t="shared" si="325"/>
        <v>0</v>
      </c>
      <c r="RIX64" s="44">
        <f t="shared" si="325"/>
        <v>0</v>
      </c>
      <c r="RIY64" s="44">
        <f t="shared" si="325"/>
        <v>0</v>
      </c>
      <c r="RIZ64" s="44">
        <f t="shared" si="325"/>
        <v>0</v>
      </c>
      <c r="RJA64" s="44">
        <f t="shared" si="325"/>
        <v>0</v>
      </c>
      <c r="RJB64" s="44">
        <f t="shared" si="325"/>
        <v>0</v>
      </c>
      <c r="RJC64" s="44">
        <f t="shared" si="325"/>
        <v>0</v>
      </c>
      <c r="RJD64" s="44">
        <f t="shared" si="325"/>
        <v>0</v>
      </c>
      <c r="RJE64" s="44">
        <f t="shared" si="325"/>
        <v>0</v>
      </c>
      <c r="RJF64" s="44">
        <f t="shared" si="325"/>
        <v>0</v>
      </c>
      <c r="RJG64" s="44">
        <f t="shared" si="325"/>
        <v>0</v>
      </c>
      <c r="RJH64" s="44">
        <f t="shared" si="325"/>
        <v>0</v>
      </c>
      <c r="RJI64" s="44">
        <f t="shared" si="325"/>
        <v>0</v>
      </c>
      <c r="RJJ64" s="44">
        <f t="shared" ref="RJJ64:RLU64" si="326">SUM(RJJ56:RJJ57)</f>
        <v>0</v>
      </c>
      <c r="RJK64" s="44">
        <f t="shared" si="326"/>
        <v>0</v>
      </c>
      <c r="RJL64" s="44">
        <f t="shared" si="326"/>
        <v>0</v>
      </c>
      <c r="RJM64" s="44">
        <f t="shared" si="326"/>
        <v>0</v>
      </c>
      <c r="RJN64" s="44">
        <f t="shared" si="326"/>
        <v>0</v>
      </c>
      <c r="RJO64" s="44">
        <f t="shared" si="326"/>
        <v>0</v>
      </c>
      <c r="RJP64" s="44">
        <f t="shared" si="326"/>
        <v>0</v>
      </c>
      <c r="RJQ64" s="44">
        <f t="shared" si="326"/>
        <v>0</v>
      </c>
      <c r="RJR64" s="44">
        <f t="shared" si="326"/>
        <v>0</v>
      </c>
      <c r="RJS64" s="44">
        <f t="shared" si="326"/>
        <v>0</v>
      </c>
      <c r="RJT64" s="44">
        <f t="shared" si="326"/>
        <v>0</v>
      </c>
      <c r="RJU64" s="44">
        <f t="shared" si="326"/>
        <v>0</v>
      </c>
      <c r="RJV64" s="44">
        <f t="shared" si="326"/>
        <v>0</v>
      </c>
      <c r="RJW64" s="44">
        <f t="shared" si="326"/>
        <v>0</v>
      </c>
      <c r="RJX64" s="44">
        <f t="shared" si="326"/>
        <v>0</v>
      </c>
      <c r="RJY64" s="44">
        <f t="shared" si="326"/>
        <v>0</v>
      </c>
      <c r="RJZ64" s="44">
        <f t="shared" si="326"/>
        <v>0</v>
      </c>
      <c r="RKA64" s="44">
        <f t="shared" si="326"/>
        <v>0</v>
      </c>
      <c r="RKB64" s="44">
        <f t="shared" si="326"/>
        <v>0</v>
      </c>
      <c r="RKC64" s="44">
        <f t="shared" si="326"/>
        <v>0</v>
      </c>
      <c r="RKD64" s="44">
        <f t="shared" si="326"/>
        <v>0</v>
      </c>
      <c r="RKE64" s="44">
        <f t="shared" si="326"/>
        <v>0</v>
      </c>
      <c r="RKF64" s="44">
        <f t="shared" si="326"/>
        <v>0</v>
      </c>
      <c r="RKG64" s="44">
        <f t="shared" si="326"/>
        <v>0</v>
      </c>
      <c r="RKH64" s="44">
        <f t="shared" si="326"/>
        <v>0</v>
      </c>
      <c r="RKI64" s="44">
        <f t="shared" si="326"/>
        <v>0</v>
      </c>
      <c r="RKJ64" s="44">
        <f t="shared" si="326"/>
        <v>0</v>
      </c>
      <c r="RKK64" s="44">
        <f t="shared" si="326"/>
        <v>0</v>
      </c>
      <c r="RKL64" s="44">
        <f t="shared" si="326"/>
        <v>0</v>
      </c>
      <c r="RKM64" s="44">
        <f t="shared" si="326"/>
        <v>0</v>
      </c>
      <c r="RKN64" s="44">
        <f t="shared" si="326"/>
        <v>0</v>
      </c>
      <c r="RKO64" s="44">
        <f t="shared" si="326"/>
        <v>0</v>
      </c>
      <c r="RKP64" s="44">
        <f t="shared" si="326"/>
        <v>0</v>
      </c>
      <c r="RKQ64" s="44">
        <f t="shared" si="326"/>
        <v>0</v>
      </c>
      <c r="RKR64" s="44">
        <f t="shared" si="326"/>
        <v>0</v>
      </c>
      <c r="RKS64" s="44">
        <f t="shared" si="326"/>
        <v>0</v>
      </c>
      <c r="RKT64" s="44">
        <f t="shared" si="326"/>
        <v>0</v>
      </c>
      <c r="RKU64" s="44">
        <f t="shared" si="326"/>
        <v>0</v>
      </c>
      <c r="RKV64" s="44">
        <f t="shared" si="326"/>
        <v>0</v>
      </c>
      <c r="RKW64" s="44">
        <f t="shared" si="326"/>
        <v>0</v>
      </c>
      <c r="RKX64" s="44">
        <f t="shared" si="326"/>
        <v>0</v>
      </c>
      <c r="RKY64" s="44">
        <f t="shared" si="326"/>
        <v>0</v>
      </c>
      <c r="RKZ64" s="44">
        <f t="shared" si="326"/>
        <v>0</v>
      </c>
      <c r="RLA64" s="44">
        <f t="shared" si="326"/>
        <v>0</v>
      </c>
      <c r="RLB64" s="44">
        <f t="shared" si="326"/>
        <v>0</v>
      </c>
      <c r="RLC64" s="44">
        <f t="shared" si="326"/>
        <v>0</v>
      </c>
      <c r="RLD64" s="44">
        <f t="shared" si="326"/>
        <v>0</v>
      </c>
      <c r="RLE64" s="44">
        <f t="shared" si="326"/>
        <v>0</v>
      </c>
      <c r="RLF64" s="44">
        <f t="shared" si="326"/>
        <v>0</v>
      </c>
      <c r="RLG64" s="44">
        <f t="shared" si="326"/>
        <v>0</v>
      </c>
      <c r="RLH64" s="44">
        <f t="shared" si="326"/>
        <v>0</v>
      </c>
      <c r="RLI64" s="44">
        <f t="shared" si="326"/>
        <v>0</v>
      </c>
      <c r="RLJ64" s="44">
        <f t="shared" si="326"/>
        <v>0</v>
      </c>
      <c r="RLK64" s="44">
        <f t="shared" si="326"/>
        <v>0</v>
      </c>
      <c r="RLL64" s="44">
        <f t="shared" si="326"/>
        <v>0</v>
      </c>
      <c r="RLM64" s="44">
        <f t="shared" si="326"/>
        <v>0</v>
      </c>
      <c r="RLN64" s="44">
        <f t="shared" si="326"/>
        <v>0</v>
      </c>
      <c r="RLO64" s="44">
        <f t="shared" si="326"/>
        <v>0</v>
      </c>
      <c r="RLP64" s="44">
        <f t="shared" si="326"/>
        <v>0</v>
      </c>
      <c r="RLQ64" s="44">
        <f t="shared" si="326"/>
        <v>0</v>
      </c>
      <c r="RLR64" s="44">
        <f t="shared" si="326"/>
        <v>0</v>
      </c>
      <c r="RLS64" s="44">
        <f t="shared" si="326"/>
        <v>0</v>
      </c>
      <c r="RLT64" s="44">
        <f t="shared" si="326"/>
        <v>0</v>
      </c>
      <c r="RLU64" s="44">
        <f t="shared" si="326"/>
        <v>0</v>
      </c>
      <c r="RLV64" s="44">
        <f t="shared" ref="RLV64:ROG64" si="327">SUM(RLV56:RLV57)</f>
        <v>0</v>
      </c>
      <c r="RLW64" s="44">
        <f t="shared" si="327"/>
        <v>0</v>
      </c>
      <c r="RLX64" s="44">
        <f t="shared" si="327"/>
        <v>0</v>
      </c>
      <c r="RLY64" s="44">
        <f t="shared" si="327"/>
        <v>0</v>
      </c>
      <c r="RLZ64" s="44">
        <f t="shared" si="327"/>
        <v>0</v>
      </c>
      <c r="RMA64" s="44">
        <f t="shared" si="327"/>
        <v>0</v>
      </c>
      <c r="RMB64" s="44">
        <f t="shared" si="327"/>
        <v>0</v>
      </c>
      <c r="RMC64" s="44">
        <f t="shared" si="327"/>
        <v>0</v>
      </c>
      <c r="RMD64" s="44">
        <f t="shared" si="327"/>
        <v>0</v>
      </c>
      <c r="RME64" s="44">
        <f t="shared" si="327"/>
        <v>0</v>
      </c>
      <c r="RMF64" s="44">
        <f t="shared" si="327"/>
        <v>0</v>
      </c>
      <c r="RMG64" s="44">
        <f t="shared" si="327"/>
        <v>0</v>
      </c>
      <c r="RMH64" s="44">
        <f t="shared" si="327"/>
        <v>0</v>
      </c>
      <c r="RMI64" s="44">
        <f t="shared" si="327"/>
        <v>0</v>
      </c>
      <c r="RMJ64" s="44">
        <f t="shared" si="327"/>
        <v>0</v>
      </c>
      <c r="RMK64" s="44">
        <f t="shared" si="327"/>
        <v>0</v>
      </c>
      <c r="RML64" s="44">
        <f t="shared" si="327"/>
        <v>0</v>
      </c>
      <c r="RMM64" s="44">
        <f t="shared" si="327"/>
        <v>0</v>
      </c>
      <c r="RMN64" s="44">
        <f t="shared" si="327"/>
        <v>0</v>
      </c>
      <c r="RMO64" s="44">
        <f t="shared" si="327"/>
        <v>0</v>
      </c>
      <c r="RMP64" s="44">
        <f t="shared" si="327"/>
        <v>0</v>
      </c>
      <c r="RMQ64" s="44">
        <f t="shared" si="327"/>
        <v>0</v>
      </c>
      <c r="RMR64" s="44">
        <f t="shared" si="327"/>
        <v>0</v>
      </c>
      <c r="RMS64" s="44">
        <f t="shared" si="327"/>
        <v>0</v>
      </c>
      <c r="RMT64" s="44">
        <f t="shared" si="327"/>
        <v>0</v>
      </c>
      <c r="RMU64" s="44">
        <f t="shared" si="327"/>
        <v>0</v>
      </c>
      <c r="RMV64" s="44">
        <f t="shared" si="327"/>
        <v>0</v>
      </c>
      <c r="RMW64" s="44">
        <f t="shared" si="327"/>
        <v>0</v>
      </c>
      <c r="RMX64" s="44">
        <f t="shared" si="327"/>
        <v>0</v>
      </c>
      <c r="RMY64" s="44">
        <f t="shared" si="327"/>
        <v>0</v>
      </c>
      <c r="RMZ64" s="44">
        <f t="shared" si="327"/>
        <v>0</v>
      </c>
      <c r="RNA64" s="44">
        <f t="shared" si="327"/>
        <v>0</v>
      </c>
      <c r="RNB64" s="44">
        <f t="shared" si="327"/>
        <v>0</v>
      </c>
      <c r="RNC64" s="44">
        <f t="shared" si="327"/>
        <v>0</v>
      </c>
      <c r="RND64" s="44">
        <f t="shared" si="327"/>
        <v>0</v>
      </c>
      <c r="RNE64" s="44">
        <f t="shared" si="327"/>
        <v>0</v>
      </c>
      <c r="RNF64" s="44">
        <f t="shared" si="327"/>
        <v>0</v>
      </c>
      <c r="RNG64" s="44">
        <f t="shared" si="327"/>
        <v>0</v>
      </c>
      <c r="RNH64" s="44">
        <f t="shared" si="327"/>
        <v>0</v>
      </c>
      <c r="RNI64" s="44">
        <f t="shared" si="327"/>
        <v>0</v>
      </c>
      <c r="RNJ64" s="44">
        <f t="shared" si="327"/>
        <v>0</v>
      </c>
      <c r="RNK64" s="44">
        <f t="shared" si="327"/>
        <v>0</v>
      </c>
      <c r="RNL64" s="44">
        <f t="shared" si="327"/>
        <v>0</v>
      </c>
      <c r="RNM64" s="44">
        <f t="shared" si="327"/>
        <v>0</v>
      </c>
      <c r="RNN64" s="44">
        <f t="shared" si="327"/>
        <v>0</v>
      </c>
      <c r="RNO64" s="44">
        <f t="shared" si="327"/>
        <v>0</v>
      </c>
      <c r="RNP64" s="44">
        <f t="shared" si="327"/>
        <v>0</v>
      </c>
      <c r="RNQ64" s="44">
        <f t="shared" si="327"/>
        <v>0</v>
      </c>
      <c r="RNR64" s="44">
        <f t="shared" si="327"/>
        <v>0</v>
      </c>
      <c r="RNS64" s="44">
        <f t="shared" si="327"/>
        <v>0</v>
      </c>
      <c r="RNT64" s="44">
        <f t="shared" si="327"/>
        <v>0</v>
      </c>
      <c r="RNU64" s="44">
        <f t="shared" si="327"/>
        <v>0</v>
      </c>
      <c r="RNV64" s="44">
        <f t="shared" si="327"/>
        <v>0</v>
      </c>
      <c r="RNW64" s="44">
        <f t="shared" si="327"/>
        <v>0</v>
      </c>
      <c r="RNX64" s="44">
        <f t="shared" si="327"/>
        <v>0</v>
      </c>
      <c r="RNY64" s="44">
        <f t="shared" si="327"/>
        <v>0</v>
      </c>
      <c r="RNZ64" s="44">
        <f t="shared" si="327"/>
        <v>0</v>
      </c>
      <c r="ROA64" s="44">
        <f t="shared" si="327"/>
        <v>0</v>
      </c>
      <c r="ROB64" s="44">
        <f t="shared" si="327"/>
        <v>0</v>
      </c>
      <c r="ROC64" s="44">
        <f t="shared" si="327"/>
        <v>0</v>
      </c>
      <c r="ROD64" s="44">
        <f t="shared" si="327"/>
        <v>0</v>
      </c>
      <c r="ROE64" s="44">
        <f t="shared" si="327"/>
        <v>0</v>
      </c>
      <c r="ROF64" s="44">
        <f t="shared" si="327"/>
        <v>0</v>
      </c>
      <c r="ROG64" s="44">
        <f t="shared" si="327"/>
        <v>0</v>
      </c>
      <c r="ROH64" s="44">
        <f t="shared" ref="ROH64:RQS64" si="328">SUM(ROH56:ROH57)</f>
        <v>0</v>
      </c>
      <c r="ROI64" s="44">
        <f t="shared" si="328"/>
        <v>0</v>
      </c>
      <c r="ROJ64" s="44">
        <f t="shared" si="328"/>
        <v>0</v>
      </c>
      <c r="ROK64" s="44">
        <f t="shared" si="328"/>
        <v>0</v>
      </c>
      <c r="ROL64" s="44">
        <f t="shared" si="328"/>
        <v>0</v>
      </c>
      <c r="ROM64" s="44">
        <f t="shared" si="328"/>
        <v>0</v>
      </c>
      <c r="RON64" s="44">
        <f t="shared" si="328"/>
        <v>0</v>
      </c>
      <c r="ROO64" s="44">
        <f t="shared" si="328"/>
        <v>0</v>
      </c>
      <c r="ROP64" s="44">
        <f t="shared" si="328"/>
        <v>0</v>
      </c>
      <c r="ROQ64" s="44">
        <f t="shared" si="328"/>
        <v>0</v>
      </c>
      <c r="ROR64" s="44">
        <f t="shared" si="328"/>
        <v>0</v>
      </c>
      <c r="ROS64" s="44">
        <f t="shared" si="328"/>
        <v>0</v>
      </c>
      <c r="ROT64" s="44">
        <f t="shared" si="328"/>
        <v>0</v>
      </c>
      <c r="ROU64" s="44">
        <f t="shared" si="328"/>
        <v>0</v>
      </c>
      <c r="ROV64" s="44">
        <f t="shared" si="328"/>
        <v>0</v>
      </c>
      <c r="ROW64" s="44">
        <f t="shared" si="328"/>
        <v>0</v>
      </c>
      <c r="ROX64" s="44">
        <f t="shared" si="328"/>
        <v>0</v>
      </c>
      <c r="ROY64" s="44">
        <f t="shared" si="328"/>
        <v>0</v>
      </c>
      <c r="ROZ64" s="44">
        <f t="shared" si="328"/>
        <v>0</v>
      </c>
      <c r="RPA64" s="44">
        <f t="shared" si="328"/>
        <v>0</v>
      </c>
      <c r="RPB64" s="44">
        <f t="shared" si="328"/>
        <v>0</v>
      </c>
      <c r="RPC64" s="44">
        <f t="shared" si="328"/>
        <v>0</v>
      </c>
      <c r="RPD64" s="44">
        <f t="shared" si="328"/>
        <v>0</v>
      </c>
      <c r="RPE64" s="44">
        <f t="shared" si="328"/>
        <v>0</v>
      </c>
      <c r="RPF64" s="44">
        <f t="shared" si="328"/>
        <v>0</v>
      </c>
      <c r="RPG64" s="44">
        <f t="shared" si="328"/>
        <v>0</v>
      </c>
      <c r="RPH64" s="44">
        <f t="shared" si="328"/>
        <v>0</v>
      </c>
      <c r="RPI64" s="44">
        <f t="shared" si="328"/>
        <v>0</v>
      </c>
      <c r="RPJ64" s="44">
        <f t="shared" si="328"/>
        <v>0</v>
      </c>
      <c r="RPK64" s="44">
        <f t="shared" si="328"/>
        <v>0</v>
      </c>
      <c r="RPL64" s="44">
        <f t="shared" si="328"/>
        <v>0</v>
      </c>
      <c r="RPM64" s="44">
        <f t="shared" si="328"/>
        <v>0</v>
      </c>
      <c r="RPN64" s="44">
        <f t="shared" si="328"/>
        <v>0</v>
      </c>
      <c r="RPO64" s="44">
        <f t="shared" si="328"/>
        <v>0</v>
      </c>
      <c r="RPP64" s="44">
        <f t="shared" si="328"/>
        <v>0</v>
      </c>
      <c r="RPQ64" s="44">
        <f t="shared" si="328"/>
        <v>0</v>
      </c>
      <c r="RPR64" s="44">
        <f t="shared" si="328"/>
        <v>0</v>
      </c>
      <c r="RPS64" s="44">
        <f t="shared" si="328"/>
        <v>0</v>
      </c>
      <c r="RPT64" s="44">
        <f t="shared" si="328"/>
        <v>0</v>
      </c>
      <c r="RPU64" s="44">
        <f t="shared" si="328"/>
        <v>0</v>
      </c>
      <c r="RPV64" s="44">
        <f t="shared" si="328"/>
        <v>0</v>
      </c>
      <c r="RPW64" s="44">
        <f t="shared" si="328"/>
        <v>0</v>
      </c>
      <c r="RPX64" s="44">
        <f t="shared" si="328"/>
        <v>0</v>
      </c>
      <c r="RPY64" s="44">
        <f t="shared" si="328"/>
        <v>0</v>
      </c>
      <c r="RPZ64" s="44">
        <f t="shared" si="328"/>
        <v>0</v>
      </c>
      <c r="RQA64" s="44">
        <f t="shared" si="328"/>
        <v>0</v>
      </c>
      <c r="RQB64" s="44">
        <f t="shared" si="328"/>
        <v>0</v>
      </c>
      <c r="RQC64" s="44">
        <f t="shared" si="328"/>
        <v>0</v>
      </c>
      <c r="RQD64" s="44">
        <f t="shared" si="328"/>
        <v>0</v>
      </c>
      <c r="RQE64" s="44">
        <f t="shared" si="328"/>
        <v>0</v>
      </c>
      <c r="RQF64" s="44">
        <f t="shared" si="328"/>
        <v>0</v>
      </c>
      <c r="RQG64" s="44">
        <f t="shared" si="328"/>
        <v>0</v>
      </c>
      <c r="RQH64" s="44">
        <f t="shared" si="328"/>
        <v>0</v>
      </c>
      <c r="RQI64" s="44">
        <f t="shared" si="328"/>
        <v>0</v>
      </c>
      <c r="RQJ64" s="44">
        <f t="shared" si="328"/>
        <v>0</v>
      </c>
      <c r="RQK64" s="44">
        <f t="shared" si="328"/>
        <v>0</v>
      </c>
      <c r="RQL64" s="44">
        <f t="shared" si="328"/>
        <v>0</v>
      </c>
      <c r="RQM64" s="44">
        <f t="shared" si="328"/>
        <v>0</v>
      </c>
      <c r="RQN64" s="44">
        <f t="shared" si="328"/>
        <v>0</v>
      </c>
      <c r="RQO64" s="44">
        <f t="shared" si="328"/>
        <v>0</v>
      </c>
      <c r="RQP64" s="44">
        <f t="shared" si="328"/>
        <v>0</v>
      </c>
      <c r="RQQ64" s="44">
        <f t="shared" si="328"/>
        <v>0</v>
      </c>
      <c r="RQR64" s="44">
        <f t="shared" si="328"/>
        <v>0</v>
      </c>
      <c r="RQS64" s="44">
        <f t="shared" si="328"/>
        <v>0</v>
      </c>
      <c r="RQT64" s="44">
        <f t="shared" ref="RQT64:RTE64" si="329">SUM(RQT56:RQT57)</f>
        <v>0</v>
      </c>
      <c r="RQU64" s="44">
        <f t="shared" si="329"/>
        <v>0</v>
      </c>
      <c r="RQV64" s="44">
        <f t="shared" si="329"/>
        <v>0</v>
      </c>
      <c r="RQW64" s="44">
        <f t="shared" si="329"/>
        <v>0</v>
      </c>
      <c r="RQX64" s="44">
        <f t="shared" si="329"/>
        <v>0</v>
      </c>
      <c r="RQY64" s="44">
        <f t="shared" si="329"/>
        <v>0</v>
      </c>
      <c r="RQZ64" s="44">
        <f t="shared" si="329"/>
        <v>0</v>
      </c>
      <c r="RRA64" s="44">
        <f t="shared" si="329"/>
        <v>0</v>
      </c>
      <c r="RRB64" s="44">
        <f t="shared" si="329"/>
        <v>0</v>
      </c>
      <c r="RRC64" s="44">
        <f t="shared" si="329"/>
        <v>0</v>
      </c>
      <c r="RRD64" s="44">
        <f t="shared" si="329"/>
        <v>0</v>
      </c>
      <c r="RRE64" s="44">
        <f t="shared" si="329"/>
        <v>0</v>
      </c>
      <c r="RRF64" s="44">
        <f t="shared" si="329"/>
        <v>0</v>
      </c>
      <c r="RRG64" s="44">
        <f t="shared" si="329"/>
        <v>0</v>
      </c>
      <c r="RRH64" s="44">
        <f t="shared" si="329"/>
        <v>0</v>
      </c>
      <c r="RRI64" s="44">
        <f t="shared" si="329"/>
        <v>0</v>
      </c>
      <c r="RRJ64" s="44">
        <f t="shared" si="329"/>
        <v>0</v>
      </c>
      <c r="RRK64" s="44">
        <f t="shared" si="329"/>
        <v>0</v>
      </c>
      <c r="RRL64" s="44">
        <f t="shared" si="329"/>
        <v>0</v>
      </c>
      <c r="RRM64" s="44">
        <f t="shared" si="329"/>
        <v>0</v>
      </c>
      <c r="RRN64" s="44">
        <f t="shared" si="329"/>
        <v>0</v>
      </c>
      <c r="RRO64" s="44">
        <f t="shared" si="329"/>
        <v>0</v>
      </c>
      <c r="RRP64" s="44">
        <f t="shared" si="329"/>
        <v>0</v>
      </c>
      <c r="RRQ64" s="44">
        <f t="shared" si="329"/>
        <v>0</v>
      </c>
      <c r="RRR64" s="44">
        <f t="shared" si="329"/>
        <v>0</v>
      </c>
      <c r="RRS64" s="44">
        <f t="shared" si="329"/>
        <v>0</v>
      </c>
      <c r="RRT64" s="44">
        <f t="shared" si="329"/>
        <v>0</v>
      </c>
      <c r="RRU64" s="44">
        <f t="shared" si="329"/>
        <v>0</v>
      </c>
      <c r="RRV64" s="44">
        <f t="shared" si="329"/>
        <v>0</v>
      </c>
      <c r="RRW64" s="44">
        <f t="shared" si="329"/>
        <v>0</v>
      </c>
      <c r="RRX64" s="44">
        <f t="shared" si="329"/>
        <v>0</v>
      </c>
      <c r="RRY64" s="44">
        <f t="shared" si="329"/>
        <v>0</v>
      </c>
      <c r="RRZ64" s="44">
        <f t="shared" si="329"/>
        <v>0</v>
      </c>
      <c r="RSA64" s="44">
        <f t="shared" si="329"/>
        <v>0</v>
      </c>
      <c r="RSB64" s="44">
        <f t="shared" si="329"/>
        <v>0</v>
      </c>
      <c r="RSC64" s="44">
        <f t="shared" si="329"/>
        <v>0</v>
      </c>
      <c r="RSD64" s="44">
        <f t="shared" si="329"/>
        <v>0</v>
      </c>
      <c r="RSE64" s="44">
        <f t="shared" si="329"/>
        <v>0</v>
      </c>
      <c r="RSF64" s="44">
        <f t="shared" si="329"/>
        <v>0</v>
      </c>
      <c r="RSG64" s="44">
        <f t="shared" si="329"/>
        <v>0</v>
      </c>
      <c r="RSH64" s="44">
        <f t="shared" si="329"/>
        <v>0</v>
      </c>
      <c r="RSI64" s="44">
        <f t="shared" si="329"/>
        <v>0</v>
      </c>
      <c r="RSJ64" s="44">
        <f t="shared" si="329"/>
        <v>0</v>
      </c>
      <c r="RSK64" s="44">
        <f t="shared" si="329"/>
        <v>0</v>
      </c>
      <c r="RSL64" s="44">
        <f t="shared" si="329"/>
        <v>0</v>
      </c>
      <c r="RSM64" s="44">
        <f t="shared" si="329"/>
        <v>0</v>
      </c>
      <c r="RSN64" s="44">
        <f t="shared" si="329"/>
        <v>0</v>
      </c>
      <c r="RSO64" s="44">
        <f t="shared" si="329"/>
        <v>0</v>
      </c>
      <c r="RSP64" s="44">
        <f t="shared" si="329"/>
        <v>0</v>
      </c>
      <c r="RSQ64" s="44">
        <f t="shared" si="329"/>
        <v>0</v>
      </c>
      <c r="RSR64" s="44">
        <f t="shared" si="329"/>
        <v>0</v>
      </c>
      <c r="RSS64" s="44">
        <f t="shared" si="329"/>
        <v>0</v>
      </c>
      <c r="RST64" s="44">
        <f t="shared" si="329"/>
        <v>0</v>
      </c>
      <c r="RSU64" s="44">
        <f t="shared" si="329"/>
        <v>0</v>
      </c>
      <c r="RSV64" s="44">
        <f t="shared" si="329"/>
        <v>0</v>
      </c>
      <c r="RSW64" s="44">
        <f t="shared" si="329"/>
        <v>0</v>
      </c>
      <c r="RSX64" s="44">
        <f t="shared" si="329"/>
        <v>0</v>
      </c>
      <c r="RSY64" s="44">
        <f t="shared" si="329"/>
        <v>0</v>
      </c>
      <c r="RSZ64" s="44">
        <f t="shared" si="329"/>
        <v>0</v>
      </c>
      <c r="RTA64" s="44">
        <f t="shared" si="329"/>
        <v>0</v>
      </c>
      <c r="RTB64" s="44">
        <f t="shared" si="329"/>
        <v>0</v>
      </c>
      <c r="RTC64" s="44">
        <f t="shared" si="329"/>
        <v>0</v>
      </c>
      <c r="RTD64" s="44">
        <f t="shared" si="329"/>
        <v>0</v>
      </c>
      <c r="RTE64" s="44">
        <f t="shared" si="329"/>
        <v>0</v>
      </c>
      <c r="RTF64" s="44">
        <f t="shared" ref="RTF64:RVQ64" si="330">SUM(RTF56:RTF57)</f>
        <v>0</v>
      </c>
      <c r="RTG64" s="44">
        <f t="shared" si="330"/>
        <v>0</v>
      </c>
      <c r="RTH64" s="44">
        <f t="shared" si="330"/>
        <v>0</v>
      </c>
      <c r="RTI64" s="44">
        <f t="shared" si="330"/>
        <v>0</v>
      </c>
      <c r="RTJ64" s="44">
        <f t="shared" si="330"/>
        <v>0</v>
      </c>
      <c r="RTK64" s="44">
        <f t="shared" si="330"/>
        <v>0</v>
      </c>
      <c r="RTL64" s="44">
        <f t="shared" si="330"/>
        <v>0</v>
      </c>
      <c r="RTM64" s="44">
        <f t="shared" si="330"/>
        <v>0</v>
      </c>
      <c r="RTN64" s="44">
        <f t="shared" si="330"/>
        <v>0</v>
      </c>
      <c r="RTO64" s="44">
        <f t="shared" si="330"/>
        <v>0</v>
      </c>
      <c r="RTP64" s="44">
        <f t="shared" si="330"/>
        <v>0</v>
      </c>
      <c r="RTQ64" s="44">
        <f t="shared" si="330"/>
        <v>0</v>
      </c>
      <c r="RTR64" s="44">
        <f t="shared" si="330"/>
        <v>0</v>
      </c>
      <c r="RTS64" s="44">
        <f t="shared" si="330"/>
        <v>0</v>
      </c>
      <c r="RTT64" s="44">
        <f t="shared" si="330"/>
        <v>0</v>
      </c>
      <c r="RTU64" s="44">
        <f t="shared" si="330"/>
        <v>0</v>
      </c>
      <c r="RTV64" s="44">
        <f t="shared" si="330"/>
        <v>0</v>
      </c>
      <c r="RTW64" s="44">
        <f t="shared" si="330"/>
        <v>0</v>
      </c>
      <c r="RTX64" s="44">
        <f t="shared" si="330"/>
        <v>0</v>
      </c>
      <c r="RTY64" s="44">
        <f t="shared" si="330"/>
        <v>0</v>
      </c>
      <c r="RTZ64" s="44">
        <f t="shared" si="330"/>
        <v>0</v>
      </c>
      <c r="RUA64" s="44">
        <f t="shared" si="330"/>
        <v>0</v>
      </c>
      <c r="RUB64" s="44">
        <f t="shared" si="330"/>
        <v>0</v>
      </c>
      <c r="RUC64" s="44">
        <f t="shared" si="330"/>
        <v>0</v>
      </c>
      <c r="RUD64" s="44">
        <f t="shared" si="330"/>
        <v>0</v>
      </c>
      <c r="RUE64" s="44">
        <f t="shared" si="330"/>
        <v>0</v>
      </c>
      <c r="RUF64" s="44">
        <f t="shared" si="330"/>
        <v>0</v>
      </c>
      <c r="RUG64" s="44">
        <f t="shared" si="330"/>
        <v>0</v>
      </c>
      <c r="RUH64" s="44">
        <f t="shared" si="330"/>
        <v>0</v>
      </c>
      <c r="RUI64" s="44">
        <f t="shared" si="330"/>
        <v>0</v>
      </c>
      <c r="RUJ64" s="44">
        <f t="shared" si="330"/>
        <v>0</v>
      </c>
      <c r="RUK64" s="44">
        <f t="shared" si="330"/>
        <v>0</v>
      </c>
      <c r="RUL64" s="44">
        <f t="shared" si="330"/>
        <v>0</v>
      </c>
      <c r="RUM64" s="44">
        <f t="shared" si="330"/>
        <v>0</v>
      </c>
      <c r="RUN64" s="44">
        <f t="shared" si="330"/>
        <v>0</v>
      </c>
      <c r="RUO64" s="44">
        <f t="shared" si="330"/>
        <v>0</v>
      </c>
      <c r="RUP64" s="44">
        <f t="shared" si="330"/>
        <v>0</v>
      </c>
      <c r="RUQ64" s="44">
        <f t="shared" si="330"/>
        <v>0</v>
      </c>
      <c r="RUR64" s="44">
        <f t="shared" si="330"/>
        <v>0</v>
      </c>
      <c r="RUS64" s="44">
        <f t="shared" si="330"/>
        <v>0</v>
      </c>
      <c r="RUT64" s="44">
        <f t="shared" si="330"/>
        <v>0</v>
      </c>
      <c r="RUU64" s="44">
        <f t="shared" si="330"/>
        <v>0</v>
      </c>
      <c r="RUV64" s="44">
        <f t="shared" si="330"/>
        <v>0</v>
      </c>
      <c r="RUW64" s="44">
        <f t="shared" si="330"/>
        <v>0</v>
      </c>
      <c r="RUX64" s="44">
        <f t="shared" si="330"/>
        <v>0</v>
      </c>
      <c r="RUY64" s="44">
        <f t="shared" si="330"/>
        <v>0</v>
      </c>
      <c r="RUZ64" s="44">
        <f t="shared" si="330"/>
        <v>0</v>
      </c>
      <c r="RVA64" s="44">
        <f t="shared" si="330"/>
        <v>0</v>
      </c>
      <c r="RVB64" s="44">
        <f t="shared" si="330"/>
        <v>0</v>
      </c>
      <c r="RVC64" s="44">
        <f t="shared" si="330"/>
        <v>0</v>
      </c>
      <c r="RVD64" s="44">
        <f t="shared" si="330"/>
        <v>0</v>
      </c>
      <c r="RVE64" s="44">
        <f t="shared" si="330"/>
        <v>0</v>
      </c>
      <c r="RVF64" s="44">
        <f t="shared" si="330"/>
        <v>0</v>
      </c>
      <c r="RVG64" s="44">
        <f t="shared" si="330"/>
        <v>0</v>
      </c>
      <c r="RVH64" s="44">
        <f t="shared" si="330"/>
        <v>0</v>
      </c>
      <c r="RVI64" s="44">
        <f t="shared" si="330"/>
        <v>0</v>
      </c>
      <c r="RVJ64" s="44">
        <f t="shared" si="330"/>
        <v>0</v>
      </c>
      <c r="RVK64" s="44">
        <f t="shared" si="330"/>
        <v>0</v>
      </c>
      <c r="RVL64" s="44">
        <f t="shared" si="330"/>
        <v>0</v>
      </c>
      <c r="RVM64" s="44">
        <f t="shared" si="330"/>
        <v>0</v>
      </c>
      <c r="RVN64" s="44">
        <f t="shared" si="330"/>
        <v>0</v>
      </c>
      <c r="RVO64" s="44">
        <f t="shared" si="330"/>
        <v>0</v>
      </c>
      <c r="RVP64" s="44">
        <f t="shared" si="330"/>
        <v>0</v>
      </c>
      <c r="RVQ64" s="44">
        <f t="shared" si="330"/>
        <v>0</v>
      </c>
      <c r="RVR64" s="44">
        <f t="shared" ref="RVR64:RYC64" si="331">SUM(RVR56:RVR57)</f>
        <v>0</v>
      </c>
      <c r="RVS64" s="44">
        <f t="shared" si="331"/>
        <v>0</v>
      </c>
      <c r="RVT64" s="44">
        <f t="shared" si="331"/>
        <v>0</v>
      </c>
      <c r="RVU64" s="44">
        <f t="shared" si="331"/>
        <v>0</v>
      </c>
      <c r="RVV64" s="44">
        <f t="shared" si="331"/>
        <v>0</v>
      </c>
      <c r="RVW64" s="44">
        <f t="shared" si="331"/>
        <v>0</v>
      </c>
      <c r="RVX64" s="44">
        <f t="shared" si="331"/>
        <v>0</v>
      </c>
      <c r="RVY64" s="44">
        <f t="shared" si="331"/>
        <v>0</v>
      </c>
      <c r="RVZ64" s="44">
        <f t="shared" si="331"/>
        <v>0</v>
      </c>
      <c r="RWA64" s="44">
        <f t="shared" si="331"/>
        <v>0</v>
      </c>
      <c r="RWB64" s="44">
        <f t="shared" si="331"/>
        <v>0</v>
      </c>
      <c r="RWC64" s="44">
        <f t="shared" si="331"/>
        <v>0</v>
      </c>
      <c r="RWD64" s="44">
        <f t="shared" si="331"/>
        <v>0</v>
      </c>
      <c r="RWE64" s="44">
        <f t="shared" si="331"/>
        <v>0</v>
      </c>
      <c r="RWF64" s="44">
        <f t="shared" si="331"/>
        <v>0</v>
      </c>
      <c r="RWG64" s="44">
        <f t="shared" si="331"/>
        <v>0</v>
      </c>
      <c r="RWH64" s="44">
        <f t="shared" si="331"/>
        <v>0</v>
      </c>
      <c r="RWI64" s="44">
        <f t="shared" si="331"/>
        <v>0</v>
      </c>
      <c r="RWJ64" s="44">
        <f t="shared" si="331"/>
        <v>0</v>
      </c>
      <c r="RWK64" s="44">
        <f t="shared" si="331"/>
        <v>0</v>
      </c>
      <c r="RWL64" s="44">
        <f t="shared" si="331"/>
        <v>0</v>
      </c>
      <c r="RWM64" s="44">
        <f t="shared" si="331"/>
        <v>0</v>
      </c>
      <c r="RWN64" s="44">
        <f t="shared" si="331"/>
        <v>0</v>
      </c>
      <c r="RWO64" s="44">
        <f t="shared" si="331"/>
        <v>0</v>
      </c>
      <c r="RWP64" s="44">
        <f t="shared" si="331"/>
        <v>0</v>
      </c>
      <c r="RWQ64" s="44">
        <f t="shared" si="331"/>
        <v>0</v>
      </c>
      <c r="RWR64" s="44">
        <f t="shared" si="331"/>
        <v>0</v>
      </c>
      <c r="RWS64" s="44">
        <f t="shared" si="331"/>
        <v>0</v>
      </c>
      <c r="RWT64" s="44">
        <f t="shared" si="331"/>
        <v>0</v>
      </c>
      <c r="RWU64" s="44">
        <f t="shared" si="331"/>
        <v>0</v>
      </c>
      <c r="RWV64" s="44">
        <f t="shared" si="331"/>
        <v>0</v>
      </c>
      <c r="RWW64" s="44">
        <f t="shared" si="331"/>
        <v>0</v>
      </c>
      <c r="RWX64" s="44">
        <f t="shared" si="331"/>
        <v>0</v>
      </c>
      <c r="RWY64" s="44">
        <f t="shared" si="331"/>
        <v>0</v>
      </c>
      <c r="RWZ64" s="44">
        <f t="shared" si="331"/>
        <v>0</v>
      </c>
      <c r="RXA64" s="44">
        <f t="shared" si="331"/>
        <v>0</v>
      </c>
      <c r="RXB64" s="44">
        <f t="shared" si="331"/>
        <v>0</v>
      </c>
      <c r="RXC64" s="44">
        <f t="shared" si="331"/>
        <v>0</v>
      </c>
      <c r="RXD64" s="44">
        <f t="shared" si="331"/>
        <v>0</v>
      </c>
      <c r="RXE64" s="44">
        <f t="shared" si="331"/>
        <v>0</v>
      </c>
      <c r="RXF64" s="44">
        <f t="shared" si="331"/>
        <v>0</v>
      </c>
      <c r="RXG64" s="44">
        <f t="shared" si="331"/>
        <v>0</v>
      </c>
      <c r="RXH64" s="44">
        <f t="shared" si="331"/>
        <v>0</v>
      </c>
      <c r="RXI64" s="44">
        <f t="shared" si="331"/>
        <v>0</v>
      </c>
      <c r="RXJ64" s="44">
        <f t="shared" si="331"/>
        <v>0</v>
      </c>
      <c r="RXK64" s="44">
        <f t="shared" si="331"/>
        <v>0</v>
      </c>
      <c r="RXL64" s="44">
        <f t="shared" si="331"/>
        <v>0</v>
      </c>
      <c r="RXM64" s="44">
        <f t="shared" si="331"/>
        <v>0</v>
      </c>
      <c r="RXN64" s="44">
        <f t="shared" si="331"/>
        <v>0</v>
      </c>
      <c r="RXO64" s="44">
        <f t="shared" si="331"/>
        <v>0</v>
      </c>
      <c r="RXP64" s="44">
        <f t="shared" si="331"/>
        <v>0</v>
      </c>
      <c r="RXQ64" s="44">
        <f t="shared" si="331"/>
        <v>0</v>
      </c>
      <c r="RXR64" s="44">
        <f t="shared" si="331"/>
        <v>0</v>
      </c>
      <c r="RXS64" s="44">
        <f t="shared" si="331"/>
        <v>0</v>
      </c>
      <c r="RXT64" s="44">
        <f t="shared" si="331"/>
        <v>0</v>
      </c>
      <c r="RXU64" s="44">
        <f t="shared" si="331"/>
        <v>0</v>
      </c>
      <c r="RXV64" s="44">
        <f t="shared" si="331"/>
        <v>0</v>
      </c>
      <c r="RXW64" s="44">
        <f t="shared" si="331"/>
        <v>0</v>
      </c>
      <c r="RXX64" s="44">
        <f t="shared" si="331"/>
        <v>0</v>
      </c>
      <c r="RXY64" s="44">
        <f t="shared" si="331"/>
        <v>0</v>
      </c>
      <c r="RXZ64" s="44">
        <f t="shared" si="331"/>
        <v>0</v>
      </c>
      <c r="RYA64" s="44">
        <f t="shared" si="331"/>
        <v>0</v>
      </c>
      <c r="RYB64" s="44">
        <f t="shared" si="331"/>
        <v>0</v>
      </c>
      <c r="RYC64" s="44">
        <f t="shared" si="331"/>
        <v>0</v>
      </c>
      <c r="RYD64" s="44">
        <f t="shared" ref="RYD64:SAO64" si="332">SUM(RYD56:RYD57)</f>
        <v>0</v>
      </c>
      <c r="RYE64" s="44">
        <f t="shared" si="332"/>
        <v>0</v>
      </c>
      <c r="RYF64" s="44">
        <f t="shared" si="332"/>
        <v>0</v>
      </c>
      <c r="RYG64" s="44">
        <f t="shared" si="332"/>
        <v>0</v>
      </c>
      <c r="RYH64" s="44">
        <f t="shared" si="332"/>
        <v>0</v>
      </c>
      <c r="RYI64" s="44">
        <f t="shared" si="332"/>
        <v>0</v>
      </c>
      <c r="RYJ64" s="44">
        <f t="shared" si="332"/>
        <v>0</v>
      </c>
      <c r="RYK64" s="44">
        <f t="shared" si="332"/>
        <v>0</v>
      </c>
      <c r="RYL64" s="44">
        <f t="shared" si="332"/>
        <v>0</v>
      </c>
      <c r="RYM64" s="44">
        <f t="shared" si="332"/>
        <v>0</v>
      </c>
      <c r="RYN64" s="44">
        <f t="shared" si="332"/>
        <v>0</v>
      </c>
      <c r="RYO64" s="44">
        <f t="shared" si="332"/>
        <v>0</v>
      </c>
      <c r="RYP64" s="44">
        <f t="shared" si="332"/>
        <v>0</v>
      </c>
      <c r="RYQ64" s="44">
        <f t="shared" si="332"/>
        <v>0</v>
      </c>
      <c r="RYR64" s="44">
        <f t="shared" si="332"/>
        <v>0</v>
      </c>
      <c r="RYS64" s="44">
        <f t="shared" si="332"/>
        <v>0</v>
      </c>
      <c r="RYT64" s="44">
        <f t="shared" si="332"/>
        <v>0</v>
      </c>
      <c r="RYU64" s="44">
        <f t="shared" si="332"/>
        <v>0</v>
      </c>
      <c r="RYV64" s="44">
        <f t="shared" si="332"/>
        <v>0</v>
      </c>
      <c r="RYW64" s="44">
        <f t="shared" si="332"/>
        <v>0</v>
      </c>
      <c r="RYX64" s="44">
        <f t="shared" si="332"/>
        <v>0</v>
      </c>
      <c r="RYY64" s="44">
        <f t="shared" si="332"/>
        <v>0</v>
      </c>
      <c r="RYZ64" s="44">
        <f t="shared" si="332"/>
        <v>0</v>
      </c>
      <c r="RZA64" s="44">
        <f t="shared" si="332"/>
        <v>0</v>
      </c>
      <c r="RZB64" s="44">
        <f t="shared" si="332"/>
        <v>0</v>
      </c>
      <c r="RZC64" s="44">
        <f t="shared" si="332"/>
        <v>0</v>
      </c>
      <c r="RZD64" s="44">
        <f t="shared" si="332"/>
        <v>0</v>
      </c>
      <c r="RZE64" s="44">
        <f t="shared" si="332"/>
        <v>0</v>
      </c>
      <c r="RZF64" s="44">
        <f t="shared" si="332"/>
        <v>0</v>
      </c>
      <c r="RZG64" s="44">
        <f t="shared" si="332"/>
        <v>0</v>
      </c>
      <c r="RZH64" s="44">
        <f t="shared" si="332"/>
        <v>0</v>
      </c>
      <c r="RZI64" s="44">
        <f t="shared" si="332"/>
        <v>0</v>
      </c>
      <c r="RZJ64" s="44">
        <f t="shared" si="332"/>
        <v>0</v>
      </c>
      <c r="RZK64" s="44">
        <f t="shared" si="332"/>
        <v>0</v>
      </c>
      <c r="RZL64" s="44">
        <f t="shared" si="332"/>
        <v>0</v>
      </c>
      <c r="RZM64" s="44">
        <f t="shared" si="332"/>
        <v>0</v>
      </c>
      <c r="RZN64" s="44">
        <f t="shared" si="332"/>
        <v>0</v>
      </c>
      <c r="RZO64" s="44">
        <f t="shared" si="332"/>
        <v>0</v>
      </c>
      <c r="RZP64" s="44">
        <f t="shared" si="332"/>
        <v>0</v>
      </c>
      <c r="RZQ64" s="44">
        <f t="shared" si="332"/>
        <v>0</v>
      </c>
      <c r="RZR64" s="44">
        <f t="shared" si="332"/>
        <v>0</v>
      </c>
      <c r="RZS64" s="44">
        <f t="shared" si="332"/>
        <v>0</v>
      </c>
      <c r="RZT64" s="44">
        <f t="shared" si="332"/>
        <v>0</v>
      </c>
      <c r="RZU64" s="44">
        <f t="shared" si="332"/>
        <v>0</v>
      </c>
      <c r="RZV64" s="44">
        <f t="shared" si="332"/>
        <v>0</v>
      </c>
      <c r="RZW64" s="44">
        <f t="shared" si="332"/>
        <v>0</v>
      </c>
      <c r="RZX64" s="44">
        <f t="shared" si="332"/>
        <v>0</v>
      </c>
      <c r="RZY64" s="44">
        <f t="shared" si="332"/>
        <v>0</v>
      </c>
      <c r="RZZ64" s="44">
        <f t="shared" si="332"/>
        <v>0</v>
      </c>
      <c r="SAA64" s="44">
        <f t="shared" si="332"/>
        <v>0</v>
      </c>
      <c r="SAB64" s="44">
        <f t="shared" si="332"/>
        <v>0</v>
      </c>
      <c r="SAC64" s="44">
        <f t="shared" si="332"/>
        <v>0</v>
      </c>
      <c r="SAD64" s="44">
        <f t="shared" si="332"/>
        <v>0</v>
      </c>
      <c r="SAE64" s="44">
        <f t="shared" si="332"/>
        <v>0</v>
      </c>
      <c r="SAF64" s="44">
        <f t="shared" si="332"/>
        <v>0</v>
      </c>
      <c r="SAG64" s="44">
        <f t="shared" si="332"/>
        <v>0</v>
      </c>
      <c r="SAH64" s="44">
        <f t="shared" si="332"/>
        <v>0</v>
      </c>
      <c r="SAI64" s="44">
        <f t="shared" si="332"/>
        <v>0</v>
      </c>
      <c r="SAJ64" s="44">
        <f t="shared" si="332"/>
        <v>0</v>
      </c>
      <c r="SAK64" s="44">
        <f t="shared" si="332"/>
        <v>0</v>
      </c>
      <c r="SAL64" s="44">
        <f t="shared" si="332"/>
        <v>0</v>
      </c>
      <c r="SAM64" s="44">
        <f t="shared" si="332"/>
        <v>0</v>
      </c>
      <c r="SAN64" s="44">
        <f t="shared" si="332"/>
        <v>0</v>
      </c>
      <c r="SAO64" s="44">
        <f t="shared" si="332"/>
        <v>0</v>
      </c>
      <c r="SAP64" s="44">
        <f t="shared" ref="SAP64:SDA64" si="333">SUM(SAP56:SAP57)</f>
        <v>0</v>
      </c>
      <c r="SAQ64" s="44">
        <f t="shared" si="333"/>
        <v>0</v>
      </c>
      <c r="SAR64" s="44">
        <f t="shared" si="333"/>
        <v>0</v>
      </c>
      <c r="SAS64" s="44">
        <f t="shared" si="333"/>
        <v>0</v>
      </c>
      <c r="SAT64" s="44">
        <f t="shared" si="333"/>
        <v>0</v>
      </c>
      <c r="SAU64" s="44">
        <f t="shared" si="333"/>
        <v>0</v>
      </c>
      <c r="SAV64" s="44">
        <f t="shared" si="333"/>
        <v>0</v>
      </c>
      <c r="SAW64" s="44">
        <f t="shared" si="333"/>
        <v>0</v>
      </c>
      <c r="SAX64" s="44">
        <f t="shared" si="333"/>
        <v>0</v>
      </c>
      <c r="SAY64" s="44">
        <f t="shared" si="333"/>
        <v>0</v>
      </c>
      <c r="SAZ64" s="44">
        <f t="shared" si="333"/>
        <v>0</v>
      </c>
      <c r="SBA64" s="44">
        <f t="shared" si="333"/>
        <v>0</v>
      </c>
      <c r="SBB64" s="44">
        <f t="shared" si="333"/>
        <v>0</v>
      </c>
      <c r="SBC64" s="44">
        <f t="shared" si="333"/>
        <v>0</v>
      </c>
      <c r="SBD64" s="44">
        <f t="shared" si="333"/>
        <v>0</v>
      </c>
      <c r="SBE64" s="44">
        <f t="shared" si="333"/>
        <v>0</v>
      </c>
      <c r="SBF64" s="44">
        <f t="shared" si="333"/>
        <v>0</v>
      </c>
      <c r="SBG64" s="44">
        <f t="shared" si="333"/>
        <v>0</v>
      </c>
      <c r="SBH64" s="44">
        <f t="shared" si="333"/>
        <v>0</v>
      </c>
      <c r="SBI64" s="44">
        <f t="shared" si="333"/>
        <v>0</v>
      </c>
      <c r="SBJ64" s="44">
        <f t="shared" si="333"/>
        <v>0</v>
      </c>
      <c r="SBK64" s="44">
        <f t="shared" si="333"/>
        <v>0</v>
      </c>
      <c r="SBL64" s="44">
        <f t="shared" si="333"/>
        <v>0</v>
      </c>
      <c r="SBM64" s="44">
        <f t="shared" si="333"/>
        <v>0</v>
      </c>
      <c r="SBN64" s="44">
        <f t="shared" si="333"/>
        <v>0</v>
      </c>
      <c r="SBO64" s="44">
        <f t="shared" si="333"/>
        <v>0</v>
      </c>
      <c r="SBP64" s="44">
        <f t="shared" si="333"/>
        <v>0</v>
      </c>
      <c r="SBQ64" s="44">
        <f t="shared" si="333"/>
        <v>0</v>
      </c>
      <c r="SBR64" s="44">
        <f t="shared" si="333"/>
        <v>0</v>
      </c>
      <c r="SBS64" s="44">
        <f t="shared" si="333"/>
        <v>0</v>
      </c>
      <c r="SBT64" s="44">
        <f t="shared" si="333"/>
        <v>0</v>
      </c>
      <c r="SBU64" s="44">
        <f t="shared" si="333"/>
        <v>0</v>
      </c>
      <c r="SBV64" s="44">
        <f t="shared" si="333"/>
        <v>0</v>
      </c>
      <c r="SBW64" s="44">
        <f t="shared" si="333"/>
        <v>0</v>
      </c>
      <c r="SBX64" s="44">
        <f t="shared" si="333"/>
        <v>0</v>
      </c>
      <c r="SBY64" s="44">
        <f t="shared" si="333"/>
        <v>0</v>
      </c>
      <c r="SBZ64" s="44">
        <f t="shared" si="333"/>
        <v>0</v>
      </c>
      <c r="SCA64" s="44">
        <f t="shared" si="333"/>
        <v>0</v>
      </c>
      <c r="SCB64" s="44">
        <f t="shared" si="333"/>
        <v>0</v>
      </c>
      <c r="SCC64" s="44">
        <f t="shared" si="333"/>
        <v>0</v>
      </c>
      <c r="SCD64" s="44">
        <f t="shared" si="333"/>
        <v>0</v>
      </c>
      <c r="SCE64" s="44">
        <f t="shared" si="333"/>
        <v>0</v>
      </c>
      <c r="SCF64" s="44">
        <f t="shared" si="333"/>
        <v>0</v>
      </c>
      <c r="SCG64" s="44">
        <f t="shared" si="333"/>
        <v>0</v>
      </c>
      <c r="SCH64" s="44">
        <f t="shared" si="333"/>
        <v>0</v>
      </c>
      <c r="SCI64" s="44">
        <f t="shared" si="333"/>
        <v>0</v>
      </c>
      <c r="SCJ64" s="44">
        <f t="shared" si="333"/>
        <v>0</v>
      </c>
      <c r="SCK64" s="44">
        <f t="shared" si="333"/>
        <v>0</v>
      </c>
      <c r="SCL64" s="44">
        <f t="shared" si="333"/>
        <v>0</v>
      </c>
      <c r="SCM64" s="44">
        <f t="shared" si="333"/>
        <v>0</v>
      </c>
      <c r="SCN64" s="44">
        <f t="shared" si="333"/>
        <v>0</v>
      </c>
      <c r="SCO64" s="44">
        <f t="shared" si="333"/>
        <v>0</v>
      </c>
      <c r="SCP64" s="44">
        <f t="shared" si="333"/>
        <v>0</v>
      </c>
      <c r="SCQ64" s="44">
        <f t="shared" si="333"/>
        <v>0</v>
      </c>
      <c r="SCR64" s="44">
        <f t="shared" si="333"/>
        <v>0</v>
      </c>
      <c r="SCS64" s="44">
        <f t="shared" si="333"/>
        <v>0</v>
      </c>
      <c r="SCT64" s="44">
        <f t="shared" si="333"/>
        <v>0</v>
      </c>
      <c r="SCU64" s="44">
        <f t="shared" si="333"/>
        <v>0</v>
      </c>
      <c r="SCV64" s="44">
        <f t="shared" si="333"/>
        <v>0</v>
      </c>
      <c r="SCW64" s="44">
        <f t="shared" si="333"/>
        <v>0</v>
      </c>
      <c r="SCX64" s="44">
        <f t="shared" si="333"/>
        <v>0</v>
      </c>
      <c r="SCY64" s="44">
        <f t="shared" si="333"/>
        <v>0</v>
      </c>
      <c r="SCZ64" s="44">
        <f t="shared" si="333"/>
        <v>0</v>
      </c>
      <c r="SDA64" s="44">
        <f t="shared" si="333"/>
        <v>0</v>
      </c>
      <c r="SDB64" s="44">
        <f t="shared" ref="SDB64:SFM64" si="334">SUM(SDB56:SDB57)</f>
        <v>0</v>
      </c>
      <c r="SDC64" s="44">
        <f t="shared" si="334"/>
        <v>0</v>
      </c>
      <c r="SDD64" s="44">
        <f t="shared" si="334"/>
        <v>0</v>
      </c>
      <c r="SDE64" s="44">
        <f t="shared" si="334"/>
        <v>0</v>
      </c>
      <c r="SDF64" s="44">
        <f t="shared" si="334"/>
        <v>0</v>
      </c>
      <c r="SDG64" s="44">
        <f t="shared" si="334"/>
        <v>0</v>
      </c>
      <c r="SDH64" s="44">
        <f t="shared" si="334"/>
        <v>0</v>
      </c>
      <c r="SDI64" s="44">
        <f t="shared" si="334"/>
        <v>0</v>
      </c>
      <c r="SDJ64" s="44">
        <f t="shared" si="334"/>
        <v>0</v>
      </c>
      <c r="SDK64" s="44">
        <f t="shared" si="334"/>
        <v>0</v>
      </c>
      <c r="SDL64" s="44">
        <f t="shared" si="334"/>
        <v>0</v>
      </c>
      <c r="SDM64" s="44">
        <f t="shared" si="334"/>
        <v>0</v>
      </c>
      <c r="SDN64" s="44">
        <f t="shared" si="334"/>
        <v>0</v>
      </c>
      <c r="SDO64" s="44">
        <f t="shared" si="334"/>
        <v>0</v>
      </c>
      <c r="SDP64" s="44">
        <f t="shared" si="334"/>
        <v>0</v>
      </c>
      <c r="SDQ64" s="44">
        <f t="shared" si="334"/>
        <v>0</v>
      </c>
      <c r="SDR64" s="44">
        <f t="shared" si="334"/>
        <v>0</v>
      </c>
      <c r="SDS64" s="44">
        <f t="shared" si="334"/>
        <v>0</v>
      </c>
      <c r="SDT64" s="44">
        <f t="shared" si="334"/>
        <v>0</v>
      </c>
      <c r="SDU64" s="44">
        <f t="shared" si="334"/>
        <v>0</v>
      </c>
      <c r="SDV64" s="44">
        <f t="shared" si="334"/>
        <v>0</v>
      </c>
      <c r="SDW64" s="44">
        <f t="shared" si="334"/>
        <v>0</v>
      </c>
      <c r="SDX64" s="44">
        <f t="shared" si="334"/>
        <v>0</v>
      </c>
      <c r="SDY64" s="44">
        <f t="shared" si="334"/>
        <v>0</v>
      </c>
      <c r="SDZ64" s="44">
        <f t="shared" si="334"/>
        <v>0</v>
      </c>
      <c r="SEA64" s="44">
        <f t="shared" si="334"/>
        <v>0</v>
      </c>
      <c r="SEB64" s="44">
        <f t="shared" si="334"/>
        <v>0</v>
      </c>
      <c r="SEC64" s="44">
        <f t="shared" si="334"/>
        <v>0</v>
      </c>
      <c r="SED64" s="44">
        <f t="shared" si="334"/>
        <v>0</v>
      </c>
      <c r="SEE64" s="44">
        <f t="shared" si="334"/>
        <v>0</v>
      </c>
      <c r="SEF64" s="44">
        <f t="shared" si="334"/>
        <v>0</v>
      </c>
      <c r="SEG64" s="44">
        <f t="shared" si="334"/>
        <v>0</v>
      </c>
      <c r="SEH64" s="44">
        <f t="shared" si="334"/>
        <v>0</v>
      </c>
      <c r="SEI64" s="44">
        <f t="shared" si="334"/>
        <v>0</v>
      </c>
      <c r="SEJ64" s="44">
        <f t="shared" si="334"/>
        <v>0</v>
      </c>
      <c r="SEK64" s="44">
        <f t="shared" si="334"/>
        <v>0</v>
      </c>
      <c r="SEL64" s="44">
        <f t="shared" si="334"/>
        <v>0</v>
      </c>
      <c r="SEM64" s="44">
        <f t="shared" si="334"/>
        <v>0</v>
      </c>
      <c r="SEN64" s="44">
        <f t="shared" si="334"/>
        <v>0</v>
      </c>
      <c r="SEO64" s="44">
        <f t="shared" si="334"/>
        <v>0</v>
      </c>
      <c r="SEP64" s="44">
        <f t="shared" si="334"/>
        <v>0</v>
      </c>
      <c r="SEQ64" s="44">
        <f t="shared" si="334"/>
        <v>0</v>
      </c>
      <c r="SER64" s="44">
        <f t="shared" si="334"/>
        <v>0</v>
      </c>
      <c r="SES64" s="44">
        <f t="shared" si="334"/>
        <v>0</v>
      </c>
      <c r="SET64" s="44">
        <f t="shared" si="334"/>
        <v>0</v>
      </c>
      <c r="SEU64" s="44">
        <f t="shared" si="334"/>
        <v>0</v>
      </c>
      <c r="SEV64" s="44">
        <f t="shared" si="334"/>
        <v>0</v>
      </c>
      <c r="SEW64" s="44">
        <f t="shared" si="334"/>
        <v>0</v>
      </c>
      <c r="SEX64" s="44">
        <f t="shared" si="334"/>
        <v>0</v>
      </c>
      <c r="SEY64" s="44">
        <f t="shared" si="334"/>
        <v>0</v>
      </c>
      <c r="SEZ64" s="44">
        <f t="shared" si="334"/>
        <v>0</v>
      </c>
      <c r="SFA64" s="44">
        <f t="shared" si="334"/>
        <v>0</v>
      </c>
      <c r="SFB64" s="44">
        <f t="shared" si="334"/>
        <v>0</v>
      </c>
      <c r="SFC64" s="44">
        <f t="shared" si="334"/>
        <v>0</v>
      </c>
      <c r="SFD64" s="44">
        <f t="shared" si="334"/>
        <v>0</v>
      </c>
      <c r="SFE64" s="44">
        <f t="shared" si="334"/>
        <v>0</v>
      </c>
      <c r="SFF64" s="44">
        <f t="shared" si="334"/>
        <v>0</v>
      </c>
      <c r="SFG64" s="44">
        <f t="shared" si="334"/>
        <v>0</v>
      </c>
      <c r="SFH64" s="44">
        <f t="shared" si="334"/>
        <v>0</v>
      </c>
      <c r="SFI64" s="44">
        <f t="shared" si="334"/>
        <v>0</v>
      </c>
      <c r="SFJ64" s="44">
        <f t="shared" si="334"/>
        <v>0</v>
      </c>
      <c r="SFK64" s="44">
        <f t="shared" si="334"/>
        <v>0</v>
      </c>
      <c r="SFL64" s="44">
        <f t="shared" si="334"/>
        <v>0</v>
      </c>
      <c r="SFM64" s="44">
        <f t="shared" si="334"/>
        <v>0</v>
      </c>
      <c r="SFN64" s="44">
        <f t="shared" ref="SFN64:SHY64" si="335">SUM(SFN56:SFN57)</f>
        <v>0</v>
      </c>
      <c r="SFO64" s="44">
        <f t="shared" si="335"/>
        <v>0</v>
      </c>
      <c r="SFP64" s="44">
        <f t="shared" si="335"/>
        <v>0</v>
      </c>
      <c r="SFQ64" s="44">
        <f t="shared" si="335"/>
        <v>0</v>
      </c>
      <c r="SFR64" s="44">
        <f t="shared" si="335"/>
        <v>0</v>
      </c>
      <c r="SFS64" s="44">
        <f t="shared" si="335"/>
        <v>0</v>
      </c>
      <c r="SFT64" s="44">
        <f t="shared" si="335"/>
        <v>0</v>
      </c>
      <c r="SFU64" s="44">
        <f t="shared" si="335"/>
        <v>0</v>
      </c>
      <c r="SFV64" s="44">
        <f t="shared" si="335"/>
        <v>0</v>
      </c>
      <c r="SFW64" s="44">
        <f t="shared" si="335"/>
        <v>0</v>
      </c>
      <c r="SFX64" s="44">
        <f t="shared" si="335"/>
        <v>0</v>
      </c>
      <c r="SFY64" s="44">
        <f t="shared" si="335"/>
        <v>0</v>
      </c>
      <c r="SFZ64" s="44">
        <f t="shared" si="335"/>
        <v>0</v>
      </c>
      <c r="SGA64" s="44">
        <f t="shared" si="335"/>
        <v>0</v>
      </c>
      <c r="SGB64" s="44">
        <f t="shared" si="335"/>
        <v>0</v>
      </c>
      <c r="SGC64" s="44">
        <f t="shared" si="335"/>
        <v>0</v>
      </c>
      <c r="SGD64" s="44">
        <f t="shared" si="335"/>
        <v>0</v>
      </c>
      <c r="SGE64" s="44">
        <f t="shared" si="335"/>
        <v>0</v>
      </c>
      <c r="SGF64" s="44">
        <f t="shared" si="335"/>
        <v>0</v>
      </c>
      <c r="SGG64" s="44">
        <f t="shared" si="335"/>
        <v>0</v>
      </c>
      <c r="SGH64" s="44">
        <f t="shared" si="335"/>
        <v>0</v>
      </c>
      <c r="SGI64" s="44">
        <f t="shared" si="335"/>
        <v>0</v>
      </c>
      <c r="SGJ64" s="44">
        <f t="shared" si="335"/>
        <v>0</v>
      </c>
      <c r="SGK64" s="44">
        <f t="shared" si="335"/>
        <v>0</v>
      </c>
      <c r="SGL64" s="44">
        <f t="shared" si="335"/>
        <v>0</v>
      </c>
      <c r="SGM64" s="44">
        <f t="shared" si="335"/>
        <v>0</v>
      </c>
      <c r="SGN64" s="44">
        <f t="shared" si="335"/>
        <v>0</v>
      </c>
      <c r="SGO64" s="44">
        <f t="shared" si="335"/>
        <v>0</v>
      </c>
      <c r="SGP64" s="44">
        <f t="shared" si="335"/>
        <v>0</v>
      </c>
      <c r="SGQ64" s="44">
        <f t="shared" si="335"/>
        <v>0</v>
      </c>
      <c r="SGR64" s="44">
        <f t="shared" si="335"/>
        <v>0</v>
      </c>
      <c r="SGS64" s="44">
        <f t="shared" si="335"/>
        <v>0</v>
      </c>
      <c r="SGT64" s="44">
        <f t="shared" si="335"/>
        <v>0</v>
      </c>
      <c r="SGU64" s="44">
        <f t="shared" si="335"/>
        <v>0</v>
      </c>
      <c r="SGV64" s="44">
        <f t="shared" si="335"/>
        <v>0</v>
      </c>
      <c r="SGW64" s="44">
        <f t="shared" si="335"/>
        <v>0</v>
      </c>
      <c r="SGX64" s="44">
        <f t="shared" si="335"/>
        <v>0</v>
      </c>
      <c r="SGY64" s="44">
        <f t="shared" si="335"/>
        <v>0</v>
      </c>
      <c r="SGZ64" s="44">
        <f t="shared" si="335"/>
        <v>0</v>
      </c>
      <c r="SHA64" s="44">
        <f t="shared" si="335"/>
        <v>0</v>
      </c>
      <c r="SHB64" s="44">
        <f t="shared" si="335"/>
        <v>0</v>
      </c>
      <c r="SHC64" s="44">
        <f t="shared" si="335"/>
        <v>0</v>
      </c>
      <c r="SHD64" s="44">
        <f t="shared" si="335"/>
        <v>0</v>
      </c>
      <c r="SHE64" s="44">
        <f t="shared" si="335"/>
        <v>0</v>
      </c>
      <c r="SHF64" s="44">
        <f t="shared" si="335"/>
        <v>0</v>
      </c>
      <c r="SHG64" s="44">
        <f t="shared" si="335"/>
        <v>0</v>
      </c>
      <c r="SHH64" s="44">
        <f t="shared" si="335"/>
        <v>0</v>
      </c>
      <c r="SHI64" s="44">
        <f t="shared" si="335"/>
        <v>0</v>
      </c>
      <c r="SHJ64" s="44">
        <f t="shared" si="335"/>
        <v>0</v>
      </c>
      <c r="SHK64" s="44">
        <f t="shared" si="335"/>
        <v>0</v>
      </c>
      <c r="SHL64" s="44">
        <f t="shared" si="335"/>
        <v>0</v>
      </c>
      <c r="SHM64" s="44">
        <f t="shared" si="335"/>
        <v>0</v>
      </c>
      <c r="SHN64" s="44">
        <f t="shared" si="335"/>
        <v>0</v>
      </c>
      <c r="SHO64" s="44">
        <f t="shared" si="335"/>
        <v>0</v>
      </c>
      <c r="SHP64" s="44">
        <f t="shared" si="335"/>
        <v>0</v>
      </c>
      <c r="SHQ64" s="44">
        <f t="shared" si="335"/>
        <v>0</v>
      </c>
      <c r="SHR64" s="44">
        <f t="shared" si="335"/>
        <v>0</v>
      </c>
      <c r="SHS64" s="44">
        <f t="shared" si="335"/>
        <v>0</v>
      </c>
      <c r="SHT64" s="44">
        <f t="shared" si="335"/>
        <v>0</v>
      </c>
      <c r="SHU64" s="44">
        <f t="shared" si="335"/>
        <v>0</v>
      </c>
      <c r="SHV64" s="44">
        <f t="shared" si="335"/>
        <v>0</v>
      </c>
      <c r="SHW64" s="44">
        <f t="shared" si="335"/>
        <v>0</v>
      </c>
      <c r="SHX64" s="44">
        <f t="shared" si="335"/>
        <v>0</v>
      </c>
      <c r="SHY64" s="44">
        <f t="shared" si="335"/>
        <v>0</v>
      </c>
      <c r="SHZ64" s="44">
        <f t="shared" ref="SHZ64:SKK64" si="336">SUM(SHZ56:SHZ57)</f>
        <v>0</v>
      </c>
      <c r="SIA64" s="44">
        <f t="shared" si="336"/>
        <v>0</v>
      </c>
      <c r="SIB64" s="44">
        <f t="shared" si="336"/>
        <v>0</v>
      </c>
      <c r="SIC64" s="44">
        <f t="shared" si="336"/>
        <v>0</v>
      </c>
      <c r="SID64" s="44">
        <f t="shared" si="336"/>
        <v>0</v>
      </c>
      <c r="SIE64" s="44">
        <f t="shared" si="336"/>
        <v>0</v>
      </c>
      <c r="SIF64" s="44">
        <f t="shared" si="336"/>
        <v>0</v>
      </c>
      <c r="SIG64" s="44">
        <f t="shared" si="336"/>
        <v>0</v>
      </c>
      <c r="SIH64" s="44">
        <f t="shared" si="336"/>
        <v>0</v>
      </c>
      <c r="SII64" s="44">
        <f t="shared" si="336"/>
        <v>0</v>
      </c>
      <c r="SIJ64" s="44">
        <f t="shared" si="336"/>
        <v>0</v>
      </c>
      <c r="SIK64" s="44">
        <f t="shared" si="336"/>
        <v>0</v>
      </c>
      <c r="SIL64" s="44">
        <f t="shared" si="336"/>
        <v>0</v>
      </c>
      <c r="SIM64" s="44">
        <f t="shared" si="336"/>
        <v>0</v>
      </c>
      <c r="SIN64" s="44">
        <f t="shared" si="336"/>
        <v>0</v>
      </c>
      <c r="SIO64" s="44">
        <f t="shared" si="336"/>
        <v>0</v>
      </c>
      <c r="SIP64" s="44">
        <f t="shared" si="336"/>
        <v>0</v>
      </c>
      <c r="SIQ64" s="44">
        <f t="shared" si="336"/>
        <v>0</v>
      </c>
      <c r="SIR64" s="44">
        <f t="shared" si="336"/>
        <v>0</v>
      </c>
      <c r="SIS64" s="44">
        <f t="shared" si="336"/>
        <v>0</v>
      </c>
      <c r="SIT64" s="44">
        <f t="shared" si="336"/>
        <v>0</v>
      </c>
      <c r="SIU64" s="44">
        <f t="shared" si="336"/>
        <v>0</v>
      </c>
      <c r="SIV64" s="44">
        <f t="shared" si="336"/>
        <v>0</v>
      </c>
      <c r="SIW64" s="44">
        <f t="shared" si="336"/>
        <v>0</v>
      </c>
      <c r="SIX64" s="44">
        <f t="shared" si="336"/>
        <v>0</v>
      </c>
      <c r="SIY64" s="44">
        <f t="shared" si="336"/>
        <v>0</v>
      </c>
      <c r="SIZ64" s="44">
        <f t="shared" si="336"/>
        <v>0</v>
      </c>
      <c r="SJA64" s="44">
        <f t="shared" si="336"/>
        <v>0</v>
      </c>
      <c r="SJB64" s="44">
        <f t="shared" si="336"/>
        <v>0</v>
      </c>
      <c r="SJC64" s="44">
        <f t="shared" si="336"/>
        <v>0</v>
      </c>
      <c r="SJD64" s="44">
        <f t="shared" si="336"/>
        <v>0</v>
      </c>
      <c r="SJE64" s="44">
        <f t="shared" si="336"/>
        <v>0</v>
      </c>
      <c r="SJF64" s="44">
        <f t="shared" si="336"/>
        <v>0</v>
      </c>
      <c r="SJG64" s="44">
        <f t="shared" si="336"/>
        <v>0</v>
      </c>
      <c r="SJH64" s="44">
        <f t="shared" si="336"/>
        <v>0</v>
      </c>
      <c r="SJI64" s="44">
        <f t="shared" si="336"/>
        <v>0</v>
      </c>
      <c r="SJJ64" s="44">
        <f t="shared" si="336"/>
        <v>0</v>
      </c>
      <c r="SJK64" s="44">
        <f t="shared" si="336"/>
        <v>0</v>
      </c>
      <c r="SJL64" s="44">
        <f t="shared" si="336"/>
        <v>0</v>
      </c>
      <c r="SJM64" s="44">
        <f t="shared" si="336"/>
        <v>0</v>
      </c>
      <c r="SJN64" s="44">
        <f t="shared" si="336"/>
        <v>0</v>
      </c>
      <c r="SJO64" s="44">
        <f t="shared" si="336"/>
        <v>0</v>
      </c>
      <c r="SJP64" s="44">
        <f t="shared" si="336"/>
        <v>0</v>
      </c>
      <c r="SJQ64" s="44">
        <f t="shared" si="336"/>
        <v>0</v>
      </c>
      <c r="SJR64" s="44">
        <f t="shared" si="336"/>
        <v>0</v>
      </c>
      <c r="SJS64" s="44">
        <f t="shared" si="336"/>
        <v>0</v>
      </c>
      <c r="SJT64" s="44">
        <f t="shared" si="336"/>
        <v>0</v>
      </c>
      <c r="SJU64" s="44">
        <f t="shared" si="336"/>
        <v>0</v>
      </c>
      <c r="SJV64" s="44">
        <f t="shared" si="336"/>
        <v>0</v>
      </c>
      <c r="SJW64" s="44">
        <f t="shared" si="336"/>
        <v>0</v>
      </c>
      <c r="SJX64" s="44">
        <f t="shared" si="336"/>
        <v>0</v>
      </c>
      <c r="SJY64" s="44">
        <f t="shared" si="336"/>
        <v>0</v>
      </c>
      <c r="SJZ64" s="44">
        <f t="shared" si="336"/>
        <v>0</v>
      </c>
      <c r="SKA64" s="44">
        <f t="shared" si="336"/>
        <v>0</v>
      </c>
      <c r="SKB64" s="44">
        <f t="shared" si="336"/>
        <v>0</v>
      </c>
      <c r="SKC64" s="44">
        <f t="shared" si="336"/>
        <v>0</v>
      </c>
      <c r="SKD64" s="44">
        <f t="shared" si="336"/>
        <v>0</v>
      </c>
      <c r="SKE64" s="44">
        <f t="shared" si="336"/>
        <v>0</v>
      </c>
      <c r="SKF64" s="44">
        <f t="shared" si="336"/>
        <v>0</v>
      </c>
      <c r="SKG64" s="44">
        <f t="shared" si="336"/>
        <v>0</v>
      </c>
      <c r="SKH64" s="44">
        <f t="shared" si="336"/>
        <v>0</v>
      </c>
      <c r="SKI64" s="44">
        <f t="shared" si="336"/>
        <v>0</v>
      </c>
      <c r="SKJ64" s="44">
        <f t="shared" si="336"/>
        <v>0</v>
      </c>
      <c r="SKK64" s="44">
        <f t="shared" si="336"/>
        <v>0</v>
      </c>
      <c r="SKL64" s="44">
        <f t="shared" ref="SKL64:SMW64" si="337">SUM(SKL56:SKL57)</f>
        <v>0</v>
      </c>
      <c r="SKM64" s="44">
        <f t="shared" si="337"/>
        <v>0</v>
      </c>
      <c r="SKN64" s="44">
        <f t="shared" si="337"/>
        <v>0</v>
      </c>
      <c r="SKO64" s="44">
        <f t="shared" si="337"/>
        <v>0</v>
      </c>
      <c r="SKP64" s="44">
        <f t="shared" si="337"/>
        <v>0</v>
      </c>
      <c r="SKQ64" s="44">
        <f t="shared" si="337"/>
        <v>0</v>
      </c>
      <c r="SKR64" s="44">
        <f t="shared" si="337"/>
        <v>0</v>
      </c>
      <c r="SKS64" s="44">
        <f t="shared" si="337"/>
        <v>0</v>
      </c>
      <c r="SKT64" s="44">
        <f t="shared" si="337"/>
        <v>0</v>
      </c>
      <c r="SKU64" s="44">
        <f t="shared" si="337"/>
        <v>0</v>
      </c>
      <c r="SKV64" s="44">
        <f t="shared" si="337"/>
        <v>0</v>
      </c>
      <c r="SKW64" s="44">
        <f t="shared" si="337"/>
        <v>0</v>
      </c>
      <c r="SKX64" s="44">
        <f t="shared" si="337"/>
        <v>0</v>
      </c>
      <c r="SKY64" s="44">
        <f t="shared" si="337"/>
        <v>0</v>
      </c>
      <c r="SKZ64" s="44">
        <f t="shared" si="337"/>
        <v>0</v>
      </c>
      <c r="SLA64" s="44">
        <f t="shared" si="337"/>
        <v>0</v>
      </c>
      <c r="SLB64" s="44">
        <f t="shared" si="337"/>
        <v>0</v>
      </c>
      <c r="SLC64" s="44">
        <f t="shared" si="337"/>
        <v>0</v>
      </c>
      <c r="SLD64" s="44">
        <f t="shared" si="337"/>
        <v>0</v>
      </c>
      <c r="SLE64" s="44">
        <f t="shared" si="337"/>
        <v>0</v>
      </c>
      <c r="SLF64" s="44">
        <f t="shared" si="337"/>
        <v>0</v>
      </c>
      <c r="SLG64" s="44">
        <f t="shared" si="337"/>
        <v>0</v>
      </c>
      <c r="SLH64" s="44">
        <f t="shared" si="337"/>
        <v>0</v>
      </c>
      <c r="SLI64" s="44">
        <f t="shared" si="337"/>
        <v>0</v>
      </c>
      <c r="SLJ64" s="44">
        <f t="shared" si="337"/>
        <v>0</v>
      </c>
      <c r="SLK64" s="44">
        <f t="shared" si="337"/>
        <v>0</v>
      </c>
      <c r="SLL64" s="44">
        <f t="shared" si="337"/>
        <v>0</v>
      </c>
      <c r="SLM64" s="44">
        <f t="shared" si="337"/>
        <v>0</v>
      </c>
      <c r="SLN64" s="44">
        <f t="shared" si="337"/>
        <v>0</v>
      </c>
      <c r="SLO64" s="44">
        <f t="shared" si="337"/>
        <v>0</v>
      </c>
      <c r="SLP64" s="44">
        <f t="shared" si="337"/>
        <v>0</v>
      </c>
      <c r="SLQ64" s="44">
        <f t="shared" si="337"/>
        <v>0</v>
      </c>
      <c r="SLR64" s="44">
        <f t="shared" si="337"/>
        <v>0</v>
      </c>
      <c r="SLS64" s="44">
        <f t="shared" si="337"/>
        <v>0</v>
      </c>
      <c r="SLT64" s="44">
        <f t="shared" si="337"/>
        <v>0</v>
      </c>
      <c r="SLU64" s="44">
        <f t="shared" si="337"/>
        <v>0</v>
      </c>
      <c r="SLV64" s="44">
        <f t="shared" si="337"/>
        <v>0</v>
      </c>
      <c r="SLW64" s="44">
        <f t="shared" si="337"/>
        <v>0</v>
      </c>
      <c r="SLX64" s="44">
        <f t="shared" si="337"/>
        <v>0</v>
      </c>
      <c r="SLY64" s="44">
        <f t="shared" si="337"/>
        <v>0</v>
      </c>
      <c r="SLZ64" s="44">
        <f t="shared" si="337"/>
        <v>0</v>
      </c>
      <c r="SMA64" s="44">
        <f t="shared" si="337"/>
        <v>0</v>
      </c>
      <c r="SMB64" s="44">
        <f t="shared" si="337"/>
        <v>0</v>
      </c>
      <c r="SMC64" s="44">
        <f t="shared" si="337"/>
        <v>0</v>
      </c>
      <c r="SMD64" s="44">
        <f t="shared" si="337"/>
        <v>0</v>
      </c>
      <c r="SME64" s="44">
        <f t="shared" si="337"/>
        <v>0</v>
      </c>
      <c r="SMF64" s="44">
        <f t="shared" si="337"/>
        <v>0</v>
      </c>
      <c r="SMG64" s="44">
        <f t="shared" si="337"/>
        <v>0</v>
      </c>
      <c r="SMH64" s="44">
        <f t="shared" si="337"/>
        <v>0</v>
      </c>
      <c r="SMI64" s="44">
        <f t="shared" si="337"/>
        <v>0</v>
      </c>
      <c r="SMJ64" s="44">
        <f t="shared" si="337"/>
        <v>0</v>
      </c>
      <c r="SMK64" s="44">
        <f t="shared" si="337"/>
        <v>0</v>
      </c>
      <c r="SML64" s="44">
        <f t="shared" si="337"/>
        <v>0</v>
      </c>
      <c r="SMM64" s="44">
        <f t="shared" si="337"/>
        <v>0</v>
      </c>
      <c r="SMN64" s="44">
        <f t="shared" si="337"/>
        <v>0</v>
      </c>
      <c r="SMO64" s="44">
        <f t="shared" si="337"/>
        <v>0</v>
      </c>
      <c r="SMP64" s="44">
        <f t="shared" si="337"/>
        <v>0</v>
      </c>
      <c r="SMQ64" s="44">
        <f t="shared" si="337"/>
        <v>0</v>
      </c>
      <c r="SMR64" s="44">
        <f t="shared" si="337"/>
        <v>0</v>
      </c>
      <c r="SMS64" s="44">
        <f t="shared" si="337"/>
        <v>0</v>
      </c>
      <c r="SMT64" s="44">
        <f t="shared" si="337"/>
        <v>0</v>
      </c>
      <c r="SMU64" s="44">
        <f t="shared" si="337"/>
        <v>0</v>
      </c>
      <c r="SMV64" s="44">
        <f t="shared" si="337"/>
        <v>0</v>
      </c>
      <c r="SMW64" s="44">
        <f t="shared" si="337"/>
        <v>0</v>
      </c>
      <c r="SMX64" s="44">
        <f t="shared" ref="SMX64:SPI64" si="338">SUM(SMX56:SMX57)</f>
        <v>0</v>
      </c>
      <c r="SMY64" s="44">
        <f t="shared" si="338"/>
        <v>0</v>
      </c>
      <c r="SMZ64" s="44">
        <f t="shared" si="338"/>
        <v>0</v>
      </c>
      <c r="SNA64" s="44">
        <f t="shared" si="338"/>
        <v>0</v>
      </c>
      <c r="SNB64" s="44">
        <f t="shared" si="338"/>
        <v>0</v>
      </c>
      <c r="SNC64" s="44">
        <f t="shared" si="338"/>
        <v>0</v>
      </c>
      <c r="SND64" s="44">
        <f t="shared" si="338"/>
        <v>0</v>
      </c>
      <c r="SNE64" s="44">
        <f t="shared" si="338"/>
        <v>0</v>
      </c>
      <c r="SNF64" s="44">
        <f t="shared" si="338"/>
        <v>0</v>
      </c>
      <c r="SNG64" s="44">
        <f t="shared" si="338"/>
        <v>0</v>
      </c>
      <c r="SNH64" s="44">
        <f t="shared" si="338"/>
        <v>0</v>
      </c>
      <c r="SNI64" s="44">
        <f t="shared" si="338"/>
        <v>0</v>
      </c>
      <c r="SNJ64" s="44">
        <f t="shared" si="338"/>
        <v>0</v>
      </c>
      <c r="SNK64" s="44">
        <f t="shared" si="338"/>
        <v>0</v>
      </c>
      <c r="SNL64" s="44">
        <f t="shared" si="338"/>
        <v>0</v>
      </c>
      <c r="SNM64" s="44">
        <f t="shared" si="338"/>
        <v>0</v>
      </c>
      <c r="SNN64" s="44">
        <f t="shared" si="338"/>
        <v>0</v>
      </c>
      <c r="SNO64" s="44">
        <f t="shared" si="338"/>
        <v>0</v>
      </c>
      <c r="SNP64" s="44">
        <f t="shared" si="338"/>
        <v>0</v>
      </c>
      <c r="SNQ64" s="44">
        <f t="shared" si="338"/>
        <v>0</v>
      </c>
      <c r="SNR64" s="44">
        <f t="shared" si="338"/>
        <v>0</v>
      </c>
      <c r="SNS64" s="44">
        <f t="shared" si="338"/>
        <v>0</v>
      </c>
      <c r="SNT64" s="44">
        <f t="shared" si="338"/>
        <v>0</v>
      </c>
      <c r="SNU64" s="44">
        <f t="shared" si="338"/>
        <v>0</v>
      </c>
      <c r="SNV64" s="44">
        <f t="shared" si="338"/>
        <v>0</v>
      </c>
      <c r="SNW64" s="44">
        <f t="shared" si="338"/>
        <v>0</v>
      </c>
      <c r="SNX64" s="44">
        <f t="shared" si="338"/>
        <v>0</v>
      </c>
      <c r="SNY64" s="44">
        <f t="shared" si="338"/>
        <v>0</v>
      </c>
      <c r="SNZ64" s="44">
        <f t="shared" si="338"/>
        <v>0</v>
      </c>
      <c r="SOA64" s="44">
        <f t="shared" si="338"/>
        <v>0</v>
      </c>
      <c r="SOB64" s="44">
        <f t="shared" si="338"/>
        <v>0</v>
      </c>
      <c r="SOC64" s="44">
        <f t="shared" si="338"/>
        <v>0</v>
      </c>
      <c r="SOD64" s="44">
        <f t="shared" si="338"/>
        <v>0</v>
      </c>
      <c r="SOE64" s="44">
        <f t="shared" si="338"/>
        <v>0</v>
      </c>
      <c r="SOF64" s="44">
        <f t="shared" si="338"/>
        <v>0</v>
      </c>
      <c r="SOG64" s="44">
        <f t="shared" si="338"/>
        <v>0</v>
      </c>
      <c r="SOH64" s="44">
        <f t="shared" si="338"/>
        <v>0</v>
      </c>
      <c r="SOI64" s="44">
        <f t="shared" si="338"/>
        <v>0</v>
      </c>
      <c r="SOJ64" s="44">
        <f t="shared" si="338"/>
        <v>0</v>
      </c>
      <c r="SOK64" s="44">
        <f t="shared" si="338"/>
        <v>0</v>
      </c>
      <c r="SOL64" s="44">
        <f t="shared" si="338"/>
        <v>0</v>
      </c>
      <c r="SOM64" s="44">
        <f t="shared" si="338"/>
        <v>0</v>
      </c>
      <c r="SON64" s="44">
        <f t="shared" si="338"/>
        <v>0</v>
      </c>
      <c r="SOO64" s="44">
        <f t="shared" si="338"/>
        <v>0</v>
      </c>
      <c r="SOP64" s="44">
        <f t="shared" si="338"/>
        <v>0</v>
      </c>
      <c r="SOQ64" s="44">
        <f t="shared" si="338"/>
        <v>0</v>
      </c>
      <c r="SOR64" s="44">
        <f t="shared" si="338"/>
        <v>0</v>
      </c>
      <c r="SOS64" s="44">
        <f t="shared" si="338"/>
        <v>0</v>
      </c>
      <c r="SOT64" s="44">
        <f t="shared" si="338"/>
        <v>0</v>
      </c>
      <c r="SOU64" s="44">
        <f t="shared" si="338"/>
        <v>0</v>
      </c>
      <c r="SOV64" s="44">
        <f t="shared" si="338"/>
        <v>0</v>
      </c>
      <c r="SOW64" s="44">
        <f t="shared" si="338"/>
        <v>0</v>
      </c>
      <c r="SOX64" s="44">
        <f t="shared" si="338"/>
        <v>0</v>
      </c>
      <c r="SOY64" s="44">
        <f t="shared" si="338"/>
        <v>0</v>
      </c>
      <c r="SOZ64" s="44">
        <f t="shared" si="338"/>
        <v>0</v>
      </c>
      <c r="SPA64" s="44">
        <f t="shared" si="338"/>
        <v>0</v>
      </c>
      <c r="SPB64" s="44">
        <f t="shared" si="338"/>
        <v>0</v>
      </c>
      <c r="SPC64" s="44">
        <f t="shared" si="338"/>
        <v>0</v>
      </c>
      <c r="SPD64" s="44">
        <f t="shared" si="338"/>
        <v>0</v>
      </c>
      <c r="SPE64" s="44">
        <f t="shared" si="338"/>
        <v>0</v>
      </c>
      <c r="SPF64" s="44">
        <f t="shared" si="338"/>
        <v>0</v>
      </c>
      <c r="SPG64" s="44">
        <f t="shared" si="338"/>
        <v>0</v>
      </c>
      <c r="SPH64" s="44">
        <f t="shared" si="338"/>
        <v>0</v>
      </c>
      <c r="SPI64" s="44">
        <f t="shared" si="338"/>
        <v>0</v>
      </c>
      <c r="SPJ64" s="44">
        <f t="shared" ref="SPJ64:SRU64" si="339">SUM(SPJ56:SPJ57)</f>
        <v>0</v>
      </c>
      <c r="SPK64" s="44">
        <f t="shared" si="339"/>
        <v>0</v>
      </c>
      <c r="SPL64" s="44">
        <f t="shared" si="339"/>
        <v>0</v>
      </c>
      <c r="SPM64" s="44">
        <f t="shared" si="339"/>
        <v>0</v>
      </c>
      <c r="SPN64" s="44">
        <f t="shared" si="339"/>
        <v>0</v>
      </c>
      <c r="SPO64" s="44">
        <f t="shared" si="339"/>
        <v>0</v>
      </c>
      <c r="SPP64" s="44">
        <f t="shared" si="339"/>
        <v>0</v>
      </c>
      <c r="SPQ64" s="44">
        <f t="shared" si="339"/>
        <v>0</v>
      </c>
      <c r="SPR64" s="44">
        <f t="shared" si="339"/>
        <v>0</v>
      </c>
      <c r="SPS64" s="44">
        <f t="shared" si="339"/>
        <v>0</v>
      </c>
      <c r="SPT64" s="44">
        <f t="shared" si="339"/>
        <v>0</v>
      </c>
      <c r="SPU64" s="44">
        <f t="shared" si="339"/>
        <v>0</v>
      </c>
      <c r="SPV64" s="44">
        <f t="shared" si="339"/>
        <v>0</v>
      </c>
      <c r="SPW64" s="44">
        <f t="shared" si="339"/>
        <v>0</v>
      </c>
      <c r="SPX64" s="44">
        <f t="shared" si="339"/>
        <v>0</v>
      </c>
      <c r="SPY64" s="44">
        <f t="shared" si="339"/>
        <v>0</v>
      </c>
      <c r="SPZ64" s="44">
        <f t="shared" si="339"/>
        <v>0</v>
      </c>
      <c r="SQA64" s="44">
        <f t="shared" si="339"/>
        <v>0</v>
      </c>
      <c r="SQB64" s="44">
        <f t="shared" si="339"/>
        <v>0</v>
      </c>
      <c r="SQC64" s="44">
        <f t="shared" si="339"/>
        <v>0</v>
      </c>
      <c r="SQD64" s="44">
        <f t="shared" si="339"/>
        <v>0</v>
      </c>
      <c r="SQE64" s="44">
        <f t="shared" si="339"/>
        <v>0</v>
      </c>
      <c r="SQF64" s="44">
        <f t="shared" si="339"/>
        <v>0</v>
      </c>
      <c r="SQG64" s="44">
        <f t="shared" si="339"/>
        <v>0</v>
      </c>
      <c r="SQH64" s="44">
        <f t="shared" si="339"/>
        <v>0</v>
      </c>
      <c r="SQI64" s="44">
        <f t="shared" si="339"/>
        <v>0</v>
      </c>
      <c r="SQJ64" s="44">
        <f t="shared" si="339"/>
        <v>0</v>
      </c>
      <c r="SQK64" s="44">
        <f t="shared" si="339"/>
        <v>0</v>
      </c>
      <c r="SQL64" s="44">
        <f t="shared" si="339"/>
        <v>0</v>
      </c>
      <c r="SQM64" s="44">
        <f t="shared" si="339"/>
        <v>0</v>
      </c>
      <c r="SQN64" s="44">
        <f t="shared" si="339"/>
        <v>0</v>
      </c>
      <c r="SQO64" s="44">
        <f t="shared" si="339"/>
        <v>0</v>
      </c>
      <c r="SQP64" s="44">
        <f t="shared" si="339"/>
        <v>0</v>
      </c>
      <c r="SQQ64" s="44">
        <f t="shared" si="339"/>
        <v>0</v>
      </c>
      <c r="SQR64" s="44">
        <f t="shared" si="339"/>
        <v>0</v>
      </c>
      <c r="SQS64" s="44">
        <f t="shared" si="339"/>
        <v>0</v>
      </c>
      <c r="SQT64" s="44">
        <f t="shared" si="339"/>
        <v>0</v>
      </c>
      <c r="SQU64" s="44">
        <f t="shared" si="339"/>
        <v>0</v>
      </c>
      <c r="SQV64" s="44">
        <f t="shared" si="339"/>
        <v>0</v>
      </c>
      <c r="SQW64" s="44">
        <f t="shared" si="339"/>
        <v>0</v>
      </c>
      <c r="SQX64" s="44">
        <f t="shared" si="339"/>
        <v>0</v>
      </c>
      <c r="SQY64" s="44">
        <f t="shared" si="339"/>
        <v>0</v>
      </c>
      <c r="SQZ64" s="44">
        <f t="shared" si="339"/>
        <v>0</v>
      </c>
      <c r="SRA64" s="44">
        <f t="shared" si="339"/>
        <v>0</v>
      </c>
      <c r="SRB64" s="44">
        <f t="shared" si="339"/>
        <v>0</v>
      </c>
      <c r="SRC64" s="44">
        <f t="shared" si="339"/>
        <v>0</v>
      </c>
      <c r="SRD64" s="44">
        <f t="shared" si="339"/>
        <v>0</v>
      </c>
      <c r="SRE64" s="44">
        <f t="shared" si="339"/>
        <v>0</v>
      </c>
      <c r="SRF64" s="44">
        <f t="shared" si="339"/>
        <v>0</v>
      </c>
      <c r="SRG64" s="44">
        <f t="shared" si="339"/>
        <v>0</v>
      </c>
      <c r="SRH64" s="44">
        <f t="shared" si="339"/>
        <v>0</v>
      </c>
      <c r="SRI64" s="44">
        <f t="shared" si="339"/>
        <v>0</v>
      </c>
      <c r="SRJ64" s="44">
        <f t="shared" si="339"/>
        <v>0</v>
      </c>
      <c r="SRK64" s="44">
        <f t="shared" si="339"/>
        <v>0</v>
      </c>
      <c r="SRL64" s="44">
        <f t="shared" si="339"/>
        <v>0</v>
      </c>
      <c r="SRM64" s="44">
        <f t="shared" si="339"/>
        <v>0</v>
      </c>
      <c r="SRN64" s="44">
        <f t="shared" si="339"/>
        <v>0</v>
      </c>
      <c r="SRO64" s="44">
        <f t="shared" si="339"/>
        <v>0</v>
      </c>
      <c r="SRP64" s="44">
        <f t="shared" si="339"/>
        <v>0</v>
      </c>
      <c r="SRQ64" s="44">
        <f t="shared" si="339"/>
        <v>0</v>
      </c>
      <c r="SRR64" s="44">
        <f t="shared" si="339"/>
        <v>0</v>
      </c>
      <c r="SRS64" s="44">
        <f t="shared" si="339"/>
        <v>0</v>
      </c>
      <c r="SRT64" s="44">
        <f t="shared" si="339"/>
        <v>0</v>
      </c>
      <c r="SRU64" s="44">
        <f t="shared" si="339"/>
        <v>0</v>
      </c>
      <c r="SRV64" s="44">
        <f t="shared" ref="SRV64:SUG64" si="340">SUM(SRV56:SRV57)</f>
        <v>0</v>
      </c>
      <c r="SRW64" s="44">
        <f t="shared" si="340"/>
        <v>0</v>
      </c>
      <c r="SRX64" s="44">
        <f t="shared" si="340"/>
        <v>0</v>
      </c>
      <c r="SRY64" s="44">
        <f t="shared" si="340"/>
        <v>0</v>
      </c>
      <c r="SRZ64" s="44">
        <f t="shared" si="340"/>
        <v>0</v>
      </c>
      <c r="SSA64" s="44">
        <f t="shared" si="340"/>
        <v>0</v>
      </c>
      <c r="SSB64" s="44">
        <f t="shared" si="340"/>
        <v>0</v>
      </c>
      <c r="SSC64" s="44">
        <f t="shared" si="340"/>
        <v>0</v>
      </c>
      <c r="SSD64" s="44">
        <f t="shared" si="340"/>
        <v>0</v>
      </c>
      <c r="SSE64" s="44">
        <f t="shared" si="340"/>
        <v>0</v>
      </c>
      <c r="SSF64" s="44">
        <f t="shared" si="340"/>
        <v>0</v>
      </c>
      <c r="SSG64" s="44">
        <f t="shared" si="340"/>
        <v>0</v>
      </c>
      <c r="SSH64" s="44">
        <f t="shared" si="340"/>
        <v>0</v>
      </c>
      <c r="SSI64" s="44">
        <f t="shared" si="340"/>
        <v>0</v>
      </c>
      <c r="SSJ64" s="44">
        <f t="shared" si="340"/>
        <v>0</v>
      </c>
      <c r="SSK64" s="44">
        <f t="shared" si="340"/>
        <v>0</v>
      </c>
      <c r="SSL64" s="44">
        <f t="shared" si="340"/>
        <v>0</v>
      </c>
      <c r="SSM64" s="44">
        <f t="shared" si="340"/>
        <v>0</v>
      </c>
      <c r="SSN64" s="44">
        <f t="shared" si="340"/>
        <v>0</v>
      </c>
      <c r="SSO64" s="44">
        <f t="shared" si="340"/>
        <v>0</v>
      </c>
      <c r="SSP64" s="44">
        <f t="shared" si="340"/>
        <v>0</v>
      </c>
      <c r="SSQ64" s="44">
        <f t="shared" si="340"/>
        <v>0</v>
      </c>
      <c r="SSR64" s="44">
        <f t="shared" si="340"/>
        <v>0</v>
      </c>
      <c r="SSS64" s="44">
        <f t="shared" si="340"/>
        <v>0</v>
      </c>
      <c r="SST64" s="44">
        <f t="shared" si="340"/>
        <v>0</v>
      </c>
      <c r="SSU64" s="44">
        <f t="shared" si="340"/>
        <v>0</v>
      </c>
      <c r="SSV64" s="44">
        <f t="shared" si="340"/>
        <v>0</v>
      </c>
      <c r="SSW64" s="44">
        <f t="shared" si="340"/>
        <v>0</v>
      </c>
      <c r="SSX64" s="44">
        <f t="shared" si="340"/>
        <v>0</v>
      </c>
      <c r="SSY64" s="44">
        <f t="shared" si="340"/>
        <v>0</v>
      </c>
      <c r="SSZ64" s="44">
        <f t="shared" si="340"/>
        <v>0</v>
      </c>
      <c r="STA64" s="44">
        <f t="shared" si="340"/>
        <v>0</v>
      </c>
      <c r="STB64" s="44">
        <f t="shared" si="340"/>
        <v>0</v>
      </c>
      <c r="STC64" s="44">
        <f t="shared" si="340"/>
        <v>0</v>
      </c>
      <c r="STD64" s="44">
        <f t="shared" si="340"/>
        <v>0</v>
      </c>
      <c r="STE64" s="44">
        <f t="shared" si="340"/>
        <v>0</v>
      </c>
      <c r="STF64" s="44">
        <f t="shared" si="340"/>
        <v>0</v>
      </c>
      <c r="STG64" s="44">
        <f t="shared" si="340"/>
        <v>0</v>
      </c>
      <c r="STH64" s="44">
        <f t="shared" si="340"/>
        <v>0</v>
      </c>
      <c r="STI64" s="44">
        <f t="shared" si="340"/>
        <v>0</v>
      </c>
      <c r="STJ64" s="44">
        <f t="shared" si="340"/>
        <v>0</v>
      </c>
      <c r="STK64" s="44">
        <f t="shared" si="340"/>
        <v>0</v>
      </c>
      <c r="STL64" s="44">
        <f t="shared" si="340"/>
        <v>0</v>
      </c>
      <c r="STM64" s="44">
        <f t="shared" si="340"/>
        <v>0</v>
      </c>
      <c r="STN64" s="44">
        <f t="shared" si="340"/>
        <v>0</v>
      </c>
      <c r="STO64" s="44">
        <f t="shared" si="340"/>
        <v>0</v>
      </c>
      <c r="STP64" s="44">
        <f t="shared" si="340"/>
        <v>0</v>
      </c>
      <c r="STQ64" s="44">
        <f t="shared" si="340"/>
        <v>0</v>
      </c>
      <c r="STR64" s="44">
        <f t="shared" si="340"/>
        <v>0</v>
      </c>
      <c r="STS64" s="44">
        <f t="shared" si="340"/>
        <v>0</v>
      </c>
      <c r="STT64" s="44">
        <f t="shared" si="340"/>
        <v>0</v>
      </c>
      <c r="STU64" s="44">
        <f t="shared" si="340"/>
        <v>0</v>
      </c>
      <c r="STV64" s="44">
        <f t="shared" si="340"/>
        <v>0</v>
      </c>
      <c r="STW64" s="44">
        <f t="shared" si="340"/>
        <v>0</v>
      </c>
      <c r="STX64" s="44">
        <f t="shared" si="340"/>
        <v>0</v>
      </c>
      <c r="STY64" s="44">
        <f t="shared" si="340"/>
        <v>0</v>
      </c>
      <c r="STZ64" s="44">
        <f t="shared" si="340"/>
        <v>0</v>
      </c>
      <c r="SUA64" s="44">
        <f t="shared" si="340"/>
        <v>0</v>
      </c>
      <c r="SUB64" s="44">
        <f t="shared" si="340"/>
        <v>0</v>
      </c>
      <c r="SUC64" s="44">
        <f t="shared" si="340"/>
        <v>0</v>
      </c>
      <c r="SUD64" s="44">
        <f t="shared" si="340"/>
        <v>0</v>
      </c>
      <c r="SUE64" s="44">
        <f t="shared" si="340"/>
        <v>0</v>
      </c>
      <c r="SUF64" s="44">
        <f t="shared" si="340"/>
        <v>0</v>
      </c>
      <c r="SUG64" s="44">
        <f t="shared" si="340"/>
        <v>0</v>
      </c>
      <c r="SUH64" s="44">
        <f t="shared" ref="SUH64:SWS64" si="341">SUM(SUH56:SUH57)</f>
        <v>0</v>
      </c>
      <c r="SUI64" s="44">
        <f t="shared" si="341"/>
        <v>0</v>
      </c>
      <c r="SUJ64" s="44">
        <f t="shared" si="341"/>
        <v>0</v>
      </c>
      <c r="SUK64" s="44">
        <f t="shared" si="341"/>
        <v>0</v>
      </c>
      <c r="SUL64" s="44">
        <f t="shared" si="341"/>
        <v>0</v>
      </c>
      <c r="SUM64" s="44">
        <f t="shared" si="341"/>
        <v>0</v>
      </c>
      <c r="SUN64" s="44">
        <f t="shared" si="341"/>
        <v>0</v>
      </c>
      <c r="SUO64" s="44">
        <f t="shared" si="341"/>
        <v>0</v>
      </c>
      <c r="SUP64" s="44">
        <f t="shared" si="341"/>
        <v>0</v>
      </c>
      <c r="SUQ64" s="44">
        <f t="shared" si="341"/>
        <v>0</v>
      </c>
      <c r="SUR64" s="44">
        <f t="shared" si="341"/>
        <v>0</v>
      </c>
      <c r="SUS64" s="44">
        <f t="shared" si="341"/>
        <v>0</v>
      </c>
      <c r="SUT64" s="44">
        <f t="shared" si="341"/>
        <v>0</v>
      </c>
      <c r="SUU64" s="44">
        <f t="shared" si="341"/>
        <v>0</v>
      </c>
      <c r="SUV64" s="44">
        <f t="shared" si="341"/>
        <v>0</v>
      </c>
      <c r="SUW64" s="44">
        <f t="shared" si="341"/>
        <v>0</v>
      </c>
      <c r="SUX64" s="44">
        <f t="shared" si="341"/>
        <v>0</v>
      </c>
      <c r="SUY64" s="44">
        <f t="shared" si="341"/>
        <v>0</v>
      </c>
      <c r="SUZ64" s="44">
        <f t="shared" si="341"/>
        <v>0</v>
      </c>
      <c r="SVA64" s="44">
        <f t="shared" si="341"/>
        <v>0</v>
      </c>
      <c r="SVB64" s="44">
        <f t="shared" si="341"/>
        <v>0</v>
      </c>
      <c r="SVC64" s="44">
        <f t="shared" si="341"/>
        <v>0</v>
      </c>
      <c r="SVD64" s="44">
        <f t="shared" si="341"/>
        <v>0</v>
      </c>
      <c r="SVE64" s="44">
        <f t="shared" si="341"/>
        <v>0</v>
      </c>
      <c r="SVF64" s="44">
        <f t="shared" si="341"/>
        <v>0</v>
      </c>
      <c r="SVG64" s="44">
        <f t="shared" si="341"/>
        <v>0</v>
      </c>
      <c r="SVH64" s="44">
        <f t="shared" si="341"/>
        <v>0</v>
      </c>
      <c r="SVI64" s="44">
        <f t="shared" si="341"/>
        <v>0</v>
      </c>
      <c r="SVJ64" s="44">
        <f t="shared" si="341"/>
        <v>0</v>
      </c>
      <c r="SVK64" s="44">
        <f t="shared" si="341"/>
        <v>0</v>
      </c>
      <c r="SVL64" s="44">
        <f t="shared" si="341"/>
        <v>0</v>
      </c>
      <c r="SVM64" s="44">
        <f t="shared" si="341"/>
        <v>0</v>
      </c>
      <c r="SVN64" s="44">
        <f t="shared" si="341"/>
        <v>0</v>
      </c>
      <c r="SVO64" s="44">
        <f t="shared" si="341"/>
        <v>0</v>
      </c>
      <c r="SVP64" s="44">
        <f t="shared" si="341"/>
        <v>0</v>
      </c>
      <c r="SVQ64" s="44">
        <f t="shared" si="341"/>
        <v>0</v>
      </c>
      <c r="SVR64" s="44">
        <f t="shared" si="341"/>
        <v>0</v>
      </c>
      <c r="SVS64" s="44">
        <f t="shared" si="341"/>
        <v>0</v>
      </c>
      <c r="SVT64" s="44">
        <f t="shared" si="341"/>
        <v>0</v>
      </c>
      <c r="SVU64" s="44">
        <f t="shared" si="341"/>
        <v>0</v>
      </c>
      <c r="SVV64" s="44">
        <f t="shared" si="341"/>
        <v>0</v>
      </c>
      <c r="SVW64" s="44">
        <f t="shared" si="341"/>
        <v>0</v>
      </c>
      <c r="SVX64" s="44">
        <f t="shared" si="341"/>
        <v>0</v>
      </c>
      <c r="SVY64" s="44">
        <f t="shared" si="341"/>
        <v>0</v>
      </c>
      <c r="SVZ64" s="44">
        <f t="shared" si="341"/>
        <v>0</v>
      </c>
      <c r="SWA64" s="44">
        <f t="shared" si="341"/>
        <v>0</v>
      </c>
      <c r="SWB64" s="44">
        <f t="shared" si="341"/>
        <v>0</v>
      </c>
      <c r="SWC64" s="44">
        <f t="shared" si="341"/>
        <v>0</v>
      </c>
      <c r="SWD64" s="44">
        <f t="shared" si="341"/>
        <v>0</v>
      </c>
      <c r="SWE64" s="44">
        <f t="shared" si="341"/>
        <v>0</v>
      </c>
      <c r="SWF64" s="44">
        <f t="shared" si="341"/>
        <v>0</v>
      </c>
      <c r="SWG64" s="44">
        <f t="shared" si="341"/>
        <v>0</v>
      </c>
      <c r="SWH64" s="44">
        <f t="shared" si="341"/>
        <v>0</v>
      </c>
      <c r="SWI64" s="44">
        <f t="shared" si="341"/>
        <v>0</v>
      </c>
      <c r="SWJ64" s="44">
        <f t="shared" si="341"/>
        <v>0</v>
      </c>
      <c r="SWK64" s="44">
        <f t="shared" si="341"/>
        <v>0</v>
      </c>
      <c r="SWL64" s="44">
        <f t="shared" si="341"/>
        <v>0</v>
      </c>
      <c r="SWM64" s="44">
        <f t="shared" si="341"/>
        <v>0</v>
      </c>
      <c r="SWN64" s="44">
        <f t="shared" si="341"/>
        <v>0</v>
      </c>
      <c r="SWO64" s="44">
        <f t="shared" si="341"/>
        <v>0</v>
      </c>
      <c r="SWP64" s="44">
        <f t="shared" si="341"/>
        <v>0</v>
      </c>
      <c r="SWQ64" s="44">
        <f t="shared" si="341"/>
        <v>0</v>
      </c>
      <c r="SWR64" s="44">
        <f t="shared" si="341"/>
        <v>0</v>
      </c>
      <c r="SWS64" s="44">
        <f t="shared" si="341"/>
        <v>0</v>
      </c>
      <c r="SWT64" s="44">
        <f t="shared" ref="SWT64:SZE64" si="342">SUM(SWT56:SWT57)</f>
        <v>0</v>
      </c>
      <c r="SWU64" s="44">
        <f t="shared" si="342"/>
        <v>0</v>
      </c>
      <c r="SWV64" s="44">
        <f t="shared" si="342"/>
        <v>0</v>
      </c>
      <c r="SWW64" s="44">
        <f t="shared" si="342"/>
        <v>0</v>
      </c>
      <c r="SWX64" s="44">
        <f t="shared" si="342"/>
        <v>0</v>
      </c>
      <c r="SWY64" s="44">
        <f t="shared" si="342"/>
        <v>0</v>
      </c>
      <c r="SWZ64" s="44">
        <f t="shared" si="342"/>
        <v>0</v>
      </c>
      <c r="SXA64" s="44">
        <f t="shared" si="342"/>
        <v>0</v>
      </c>
      <c r="SXB64" s="44">
        <f t="shared" si="342"/>
        <v>0</v>
      </c>
      <c r="SXC64" s="44">
        <f t="shared" si="342"/>
        <v>0</v>
      </c>
      <c r="SXD64" s="44">
        <f t="shared" si="342"/>
        <v>0</v>
      </c>
      <c r="SXE64" s="44">
        <f t="shared" si="342"/>
        <v>0</v>
      </c>
      <c r="SXF64" s="44">
        <f t="shared" si="342"/>
        <v>0</v>
      </c>
      <c r="SXG64" s="44">
        <f t="shared" si="342"/>
        <v>0</v>
      </c>
      <c r="SXH64" s="44">
        <f t="shared" si="342"/>
        <v>0</v>
      </c>
      <c r="SXI64" s="44">
        <f t="shared" si="342"/>
        <v>0</v>
      </c>
      <c r="SXJ64" s="44">
        <f t="shared" si="342"/>
        <v>0</v>
      </c>
      <c r="SXK64" s="44">
        <f t="shared" si="342"/>
        <v>0</v>
      </c>
      <c r="SXL64" s="44">
        <f t="shared" si="342"/>
        <v>0</v>
      </c>
      <c r="SXM64" s="44">
        <f t="shared" si="342"/>
        <v>0</v>
      </c>
      <c r="SXN64" s="44">
        <f t="shared" si="342"/>
        <v>0</v>
      </c>
      <c r="SXO64" s="44">
        <f t="shared" si="342"/>
        <v>0</v>
      </c>
      <c r="SXP64" s="44">
        <f t="shared" si="342"/>
        <v>0</v>
      </c>
      <c r="SXQ64" s="44">
        <f t="shared" si="342"/>
        <v>0</v>
      </c>
      <c r="SXR64" s="44">
        <f t="shared" si="342"/>
        <v>0</v>
      </c>
      <c r="SXS64" s="44">
        <f t="shared" si="342"/>
        <v>0</v>
      </c>
      <c r="SXT64" s="44">
        <f t="shared" si="342"/>
        <v>0</v>
      </c>
      <c r="SXU64" s="44">
        <f t="shared" si="342"/>
        <v>0</v>
      </c>
      <c r="SXV64" s="44">
        <f t="shared" si="342"/>
        <v>0</v>
      </c>
      <c r="SXW64" s="44">
        <f t="shared" si="342"/>
        <v>0</v>
      </c>
      <c r="SXX64" s="44">
        <f t="shared" si="342"/>
        <v>0</v>
      </c>
      <c r="SXY64" s="44">
        <f t="shared" si="342"/>
        <v>0</v>
      </c>
      <c r="SXZ64" s="44">
        <f t="shared" si="342"/>
        <v>0</v>
      </c>
      <c r="SYA64" s="44">
        <f t="shared" si="342"/>
        <v>0</v>
      </c>
      <c r="SYB64" s="44">
        <f t="shared" si="342"/>
        <v>0</v>
      </c>
      <c r="SYC64" s="44">
        <f t="shared" si="342"/>
        <v>0</v>
      </c>
      <c r="SYD64" s="44">
        <f t="shared" si="342"/>
        <v>0</v>
      </c>
      <c r="SYE64" s="44">
        <f t="shared" si="342"/>
        <v>0</v>
      </c>
      <c r="SYF64" s="44">
        <f t="shared" si="342"/>
        <v>0</v>
      </c>
      <c r="SYG64" s="44">
        <f t="shared" si="342"/>
        <v>0</v>
      </c>
      <c r="SYH64" s="44">
        <f t="shared" si="342"/>
        <v>0</v>
      </c>
      <c r="SYI64" s="44">
        <f t="shared" si="342"/>
        <v>0</v>
      </c>
      <c r="SYJ64" s="44">
        <f t="shared" si="342"/>
        <v>0</v>
      </c>
      <c r="SYK64" s="44">
        <f t="shared" si="342"/>
        <v>0</v>
      </c>
      <c r="SYL64" s="44">
        <f t="shared" si="342"/>
        <v>0</v>
      </c>
      <c r="SYM64" s="44">
        <f t="shared" si="342"/>
        <v>0</v>
      </c>
      <c r="SYN64" s="44">
        <f t="shared" si="342"/>
        <v>0</v>
      </c>
      <c r="SYO64" s="44">
        <f t="shared" si="342"/>
        <v>0</v>
      </c>
      <c r="SYP64" s="44">
        <f t="shared" si="342"/>
        <v>0</v>
      </c>
      <c r="SYQ64" s="44">
        <f t="shared" si="342"/>
        <v>0</v>
      </c>
      <c r="SYR64" s="44">
        <f t="shared" si="342"/>
        <v>0</v>
      </c>
      <c r="SYS64" s="44">
        <f t="shared" si="342"/>
        <v>0</v>
      </c>
      <c r="SYT64" s="44">
        <f t="shared" si="342"/>
        <v>0</v>
      </c>
      <c r="SYU64" s="44">
        <f t="shared" si="342"/>
        <v>0</v>
      </c>
      <c r="SYV64" s="44">
        <f t="shared" si="342"/>
        <v>0</v>
      </c>
      <c r="SYW64" s="44">
        <f t="shared" si="342"/>
        <v>0</v>
      </c>
      <c r="SYX64" s="44">
        <f t="shared" si="342"/>
        <v>0</v>
      </c>
      <c r="SYY64" s="44">
        <f t="shared" si="342"/>
        <v>0</v>
      </c>
      <c r="SYZ64" s="44">
        <f t="shared" si="342"/>
        <v>0</v>
      </c>
      <c r="SZA64" s="44">
        <f t="shared" si="342"/>
        <v>0</v>
      </c>
      <c r="SZB64" s="44">
        <f t="shared" si="342"/>
        <v>0</v>
      </c>
      <c r="SZC64" s="44">
        <f t="shared" si="342"/>
        <v>0</v>
      </c>
      <c r="SZD64" s="44">
        <f t="shared" si="342"/>
        <v>0</v>
      </c>
      <c r="SZE64" s="44">
        <f t="shared" si="342"/>
        <v>0</v>
      </c>
      <c r="SZF64" s="44">
        <f t="shared" ref="SZF64:TBQ64" si="343">SUM(SZF56:SZF57)</f>
        <v>0</v>
      </c>
      <c r="SZG64" s="44">
        <f t="shared" si="343"/>
        <v>0</v>
      </c>
      <c r="SZH64" s="44">
        <f t="shared" si="343"/>
        <v>0</v>
      </c>
      <c r="SZI64" s="44">
        <f t="shared" si="343"/>
        <v>0</v>
      </c>
      <c r="SZJ64" s="44">
        <f t="shared" si="343"/>
        <v>0</v>
      </c>
      <c r="SZK64" s="44">
        <f t="shared" si="343"/>
        <v>0</v>
      </c>
      <c r="SZL64" s="44">
        <f t="shared" si="343"/>
        <v>0</v>
      </c>
      <c r="SZM64" s="44">
        <f t="shared" si="343"/>
        <v>0</v>
      </c>
      <c r="SZN64" s="44">
        <f t="shared" si="343"/>
        <v>0</v>
      </c>
      <c r="SZO64" s="44">
        <f t="shared" si="343"/>
        <v>0</v>
      </c>
      <c r="SZP64" s="44">
        <f t="shared" si="343"/>
        <v>0</v>
      </c>
      <c r="SZQ64" s="44">
        <f t="shared" si="343"/>
        <v>0</v>
      </c>
      <c r="SZR64" s="44">
        <f t="shared" si="343"/>
        <v>0</v>
      </c>
      <c r="SZS64" s="44">
        <f t="shared" si="343"/>
        <v>0</v>
      </c>
      <c r="SZT64" s="44">
        <f t="shared" si="343"/>
        <v>0</v>
      </c>
      <c r="SZU64" s="44">
        <f t="shared" si="343"/>
        <v>0</v>
      </c>
      <c r="SZV64" s="44">
        <f t="shared" si="343"/>
        <v>0</v>
      </c>
      <c r="SZW64" s="44">
        <f t="shared" si="343"/>
        <v>0</v>
      </c>
      <c r="SZX64" s="44">
        <f t="shared" si="343"/>
        <v>0</v>
      </c>
      <c r="SZY64" s="44">
        <f t="shared" si="343"/>
        <v>0</v>
      </c>
      <c r="SZZ64" s="44">
        <f t="shared" si="343"/>
        <v>0</v>
      </c>
      <c r="TAA64" s="44">
        <f t="shared" si="343"/>
        <v>0</v>
      </c>
      <c r="TAB64" s="44">
        <f t="shared" si="343"/>
        <v>0</v>
      </c>
      <c r="TAC64" s="44">
        <f t="shared" si="343"/>
        <v>0</v>
      </c>
      <c r="TAD64" s="44">
        <f t="shared" si="343"/>
        <v>0</v>
      </c>
      <c r="TAE64" s="44">
        <f t="shared" si="343"/>
        <v>0</v>
      </c>
      <c r="TAF64" s="44">
        <f t="shared" si="343"/>
        <v>0</v>
      </c>
      <c r="TAG64" s="44">
        <f t="shared" si="343"/>
        <v>0</v>
      </c>
      <c r="TAH64" s="44">
        <f t="shared" si="343"/>
        <v>0</v>
      </c>
      <c r="TAI64" s="44">
        <f t="shared" si="343"/>
        <v>0</v>
      </c>
      <c r="TAJ64" s="44">
        <f t="shared" si="343"/>
        <v>0</v>
      </c>
      <c r="TAK64" s="44">
        <f t="shared" si="343"/>
        <v>0</v>
      </c>
      <c r="TAL64" s="44">
        <f t="shared" si="343"/>
        <v>0</v>
      </c>
      <c r="TAM64" s="44">
        <f t="shared" si="343"/>
        <v>0</v>
      </c>
      <c r="TAN64" s="44">
        <f t="shared" si="343"/>
        <v>0</v>
      </c>
      <c r="TAO64" s="44">
        <f t="shared" si="343"/>
        <v>0</v>
      </c>
      <c r="TAP64" s="44">
        <f t="shared" si="343"/>
        <v>0</v>
      </c>
      <c r="TAQ64" s="44">
        <f t="shared" si="343"/>
        <v>0</v>
      </c>
      <c r="TAR64" s="44">
        <f t="shared" si="343"/>
        <v>0</v>
      </c>
      <c r="TAS64" s="44">
        <f t="shared" si="343"/>
        <v>0</v>
      </c>
      <c r="TAT64" s="44">
        <f t="shared" si="343"/>
        <v>0</v>
      </c>
      <c r="TAU64" s="44">
        <f t="shared" si="343"/>
        <v>0</v>
      </c>
      <c r="TAV64" s="44">
        <f t="shared" si="343"/>
        <v>0</v>
      </c>
      <c r="TAW64" s="44">
        <f t="shared" si="343"/>
        <v>0</v>
      </c>
      <c r="TAX64" s="44">
        <f t="shared" si="343"/>
        <v>0</v>
      </c>
      <c r="TAY64" s="44">
        <f t="shared" si="343"/>
        <v>0</v>
      </c>
      <c r="TAZ64" s="44">
        <f t="shared" si="343"/>
        <v>0</v>
      </c>
      <c r="TBA64" s="44">
        <f t="shared" si="343"/>
        <v>0</v>
      </c>
      <c r="TBB64" s="44">
        <f t="shared" si="343"/>
        <v>0</v>
      </c>
      <c r="TBC64" s="44">
        <f t="shared" si="343"/>
        <v>0</v>
      </c>
      <c r="TBD64" s="44">
        <f t="shared" si="343"/>
        <v>0</v>
      </c>
      <c r="TBE64" s="44">
        <f t="shared" si="343"/>
        <v>0</v>
      </c>
      <c r="TBF64" s="44">
        <f t="shared" si="343"/>
        <v>0</v>
      </c>
      <c r="TBG64" s="44">
        <f t="shared" si="343"/>
        <v>0</v>
      </c>
      <c r="TBH64" s="44">
        <f t="shared" si="343"/>
        <v>0</v>
      </c>
      <c r="TBI64" s="44">
        <f t="shared" si="343"/>
        <v>0</v>
      </c>
      <c r="TBJ64" s="44">
        <f t="shared" si="343"/>
        <v>0</v>
      </c>
      <c r="TBK64" s="44">
        <f t="shared" si="343"/>
        <v>0</v>
      </c>
      <c r="TBL64" s="44">
        <f t="shared" si="343"/>
        <v>0</v>
      </c>
      <c r="TBM64" s="44">
        <f t="shared" si="343"/>
        <v>0</v>
      </c>
      <c r="TBN64" s="44">
        <f t="shared" si="343"/>
        <v>0</v>
      </c>
      <c r="TBO64" s="44">
        <f t="shared" si="343"/>
        <v>0</v>
      </c>
      <c r="TBP64" s="44">
        <f t="shared" si="343"/>
        <v>0</v>
      </c>
      <c r="TBQ64" s="44">
        <f t="shared" si="343"/>
        <v>0</v>
      </c>
      <c r="TBR64" s="44">
        <f t="shared" ref="TBR64:TEC64" si="344">SUM(TBR56:TBR57)</f>
        <v>0</v>
      </c>
      <c r="TBS64" s="44">
        <f t="shared" si="344"/>
        <v>0</v>
      </c>
      <c r="TBT64" s="44">
        <f t="shared" si="344"/>
        <v>0</v>
      </c>
      <c r="TBU64" s="44">
        <f t="shared" si="344"/>
        <v>0</v>
      </c>
      <c r="TBV64" s="44">
        <f t="shared" si="344"/>
        <v>0</v>
      </c>
      <c r="TBW64" s="44">
        <f t="shared" si="344"/>
        <v>0</v>
      </c>
      <c r="TBX64" s="44">
        <f t="shared" si="344"/>
        <v>0</v>
      </c>
      <c r="TBY64" s="44">
        <f t="shared" si="344"/>
        <v>0</v>
      </c>
      <c r="TBZ64" s="44">
        <f t="shared" si="344"/>
        <v>0</v>
      </c>
      <c r="TCA64" s="44">
        <f t="shared" si="344"/>
        <v>0</v>
      </c>
      <c r="TCB64" s="44">
        <f t="shared" si="344"/>
        <v>0</v>
      </c>
      <c r="TCC64" s="44">
        <f t="shared" si="344"/>
        <v>0</v>
      </c>
      <c r="TCD64" s="44">
        <f t="shared" si="344"/>
        <v>0</v>
      </c>
      <c r="TCE64" s="44">
        <f t="shared" si="344"/>
        <v>0</v>
      </c>
      <c r="TCF64" s="44">
        <f t="shared" si="344"/>
        <v>0</v>
      </c>
      <c r="TCG64" s="44">
        <f t="shared" si="344"/>
        <v>0</v>
      </c>
      <c r="TCH64" s="44">
        <f t="shared" si="344"/>
        <v>0</v>
      </c>
      <c r="TCI64" s="44">
        <f t="shared" si="344"/>
        <v>0</v>
      </c>
      <c r="TCJ64" s="44">
        <f t="shared" si="344"/>
        <v>0</v>
      </c>
      <c r="TCK64" s="44">
        <f t="shared" si="344"/>
        <v>0</v>
      </c>
      <c r="TCL64" s="44">
        <f t="shared" si="344"/>
        <v>0</v>
      </c>
      <c r="TCM64" s="44">
        <f t="shared" si="344"/>
        <v>0</v>
      </c>
      <c r="TCN64" s="44">
        <f t="shared" si="344"/>
        <v>0</v>
      </c>
      <c r="TCO64" s="44">
        <f t="shared" si="344"/>
        <v>0</v>
      </c>
      <c r="TCP64" s="44">
        <f t="shared" si="344"/>
        <v>0</v>
      </c>
      <c r="TCQ64" s="44">
        <f t="shared" si="344"/>
        <v>0</v>
      </c>
      <c r="TCR64" s="44">
        <f t="shared" si="344"/>
        <v>0</v>
      </c>
      <c r="TCS64" s="44">
        <f t="shared" si="344"/>
        <v>0</v>
      </c>
      <c r="TCT64" s="44">
        <f t="shared" si="344"/>
        <v>0</v>
      </c>
      <c r="TCU64" s="44">
        <f t="shared" si="344"/>
        <v>0</v>
      </c>
      <c r="TCV64" s="44">
        <f t="shared" si="344"/>
        <v>0</v>
      </c>
      <c r="TCW64" s="44">
        <f t="shared" si="344"/>
        <v>0</v>
      </c>
      <c r="TCX64" s="44">
        <f t="shared" si="344"/>
        <v>0</v>
      </c>
      <c r="TCY64" s="44">
        <f t="shared" si="344"/>
        <v>0</v>
      </c>
      <c r="TCZ64" s="44">
        <f t="shared" si="344"/>
        <v>0</v>
      </c>
      <c r="TDA64" s="44">
        <f t="shared" si="344"/>
        <v>0</v>
      </c>
      <c r="TDB64" s="44">
        <f t="shared" si="344"/>
        <v>0</v>
      </c>
      <c r="TDC64" s="44">
        <f t="shared" si="344"/>
        <v>0</v>
      </c>
      <c r="TDD64" s="44">
        <f t="shared" si="344"/>
        <v>0</v>
      </c>
      <c r="TDE64" s="44">
        <f t="shared" si="344"/>
        <v>0</v>
      </c>
      <c r="TDF64" s="44">
        <f t="shared" si="344"/>
        <v>0</v>
      </c>
      <c r="TDG64" s="44">
        <f t="shared" si="344"/>
        <v>0</v>
      </c>
      <c r="TDH64" s="44">
        <f t="shared" si="344"/>
        <v>0</v>
      </c>
      <c r="TDI64" s="44">
        <f t="shared" si="344"/>
        <v>0</v>
      </c>
      <c r="TDJ64" s="44">
        <f t="shared" si="344"/>
        <v>0</v>
      </c>
      <c r="TDK64" s="44">
        <f t="shared" si="344"/>
        <v>0</v>
      </c>
      <c r="TDL64" s="44">
        <f t="shared" si="344"/>
        <v>0</v>
      </c>
      <c r="TDM64" s="44">
        <f t="shared" si="344"/>
        <v>0</v>
      </c>
      <c r="TDN64" s="44">
        <f t="shared" si="344"/>
        <v>0</v>
      </c>
      <c r="TDO64" s="44">
        <f t="shared" si="344"/>
        <v>0</v>
      </c>
      <c r="TDP64" s="44">
        <f t="shared" si="344"/>
        <v>0</v>
      </c>
      <c r="TDQ64" s="44">
        <f t="shared" si="344"/>
        <v>0</v>
      </c>
      <c r="TDR64" s="44">
        <f t="shared" si="344"/>
        <v>0</v>
      </c>
      <c r="TDS64" s="44">
        <f t="shared" si="344"/>
        <v>0</v>
      </c>
      <c r="TDT64" s="44">
        <f t="shared" si="344"/>
        <v>0</v>
      </c>
      <c r="TDU64" s="44">
        <f t="shared" si="344"/>
        <v>0</v>
      </c>
      <c r="TDV64" s="44">
        <f t="shared" si="344"/>
        <v>0</v>
      </c>
      <c r="TDW64" s="44">
        <f t="shared" si="344"/>
        <v>0</v>
      </c>
      <c r="TDX64" s="44">
        <f t="shared" si="344"/>
        <v>0</v>
      </c>
      <c r="TDY64" s="44">
        <f t="shared" si="344"/>
        <v>0</v>
      </c>
      <c r="TDZ64" s="44">
        <f t="shared" si="344"/>
        <v>0</v>
      </c>
      <c r="TEA64" s="44">
        <f t="shared" si="344"/>
        <v>0</v>
      </c>
      <c r="TEB64" s="44">
        <f t="shared" si="344"/>
        <v>0</v>
      </c>
      <c r="TEC64" s="44">
        <f t="shared" si="344"/>
        <v>0</v>
      </c>
      <c r="TED64" s="44">
        <f t="shared" ref="TED64:TGO64" si="345">SUM(TED56:TED57)</f>
        <v>0</v>
      </c>
      <c r="TEE64" s="44">
        <f t="shared" si="345"/>
        <v>0</v>
      </c>
      <c r="TEF64" s="44">
        <f t="shared" si="345"/>
        <v>0</v>
      </c>
      <c r="TEG64" s="44">
        <f t="shared" si="345"/>
        <v>0</v>
      </c>
      <c r="TEH64" s="44">
        <f t="shared" si="345"/>
        <v>0</v>
      </c>
      <c r="TEI64" s="44">
        <f t="shared" si="345"/>
        <v>0</v>
      </c>
      <c r="TEJ64" s="44">
        <f t="shared" si="345"/>
        <v>0</v>
      </c>
      <c r="TEK64" s="44">
        <f t="shared" si="345"/>
        <v>0</v>
      </c>
      <c r="TEL64" s="44">
        <f t="shared" si="345"/>
        <v>0</v>
      </c>
      <c r="TEM64" s="44">
        <f t="shared" si="345"/>
        <v>0</v>
      </c>
      <c r="TEN64" s="44">
        <f t="shared" si="345"/>
        <v>0</v>
      </c>
      <c r="TEO64" s="44">
        <f t="shared" si="345"/>
        <v>0</v>
      </c>
      <c r="TEP64" s="44">
        <f t="shared" si="345"/>
        <v>0</v>
      </c>
      <c r="TEQ64" s="44">
        <f t="shared" si="345"/>
        <v>0</v>
      </c>
      <c r="TER64" s="44">
        <f t="shared" si="345"/>
        <v>0</v>
      </c>
      <c r="TES64" s="44">
        <f t="shared" si="345"/>
        <v>0</v>
      </c>
      <c r="TET64" s="44">
        <f t="shared" si="345"/>
        <v>0</v>
      </c>
      <c r="TEU64" s="44">
        <f t="shared" si="345"/>
        <v>0</v>
      </c>
      <c r="TEV64" s="44">
        <f t="shared" si="345"/>
        <v>0</v>
      </c>
      <c r="TEW64" s="44">
        <f t="shared" si="345"/>
        <v>0</v>
      </c>
      <c r="TEX64" s="44">
        <f t="shared" si="345"/>
        <v>0</v>
      </c>
      <c r="TEY64" s="44">
        <f t="shared" si="345"/>
        <v>0</v>
      </c>
      <c r="TEZ64" s="44">
        <f t="shared" si="345"/>
        <v>0</v>
      </c>
      <c r="TFA64" s="44">
        <f t="shared" si="345"/>
        <v>0</v>
      </c>
      <c r="TFB64" s="44">
        <f t="shared" si="345"/>
        <v>0</v>
      </c>
      <c r="TFC64" s="44">
        <f t="shared" si="345"/>
        <v>0</v>
      </c>
      <c r="TFD64" s="44">
        <f t="shared" si="345"/>
        <v>0</v>
      </c>
      <c r="TFE64" s="44">
        <f t="shared" si="345"/>
        <v>0</v>
      </c>
      <c r="TFF64" s="44">
        <f t="shared" si="345"/>
        <v>0</v>
      </c>
      <c r="TFG64" s="44">
        <f t="shared" si="345"/>
        <v>0</v>
      </c>
      <c r="TFH64" s="44">
        <f t="shared" si="345"/>
        <v>0</v>
      </c>
      <c r="TFI64" s="44">
        <f t="shared" si="345"/>
        <v>0</v>
      </c>
      <c r="TFJ64" s="44">
        <f t="shared" si="345"/>
        <v>0</v>
      </c>
      <c r="TFK64" s="44">
        <f t="shared" si="345"/>
        <v>0</v>
      </c>
      <c r="TFL64" s="44">
        <f t="shared" si="345"/>
        <v>0</v>
      </c>
      <c r="TFM64" s="44">
        <f t="shared" si="345"/>
        <v>0</v>
      </c>
      <c r="TFN64" s="44">
        <f t="shared" si="345"/>
        <v>0</v>
      </c>
      <c r="TFO64" s="44">
        <f t="shared" si="345"/>
        <v>0</v>
      </c>
      <c r="TFP64" s="44">
        <f t="shared" si="345"/>
        <v>0</v>
      </c>
      <c r="TFQ64" s="44">
        <f t="shared" si="345"/>
        <v>0</v>
      </c>
      <c r="TFR64" s="44">
        <f t="shared" si="345"/>
        <v>0</v>
      </c>
      <c r="TFS64" s="44">
        <f t="shared" si="345"/>
        <v>0</v>
      </c>
      <c r="TFT64" s="44">
        <f t="shared" si="345"/>
        <v>0</v>
      </c>
      <c r="TFU64" s="44">
        <f t="shared" si="345"/>
        <v>0</v>
      </c>
      <c r="TFV64" s="44">
        <f t="shared" si="345"/>
        <v>0</v>
      </c>
      <c r="TFW64" s="44">
        <f t="shared" si="345"/>
        <v>0</v>
      </c>
      <c r="TFX64" s="44">
        <f t="shared" si="345"/>
        <v>0</v>
      </c>
      <c r="TFY64" s="44">
        <f t="shared" si="345"/>
        <v>0</v>
      </c>
      <c r="TFZ64" s="44">
        <f t="shared" si="345"/>
        <v>0</v>
      </c>
      <c r="TGA64" s="44">
        <f t="shared" si="345"/>
        <v>0</v>
      </c>
      <c r="TGB64" s="44">
        <f t="shared" si="345"/>
        <v>0</v>
      </c>
      <c r="TGC64" s="44">
        <f t="shared" si="345"/>
        <v>0</v>
      </c>
      <c r="TGD64" s="44">
        <f t="shared" si="345"/>
        <v>0</v>
      </c>
      <c r="TGE64" s="44">
        <f t="shared" si="345"/>
        <v>0</v>
      </c>
      <c r="TGF64" s="44">
        <f t="shared" si="345"/>
        <v>0</v>
      </c>
      <c r="TGG64" s="44">
        <f t="shared" si="345"/>
        <v>0</v>
      </c>
      <c r="TGH64" s="44">
        <f t="shared" si="345"/>
        <v>0</v>
      </c>
      <c r="TGI64" s="44">
        <f t="shared" si="345"/>
        <v>0</v>
      </c>
      <c r="TGJ64" s="44">
        <f t="shared" si="345"/>
        <v>0</v>
      </c>
      <c r="TGK64" s="44">
        <f t="shared" si="345"/>
        <v>0</v>
      </c>
      <c r="TGL64" s="44">
        <f t="shared" si="345"/>
        <v>0</v>
      </c>
      <c r="TGM64" s="44">
        <f t="shared" si="345"/>
        <v>0</v>
      </c>
      <c r="TGN64" s="44">
        <f t="shared" si="345"/>
        <v>0</v>
      </c>
      <c r="TGO64" s="44">
        <f t="shared" si="345"/>
        <v>0</v>
      </c>
      <c r="TGP64" s="44">
        <f t="shared" ref="TGP64:TJA64" si="346">SUM(TGP56:TGP57)</f>
        <v>0</v>
      </c>
      <c r="TGQ64" s="44">
        <f t="shared" si="346"/>
        <v>0</v>
      </c>
      <c r="TGR64" s="44">
        <f t="shared" si="346"/>
        <v>0</v>
      </c>
      <c r="TGS64" s="44">
        <f t="shared" si="346"/>
        <v>0</v>
      </c>
      <c r="TGT64" s="44">
        <f t="shared" si="346"/>
        <v>0</v>
      </c>
      <c r="TGU64" s="44">
        <f t="shared" si="346"/>
        <v>0</v>
      </c>
      <c r="TGV64" s="44">
        <f t="shared" si="346"/>
        <v>0</v>
      </c>
      <c r="TGW64" s="44">
        <f t="shared" si="346"/>
        <v>0</v>
      </c>
      <c r="TGX64" s="44">
        <f t="shared" si="346"/>
        <v>0</v>
      </c>
      <c r="TGY64" s="44">
        <f t="shared" si="346"/>
        <v>0</v>
      </c>
      <c r="TGZ64" s="44">
        <f t="shared" si="346"/>
        <v>0</v>
      </c>
      <c r="THA64" s="44">
        <f t="shared" si="346"/>
        <v>0</v>
      </c>
      <c r="THB64" s="44">
        <f t="shared" si="346"/>
        <v>0</v>
      </c>
      <c r="THC64" s="44">
        <f t="shared" si="346"/>
        <v>0</v>
      </c>
      <c r="THD64" s="44">
        <f t="shared" si="346"/>
        <v>0</v>
      </c>
      <c r="THE64" s="44">
        <f t="shared" si="346"/>
        <v>0</v>
      </c>
      <c r="THF64" s="44">
        <f t="shared" si="346"/>
        <v>0</v>
      </c>
      <c r="THG64" s="44">
        <f t="shared" si="346"/>
        <v>0</v>
      </c>
      <c r="THH64" s="44">
        <f t="shared" si="346"/>
        <v>0</v>
      </c>
      <c r="THI64" s="44">
        <f t="shared" si="346"/>
        <v>0</v>
      </c>
      <c r="THJ64" s="44">
        <f t="shared" si="346"/>
        <v>0</v>
      </c>
      <c r="THK64" s="44">
        <f t="shared" si="346"/>
        <v>0</v>
      </c>
      <c r="THL64" s="44">
        <f t="shared" si="346"/>
        <v>0</v>
      </c>
      <c r="THM64" s="44">
        <f t="shared" si="346"/>
        <v>0</v>
      </c>
      <c r="THN64" s="44">
        <f t="shared" si="346"/>
        <v>0</v>
      </c>
      <c r="THO64" s="44">
        <f t="shared" si="346"/>
        <v>0</v>
      </c>
      <c r="THP64" s="44">
        <f t="shared" si="346"/>
        <v>0</v>
      </c>
      <c r="THQ64" s="44">
        <f t="shared" si="346"/>
        <v>0</v>
      </c>
      <c r="THR64" s="44">
        <f t="shared" si="346"/>
        <v>0</v>
      </c>
      <c r="THS64" s="44">
        <f t="shared" si="346"/>
        <v>0</v>
      </c>
      <c r="THT64" s="44">
        <f t="shared" si="346"/>
        <v>0</v>
      </c>
      <c r="THU64" s="44">
        <f t="shared" si="346"/>
        <v>0</v>
      </c>
      <c r="THV64" s="44">
        <f t="shared" si="346"/>
        <v>0</v>
      </c>
      <c r="THW64" s="44">
        <f t="shared" si="346"/>
        <v>0</v>
      </c>
      <c r="THX64" s="44">
        <f t="shared" si="346"/>
        <v>0</v>
      </c>
      <c r="THY64" s="44">
        <f t="shared" si="346"/>
        <v>0</v>
      </c>
      <c r="THZ64" s="44">
        <f t="shared" si="346"/>
        <v>0</v>
      </c>
      <c r="TIA64" s="44">
        <f t="shared" si="346"/>
        <v>0</v>
      </c>
      <c r="TIB64" s="44">
        <f t="shared" si="346"/>
        <v>0</v>
      </c>
      <c r="TIC64" s="44">
        <f t="shared" si="346"/>
        <v>0</v>
      </c>
      <c r="TID64" s="44">
        <f t="shared" si="346"/>
        <v>0</v>
      </c>
      <c r="TIE64" s="44">
        <f t="shared" si="346"/>
        <v>0</v>
      </c>
      <c r="TIF64" s="44">
        <f t="shared" si="346"/>
        <v>0</v>
      </c>
      <c r="TIG64" s="44">
        <f t="shared" si="346"/>
        <v>0</v>
      </c>
      <c r="TIH64" s="44">
        <f t="shared" si="346"/>
        <v>0</v>
      </c>
      <c r="TII64" s="44">
        <f t="shared" si="346"/>
        <v>0</v>
      </c>
      <c r="TIJ64" s="44">
        <f t="shared" si="346"/>
        <v>0</v>
      </c>
      <c r="TIK64" s="44">
        <f t="shared" si="346"/>
        <v>0</v>
      </c>
      <c r="TIL64" s="44">
        <f t="shared" si="346"/>
        <v>0</v>
      </c>
      <c r="TIM64" s="44">
        <f t="shared" si="346"/>
        <v>0</v>
      </c>
      <c r="TIN64" s="44">
        <f t="shared" si="346"/>
        <v>0</v>
      </c>
      <c r="TIO64" s="44">
        <f t="shared" si="346"/>
        <v>0</v>
      </c>
      <c r="TIP64" s="44">
        <f t="shared" si="346"/>
        <v>0</v>
      </c>
      <c r="TIQ64" s="44">
        <f t="shared" si="346"/>
        <v>0</v>
      </c>
      <c r="TIR64" s="44">
        <f t="shared" si="346"/>
        <v>0</v>
      </c>
      <c r="TIS64" s="44">
        <f t="shared" si="346"/>
        <v>0</v>
      </c>
      <c r="TIT64" s="44">
        <f t="shared" si="346"/>
        <v>0</v>
      </c>
      <c r="TIU64" s="44">
        <f t="shared" si="346"/>
        <v>0</v>
      </c>
      <c r="TIV64" s="44">
        <f t="shared" si="346"/>
        <v>0</v>
      </c>
      <c r="TIW64" s="44">
        <f t="shared" si="346"/>
        <v>0</v>
      </c>
      <c r="TIX64" s="44">
        <f t="shared" si="346"/>
        <v>0</v>
      </c>
      <c r="TIY64" s="44">
        <f t="shared" si="346"/>
        <v>0</v>
      </c>
      <c r="TIZ64" s="44">
        <f t="shared" si="346"/>
        <v>0</v>
      </c>
      <c r="TJA64" s="44">
        <f t="shared" si="346"/>
        <v>0</v>
      </c>
      <c r="TJB64" s="44">
        <f t="shared" ref="TJB64:TLM64" si="347">SUM(TJB56:TJB57)</f>
        <v>0</v>
      </c>
      <c r="TJC64" s="44">
        <f t="shared" si="347"/>
        <v>0</v>
      </c>
      <c r="TJD64" s="44">
        <f t="shared" si="347"/>
        <v>0</v>
      </c>
      <c r="TJE64" s="44">
        <f t="shared" si="347"/>
        <v>0</v>
      </c>
      <c r="TJF64" s="44">
        <f t="shared" si="347"/>
        <v>0</v>
      </c>
      <c r="TJG64" s="44">
        <f t="shared" si="347"/>
        <v>0</v>
      </c>
      <c r="TJH64" s="44">
        <f t="shared" si="347"/>
        <v>0</v>
      </c>
      <c r="TJI64" s="44">
        <f t="shared" si="347"/>
        <v>0</v>
      </c>
      <c r="TJJ64" s="44">
        <f t="shared" si="347"/>
        <v>0</v>
      </c>
      <c r="TJK64" s="44">
        <f t="shared" si="347"/>
        <v>0</v>
      </c>
      <c r="TJL64" s="44">
        <f t="shared" si="347"/>
        <v>0</v>
      </c>
      <c r="TJM64" s="44">
        <f t="shared" si="347"/>
        <v>0</v>
      </c>
      <c r="TJN64" s="44">
        <f t="shared" si="347"/>
        <v>0</v>
      </c>
      <c r="TJO64" s="44">
        <f t="shared" si="347"/>
        <v>0</v>
      </c>
      <c r="TJP64" s="44">
        <f t="shared" si="347"/>
        <v>0</v>
      </c>
      <c r="TJQ64" s="44">
        <f t="shared" si="347"/>
        <v>0</v>
      </c>
      <c r="TJR64" s="44">
        <f t="shared" si="347"/>
        <v>0</v>
      </c>
      <c r="TJS64" s="44">
        <f t="shared" si="347"/>
        <v>0</v>
      </c>
      <c r="TJT64" s="44">
        <f t="shared" si="347"/>
        <v>0</v>
      </c>
      <c r="TJU64" s="44">
        <f t="shared" si="347"/>
        <v>0</v>
      </c>
      <c r="TJV64" s="44">
        <f t="shared" si="347"/>
        <v>0</v>
      </c>
      <c r="TJW64" s="44">
        <f t="shared" si="347"/>
        <v>0</v>
      </c>
      <c r="TJX64" s="44">
        <f t="shared" si="347"/>
        <v>0</v>
      </c>
      <c r="TJY64" s="44">
        <f t="shared" si="347"/>
        <v>0</v>
      </c>
      <c r="TJZ64" s="44">
        <f t="shared" si="347"/>
        <v>0</v>
      </c>
      <c r="TKA64" s="44">
        <f t="shared" si="347"/>
        <v>0</v>
      </c>
      <c r="TKB64" s="44">
        <f t="shared" si="347"/>
        <v>0</v>
      </c>
      <c r="TKC64" s="44">
        <f t="shared" si="347"/>
        <v>0</v>
      </c>
      <c r="TKD64" s="44">
        <f t="shared" si="347"/>
        <v>0</v>
      </c>
      <c r="TKE64" s="44">
        <f t="shared" si="347"/>
        <v>0</v>
      </c>
      <c r="TKF64" s="44">
        <f t="shared" si="347"/>
        <v>0</v>
      </c>
      <c r="TKG64" s="44">
        <f t="shared" si="347"/>
        <v>0</v>
      </c>
      <c r="TKH64" s="44">
        <f t="shared" si="347"/>
        <v>0</v>
      </c>
      <c r="TKI64" s="44">
        <f t="shared" si="347"/>
        <v>0</v>
      </c>
      <c r="TKJ64" s="44">
        <f t="shared" si="347"/>
        <v>0</v>
      </c>
      <c r="TKK64" s="44">
        <f t="shared" si="347"/>
        <v>0</v>
      </c>
      <c r="TKL64" s="44">
        <f t="shared" si="347"/>
        <v>0</v>
      </c>
      <c r="TKM64" s="44">
        <f t="shared" si="347"/>
        <v>0</v>
      </c>
      <c r="TKN64" s="44">
        <f t="shared" si="347"/>
        <v>0</v>
      </c>
      <c r="TKO64" s="44">
        <f t="shared" si="347"/>
        <v>0</v>
      </c>
      <c r="TKP64" s="44">
        <f t="shared" si="347"/>
        <v>0</v>
      </c>
      <c r="TKQ64" s="44">
        <f t="shared" si="347"/>
        <v>0</v>
      </c>
      <c r="TKR64" s="44">
        <f t="shared" si="347"/>
        <v>0</v>
      </c>
      <c r="TKS64" s="44">
        <f t="shared" si="347"/>
        <v>0</v>
      </c>
      <c r="TKT64" s="44">
        <f t="shared" si="347"/>
        <v>0</v>
      </c>
      <c r="TKU64" s="44">
        <f t="shared" si="347"/>
        <v>0</v>
      </c>
      <c r="TKV64" s="44">
        <f t="shared" si="347"/>
        <v>0</v>
      </c>
      <c r="TKW64" s="44">
        <f t="shared" si="347"/>
        <v>0</v>
      </c>
      <c r="TKX64" s="44">
        <f t="shared" si="347"/>
        <v>0</v>
      </c>
      <c r="TKY64" s="44">
        <f t="shared" si="347"/>
        <v>0</v>
      </c>
      <c r="TKZ64" s="44">
        <f t="shared" si="347"/>
        <v>0</v>
      </c>
      <c r="TLA64" s="44">
        <f t="shared" si="347"/>
        <v>0</v>
      </c>
      <c r="TLB64" s="44">
        <f t="shared" si="347"/>
        <v>0</v>
      </c>
      <c r="TLC64" s="44">
        <f t="shared" si="347"/>
        <v>0</v>
      </c>
      <c r="TLD64" s="44">
        <f t="shared" si="347"/>
        <v>0</v>
      </c>
      <c r="TLE64" s="44">
        <f t="shared" si="347"/>
        <v>0</v>
      </c>
      <c r="TLF64" s="44">
        <f t="shared" si="347"/>
        <v>0</v>
      </c>
      <c r="TLG64" s="44">
        <f t="shared" si="347"/>
        <v>0</v>
      </c>
      <c r="TLH64" s="44">
        <f t="shared" si="347"/>
        <v>0</v>
      </c>
      <c r="TLI64" s="44">
        <f t="shared" si="347"/>
        <v>0</v>
      </c>
      <c r="TLJ64" s="44">
        <f t="shared" si="347"/>
        <v>0</v>
      </c>
      <c r="TLK64" s="44">
        <f t="shared" si="347"/>
        <v>0</v>
      </c>
      <c r="TLL64" s="44">
        <f t="shared" si="347"/>
        <v>0</v>
      </c>
      <c r="TLM64" s="44">
        <f t="shared" si="347"/>
        <v>0</v>
      </c>
      <c r="TLN64" s="44">
        <f t="shared" ref="TLN64:TNY64" si="348">SUM(TLN56:TLN57)</f>
        <v>0</v>
      </c>
      <c r="TLO64" s="44">
        <f t="shared" si="348"/>
        <v>0</v>
      </c>
      <c r="TLP64" s="44">
        <f t="shared" si="348"/>
        <v>0</v>
      </c>
      <c r="TLQ64" s="44">
        <f t="shared" si="348"/>
        <v>0</v>
      </c>
      <c r="TLR64" s="44">
        <f t="shared" si="348"/>
        <v>0</v>
      </c>
      <c r="TLS64" s="44">
        <f t="shared" si="348"/>
        <v>0</v>
      </c>
      <c r="TLT64" s="44">
        <f t="shared" si="348"/>
        <v>0</v>
      </c>
      <c r="TLU64" s="44">
        <f t="shared" si="348"/>
        <v>0</v>
      </c>
      <c r="TLV64" s="44">
        <f t="shared" si="348"/>
        <v>0</v>
      </c>
      <c r="TLW64" s="44">
        <f t="shared" si="348"/>
        <v>0</v>
      </c>
      <c r="TLX64" s="44">
        <f t="shared" si="348"/>
        <v>0</v>
      </c>
      <c r="TLY64" s="44">
        <f t="shared" si="348"/>
        <v>0</v>
      </c>
      <c r="TLZ64" s="44">
        <f t="shared" si="348"/>
        <v>0</v>
      </c>
      <c r="TMA64" s="44">
        <f t="shared" si="348"/>
        <v>0</v>
      </c>
      <c r="TMB64" s="44">
        <f t="shared" si="348"/>
        <v>0</v>
      </c>
      <c r="TMC64" s="44">
        <f t="shared" si="348"/>
        <v>0</v>
      </c>
      <c r="TMD64" s="44">
        <f t="shared" si="348"/>
        <v>0</v>
      </c>
      <c r="TME64" s="44">
        <f t="shared" si="348"/>
        <v>0</v>
      </c>
      <c r="TMF64" s="44">
        <f t="shared" si="348"/>
        <v>0</v>
      </c>
      <c r="TMG64" s="44">
        <f t="shared" si="348"/>
        <v>0</v>
      </c>
      <c r="TMH64" s="44">
        <f t="shared" si="348"/>
        <v>0</v>
      </c>
      <c r="TMI64" s="44">
        <f t="shared" si="348"/>
        <v>0</v>
      </c>
      <c r="TMJ64" s="44">
        <f t="shared" si="348"/>
        <v>0</v>
      </c>
      <c r="TMK64" s="44">
        <f t="shared" si="348"/>
        <v>0</v>
      </c>
      <c r="TML64" s="44">
        <f t="shared" si="348"/>
        <v>0</v>
      </c>
      <c r="TMM64" s="44">
        <f t="shared" si="348"/>
        <v>0</v>
      </c>
      <c r="TMN64" s="44">
        <f t="shared" si="348"/>
        <v>0</v>
      </c>
      <c r="TMO64" s="44">
        <f t="shared" si="348"/>
        <v>0</v>
      </c>
      <c r="TMP64" s="44">
        <f t="shared" si="348"/>
        <v>0</v>
      </c>
      <c r="TMQ64" s="44">
        <f t="shared" si="348"/>
        <v>0</v>
      </c>
      <c r="TMR64" s="44">
        <f t="shared" si="348"/>
        <v>0</v>
      </c>
      <c r="TMS64" s="44">
        <f t="shared" si="348"/>
        <v>0</v>
      </c>
      <c r="TMT64" s="44">
        <f t="shared" si="348"/>
        <v>0</v>
      </c>
      <c r="TMU64" s="44">
        <f t="shared" si="348"/>
        <v>0</v>
      </c>
      <c r="TMV64" s="44">
        <f t="shared" si="348"/>
        <v>0</v>
      </c>
      <c r="TMW64" s="44">
        <f t="shared" si="348"/>
        <v>0</v>
      </c>
      <c r="TMX64" s="44">
        <f t="shared" si="348"/>
        <v>0</v>
      </c>
      <c r="TMY64" s="44">
        <f t="shared" si="348"/>
        <v>0</v>
      </c>
      <c r="TMZ64" s="44">
        <f t="shared" si="348"/>
        <v>0</v>
      </c>
      <c r="TNA64" s="44">
        <f t="shared" si="348"/>
        <v>0</v>
      </c>
      <c r="TNB64" s="44">
        <f t="shared" si="348"/>
        <v>0</v>
      </c>
      <c r="TNC64" s="44">
        <f t="shared" si="348"/>
        <v>0</v>
      </c>
      <c r="TND64" s="44">
        <f t="shared" si="348"/>
        <v>0</v>
      </c>
      <c r="TNE64" s="44">
        <f t="shared" si="348"/>
        <v>0</v>
      </c>
      <c r="TNF64" s="44">
        <f t="shared" si="348"/>
        <v>0</v>
      </c>
      <c r="TNG64" s="44">
        <f t="shared" si="348"/>
        <v>0</v>
      </c>
      <c r="TNH64" s="44">
        <f t="shared" si="348"/>
        <v>0</v>
      </c>
      <c r="TNI64" s="44">
        <f t="shared" si="348"/>
        <v>0</v>
      </c>
      <c r="TNJ64" s="44">
        <f t="shared" si="348"/>
        <v>0</v>
      </c>
      <c r="TNK64" s="44">
        <f t="shared" si="348"/>
        <v>0</v>
      </c>
      <c r="TNL64" s="44">
        <f t="shared" si="348"/>
        <v>0</v>
      </c>
      <c r="TNM64" s="44">
        <f t="shared" si="348"/>
        <v>0</v>
      </c>
      <c r="TNN64" s="44">
        <f t="shared" si="348"/>
        <v>0</v>
      </c>
      <c r="TNO64" s="44">
        <f t="shared" si="348"/>
        <v>0</v>
      </c>
      <c r="TNP64" s="44">
        <f t="shared" si="348"/>
        <v>0</v>
      </c>
      <c r="TNQ64" s="44">
        <f t="shared" si="348"/>
        <v>0</v>
      </c>
      <c r="TNR64" s="44">
        <f t="shared" si="348"/>
        <v>0</v>
      </c>
      <c r="TNS64" s="44">
        <f t="shared" si="348"/>
        <v>0</v>
      </c>
      <c r="TNT64" s="44">
        <f t="shared" si="348"/>
        <v>0</v>
      </c>
      <c r="TNU64" s="44">
        <f t="shared" si="348"/>
        <v>0</v>
      </c>
      <c r="TNV64" s="44">
        <f t="shared" si="348"/>
        <v>0</v>
      </c>
      <c r="TNW64" s="44">
        <f t="shared" si="348"/>
        <v>0</v>
      </c>
      <c r="TNX64" s="44">
        <f t="shared" si="348"/>
        <v>0</v>
      </c>
      <c r="TNY64" s="44">
        <f t="shared" si="348"/>
        <v>0</v>
      </c>
      <c r="TNZ64" s="44">
        <f t="shared" ref="TNZ64:TQK64" si="349">SUM(TNZ56:TNZ57)</f>
        <v>0</v>
      </c>
      <c r="TOA64" s="44">
        <f t="shared" si="349"/>
        <v>0</v>
      </c>
      <c r="TOB64" s="44">
        <f t="shared" si="349"/>
        <v>0</v>
      </c>
      <c r="TOC64" s="44">
        <f t="shared" si="349"/>
        <v>0</v>
      </c>
      <c r="TOD64" s="44">
        <f t="shared" si="349"/>
        <v>0</v>
      </c>
      <c r="TOE64" s="44">
        <f t="shared" si="349"/>
        <v>0</v>
      </c>
      <c r="TOF64" s="44">
        <f t="shared" si="349"/>
        <v>0</v>
      </c>
      <c r="TOG64" s="44">
        <f t="shared" si="349"/>
        <v>0</v>
      </c>
      <c r="TOH64" s="44">
        <f t="shared" si="349"/>
        <v>0</v>
      </c>
      <c r="TOI64" s="44">
        <f t="shared" si="349"/>
        <v>0</v>
      </c>
      <c r="TOJ64" s="44">
        <f t="shared" si="349"/>
        <v>0</v>
      </c>
      <c r="TOK64" s="44">
        <f t="shared" si="349"/>
        <v>0</v>
      </c>
      <c r="TOL64" s="44">
        <f t="shared" si="349"/>
        <v>0</v>
      </c>
      <c r="TOM64" s="44">
        <f t="shared" si="349"/>
        <v>0</v>
      </c>
      <c r="TON64" s="44">
        <f t="shared" si="349"/>
        <v>0</v>
      </c>
      <c r="TOO64" s="44">
        <f t="shared" si="349"/>
        <v>0</v>
      </c>
      <c r="TOP64" s="44">
        <f t="shared" si="349"/>
        <v>0</v>
      </c>
      <c r="TOQ64" s="44">
        <f t="shared" si="349"/>
        <v>0</v>
      </c>
      <c r="TOR64" s="44">
        <f t="shared" si="349"/>
        <v>0</v>
      </c>
      <c r="TOS64" s="44">
        <f t="shared" si="349"/>
        <v>0</v>
      </c>
      <c r="TOT64" s="44">
        <f t="shared" si="349"/>
        <v>0</v>
      </c>
      <c r="TOU64" s="44">
        <f t="shared" si="349"/>
        <v>0</v>
      </c>
      <c r="TOV64" s="44">
        <f t="shared" si="349"/>
        <v>0</v>
      </c>
      <c r="TOW64" s="44">
        <f t="shared" si="349"/>
        <v>0</v>
      </c>
      <c r="TOX64" s="44">
        <f t="shared" si="349"/>
        <v>0</v>
      </c>
      <c r="TOY64" s="44">
        <f t="shared" si="349"/>
        <v>0</v>
      </c>
      <c r="TOZ64" s="44">
        <f t="shared" si="349"/>
        <v>0</v>
      </c>
      <c r="TPA64" s="44">
        <f t="shared" si="349"/>
        <v>0</v>
      </c>
      <c r="TPB64" s="44">
        <f t="shared" si="349"/>
        <v>0</v>
      </c>
      <c r="TPC64" s="44">
        <f t="shared" si="349"/>
        <v>0</v>
      </c>
      <c r="TPD64" s="44">
        <f t="shared" si="349"/>
        <v>0</v>
      </c>
      <c r="TPE64" s="44">
        <f t="shared" si="349"/>
        <v>0</v>
      </c>
      <c r="TPF64" s="44">
        <f t="shared" si="349"/>
        <v>0</v>
      </c>
      <c r="TPG64" s="44">
        <f t="shared" si="349"/>
        <v>0</v>
      </c>
      <c r="TPH64" s="44">
        <f t="shared" si="349"/>
        <v>0</v>
      </c>
      <c r="TPI64" s="44">
        <f t="shared" si="349"/>
        <v>0</v>
      </c>
      <c r="TPJ64" s="44">
        <f t="shared" si="349"/>
        <v>0</v>
      </c>
      <c r="TPK64" s="44">
        <f t="shared" si="349"/>
        <v>0</v>
      </c>
      <c r="TPL64" s="44">
        <f t="shared" si="349"/>
        <v>0</v>
      </c>
      <c r="TPM64" s="44">
        <f t="shared" si="349"/>
        <v>0</v>
      </c>
      <c r="TPN64" s="44">
        <f t="shared" si="349"/>
        <v>0</v>
      </c>
      <c r="TPO64" s="44">
        <f t="shared" si="349"/>
        <v>0</v>
      </c>
      <c r="TPP64" s="44">
        <f t="shared" si="349"/>
        <v>0</v>
      </c>
      <c r="TPQ64" s="44">
        <f t="shared" si="349"/>
        <v>0</v>
      </c>
      <c r="TPR64" s="44">
        <f t="shared" si="349"/>
        <v>0</v>
      </c>
      <c r="TPS64" s="44">
        <f t="shared" si="349"/>
        <v>0</v>
      </c>
      <c r="TPT64" s="44">
        <f t="shared" si="349"/>
        <v>0</v>
      </c>
      <c r="TPU64" s="44">
        <f t="shared" si="349"/>
        <v>0</v>
      </c>
      <c r="TPV64" s="44">
        <f t="shared" si="349"/>
        <v>0</v>
      </c>
      <c r="TPW64" s="44">
        <f t="shared" si="349"/>
        <v>0</v>
      </c>
      <c r="TPX64" s="44">
        <f t="shared" si="349"/>
        <v>0</v>
      </c>
      <c r="TPY64" s="44">
        <f t="shared" si="349"/>
        <v>0</v>
      </c>
      <c r="TPZ64" s="44">
        <f t="shared" si="349"/>
        <v>0</v>
      </c>
      <c r="TQA64" s="44">
        <f t="shared" si="349"/>
        <v>0</v>
      </c>
      <c r="TQB64" s="44">
        <f t="shared" si="349"/>
        <v>0</v>
      </c>
      <c r="TQC64" s="44">
        <f t="shared" si="349"/>
        <v>0</v>
      </c>
      <c r="TQD64" s="44">
        <f t="shared" si="349"/>
        <v>0</v>
      </c>
      <c r="TQE64" s="44">
        <f t="shared" si="349"/>
        <v>0</v>
      </c>
      <c r="TQF64" s="44">
        <f t="shared" si="349"/>
        <v>0</v>
      </c>
      <c r="TQG64" s="44">
        <f t="shared" si="349"/>
        <v>0</v>
      </c>
      <c r="TQH64" s="44">
        <f t="shared" si="349"/>
        <v>0</v>
      </c>
      <c r="TQI64" s="44">
        <f t="shared" si="349"/>
        <v>0</v>
      </c>
      <c r="TQJ64" s="44">
        <f t="shared" si="349"/>
        <v>0</v>
      </c>
      <c r="TQK64" s="44">
        <f t="shared" si="349"/>
        <v>0</v>
      </c>
      <c r="TQL64" s="44">
        <f t="shared" ref="TQL64:TSW64" si="350">SUM(TQL56:TQL57)</f>
        <v>0</v>
      </c>
      <c r="TQM64" s="44">
        <f t="shared" si="350"/>
        <v>0</v>
      </c>
      <c r="TQN64" s="44">
        <f t="shared" si="350"/>
        <v>0</v>
      </c>
      <c r="TQO64" s="44">
        <f t="shared" si="350"/>
        <v>0</v>
      </c>
      <c r="TQP64" s="44">
        <f t="shared" si="350"/>
        <v>0</v>
      </c>
      <c r="TQQ64" s="44">
        <f t="shared" si="350"/>
        <v>0</v>
      </c>
      <c r="TQR64" s="44">
        <f t="shared" si="350"/>
        <v>0</v>
      </c>
      <c r="TQS64" s="44">
        <f t="shared" si="350"/>
        <v>0</v>
      </c>
      <c r="TQT64" s="44">
        <f t="shared" si="350"/>
        <v>0</v>
      </c>
      <c r="TQU64" s="44">
        <f t="shared" si="350"/>
        <v>0</v>
      </c>
      <c r="TQV64" s="44">
        <f t="shared" si="350"/>
        <v>0</v>
      </c>
      <c r="TQW64" s="44">
        <f t="shared" si="350"/>
        <v>0</v>
      </c>
      <c r="TQX64" s="44">
        <f t="shared" si="350"/>
        <v>0</v>
      </c>
      <c r="TQY64" s="44">
        <f t="shared" si="350"/>
        <v>0</v>
      </c>
      <c r="TQZ64" s="44">
        <f t="shared" si="350"/>
        <v>0</v>
      </c>
      <c r="TRA64" s="44">
        <f t="shared" si="350"/>
        <v>0</v>
      </c>
      <c r="TRB64" s="44">
        <f t="shared" si="350"/>
        <v>0</v>
      </c>
      <c r="TRC64" s="44">
        <f t="shared" si="350"/>
        <v>0</v>
      </c>
      <c r="TRD64" s="44">
        <f t="shared" si="350"/>
        <v>0</v>
      </c>
      <c r="TRE64" s="44">
        <f t="shared" si="350"/>
        <v>0</v>
      </c>
      <c r="TRF64" s="44">
        <f t="shared" si="350"/>
        <v>0</v>
      </c>
      <c r="TRG64" s="44">
        <f t="shared" si="350"/>
        <v>0</v>
      </c>
      <c r="TRH64" s="44">
        <f t="shared" si="350"/>
        <v>0</v>
      </c>
      <c r="TRI64" s="44">
        <f t="shared" si="350"/>
        <v>0</v>
      </c>
      <c r="TRJ64" s="44">
        <f t="shared" si="350"/>
        <v>0</v>
      </c>
      <c r="TRK64" s="44">
        <f t="shared" si="350"/>
        <v>0</v>
      </c>
      <c r="TRL64" s="44">
        <f t="shared" si="350"/>
        <v>0</v>
      </c>
      <c r="TRM64" s="44">
        <f t="shared" si="350"/>
        <v>0</v>
      </c>
      <c r="TRN64" s="44">
        <f t="shared" si="350"/>
        <v>0</v>
      </c>
      <c r="TRO64" s="44">
        <f t="shared" si="350"/>
        <v>0</v>
      </c>
      <c r="TRP64" s="44">
        <f t="shared" si="350"/>
        <v>0</v>
      </c>
      <c r="TRQ64" s="44">
        <f t="shared" si="350"/>
        <v>0</v>
      </c>
      <c r="TRR64" s="44">
        <f t="shared" si="350"/>
        <v>0</v>
      </c>
      <c r="TRS64" s="44">
        <f t="shared" si="350"/>
        <v>0</v>
      </c>
      <c r="TRT64" s="44">
        <f t="shared" si="350"/>
        <v>0</v>
      </c>
      <c r="TRU64" s="44">
        <f t="shared" si="350"/>
        <v>0</v>
      </c>
      <c r="TRV64" s="44">
        <f t="shared" si="350"/>
        <v>0</v>
      </c>
      <c r="TRW64" s="44">
        <f t="shared" si="350"/>
        <v>0</v>
      </c>
      <c r="TRX64" s="44">
        <f t="shared" si="350"/>
        <v>0</v>
      </c>
      <c r="TRY64" s="44">
        <f t="shared" si="350"/>
        <v>0</v>
      </c>
      <c r="TRZ64" s="44">
        <f t="shared" si="350"/>
        <v>0</v>
      </c>
      <c r="TSA64" s="44">
        <f t="shared" si="350"/>
        <v>0</v>
      </c>
      <c r="TSB64" s="44">
        <f t="shared" si="350"/>
        <v>0</v>
      </c>
      <c r="TSC64" s="44">
        <f t="shared" si="350"/>
        <v>0</v>
      </c>
      <c r="TSD64" s="44">
        <f t="shared" si="350"/>
        <v>0</v>
      </c>
      <c r="TSE64" s="44">
        <f t="shared" si="350"/>
        <v>0</v>
      </c>
      <c r="TSF64" s="44">
        <f t="shared" si="350"/>
        <v>0</v>
      </c>
      <c r="TSG64" s="44">
        <f t="shared" si="350"/>
        <v>0</v>
      </c>
      <c r="TSH64" s="44">
        <f t="shared" si="350"/>
        <v>0</v>
      </c>
      <c r="TSI64" s="44">
        <f t="shared" si="350"/>
        <v>0</v>
      </c>
      <c r="TSJ64" s="44">
        <f t="shared" si="350"/>
        <v>0</v>
      </c>
      <c r="TSK64" s="44">
        <f t="shared" si="350"/>
        <v>0</v>
      </c>
      <c r="TSL64" s="44">
        <f t="shared" si="350"/>
        <v>0</v>
      </c>
      <c r="TSM64" s="44">
        <f t="shared" si="350"/>
        <v>0</v>
      </c>
      <c r="TSN64" s="44">
        <f t="shared" si="350"/>
        <v>0</v>
      </c>
      <c r="TSO64" s="44">
        <f t="shared" si="350"/>
        <v>0</v>
      </c>
      <c r="TSP64" s="44">
        <f t="shared" si="350"/>
        <v>0</v>
      </c>
      <c r="TSQ64" s="44">
        <f t="shared" si="350"/>
        <v>0</v>
      </c>
      <c r="TSR64" s="44">
        <f t="shared" si="350"/>
        <v>0</v>
      </c>
      <c r="TSS64" s="44">
        <f t="shared" si="350"/>
        <v>0</v>
      </c>
      <c r="TST64" s="44">
        <f t="shared" si="350"/>
        <v>0</v>
      </c>
      <c r="TSU64" s="44">
        <f t="shared" si="350"/>
        <v>0</v>
      </c>
      <c r="TSV64" s="44">
        <f t="shared" si="350"/>
        <v>0</v>
      </c>
      <c r="TSW64" s="44">
        <f t="shared" si="350"/>
        <v>0</v>
      </c>
      <c r="TSX64" s="44">
        <f t="shared" ref="TSX64:TVI64" si="351">SUM(TSX56:TSX57)</f>
        <v>0</v>
      </c>
      <c r="TSY64" s="44">
        <f t="shared" si="351"/>
        <v>0</v>
      </c>
      <c r="TSZ64" s="44">
        <f t="shared" si="351"/>
        <v>0</v>
      </c>
      <c r="TTA64" s="44">
        <f t="shared" si="351"/>
        <v>0</v>
      </c>
      <c r="TTB64" s="44">
        <f t="shared" si="351"/>
        <v>0</v>
      </c>
      <c r="TTC64" s="44">
        <f t="shared" si="351"/>
        <v>0</v>
      </c>
      <c r="TTD64" s="44">
        <f t="shared" si="351"/>
        <v>0</v>
      </c>
      <c r="TTE64" s="44">
        <f t="shared" si="351"/>
        <v>0</v>
      </c>
      <c r="TTF64" s="44">
        <f t="shared" si="351"/>
        <v>0</v>
      </c>
      <c r="TTG64" s="44">
        <f t="shared" si="351"/>
        <v>0</v>
      </c>
      <c r="TTH64" s="44">
        <f t="shared" si="351"/>
        <v>0</v>
      </c>
      <c r="TTI64" s="44">
        <f t="shared" si="351"/>
        <v>0</v>
      </c>
      <c r="TTJ64" s="44">
        <f t="shared" si="351"/>
        <v>0</v>
      </c>
      <c r="TTK64" s="44">
        <f t="shared" si="351"/>
        <v>0</v>
      </c>
      <c r="TTL64" s="44">
        <f t="shared" si="351"/>
        <v>0</v>
      </c>
      <c r="TTM64" s="44">
        <f t="shared" si="351"/>
        <v>0</v>
      </c>
      <c r="TTN64" s="44">
        <f t="shared" si="351"/>
        <v>0</v>
      </c>
      <c r="TTO64" s="44">
        <f t="shared" si="351"/>
        <v>0</v>
      </c>
      <c r="TTP64" s="44">
        <f t="shared" si="351"/>
        <v>0</v>
      </c>
      <c r="TTQ64" s="44">
        <f t="shared" si="351"/>
        <v>0</v>
      </c>
      <c r="TTR64" s="44">
        <f t="shared" si="351"/>
        <v>0</v>
      </c>
      <c r="TTS64" s="44">
        <f t="shared" si="351"/>
        <v>0</v>
      </c>
      <c r="TTT64" s="44">
        <f t="shared" si="351"/>
        <v>0</v>
      </c>
      <c r="TTU64" s="44">
        <f t="shared" si="351"/>
        <v>0</v>
      </c>
      <c r="TTV64" s="44">
        <f t="shared" si="351"/>
        <v>0</v>
      </c>
      <c r="TTW64" s="44">
        <f t="shared" si="351"/>
        <v>0</v>
      </c>
      <c r="TTX64" s="44">
        <f t="shared" si="351"/>
        <v>0</v>
      </c>
      <c r="TTY64" s="44">
        <f t="shared" si="351"/>
        <v>0</v>
      </c>
      <c r="TTZ64" s="44">
        <f t="shared" si="351"/>
        <v>0</v>
      </c>
      <c r="TUA64" s="44">
        <f t="shared" si="351"/>
        <v>0</v>
      </c>
      <c r="TUB64" s="44">
        <f t="shared" si="351"/>
        <v>0</v>
      </c>
      <c r="TUC64" s="44">
        <f t="shared" si="351"/>
        <v>0</v>
      </c>
      <c r="TUD64" s="44">
        <f t="shared" si="351"/>
        <v>0</v>
      </c>
      <c r="TUE64" s="44">
        <f t="shared" si="351"/>
        <v>0</v>
      </c>
      <c r="TUF64" s="44">
        <f t="shared" si="351"/>
        <v>0</v>
      </c>
      <c r="TUG64" s="44">
        <f t="shared" si="351"/>
        <v>0</v>
      </c>
      <c r="TUH64" s="44">
        <f t="shared" si="351"/>
        <v>0</v>
      </c>
      <c r="TUI64" s="44">
        <f t="shared" si="351"/>
        <v>0</v>
      </c>
      <c r="TUJ64" s="44">
        <f t="shared" si="351"/>
        <v>0</v>
      </c>
      <c r="TUK64" s="44">
        <f t="shared" si="351"/>
        <v>0</v>
      </c>
      <c r="TUL64" s="44">
        <f t="shared" si="351"/>
        <v>0</v>
      </c>
      <c r="TUM64" s="44">
        <f t="shared" si="351"/>
        <v>0</v>
      </c>
      <c r="TUN64" s="44">
        <f t="shared" si="351"/>
        <v>0</v>
      </c>
      <c r="TUO64" s="44">
        <f t="shared" si="351"/>
        <v>0</v>
      </c>
      <c r="TUP64" s="44">
        <f t="shared" si="351"/>
        <v>0</v>
      </c>
      <c r="TUQ64" s="44">
        <f t="shared" si="351"/>
        <v>0</v>
      </c>
      <c r="TUR64" s="44">
        <f t="shared" si="351"/>
        <v>0</v>
      </c>
      <c r="TUS64" s="44">
        <f t="shared" si="351"/>
        <v>0</v>
      </c>
      <c r="TUT64" s="44">
        <f t="shared" si="351"/>
        <v>0</v>
      </c>
      <c r="TUU64" s="44">
        <f t="shared" si="351"/>
        <v>0</v>
      </c>
      <c r="TUV64" s="44">
        <f t="shared" si="351"/>
        <v>0</v>
      </c>
      <c r="TUW64" s="44">
        <f t="shared" si="351"/>
        <v>0</v>
      </c>
      <c r="TUX64" s="44">
        <f t="shared" si="351"/>
        <v>0</v>
      </c>
      <c r="TUY64" s="44">
        <f t="shared" si="351"/>
        <v>0</v>
      </c>
      <c r="TUZ64" s="44">
        <f t="shared" si="351"/>
        <v>0</v>
      </c>
      <c r="TVA64" s="44">
        <f t="shared" si="351"/>
        <v>0</v>
      </c>
      <c r="TVB64" s="44">
        <f t="shared" si="351"/>
        <v>0</v>
      </c>
      <c r="TVC64" s="44">
        <f t="shared" si="351"/>
        <v>0</v>
      </c>
      <c r="TVD64" s="44">
        <f t="shared" si="351"/>
        <v>0</v>
      </c>
      <c r="TVE64" s="44">
        <f t="shared" si="351"/>
        <v>0</v>
      </c>
      <c r="TVF64" s="44">
        <f t="shared" si="351"/>
        <v>0</v>
      </c>
      <c r="TVG64" s="44">
        <f t="shared" si="351"/>
        <v>0</v>
      </c>
      <c r="TVH64" s="44">
        <f t="shared" si="351"/>
        <v>0</v>
      </c>
      <c r="TVI64" s="44">
        <f t="shared" si="351"/>
        <v>0</v>
      </c>
      <c r="TVJ64" s="44">
        <f t="shared" ref="TVJ64:TXU64" si="352">SUM(TVJ56:TVJ57)</f>
        <v>0</v>
      </c>
      <c r="TVK64" s="44">
        <f t="shared" si="352"/>
        <v>0</v>
      </c>
      <c r="TVL64" s="44">
        <f t="shared" si="352"/>
        <v>0</v>
      </c>
      <c r="TVM64" s="44">
        <f t="shared" si="352"/>
        <v>0</v>
      </c>
      <c r="TVN64" s="44">
        <f t="shared" si="352"/>
        <v>0</v>
      </c>
      <c r="TVO64" s="44">
        <f t="shared" si="352"/>
        <v>0</v>
      </c>
      <c r="TVP64" s="44">
        <f t="shared" si="352"/>
        <v>0</v>
      </c>
      <c r="TVQ64" s="44">
        <f t="shared" si="352"/>
        <v>0</v>
      </c>
      <c r="TVR64" s="44">
        <f t="shared" si="352"/>
        <v>0</v>
      </c>
      <c r="TVS64" s="44">
        <f t="shared" si="352"/>
        <v>0</v>
      </c>
      <c r="TVT64" s="44">
        <f t="shared" si="352"/>
        <v>0</v>
      </c>
      <c r="TVU64" s="44">
        <f t="shared" si="352"/>
        <v>0</v>
      </c>
      <c r="TVV64" s="44">
        <f t="shared" si="352"/>
        <v>0</v>
      </c>
      <c r="TVW64" s="44">
        <f t="shared" si="352"/>
        <v>0</v>
      </c>
      <c r="TVX64" s="44">
        <f t="shared" si="352"/>
        <v>0</v>
      </c>
      <c r="TVY64" s="44">
        <f t="shared" si="352"/>
        <v>0</v>
      </c>
      <c r="TVZ64" s="44">
        <f t="shared" si="352"/>
        <v>0</v>
      </c>
      <c r="TWA64" s="44">
        <f t="shared" si="352"/>
        <v>0</v>
      </c>
      <c r="TWB64" s="44">
        <f t="shared" si="352"/>
        <v>0</v>
      </c>
      <c r="TWC64" s="44">
        <f t="shared" si="352"/>
        <v>0</v>
      </c>
      <c r="TWD64" s="44">
        <f t="shared" si="352"/>
        <v>0</v>
      </c>
      <c r="TWE64" s="44">
        <f t="shared" si="352"/>
        <v>0</v>
      </c>
      <c r="TWF64" s="44">
        <f t="shared" si="352"/>
        <v>0</v>
      </c>
      <c r="TWG64" s="44">
        <f t="shared" si="352"/>
        <v>0</v>
      </c>
      <c r="TWH64" s="44">
        <f t="shared" si="352"/>
        <v>0</v>
      </c>
      <c r="TWI64" s="44">
        <f t="shared" si="352"/>
        <v>0</v>
      </c>
      <c r="TWJ64" s="44">
        <f t="shared" si="352"/>
        <v>0</v>
      </c>
      <c r="TWK64" s="44">
        <f t="shared" si="352"/>
        <v>0</v>
      </c>
      <c r="TWL64" s="44">
        <f t="shared" si="352"/>
        <v>0</v>
      </c>
      <c r="TWM64" s="44">
        <f t="shared" si="352"/>
        <v>0</v>
      </c>
      <c r="TWN64" s="44">
        <f t="shared" si="352"/>
        <v>0</v>
      </c>
      <c r="TWO64" s="44">
        <f t="shared" si="352"/>
        <v>0</v>
      </c>
      <c r="TWP64" s="44">
        <f t="shared" si="352"/>
        <v>0</v>
      </c>
      <c r="TWQ64" s="44">
        <f t="shared" si="352"/>
        <v>0</v>
      </c>
      <c r="TWR64" s="44">
        <f t="shared" si="352"/>
        <v>0</v>
      </c>
      <c r="TWS64" s="44">
        <f t="shared" si="352"/>
        <v>0</v>
      </c>
      <c r="TWT64" s="44">
        <f t="shared" si="352"/>
        <v>0</v>
      </c>
      <c r="TWU64" s="44">
        <f t="shared" si="352"/>
        <v>0</v>
      </c>
      <c r="TWV64" s="44">
        <f t="shared" si="352"/>
        <v>0</v>
      </c>
      <c r="TWW64" s="44">
        <f t="shared" si="352"/>
        <v>0</v>
      </c>
      <c r="TWX64" s="44">
        <f t="shared" si="352"/>
        <v>0</v>
      </c>
      <c r="TWY64" s="44">
        <f t="shared" si="352"/>
        <v>0</v>
      </c>
      <c r="TWZ64" s="44">
        <f t="shared" si="352"/>
        <v>0</v>
      </c>
      <c r="TXA64" s="44">
        <f t="shared" si="352"/>
        <v>0</v>
      </c>
      <c r="TXB64" s="44">
        <f t="shared" si="352"/>
        <v>0</v>
      </c>
      <c r="TXC64" s="44">
        <f t="shared" si="352"/>
        <v>0</v>
      </c>
      <c r="TXD64" s="44">
        <f t="shared" si="352"/>
        <v>0</v>
      </c>
      <c r="TXE64" s="44">
        <f t="shared" si="352"/>
        <v>0</v>
      </c>
      <c r="TXF64" s="44">
        <f t="shared" si="352"/>
        <v>0</v>
      </c>
      <c r="TXG64" s="44">
        <f t="shared" si="352"/>
        <v>0</v>
      </c>
      <c r="TXH64" s="44">
        <f t="shared" si="352"/>
        <v>0</v>
      </c>
      <c r="TXI64" s="44">
        <f t="shared" si="352"/>
        <v>0</v>
      </c>
      <c r="TXJ64" s="44">
        <f t="shared" si="352"/>
        <v>0</v>
      </c>
      <c r="TXK64" s="44">
        <f t="shared" si="352"/>
        <v>0</v>
      </c>
      <c r="TXL64" s="44">
        <f t="shared" si="352"/>
        <v>0</v>
      </c>
      <c r="TXM64" s="44">
        <f t="shared" si="352"/>
        <v>0</v>
      </c>
      <c r="TXN64" s="44">
        <f t="shared" si="352"/>
        <v>0</v>
      </c>
      <c r="TXO64" s="44">
        <f t="shared" si="352"/>
        <v>0</v>
      </c>
      <c r="TXP64" s="44">
        <f t="shared" si="352"/>
        <v>0</v>
      </c>
      <c r="TXQ64" s="44">
        <f t="shared" si="352"/>
        <v>0</v>
      </c>
      <c r="TXR64" s="44">
        <f t="shared" si="352"/>
        <v>0</v>
      </c>
      <c r="TXS64" s="44">
        <f t="shared" si="352"/>
        <v>0</v>
      </c>
      <c r="TXT64" s="44">
        <f t="shared" si="352"/>
        <v>0</v>
      </c>
      <c r="TXU64" s="44">
        <f t="shared" si="352"/>
        <v>0</v>
      </c>
      <c r="TXV64" s="44">
        <f t="shared" ref="TXV64:UAG64" si="353">SUM(TXV56:TXV57)</f>
        <v>0</v>
      </c>
      <c r="TXW64" s="44">
        <f t="shared" si="353"/>
        <v>0</v>
      </c>
      <c r="TXX64" s="44">
        <f t="shared" si="353"/>
        <v>0</v>
      </c>
      <c r="TXY64" s="44">
        <f t="shared" si="353"/>
        <v>0</v>
      </c>
      <c r="TXZ64" s="44">
        <f t="shared" si="353"/>
        <v>0</v>
      </c>
      <c r="TYA64" s="44">
        <f t="shared" si="353"/>
        <v>0</v>
      </c>
      <c r="TYB64" s="44">
        <f t="shared" si="353"/>
        <v>0</v>
      </c>
      <c r="TYC64" s="44">
        <f t="shared" si="353"/>
        <v>0</v>
      </c>
      <c r="TYD64" s="44">
        <f t="shared" si="353"/>
        <v>0</v>
      </c>
      <c r="TYE64" s="44">
        <f t="shared" si="353"/>
        <v>0</v>
      </c>
      <c r="TYF64" s="44">
        <f t="shared" si="353"/>
        <v>0</v>
      </c>
      <c r="TYG64" s="44">
        <f t="shared" si="353"/>
        <v>0</v>
      </c>
      <c r="TYH64" s="44">
        <f t="shared" si="353"/>
        <v>0</v>
      </c>
      <c r="TYI64" s="44">
        <f t="shared" si="353"/>
        <v>0</v>
      </c>
      <c r="TYJ64" s="44">
        <f t="shared" si="353"/>
        <v>0</v>
      </c>
      <c r="TYK64" s="44">
        <f t="shared" si="353"/>
        <v>0</v>
      </c>
      <c r="TYL64" s="44">
        <f t="shared" si="353"/>
        <v>0</v>
      </c>
      <c r="TYM64" s="44">
        <f t="shared" si="353"/>
        <v>0</v>
      </c>
      <c r="TYN64" s="44">
        <f t="shared" si="353"/>
        <v>0</v>
      </c>
      <c r="TYO64" s="44">
        <f t="shared" si="353"/>
        <v>0</v>
      </c>
      <c r="TYP64" s="44">
        <f t="shared" si="353"/>
        <v>0</v>
      </c>
      <c r="TYQ64" s="44">
        <f t="shared" si="353"/>
        <v>0</v>
      </c>
      <c r="TYR64" s="44">
        <f t="shared" si="353"/>
        <v>0</v>
      </c>
      <c r="TYS64" s="44">
        <f t="shared" si="353"/>
        <v>0</v>
      </c>
      <c r="TYT64" s="44">
        <f t="shared" si="353"/>
        <v>0</v>
      </c>
      <c r="TYU64" s="44">
        <f t="shared" si="353"/>
        <v>0</v>
      </c>
      <c r="TYV64" s="44">
        <f t="shared" si="353"/>
        <v>0</v>
      </c>
      <c r="TYW64" s="44">
        <f t="shared" si="353"/>
        <v>0</v>
      </c>
      <c r="TYX64" s="44">
        <f t="shared" si="353"/>
        <v>0</v>
      </c>
      <c r="TYY64" s="44">
        <f t="shared" si="353"/>
        <v>0</v>
      </c>
      <c r="TYZ64" s="44">
        <f t="shared" si="353"/>
        <v>0</v>
      </c>
      <c r="TZA64" s="44">
        <f t="shared" si="353"/>
        <v>0</v>
      </c>
      <c r="TZB64" s="44">
        <f t="shared" si="353"/>
        <v>0</v>
      </c>
      <c r="TZC64" s="44">
        <f t="shared" si="353"/>
        <v>0</v>
      </c>
      <c r="TZD64" s="44">
        <f t="shared" si="353"/>
        <v>0</v>
      </c>
      <c r="TZE64" s="44">
        <f t="shared" si="353"/>
        <v>0</v>
      </c>
      <c r="TZF64" s="44">
        <f t="shared" si="353"/>
        <v>0</v>
      </c>
      <c r="TZG64" s="44">
        <f t="shared" si="353"/>
        <v>0</v>
      </c>
      <c r="TZH64" s="44">
        <f t="shared" si="353"/>
        <v>0</v>
      </c>
      <c r="TZI64" s="44">
        <f t="shared" si="353"/>
        <v>0</v>
      </c>
      <c r="TZJ64" s="44">
        <f t="shared" si="353"/>
        <v>0</v>
      </c>
      <c r="TZK64" s="44">
        <f t="shared" si="353"/>
        <v>0</v>
      </c>
      <c r="TZL64" s="44">
        <f t="shared" si="353"/>
        <v>0</v>
      </c>
      <c r="TZM64" s="44">
        <f t="shared" si="353"/>
        <v>0</v>
      </c>
      <c r="TZN64" s="44">
        <f t="shared" si="353"/>
        <v>0</v>
      </c>
      <c r="TZO64" s="44">
        <f t="shared" si="353"/>
        <v>0</v>
      </c>
      <c r="TZP64" s="44">
        <f t="shared" si="353"/>
        <v>0</v>
      </c>
      <c r="TZQ64" s="44">
        <f t="shared" si="353"/>
        <v>0</v>
      </c>
      <c r="TZR64" s="44">
        <f t="shared" si="353"/>
        <v>0</v>
      </c>
      <c r="TZS64" s="44">
        <f t="shared" si="353"/>
        <v>0</v>
      </c>
      <c r="TZT64" s="44">
        <f t="shared" si="353"/>
        <v>0</v>
      </c>
      <c r="TZU64" s="44">
        <f t="shared" si="353"/>
        <v>0</v>
      </c>
      <c r="TZV64" s="44">
        <f t="shared" si="353"/>
        <v>0</v>
      </c>
      <c r="TZW64" s="44">
        <f t="shared" si="353"/>
        <v>0</v>
      </c>
      <c r="TZX64" s="44">
        <f t="shared" si="353"/>
        <v>0</v>
      </c>
      <c r="TZY64" s="44">
        <f t="shared" si="353"/>
        <v>0</v>
      </c>
      <c r="TZZ64" s="44">
        <f t="shared" si="353"/>
        <v>0</v>
      </c>
      <c r="UAA64" s="44">
        <f t="shared" si="353"/>
        <v>0</v>
      </c>
      <c r="UAB64" s="44">
        <f t="shared" si="353"/>
        <v>0</v>
      </c>
      <c r="UAC64" s="44">
        <f t="shared" si="353"/>
        <v>0</v>
      </c>
      <c r="UAD64" s="44">
        <f t="shared" si="353"/>
        <v>0</v>
      </c>
      <c r="UAE64" s="44">
        <f t="shared" si="353"/>
        <v>0</v>
      </c>
      <c r="UAF64" s="44">
        <f t="shared" si="353"/>
        <v>0</v>
      </c>
      <c r="UAG64" s="44">
        <f t="shared" si="353"/>
        <v>0</v>
      </c>
      <c r="UAH64" s="44">
        <f t="shared" ref="UAH64:UCS64" si="354">SUM(UAH56:UAH57)</f>
        <v>0</v>
      </c>
      <c r="UAI64" s="44">
        <f t="shared" si="354"/>
        <v>0</v>
      </c>
      <c r="UAJ64" s="44">
        <f t="shared" si="354"/>
        <v>0</v>
      </c>
      <c r="UAK64" s="44">
        <f t="shared" si="354"/>
        <v>0</v>
      </c>
      <c r="UAL64" s="44">
        <f t="shared" si="354"/>
        <v>0</v>
      </c>
      <c r="UAM64" s="44">
        <f t="shared" si="354"/>
        <v>0</v>
      </c>
      <c r="UAN64" s="44">
        <f t="shared" si="354"/>
        <v>0</v>
      </c>
      <c r="UAO64" s="44">
        <f t="shared" si="354"/>
        <v>0</v>
      </c>
      <c r="UAP64" s="44">
        <f t="shared" si="354"/>
        <v>0</v>
      </c>
      <c r="UAQ64" s="44">
        <f t="shared" si="354"/>
        <v>0</v>
      </c>
      <c r="UAR64" s="44">
        <f t="shared" si="354"/>
        <v>0</v>
      </c>
      <c r="UAS64" s="44">
        <f t="shared" si="354"/>
        <v>0</v>
      </c>
      <c r="UAT64" s="44">
        <f t="shared" si="354"/>
        <v>0</v>
      </c>
      <c r="UAU64" s="44">
        <f t="shared" si="354"/>
        <v>0</v>
      </c>
      <c r="UAV64" s="44">
        <f t="shared" si="354"/>
        <v>0</v>
      </c>
      <c r="UAW64" s="44">
        <f t="shared" si="354"/>
        <v>0</v>
      </c>
      <c r="UAX64" s="44">
        <f t="shared" si="354"/>
        <v>0</v>
      </c>
      <c r="UAY64" s="44">
        <f t="shared" si="354"/>
        <v>0</v>
      </c>
      <c r="UAZ64" s="44">
        <f t="shared" si="354"/>
        <v>0</v>
      </c>
      <c r="UBA64" s="44">
        <f t="shared" si="354"/>
        <v>0</v>
      </c>
      <c r="UBB64" s="44">
        <f t="shared" si="354"/>
        <v>0</v>
      </c>
      <c r="UBC64" s="44">
        <f t="shared" si="354"/>
        <v>0</v>
      </c>
      <c r="UBD64" s="44">
        <f t="shared" si="354"/>
        <v>0</v>
      </c>
      <c r="UBE64" s="44">
        <f t="shared" si="354"/>
        <v>0</v>
      </c>
      <c r="UBF64" s="44">
        <f t="shared" si="354"/>
        <v>0</v>
      </c>
      <c r="UBG64" s="44">
        <f t="shared" si="354"/>
        <v>0</v>
      </c>
      <c r="UBH64" s="44">
        <f t="shared" si="354"/>
        <v>0</v>
      </c>
      <c r="UBI64" s="44">
        <f t="shared" si="354"/>
        <v>0</v>
      </c>
      <c r="UBJ64" s="44">
        <f t="shared" si="354"/>
        <v>0</v>
      </c>
      <c r="UBK64" s="44">
        <f t="shared" si="354"/>
        <v>0</v>
      </c>
      <c r="UBL64" s="44">
        <f t="shared" si="354"/>
        <v>0</v>
      </c>
      <c r="UBM64" s="44">
        <f t="shared" si="354"/>
        <v>0</v>
      </c>
      <c r="UBN64" s="44">
        <f t="shared" si="354"/>
        <v>0</v>
      </c>
      <c r="UBO64" s="44">
        <f t="shared" si="354"/>
        <v>0</v>
      </c>
      <c r="UBP64" s="44">
        <f t="shared" si="354"/>
        <v>0</v>
      </c>
      <c r="UBQ64" s="44">
        <f t="shared" si="354"/>
        <v>0</v>
      </c>
      <c r="UBR64" s="44">
        <f t="shared" si="354"/>
        <v>0</v>
      </c>
      <c r="UBS64" s="44">
        <f t="shared" si="354"/>
        <v>0</v>
      </c>
      <c r="UBT64" s="44">
        <f t="shared" si="354"/>
        <v>0</v>
      </c>
      <c r="UBU64" s="44">
        <f t="shared" si="354"/>
        <v>0</v>
      </c>
      <c r="UBV64" s="44">
        <f t="shared" si="354"/>
        <v>0</v>
      </c>
      <c r="UBW64" s="44">
        <f t="shared" si="354"/>
        <v>0</v>
      </c>
      <c r="UBX64" s="44">
        <f t="shared" si="354"/>
        <v>0</v>
      </c>
      <c r="UBY64" s="44">
        <f t="shared" si="354"/>
        <v>0</v>
      </c>
      <c r="UBZ64" s="44">
        <f t="shared" si="354"/>
        <v>0</v>
      </c>
      <c r="UCA64" s="44">
        <f t="shared" si="354"/>
        <v>0</v>
      </c>
      <c r="UCB64" s="44">
        <f t="shared" si="354"/>
        <v>0</v>
      </c>
      <c r="UCC64" s="44">
        <f t="shared" si="354"/>
        <v>0</v>
      </c>
      <c r="UCD64" s="44">
        <f t="shared" si="354"/>
        <v>0</v>
      </c>
      <c r="UCE64" s="44">
        <f t="shared" si="354"/>
        <v>0</v>
      </c>
      <c r="UCF64" s="44">
        <f t="shared" si="354"/>
        <v>0</v>
      </c>
      <c r="UCG64" s="44">
        <f t="shared" si="354"/>
        <v>0</v>
      </c>
      <c r="UCH64" s="44">
        <f t="shared" si="354"/>
        <v>0</v>
      </c>
      <c r="UCI64" s="44">
        <f t="shared" si="354"/>
        <v>0</v>
      </c>
      <c r="UCJ64" s="44">
        <f t="shared" si="354"/>
        <v>0</v>
      </c>
      <c r="UCK64" s="44">
        <f t="shared" si="354"/>
        <v>0</v>
      </c>
      <c r="UCL64" s="44">
        <f t="shared" si="354"/>
        <v>0</v>
      </c>
      <c r="UCM64" s="44">
        <f t="shared" si="354"/>
        <v>0</v>
      </c>
      <c r="UCN64" s="44">
        <f t="shared" si="354"/>
        <v>0</v>
      </c>
      <c r="UCO64" s="44">
        <f t="shared" si="354"/>
        <v>0</v>
      </c>
      <c r="UCP64" s="44">
        <f t="shared" si="354"/>
        <v>0</v>
      </c>
      <c r="UCQ64" s="44">
        <f t="shared" si="354"/>
        <v>0</v>
      </c>
      <c r="UCR64" s="44">
        <f t="shared" si="354"/>
        <v>0</v>
      </c>
      <c r="UCS64" s="44">
        <f t="shared" si="354"/>
        <v>0</v>
      </c>
      <c r="UCT64" s="44">
        <f t="shared" ref="UCT64:UFE64" si="355">SUM(UCT56:UCT57)</f>
        <v>0</v>
      </c>
      <c r="UCU64" s="44">
        <f t="shared" si="355"/>
        <v>0</v>
      </c>
      <c r="UCV64" s="44">
        <f t="shared" si="355"/>
        <v>0</v>
      </c>
      <c r="UCW64" s="44">
        <f t="shared" si="355"/>
        <v>0</v>
      </c>
      <c r="UCX64" s="44">
        <f t="shared" si="355"/>
        <v>0</v>
      </c>
      <c r="UCY64" s="44">
        <f t="shared" si="355"/>
        <v>0</v>
      </c>
      <c r="UCZ64" s="44">
        <f t="shared" si="355"/>
        <v>0</v>
      </c>
      <c r="UDA64" s="44">
        <f t="shared" si="355"/>
        <v>0</v>
      </c>
      <c r="UDB64" s="44">
        <f t="shared" si="355"/>
        <v>0</v>
      </c>
      <c r="UDC64" s="44">
        <f t="shared" si="355"/>
        <v>0</v>
      </c>
      <c r="UDD64" s="44">
        <f t="shared" si="355"/>
        <v>0</v>
      </c>
      <c r="UDE64" s="44">
        <f t="shared" si="355"/>
        <v>0</v>
      </c>
      <c r="UDF64" s="44">
        <f t="shared" si="355"/>
        <v>0</v>
      </c>
      <c r="UDG64" s="44">
        <f t="shared" si="355"/>
        <v>0</v>
      </c>
      <c r="UDH64" s="44">
        <f t="shared" si="355"/>
        <v>0</v>
      </c>
      <c r="UDI64" s="44">
        <f t="shared" si="355"/>
        <v>0</v>
      </c>
      <c r="UDJ64" s="44">
        <f t="shared" si="355"/>
        <v>0</v>
      </c>
      <c r="UDK64" s="44">
        <f t="shared" si="355"/>
        <v>0</v>
      </c>
      <c r="UDL64" s="44">
        <f t="shared" si="355"/>
        <v>0</v>
      </c>
      <c r="UDM64" s="44">
        <f t="shared" si="355"/>
        <v>0</v>
      </c>
      <c r="UDN64" s="44">
        <f t="shared" si="355"/>
        <v>0</v>
      </c>
      <c r="UDO64" s="44">
        <f t="shared" si="355"/>
        <v>0</v>
      </c>
      <c r="UDP64" s="44">
        <f t="shared" si="355"/>
        <v>0</v>
      </c>
      <c r="UDQ64" s="44">
        <f t="shared" si="355"/>
        <v>0</v>
      </c>
      <c r="UDR64" s="44">
        <f t="shared" si="355"/>
        <v>0</v>
      </c>
      <c r="UDS64" s="44">
        <f t="shared" si="355"/>
        <v>0</v>
      </c>
      <c r="UDT64" s="44">
        <f t="shared" si="355"/>
        <v>0</v>
      </c>
      <c r="UDU64" s="44">
        <f t="shared" si="355"/>
        <v>0</v>
      </c>
      <c r="UDV64" s="44">
        <f t="shared" si="355"/>
        <v>0</v>
      </c>
      <c r="UDW64" s="44">
        <f t="shared" si="355"/>
        <v>0</v>
      </c>
      <c r="UDX64" s="44">
        <f t="shared" si="355"/>
        <v>0</v>
      </c>
      <c r="UDY64" s="44">
        <f t="shared" si="355"/>
        <v>0</v>
      </c>
      <c r="UDZ64" s="44">
        <f t="shared" si="355"/>
        <v>0</v>
      </c>
      <c r="UEA64" s="44">
        <f t="shared" si="355"/>
        <v>0</v>
      </c>
      <c r="UEB64" s="44">
        <f t="shared" si="355"/>
        <v>0</v>
      </c>
      <c r="UEC64" s="44">
        <f t="shared" si="355"/>
        <v>0</v>
      </c>
      <c r="UED64" s="44">
        <f t="shared" si="355"/>
        <v>0</v>
      </c>
      <c r="UEE64" s="44">
        <f t="shared" si="355"/>
        <v>0</v>
      </c>
      <c r="UEF64" s="44">
        <f t="shared" si="355"/>
        <v>0</v>
      </c>
      <c r="UEG64" s="44">
        <f t="shared" si="355"/>
        <v>0</v>
      </c>
      <c r="UEH64" s="44">
        <f t="shared" si="355"/>
        <v>0</v>
      </c>
      <c r="UEI64" s="44">
        <f t="shared" si="355"/>
        <v>0</v>
      </c>
      <c r="UEJ64" s="44">
        <f t="shared" si="355"/>
        <v>0</v>
      </c>
      <c r="UEK64" s="44">
        <f t="shared" si="355"/>
        <v>0</v>
      </c>
      <c r="UEL64" s="44">
        <f t="shared" si="355"/>
        <v>0</v>
      </c>
      <c r="UEM64" s="44">
        <f t="shared" si="355"/>
        <v>0</v>
      </c>
      <c r="UEN64" s="44">
        <f t="shared" si="355"/>
        <v>0</v>
      </c>
      <c r="UEO64" s="44">
        <f t="shared" si="355"/>
        <v>0</v>
      </c>
      <c r="UEP64" s="44">
        <f t="shared" si="355"/>
        <v>0</v>
      </c>
      <c r="UEQ64" s="44">
        <f t="shared" si="355"/>
        <v>0</v>
      </c>
      <c r="UER64" s="44">
        <f t="shared" si="355"/>
        <v>0</v>
      </c>
      <c r="UES64" s="44">
        <f t="shared" si="355"/>
        <v>0</v>
      </c>
      <c r="UET64" s="44">
        <f t="shared" si="355"/>
        <v>0</v>
      </c>
      <c r="UEU64" s="44">
        <f t="shared" si="355"/>
        <v>0</v>
      </c>
      <c r="UEV64" s="44">
        <f t="shared" si="355"/>
        <v>0</v>
      </c>
      <c r="UEW64" s="44">
        <f t="shared" si="355"/>
        <v>0</v>
      </c>
      <c r="UEX64" s="44">
        <f t="shared" si="355"/>
        <v>0</v>
      </c>
      <c r="UEY64" s="44">
        <f t="shared" si="355"/>
        <v>0</v>
      </c>
      <c r="UEZ64" s="44">
        <f t="shared" si="355"/>
        <v>0</v>
      </c>
      <c r="UFA64" s="44">
        <f t="shared" si="355"/>
        <v>0</v>
      </c>
      <c r="UFB64" s="44">
        <f t="shared" si="355"/>
        <v>0</v>
      </c>
      <c r="UFC64" s="44">
        <f t="shared" si="355"/>
        <v>0</v>
      </c>
      <c r="UFD64" s="44">
        <f t="shared" si="355"/>
        <v>0</v>
      </c>
      <c r="UFE64" s="44">
        <f t="shared" si="355"/>
        <v>0</v>
      </c>
      <c r="UFF64" s="44">
        <f t="shared" ref="UFF64:UHQ64" si="356">SUM(UFF56:UFF57)</f>
        <v>0</v>
      </c>
      <c r="UFG64" s="44">
        <f t="shared" si="356"/>
        <v>0</v>
      </c>
      <c r="UFH64" s="44">
        <f t="shared" si="356"/>
        <v>0</v>
      </c>
      <c r="UFI64" s="44">
        <f t="shared" si="356"/>
        <v>0</v>
      </c>
      <c r="UFJ64" s="44">
        <f t="shared" si="356"/>
        <v>0</v>
      </c>
      <c r="UFK64" s="44">
        <f t="shared" si="356"/>
        <v>0</v>
      </c>
      <c r="UFL64" s="44">
        <f t="shared" si="356"/>
        <v>0</v>
      </c>
      <c r="UFM64" s="44">
        <f t="shared" si="356"/>
        <v>0</v>
      </c>
      <c r="UFN64" s="44">
        <f t="shared" si="356"/>
        <v>0</v>
      </c>
      <c r="UFO64" s="44">
        <f t="shared" si="356"/>
        <v>0</v>
      </c>
      <c r="UFP64" s="44">
        <f t="shared" si="356"/>
        <v>0</v>
      </c>
      <c r="UFQ64" s="44">
        <f t="shared" si="356"/>
        <v>0</v>
      </c>
      <c r="UFR64" s="44">
        <f t="shared" si="356"/>
        <v>0</v>
      </c>
      <c r="UFS64" s="44">
        <f t="shared" si="356"/>
        <v>0</v>
      </c>
      <c r="UFT64" s="44">
        <f t="shared" si="356"/>
        <v>0</v>
      </c>
      <c r="UFU64" s="44">
        <f t="shared" si="356"/>
        <v>0</v>
      </c>
      <c r="UFV64" s="44">
        <f t="shared" si="356"/>
        <v>0</v>
      </c>
      <c r="UFW64" s="44">
        <f t="shared" si="356"/>
        <v>0</v>
      </c>
      <c r="UFX64" s="44">
        <f t="shared" si="356"/>
        <v>0</v>
      </c>
      <c r="UFY64" s="44">
        <f t="shared" si="356"/>
        <v>0</v>
      </c>
      <c r="UFZ64" s="44">
        <f t="shared" si="356"/>
        <v>0</v>
      </c>
      <c r="UGA64" s="44">
        <f t="shared" si="356"/>
        <v>0</v>
      </c>
      <c r="UGB64" s="44">
        <f t="shared" si="356"/>
        <v>0</v>
      </c>
      <c r="UGC64" s="44">
        <f t="shared" si="356"/>
        <v>0</v>
      </c>
      <c r="UGD64" s="44">
        <f t="shared" si="356"/>
        <v>0</v>
      </c>
      <c r="UGE64" s="44">
        <f t="shared" si="356"/>
        <v>0</v>
      </c>
      <c r="UGF64" s="44">
        <f t="shared" si="356"/>
        <v>0</v>
      </c>
      <c r="UGG64" s="44">
        <f t="shared" si="356"/>
        <v>0</v>
      </c>
      <c r="UGH64" s="44">
        <f t="shared" si="356"/>
        <v>0</v>
      </c>
      <c r="UGI64" s="44">
        <f t="shared" si="356"/>
        <v>0</v>
      </c>
      <c r="UGJ64" s="44">
        <f t="shared" si="356"/>
        <v>0</v>
      </c>
      <c r="UGK64" s="44">
        <f t="shared" si="356"/>
        <v>0</v>
      </c>
      <c r="UGL64" s="44">
        <f t="shared" si="356"/>
        <v>0</v>
      </c>
      <c r="UGM64" s="44">
        <f t="shared" si="356"/>
        <v>0</v>
      </c>
      <c r="UGN64" s="44">
        <f t="shared" si="356"/>
        <v>0</v>
      </c>
      <c r="UGO64" s="44">
        <f t="shared" si="356"/>
        <v>0</v>
      </c>
      <c r="UGP64" s="44">
        <f t="shared" si="356"/>
        <v>0</v>
      </c>
      <c r="UGQ64" s="44">
        <f t="shared" si="356"/>
        <v>0</v>
      </c>
      <c r="UGR64" s="44">
        <f t="shared" si="356"/>
        <v>0</v>
      </c>
      <c r="UGS64" s="44">
        <f t="shared" si="356"/>
        <v>0</v>
      </c>
      <c r="UGT64" s="44">
        <f t="shared" si="356"/>
        <v>0</v>
      </c>
      <c r="UGU64" s="44">
        <f t="shared" si="356"/>
        <v>0</v>
      </c>
      <c r="UGV64" s="44">
        <f t="shared" si="356"/>
        <v>0</v>
      </c>
      <c r="UGW64" s="44">
        <f t="shared" si="356"/>
        <v>0</v>
      </c>
      <c r="UGX64" s="44">
        <f t="shared" si="356"/>
        <v>0</v>
      </c>
      <c r="UGY64" s="44">
        <f t="shared" si="356"/>
        <v>0</v>
      </c>
      <c r="UGZ64" s="44">
        <f t="shared" si="356"/>
        <v>0</v>
      </c>
      <c r="UHA64" s="44">
        <f t="shared" si="356"/>
        <v>0</v>
      </c>
      <c r="UHB64" s="44">
        <f t="shared" si="356"/>
        <v>0</v>
      </c>
      <c r="UHC64" s="44">
        <f t="shared" si="356"/>
        <v>0</v>
      </c>
      <c r="UHD64" s="44">
        <f t="shared" si="356"/>
        <v>0</v>
      </c>
      <c r="UHE64" s="44">
        <f t="shared" si="356"/>
        <v>0</v>
      </c>
      <c r="UHF64" s="44">
        <f t="shared" si="356"/>
        <v>0</v>
      </c>
      <c r="UHG64" s="44">
        <f t="shared" si="356"/>
        <v>0</v>
      </c>
      <c r="UHH64" s="44">
        <f t="shared" si="356"/>
        <v>0</v>
      </c>
      <c r="UHI64" s="44">
        <f t="shared" si="356"/>
        <v>0</v>
      </c>
      <c r="UHJ64" s="44">
        <f t="shared" si="356"/>
        <v>0</v>
      </c>
      <c r="UHK64" s="44">
        <f t="shared" si="356"/>
        <v>0</v>
      </c>
      <c r="UHL64" s="44">
        <f t="shared" si="356"/>
        <v>0</v>
      </c>
      <c r="UHM64" s="44">
        <f t="shared" si="356"/>
        <v>0</v>
      </c>
      <c r="UHN64" s="44">
        <f t="shared" si="356"/>
        <v>0</v>
      </c>
      <c r="UHO64" s="44">
        <f t="shared" si="356"/>
        <v>0</v>
      </c>
      <c r="UHP64" s="44">
        <f t="shared" si="356"/>
        <v>0</v>
      </c>
      <c r="UHQ64" s="44">
        <f t="shared" si="356"/>
        <v>0</v>
      </c>
      <c r="UHR64" s="44">
        <f t="shared" ref="UHR64:UKC64" si="357">SUM(UHR56:UHR57)</f>
        <v>0</v>
      </c>
      <c r="UHS64" s="44">
        <f t="shared" si="357"/>
        <v>0</v>
      </c>
      <c r="UHT64" s="44">
        <f t="shared" si="357"/>
        <v>0</v>
      </c>
      <c r="UHU64" s="44">
        <f t="shared" si="357"/>
        <v>0</v>
      </c>
      <c r="UHV64" s="44">
        <f t="shared" si="357"/>
        <v>0</v>
      </c>
      <c r="UHW64" s="44">
        <f t="shared" si="357"/>
        <v>0</v>
      </c>
      <c r="UHX64" s="44">
        <f t="shared" si="357"/>
        <v>0</v>
      </c>
      <c r="UHY64" s="44">
        <f t="shared" si="357"/>
        <v>0</v>
      </c>
      <c r="UHZ64" s="44">
        <f t="shared" si="357"/>
        <v>0</v>
      </c>
      <c r="UIA64" s="44">
        <f t="shared" si="357"/>
        <v>0</v>
      </c>
      <c r="UIB64" s="44">
        <f t="shared" si="357"/>
        <v>0</v>
      </c>
      <c r="UIC64" s="44">
        <f t="shared" si="357"/>
        <v>0</v>
      </c>
      <c r="UID64" s="44">
        <f t="shared" si="357"/>
        <v>0</v>
      </c>
      <c r="UIE64" s="44">
        <f t="shared" si="357"/>
        <v>0</v>
      </c>
      <c r="UIF64" s="44">
        <f t="shared" si="357"/>
        <v>0</v>
      </c>
      <c r="UIG64" s="44">
        <f t="shared" si="357"/>
        <v>0</v>
      </c>
      <c r="UIH64" s="44">
        <f t="shared" si="357"/>
        <v>0</v>
      </c>
      <c r="UII64" s="44">
        <f t="shared" si="357"/>
        <v>0</v>
      </c>
      <c r="UIJ64" s="44">
        <f t="shared" si="357"/>
        <v>0</v>
      </c>
      <c r="UIK64" s="44">
        <f t="shared" si="357"/>
        <v>0</v>
      </c>
      <c r="UIL64" s="44">
        <f t="shared" si="357"/>
        <v>0</v>
      </c>
      <c r="UIM64" s="44">
        <f t="shared" si="357"/>
        <v>0</v>
      </c>
      <c r="UIN64" s="44">
        <f t="shared" si="357"/>
        <v>0</v>
      </c>
      <c r="UIO64" s="44">
        <f t="shared" si="357"/>
        <v>0</v>
      </c>
      <c r="UIP64" s="44">
        <f t="shared" si="357"/>
        <v>0</v>
      </c>
      <c r="UIQ64" s="44">
        <f t="shared" si="357"/>
        <v>0</v>
      </c>
      <c r="UIR64" s="44">
        <f t="shared" si="357"/>
        <v>0</v>
      </c>
      <c r="UIS64" s="44">
        <f t="shared" si="357"/>
        <v>0</v>
      </c>
      <c r="UIT64" s="44">
        <f t="shared" si="357"/>
        <v>0</v>
      </c>
      <c r="UIU64" s="44">
        <f t="shared" si="357"/>
        <v>0</v>
      </c>
      <c r="UIV64" s="44">
        <f t="shared" si="357"/>
        <v>0</v>
      </c>
      <c r="UIW64" s="44">
        <f t="shared" si="357"/>
        <v>0</v>
      </c>
      <c r="UIX64" s="44">
        <f t="shared" si="357"/>
        <v>0</v>
      </c>
      <c r="UIY64" s="44">
        <f t="shared" si="357"/>
        <v>0</v>
      </c>
      <c r="UIZ64" s="44">
        <f t="shared" si="357"/>
        <v>0</v>
      </c>
      <c r="UJA64" s="44">
        <f t="shared" si="357"/>
        <v>0</v>
      </c>
      <c r="UJB64" s="44">
        <f t="shared" si="357"/>
        <v>0</v>
      </c>
      <c r="UJC64" s="44">
        <f t="shared" si="357"/>
        <v>0</v>
      </c>
      <c r="UJD64" s="44">
        <f t="shared" si="357"/>
        <v>0</v>
      </c>
      <c r="UJE64" s="44">
        <f t="shared" si="357"/>
        <v>0</v>
      </c>
      <c r="UJF64" s="44">
        <f t="shared" si="357"/>
        <v>0</v>
      </c>
      <c r="UJG64" s="44">
        <f t="shared" si="357"/>
        <v>0</v>
      </c>
      <c r="UJH64" s="44">
        <f t="shared" si="357"/>
        <v>0</v>
      </c>
      <c r="UJI64" s="44">
        <f t="shared" si="357"/>
        <v>0</v>
      </c>
      <c r="UJJ64" s="44">
        <f t="shared" si="357"/>
        <v>0</v>
      </c>
      <c r="UJK64" s="44">
        <f t="shared" si="357"/>
        <v>0</v>
      </c>
      <c r="UJL64" s="44">
        <f t="shared" si="357"/>
        <v>0</v>
      </c>
      <c r="UJM64" s="44">
        <f t="shared" si="357"/>
        <v>0</v>
      </c>
      <c r="UJN64" s="44">
        <f t="shared" si="357"/>
        <v>0</v>
      </c>
      <c r="UJO64" s="44">
        <f t="shared" si="357"/>
        <v>0</v>
      </c>
      <c r="UJP64" s="44">
        <f t="shared" si="357"/>
        <v>0</v>
      </c>
      <c r="UJQ64" s="44">
        <f t="shared" si="357"/>
        <v>0</v>
      </c>
      <c r="UJR64" s="44">
        <f t="shared" si="357"/>
        <v>0</v>
      </c>
      <c r="UJS64" s="44">
        <f t="shared" si="357"/>
        <v>0</v>
      </c>
      <c r="UJT64" s="44">
        <f t="shared" si="357"/>
        <v>0</v>
      </c>
      <c r="UJU64" s="44">
        <f t="shared" si="357"/>
        <v>0</v>
      </c>
      <c r="UJV64" s="44">
        <f t="shared" si="357"/>
        <v>0</v>
      </c>
      <c r="UJW64" s="44">
        <f t="shared" si="357"/>
        <v>0</v>
      </c>
      <c r="UJX64" s="44">
        <f t="shared" si="357"/>
        <v>0</v>
      </c>
      <c r="UJY64" s="44">
        <f t="shared" si="357"/>
        <v>0</v>
      </c>
      <c r="UJZ64" s="44">
        <f t="shared" si="357"/>
        <v>0</v>
      </c>
      <c r="UKA64" s="44">
        <f t="shared" si="357"/>
        <v>0</v>
      </c>
      <c r="UKB64" s="44">
        <f t="shared" si="357"/>
        <v>0</v>
      </c>
      <c r="UKC64" s="44">
        <f t="shared" si="357"/>
        <v>0</v>
      </c>
      <c r="UKD64" s="44">
        <f t="shared" ref="UKD64:UMO64" si="358">SUM(UKD56:UKD57)</f>
        <v>0</v>
      </c>
      <c r="UKE64" s="44">
        <f t="shared" si="358"/>
        <v>0</v>
      </c>
      <c r="UKF64" s="44">
        <f t="shared" si="358"/>
        <v>0</v>
      </c>
      <c r="UKG64" s="44">
        <f t="shared" si="358"/>
        <v>0</v>
      </c>
      <c r="UKH64" s="44">
        <f t="shared" si="358"/>
        <v>0</v>
      </c>
      <c r="UKI64" s="44">
        <f t="shared" si="358"/>
        <v>0</v>
      </c>
      <c r="UKJ64" s="44">
        <f t="shared" si="358"/>
        <v>0</v>
      </c>
      <c r="UKK64" s="44">
        <f t="shared" si="358"/>
        <v>0</v>
      </c>
      <c r="UKL64" s="44">
        <f t="shared" si="358"/>
        <v>0</v>
      </c>
      <c r="UKM64" s="44">
        <f t="shared" si="358"/>
        <v>0</v>
      </c>
      <c r="UKN64" s="44">
        <f t="shared" si="358"/>
        <v>0</v>
      </c>
      <c r="UKO64" s="44">
        <f t="shared" si="358"/>
        <v>0</v>
      </c>
      <c r="UKP64" s="44">
        <f t="shared" si="358"/>
        <v>0</v>
      </c>
      <c r="UKQ64" s="44">
        <f t="shared" si="358"/>
        <v>0</v>
      </c>
      <c r="UKR64" s="44">
        <f t="shared" si="358"/>
        <v>0</v>
      </c>
      <c r="UKS64" s="44">
        <f t="shared" si="358"/>
        <v>0</v>
      </c>
      <c r="UKT64" s="44">
        <f t="shared" si="358"/>
        <v>0</v>
      </c>
      <c r="UKU64" s="44">
        <f t="shared" si="358"/>
        <v>0</v>
      </c>
      <c r="UKV64" s="44">
        <f t="shared" si="358"/>
        <v>0</v>
      </c>
      <c r="UKW64" s="44">
        <f t="shared" si="358"/>
        <v>0</v>
      </c>
      <c r="UKX64" s="44">
        <f t="shared" si="358"/>
        <v>0</v>
      </c>
      <c r="UKY64" s="44">
        <f t="shared" si="358"/>
        <v>0</v>
      </c>
      <c r="UKZ64" s="44">
        <f t="shared" si="358"/>
        <v>0</v>
      </c>
      <c r="ULA64" s="44">
        <f t="shared" si="358"/>
        <v>0</v>
      </c>
      <c r="ULB64" s="44">
        <f t="shared" si="358"/>
        <v>0</v>
      </c>
      <c r="ULC64" s="44">
        <f t="shared" si="358"/>
        <v>0</v>
      </c>
      <c r="ULD64" s="44">
        <f t="shared" si="358"/>
        <v>0</v>
      </c>
      <c r="ULE64" s="44">
        <f t="shared" si="358"/>
        <v>0</v>
      </c>
      <c r="ULF64" s="44">
        <f t="shared" si="358"/>
        <v>0</v>
      </c>
      <c r="ULG64" s="44">
        <f t="shared" si="358"/>
        <v>0</v>
      </c>
      <c r="ULH64" s="44">
        <f t="shared" si="358"/>
        <v>0</v>
      </c>
      <c r="ULI64" s="44">
        <f t="shared" si="358"/>
        <v>0</v>
      </c>
      <c r="ULJ64" s="44">
        <f t="shared" si="358"/>
        <v>0</v>
      </c>
      <c r="ULK64" s="44">
        <f t="shared" si="358"/>
        <v>0</v>
      </c>
      <c r="ULL64" s="44">
        <f t="shared" si="358"/>
        <v>0</v>
      </c>
      <c r="ULM64" s="44">
        <f t="shared" si="358"/>
        <v>0</v>
      </c>
      <c r="ULN64" s="44">
        <f t="shared" si="358"/>
        <v>0</v>
      </c>
      <c r="ULO64" s="44">
        <f t="shared" si="358"/>
        <v>0</v>
      </c>
      <c r="ULP64" s="44">
        <f t="shared" si="358"/>
        <v>0</v>
      </c>
      <c r="ULQ64" s="44">
        <f t="shared" si="358"/>
        <v>0</v>
      </c>
      <c r="ULR64" s="44">
        <f t="shared" si="358"/>
        <v>0</v>
      </c>
      <c r="ULS64" s="44">
        <f t="shared" si="358"/>
        <v>0</v>
      </c>
      <c r="ULT64" s="44">
        <f t="shared" si="358"/>
        <v>0</v>
      </c>
      <c r="ULU64" s="44">
        <f t="shared" si="358"/>
        <v>0</v>
      </c>
      <c r="ULV64" s="44">
        <f t="shared" si="358"/>
        <v>0</v>
      </c>
      <c r="ULW64" s="44">
        <f t="shared" si="358"/>
        <v>0</v>
      </c>
      <c r="ULX64" s="44">
        <f t="shared" si="358"/>
        <v>0</v>
      </c>
      <c r="ULY64" s="44">
        <f t="shared" si="358"/>
        <v>0</v>
      </c>
      <c r="ULZ64" s="44">
        <f t="shared" si="358"/>
        <v>0</v>
      </c>
      <c r="UMA64" s="44">
        <f t="shared" si="358"/>
        <v>0</v>
      </c>
      <c r="UMB64" s="44">
        <f t="shared" si="358"/>
        <v>0</v>
      </c>
      <c r="UMC64" s="44">
        <f t="shared" si="358"/>
        <v>0</v>
      </c>
      <c r="UMD64" s="44">
        <f t="shared" si="358"/>
        <v>0</v>
      </c>
      <c r="UME64" s="44">
        <f t="shared" si="358"/>
        <v>0</v>
      </c>
      <c r="UMF64" s="44">
        <f t="shared" si="358"/>
        <v>0</v>
      </c>
      <c r="UMG64" s="44">
        <f t="shared" si="358"/>
        <v>0</v>
      </c>
      <c r="UMH64" s="44">
        <f t="shared" si="358"/>
        <v>0</v>
      </c>
      <c r="UMI64" s="44">
        <f t="shared" si="358"/>
        <v>0</v>
      </c>
      <c r="UMJ64" s="44">
        <f t="shared" si="358"/>
        <v>0</v>
      </c>
      <c r="UMK64" s="44">
        <f t="shared" si="358"/>
        <v>0</v>
      </c>
      <c r="UML64" s="44">
        <f t="shared" si="358"/>
        <v>0</v>
      </c>
      <c r="UMM64" s="44">
        <f t="shared" si="358"/>
        <v>0</v>
      </c>
      <c r="UMN64" s="44">
        <f t="shared" si="358"/>
        <v>0</v>
      </c>
      <c r="UMO64" s="44">
        <f t="shared" si="358"/>
        <v>0</v>
      </c>
      <c r="UMP64" s="44">
        <f t="shared" ref="UMP64:UPA64" si="359">SUM(UMP56:UMP57)</f>
        <v>0</v>
      </c>
      <c r="UMQ64" s="44">
        <f t="shared" si="359"/>
        <v>0</v>
      </c>
      <c r="UMR64" s="44">
        <f t="shared" si="359"/>
        <v>0</v>
      </c>
      <c r="UMS64" s="44">
        <f t="shared" si="359"/>
        <v>0</v>
      </c>
      <c r="UMT64" s="44">
        <f t="shared" si="359"/>
        <v>0</v>
      </c>
      <c r="UMU64" s="44">
        <f t="shared" si="359"/>
        <v>0</v>
      </c>
      <c r="UMV64" s="44">
        <f t="shared" si="359"/>
        <v>0</v>
      </c>
      <c r="UMW64" s="44">
        <f t="shared" si="359"/>
        <v>0</v>
      </c>
      <c r="UMX64" s="44">
        <f t="shared" si="359"/>
        <v>0</v>
      </c>
      <c r="UMY64" s="44">
        <f t="shared" si="359"/>
        <v>0</v>
      </c>
      <c r="UMZ64" s="44">
        <f t="shared" si="359"/>
        <v>0</v>
      </c>
      <c r="UNA64" s="44">
        <f t="shared" si="359"/>
        <v>0</v>
      </c>
      <c r="UNB64" s="44">
        <f t="shared" si="359"/>
        <v>0</v>
      </c>
      <c r="UNC64" s="44">
        <f t="shared" si="359"/>
        <v>0</v>
      </c>
      <c r="UND64" s="44">
        <f t="shared" si="359"/>
        <v>0</v>
      </c>
      <c r="UNE64" s="44">
        <f t="shared" si="359"/>
        <v>0</v>
      </c>
      <c r="UNF64" s="44">
        <f t="shared" si="359"/>
        <v>0</v>
      </c>
      <c r="UNG64" s="44">
        <f t="shared" si="359"/>
        <v>0</v>
      </c>
      <c r="UNH64" s="44">
        <f t="shared" si="359"/>
        <v>0</v>
      </c>
      <c r="UNI64" s="44">
        <f t="shared" si="359"/>
        <v>0</v>
      </c>
      <c r="UNJ64" s="44">
        <f t="shared" si="359"/>
        <v>0</v>
      </c>
      <c r="UNK64" s="44">
        <f t="shared" si="359"/>
        <v>0</v>
      </c>
      <c r="UNL64" s="44">
        <f t="shared" si="359"/>
        <v>0</v>
      </c>
      <c r="UNM64" s="44">
        <f t="shared" si="359"/>
        <v>0</v>
      </c>
      <c r="UNN64" s="44">
        <f t="shared" si="359"/>
        <v>0</v>
      </c>
      <c r="UNO64" s="44">
        <f t="shared" si="359"/>
        <v>0</v>
      </c>
      <c r="UNP64" s="44">
        <f t="shared" si="359"/>
        <v>0</v>
      </c>
      <c r="UNQ64" s="44">
        <f t="shared" si="359"/>
        <v>0</v>
      </c>
      <c r="UNR64" s="44">
        <f t="shared" si="359"/>
        <v>0</v>
      </c>
      <c r="UNS64" s="44">
        <f t="shared" si="359"/>
        <v>0</v>
      </c>
      <c r="UNT64" s="44">
        <f t="shared" si="359"/>
        <v>0</v>
      </c>
      <c r="UNU64" s="44">
        <f t="shared" si="359"/>
        <v>0</v>
      </c>
      <c r="UNV64" s="44">
        <f t="shared" si="359"/>
        <v>0</v>
      </c>
      <c r="UNW64" s="44">
        <f t="shared" si="359"/>
        <v>0</v>
      </c>
      <c r="UNX64" s="44">
        <f t="shared" si="359"/>
        <v>0</v>
      </c>
      <c r="UNY64" s="44">
        <f t="shared" si="359"/>
        <v>0</v>
      </c>
      <c r="UNZ64" s="44">
        <f t="shared" si="359"/>
        <v>0</v>
      </c>
      <c r="UOA64" s="44">
        <f t="shared" si="359"/>
        <v>0</v>
      </c>
      <c r="UOB64" s="44">
        <f t="shared" si="359"/>
        <v>0</v>
      </c>
      <c r="UOC64" s="44">
        <f t="shared" si="359"/>
        <v>0</v>
      </c>
      <c r="UOD64" s="44">
        <f t="shared" si="359"/>
        <v>0</v>
      </c>
      <c r="UOE64" s="44">
        <f t="shared" si="359"/>
        <v>0</v>
      </c>
      <c r="UOF64" s="44">
        <f t="shared" si="359"/>
        <v>0</v>
      </c>
      <c r="UOG64" s="44">
        <f t="shared" si="359"/>
        <v>0</v>
      </c>
      <c r="UOH64" s="44">
        <f t="shared" si="359"/>
        <v>0</v>
      </c>
      <c r="UOI64" s="44">
        <f t="shared" si="359"/>
        <v>0</v>
      </c>
      <c r="UOJ64" s="44">
        <f t="shared" si="359"/>
        <v>0</v>
      </c>
      <c r="UOK64" s="44">
        <f t="shared" si="359"/>
        <v>0</v>
      </c>
      <c r="UOL64" s="44">
        <f t="shared" si="359"/>
        <v>0</v>
      </c>
      <c r="UOM64" s="44">
        <f t="shared" si="359"/>
        <v>0</v>
      </c>
      <c r="UON64" s="44">
        <f t="shared" si="359"/>
        <v>0</v>
      </c>
      <c r="UOO64" s="44">
        <f t="shared" si="359"/>
        <v>0</v>
      </c>
      <c r="UOP64" s="44">
        <f t="shared" si="359"/>
        <v>0</v>
      </c>
      <c r="UOQ64" s="44">
        <f t="shared" si="359"/>
        <v>0</v>
      </c>
      <c r="UOR64" s="44">
        <f t="shared" si="359"/>
        <v>0</v>
      </c>
      <c r="UOS64" s="44">
        <f t="shared" si="359"/>
        <v>0</v>
      </c>
      <c r="UOT64" s="44">
        <f t="shared" si="359"/>
        <v>0</v>
      </c>
      <c r="UOU64" s="44">
        <f t="shared" si="359"/>
        <v>0</v>
      </c>
      <c r="UOV64" s="44">
        <f t="shared" si="359"/>
        <v>0</v>
      </c>
      <c r="UOW64" s="44">
        <f t="shared" si="359"/>
        <v>0</v>
      </c>
      <c r="UOX64" s="44">
        <f t="shared" si="359"/>
        <v>0</v>
      </c>
      <c r="UOY64" s="44">
        <f t="shared" si="359"/>
        <v>0</v>
      </c>
      <c r="UOZ64" s="44">
        <f t="shared" si="359"/>
        <v>0</v>
      </c>
      <c r="UPA64" s="44">
        <f t="shared" si="359"/>
        <v>0</v>
      </c>
      <c r="UPB64" s="44">
        <f t="shared" ref="UPB64:URM64" si="360">SUM(UPB56:UPB57)</f>
        <v>0</v>
      </c>
      <c r="UPC64" s="44">
        <f t="shared" si="360"/>
        <v>0</v>
      </c>
      <c r="UPD64" s="44">
        <f t="shared" si="360"/>
        <v>0</v>
      </c>
      <c r="UPE64" s="44">
        <f t="shared" si="360"/>
        <v>0</v>
      </c>
      <c r="UPF64" s="44">
        <f t="shared" si="360"/>
        <v>0</v>
      </c>
      <c r="UPG64" s="44">
        <f t="shared" si="360"/>
        <v>0</v>
      </c>
      <c r="UPH64" s="44">
        <f t="shared" si="360"/>
        <v>0</v>
      </c>
      <c r="UPI64" s="44">
        <f t="shared" si="360"/>
        <v>0</v>
      </c>
      <c r="UPJ64" s="44">
        <f t="shared" si="360"/>
        <v>0</v>
      </c>
      <c r="UPK64" s="44">
        <f t="shared" si="360"/>
        <v>0</v>
      </c>
      <c r="UPL64" s="44">
        <f t="shared" si="360"/>
        <v>0</v>
      </c>
      <c r="UPM64" s="44">
        <f t="shared" si="360"/>
        <v>0</v>
      </c>
      <c r="UPN64" s="44">
        <f t="shared" si="360"/>
        <v>0</v>
      </c>
      <c r="UPO64" s="44">
        <f t="shared" si="360"/>
        <v>0</v>
      </c>
      <c r="UPP64" s="44">
        <f t="shared" si="360"/>
        <v>0</v>
      </c>
      <c r="UPQ64" s="44">
        <f t="shared" si="360"/>
        <v>0</v>
      </c>
      <c r="UPR64" s="44">
        <f t="shared" si="360"/>
        <v>0</v>
      </c>
      <c r="UPS64" s="44">
        <f t="shared" si="360"/>
        <v>0</v>
      </c>
      <c r="UPT64" s="44">
        <f t="shared" si="360"/>
        <v>0</v>
      </c>
      <c r="UPU64" s="44">
        <f t="shared" si="360"/>
        <v>0</v>
      </c>
      <c r="UPV64" s="44">
        <f t="shared" si="360"/>
        <v>0</v>
      </c>
      <c r="UPW64" s="44">
        <f t="shared" si="360"/>
        <v>0</v>
      </c>
      <c r="UPX64" s="44">
        <f t="shared" si="360"/>
        <v>0</v>
      </c>
      <c r="UPY64" s="44">
        <f t="shared" si="360"/>
        <v>0</v>
      </c>
      <c r="UPZ64" s="44">
        <f t="shared" si="360"/>
        <v>0</v>
      </c>
      <c r="UQA64" s="44">
        <f t="shared" si="360"/>
        <v>0</v>
      </c>
      <c r="UQB64" s="44">
        <f t="shared" si="360"/>
        <v>0</v>
      </c>
      <c r="UQC64" s="44">
        <f t="shared" si="360"/>
        <v>0</v>
      </c>
      <c r="UQD64" s="44">
        <f t="shared" si="360"/>
        <v>0</v>
      </c>
      <c r="UQE64" s="44">
        <f t="shared" si="360"/>
        <v>0</v>
      </c>
      <c r="UQF64" s="44">
        <f t="shared" si="360"/>
        <v>0</v>
      </c>
      <c r="UQG64" s="44">
        <f t="shared" si="360"/>
        <v>0</v>
      </c>
      <c r="UQH64" s="44">
        <f t="shared" si="360"/>
        <v>0</v>
      </c>
      <c r="UQI64" s="44">
        <f t="shared" si="360"/>
        <v>0</v>
      </c>
      <c r="UQJ64" s="44">
        <f t="shared" si="360"/>
        <v>0</v>
      </c>
      <c r="UQK64" s="44">
        <f t="shared" si="360"/>
        <v>0</v>
      </c>
      <c r="UQL64" s="44">
        <f t="shared" si="360"/>
        <v>0</v>
      </c>
      <c r="UQM64" s="44">
        <f t="shared" si="360"/>
        <v>0</v>
      </c>
      <c r="UQN64" s="44">
        <f t="shared" si="360"/>
        <v>0</v>
      </c>
      <c r="UQO64" s="44">
        <f t="shared" si="360"/>
        <v>0</v>
      </c>
      <c r="UQP64" s="44">
        <f t="shared" si="360"/>
        <v>0</v>
      </c>
      <c r="UQQ64" s="44">
        <f t="shared" si="360"/>
        <v>0</v>
      </c>
      <c r="UQR64" s="44">
        <f t="shared" si="360"/>
        <v>0</v>
      </c>
      <c r="UQS64" s="44">
        <f t="shared" si="360"/>
        <v>0</v>
      </c>
      <c r="UQT64" s="44">
        <f t="shared" si="360"/>
        <v>0</v>
      </c>
      <c r="UQU64" s="44">
        <f t="shared" si="360"/>
        <v>0</v>
      </c>
      <c r="UQV64" s="44">
        <f t="shared" si="360"/>
        <v>0</v>
      </c>
      <c r="UQW64" s="44">
        <f t="shared" si="360"/>
        <v>0</v>
      </c>
      <c r="UQX64" s="44">
        <f t="shared" si="360"/>
        <v>0</v>
      </c>
      <c r="UQY64" s="44">
        <f t="shared" si="360"/>
        <v>0</v>
      </c>
      <c r="UQZ64" s="44">
        <f t="shared" si="360"/>
        <v>0</v>
      </c>
      <c r="URA64" s="44">
        <f t="shared" si="360"/>
        <v>0</v>
      </c>
      <c r="URB64" s="44">
        <f t="shared" si="360"/>
        <v>0</v>
      </c>
      <c r="URC64" s="44">
        <f t="shared" si="360"/>
        <v>0</v>
      </c>
      <c r="URD64" s="44">
        <f t="shared" si="360"/>
        <v>0</v>
      </c>
      <c r="URE64" s="44">
        <f t="shared" si="360"/>
        <v>0</v>
      </c>
      <c r="URF64" s="44">
        <f t="shared" si="360"/>
        <v>0</v>
      </c>
      <c r="URG64" s="44">
        <f t="shared" si="360"/>
        <v>0</v>
      </c>
      <c r="URH64" s="44">
        <f t="shared" si="360"/>
        <v>0</v>
      </c>
      <c r="URI64" s="44">
        <f t="shared" si="360"/>
        <v>0</v>
      </c>
      <c r="URJ64" s="44">
        <f t="shared" si="360"/>
        <v>0</v>
      </c>
      <c r="URK64" s="44">
        <f t="shared" si="360"/>
        <v>0</v>
      </c>
      <c r="URL64" s="44">
        <f t="shared" si="360"/>
        <v>0</v>
      </c>
      <c r="URM64" s="44">
        <f t="shared" si="360"/>
        <v>0</v>
      </c>
      <c r="URN64" s="44">
        <f t="shared" ref="URN64:UTY64" si="361">SUM(URN56:URN57)</f>
        <v>0</v>
      </c>
      <c r="URO64" s="44">
        <f t="shared" si="361"/>
        <v>0</v>
      </c>
      <c r="URP64" s="44">
        <f t="shared" si="361"/>
        <v>0</v>
      </c>
      <c r="URQ64" s="44">
        <f t="shared" si="361"/>
        <v>0</v>
      </c>
      <c r="URR64" s="44">
        <f t="shared" si="361"/>
        <v>0</v>
      </c>
      <c r="URS64" s="44">
        <f t="shared" si="361"/>
        <v>0</v>
      </c>
      <c r="URT64" s="44">
        <f t="shared" si="361"/>
        <v>0</v>
      </c>
      <c r="URU64" s="44">
        <f t="shared" si="361"/>
        <v>0</v>
      </c>
      <c r="URV64" s="44">
        <f t="shared" si="361"/>
        <v>0</v>
      </c>
      <c r="URW64" s="44">
        <f t="shared" si="361"/>
        <v>0</v>
      </c>
      <c r="URX64" s="44">
        <f t="shared" si="361"/>
        <v>0</v>
      </c>
      <c r="URY64" s="44">
        <f t="shared" si="361"/>
        <v>0</v>
      </c>
      <c r="URZ64" s="44">
        <f t="shared" si="361"/>
        <v>0</v>
      </c>
      <c r="USA64" s="44">
        <f t="shared" si="361"/>
        <v>0</v>
      </c>
      <c r="USB64" s="44">
        <f t="shared" si="361"/>
        <v>0</v>
      </c>
      <c r="USC64" s="44">
        <f t="shared" si="361"/>
        <v>0</v>
      </c>
      <c r="USD64" s="44">
        <f t="shared" si="361"/>
        <v>0</v>
      </c>
      <c r="USE64" s="44">
        <f t="shared" si="361"/>
        <v>0</v>
      </c>
      <c r="USF64" s="44">
        <f t="shared" si="361"/>
        <v>0</v>
      </c>
      <c r="USG64" s="44">
        <f t="shared" si="361"/>
        <v>0</v>
      </c>
      <c r="USH64" s="44">
        <f t="shared" si="361"/>
        <v>0</v>
      </c>
      <c r="USI64" s="44">
        <f t="shared" si="361"/>
        <v>0</v>
      </c>
      <c r="USJ64" s="44">
        <f t="shared" si="361"/>
        <v>0</v>
      </c>
      <c r="USK64" s="44">
        <f t="shared" si="361"/>
        <v>0</v>
      </c>
      <c r="USL64" s="44">
        <f t="shared" si="361"/>
        <v>0</v>
      </c>
      <c r="USM64" s="44">
        <f t="shared" si="361"/>
        <v>0</v>
      </c>
      <c r="USN64" s="44">
        <f t="shared" si="361"/>
        <v>0</v>
      </c>
      <c r="USO64" s="44">
        <f t="shared" si="361"/>
        <v>0</v>
      </c>
      <c r="USP64" s="44">
        <f t="shared" si="361"/>
        <v>0</v>
      </c>
      <c r="USQ64" s="44">
        <f t="shared" si="361"/>
        <v>0</v>
      </c>
      <c r="USR64" s="44">
        <f t="shared" si="361"/>
        <v>0</v>
      </c>
      <c r="USS64" s="44">
        <f t="shared" si="361"/>
        <v>0</v>
      </c>
      <c r="UST64" s="44">
        <f t="shared" si="361"/>
        <v>0</v>
      </c>
      <c r="USU64" s="44">
        <f t="shared" si="361"/>
        <v>0</v>
      </c>
      <c r="USV64" s="44">
        <f t="shared" si="361"/>
        <v>0</v>
      </c>
      <c r="USW64" s="44">
        <f t="shared" si="361"/>
        <v>0</v>
      </c>
      <c r="USX64" s="44">
        <f t="shared" si="361"/>
        <v>0</v>
      </c>
      <c r="USY64" s="44">
        <f t="shared" si="361"/>
        <v>0</v>
      </c>
      <c r="USZ64" s="44">
        <f t="shared" si="361"/>
        <v>0</v>
      </c>
      <c r="UTA64" s="44">
        <f t="shared" si="361"/>
        <v>0</v>
      </c>
      <c r="UTB64" s="44">
        <f t="shared" si="361"/>
        <v>0</v>
      </c>
      <c r="UTC64" s="44">
        <f t="shared" si="361"/>
        <v>0</v>
      </c>
      <c r="UTD64" s="44">
        <f t="shared" si="361"/>
        <v>0</v>
      </c>
      <c r="UTE64" s="44">
        <f t="shared" si="361"/>
        <v>0</v>
      </c>
      <c r="UTF64" s="44">
        <f t="shared" si="361"/>
        <v>0</v>
      </c>
      <c r="UTG64" s="44">
        <f t="shared" si="361"/>
        <v>0</v>
      </c>
      <c r="UTH64" s="44">
        <f t="shared" si="361"/>
        <v>0</v>
      </c>
      <c r="UTI64" s="44">
        <f t="shared" si="361"/>
        <v>0</v>
      </c>
      <c r="UTJ64" s="44">
        <f t="shared" si="361"/>
        <v>0</v>
      </c>
      <c r="UTK64" s="44">
        <f t="shared" si="361"/>
        <v>0</v>
      </c>
      <c r="UTL64" s="44">
        <f t="shared" si="361"/>
        <v>0</v>
      </c>
      <c r="UTM64" s="44">
        <f t="shared" si="361"/>
        <v>0</v>
      </c>
      <c r="UTN64" s="44">
        <f t="shared" si="361"/>
        <v>0</v>
      </c>
      <c r="UTO64" s="44">
        <f t="shared" si="361"/>
        <v>0</v>
      </c>
      <c r="UTP64" s="44">
        <f t="shared" si="361"/>
        <v>0</v>
      </c>
      <c r="UTQ64" s="44">
        <f t="shared" si="361"/>
        <v>0</v>
      </c>
      <c r="UTR64" s="44">
        <f t="shared" si="361"/>
        <v>0</v>
      </c>
      <c r="UTS64" s="44">
        <f t="shared" si="361"/>
        <v>0</v>
      </c>
      <c r="UTT64" s="44">
        <f t="shared" si="361"/>
        <v>0</v>
      </c>
      <c r="UTU64" s="44">
        <f t="shared" si="361"/>
        <v>0</v>
      </c>
      <c r="UTV64" s="44">
        <f t="shared" si="361"/>
        <v>0</v>
      </c>
      <c r="UTW64" s="44">
        <f t="shared" si="361"/>
        <v>0</v>
      </c>
      <c r="UTX64" s="44">
        <f t="shared" si="361"/>
        <v>0</v>
      </c>
      <c r="UTY64" s="44">
        <f t="shared" si="361"/>
        <v>0</v>
      </c>
      <c r="UTZ64" s="44">
        <f t="shared" ref="UTZ64:UWK64" si="362">SUM(UTZ56:UTZ57)</f>
        <v>0</v>
      </c>
      <c r="UUA64" s="44">
        <f t="shared" si="362"/>
        <v>0</v>
      </c>
      <c r="UUB64" s="44">
        <f t="shared" si="362"/>
        <v>0</v>
      </c>
      <c r="UUC64" s="44">
        <f t="shared" si="362"/>
        <v>0</v>
      </c>
      <c r="UUD64" s="44">
        <f t="shared" si="362"/>
        <v>0</v>
      </c>
      <c r="UUE64" s="44">
        <f t="shared" si="362"/>
        <v>0</v>
      </c>
      <c r="UUF64" s="44">
        <f t="shared" si="362"/>
        <v>0</v>
      </c>
      <c r="UUG64" s="44">
        <f t="shared" si="362"/>
        <v>0</v>
      </c>
      <c r="UUH64" s="44">
        <f t="shared" si="362"/>
        <v>0</v>
      </c>
      <c r="UUI64" s="44">
        <f t="shared" si="362"/>
        <v>0</v>
      </c>
      <c r="UUJ64" s="44">
        <f t="shared" si="362"/>
        <v>0</v>
      </c>
      <c r="UUK64" s="44">
        <f t="shared" si="362"/>
        <v>0</v>
      </c>
      <c r="UUL64" s="44">
        <f t="shared" si="362"/>
        <v>0</v>
      </c>
      <c r="UUM64" s="44">
        <f t="shared" si="362"/>
        <v>0</v>
      </c>
      <c r="UUN64" s="44">
        <f t="shared" si="362"/>
        <v>0</v>
      </c>
      <c r="UUO64" s="44">
        <f t="shared" si="362"/>
        <v>0</v>
      </c>
      <c r="UUP64" s="44">
        <f t="shared" si="362"/>
        <v>0</v>
      </c>
      <c r="UUQ64" s="44">
        <f t="shared" si="362"/>
        <v>0</v>
      </c>
      <c r="UUR64" s="44">
        <f t="shared" si="362"/>
        <v>0</v>
      </c>
      <c r="UUS64" s="44">
        <f t="shared" si="362"/>
        <v>0</v>
      </c>
      <c r="UUT64" s="44">
        <f t="shared" si="362"/>
        <v>0</v>
      </c>
      <c r="UUU64" s="44">
        <f t="shared" si="362"/>
        <v>0</v>
      </c>
      <c r="UUV64" s="44">
        <f t="shared" si="362"/>
        <v>0</v>
      </c>
      <c r="UUW64" s="44">
        <f t="shared" si="362"/>
        <v>0</v>
      </c>
      <c r="UUX64" s="44">
        <f t="shared" si="362"/>
        <v>0</v>
      </c>
      <c r="UUY64" s="44">
        <f t="shared" si="362"/>
        <v>0</v>
      </c>
      <c r="UUZ64" s="44">
        <f t="shared" si="362"/>
        <v>0</v>
      </c>
      <c r="UVA64" s="44">
        <f t="shared" si="362"/>
        <v>0</v>
      </c>
      <c r="UVB64" s="44">
        <f t="shared" si="362"/>
        <v>0</v>
      </c>
      <c r="UVC64" s="44">
        <f t="shared" si="362"/>
        <v>0</v>
      </c>
      <c r="UVD64" s="44">
        <f t="shared" si="362"/>
        <v>0</v>
      </c>
      <c r="UVE64" s="44">
        <f t="shared" si="362"/>
        <v>0</v>
      </c>
      <c r="UVF64" s="44">
        <f t="shared" si="362"/>
        <v>0</v>
      </c>
      <c r="UVG64" s="44">
        <f t="shared" si="362"/>
        <v>0</v>
      </c>
      <c r="UVH64" s="44">
        <f t="shared" si="362"/>
        <v>0</v>
      </c>
      <c r="UVI64" s="44">
        <f t="shared" si="362"/>
        <v>0</v>
      </c>
      <c r="UVJ64" s="44">
        <f t="shared" si="362"/>
        <v>0</v>
      </c>
      <c r="UVK64" s="44">
        <f t="shared" si="362"/>
        <v>0</v>
      </c>
      <c r="UVL64" s="44">
        <f t="shared" si="362"/>
        <v>0</v>
      </c>
      <c r="UVM64" s="44">
        <f t="shared" si="362"/>
        <v>0</v>
      </c>
      <c r="UVN64" s="44">
        <f t="shared" si="362"/>
        <v>0</v>
      </c>
      <c r="UVO64" s="44">
        <f t="shared" si="362"/>
        <v>0</v>
      </c>
      <c r="UVP64" s="44">
        <f t="shared" si="362"/>
        <v>0</v>
      </c>
      <c r="UVQ64" s="44">
        <f t="shared" si="362"/>
        <v>0</v>
      </c>
      <c r="UVR64" s="44">
        <f t="shared" si="362"/>
        <v>0</v>
      </c>
      <c r="UVS64" s="44">
        <f t="shared" si="362"/>
        <v>0</v>
      </c>
      <c r="UVT64" s="44">
        <f t="shared" si="362"/>
        <v>0</v>
      </c>
      <c r="UVU64" s="44">
        <f t="shared" si="362"/>
        <v>0</v>
      </c>
      <c r="UVV64" s="44">
        <f t="shared" si="362"/>
        <v>0</v>
      </c>
      <c r="UVW64" s="44">
        <f t="shared" si="362"/>
        <v>0</v>
      </c>
      <c r="UVX64" s="44">
        <f t="shared" si="362"/>
        <v>0</v>
      </c>
      <c r="UVY64" s="44">
        <f t="shared" si="362"/>
        <v>0</v>
      </c>
      <c r="UVZ64" s="44">
        <f t="shared" si="362"/>
        <v>0</v>
      </c>
      <c r="UWA64" s="44">
        <f t="shared" si="362"/>
        <v>0</v>
      </c>
      <c r="UWB64" s="44">
        <f t="shared" si="362"/>
        <v>0</v>
      </c>
      <c r="UWC64" s="44">
        <f t="shared" si="362"/>
        <v>0</v>
      </c>
      <c r="UWD64" s="44">
        <f t="shared" si="362"/>
        <v>0</v>
      </c>
      <c r="UWE64" s="44">
        <f t="shared" si="362"/>
        <v>0</v>
      </c>
      <c r="UWF64" s="44">
        <f t="shared" si="362"/>
        <v>0</v>
      </c>
      <c r="UWG64" s="44">
        <f t="shared" si="362"/>
        <v>0</v>
      </c>
      <c r="UWH64" s="44">
        <f t="shared" si="362"/>
        <v>0</v>
      </c>
      <c r="UWI64" s="44">
        <f t="shared" si="362"/>
        <v>0</v>
      </c>
      <c r="UWJ64" s="44">
        <f t="shared" si="362"/>
        <v>0</v>
      </c>
      <c r="UWK64" s="44">
        <f t="shared" si="362"/>
        <v>0</v>
      </c>
      <c r="UWL64" s="44">
        <f t="shared" ref="UWL64:UYW64" si="363">SUM(UWL56:UWL57)</f>
        <v>0</v>
      </c>
      <c r="UWM64" s="44">
        <f t="shared" si="363"/>
        <v>0</v>
      </c>
      <c r="UWN64" s="44">
        <f t="shared" si="363"/>
        <v>0</v>
      </c>
      <c r="UWO64" s="44">
        <f t="shared" si="363"/>
        <v>0</v>
      </c>
      <c r="UWP64" s="44">
        <f t="shared" si="363"/>
        <v>0</v>
      </c>
      <c r="UWQ64" s="44">
        <f t="shared" si="363"/>
        <v>0</v>
      </c>
      <c r="UWR64" s="44">
        <f t="shared" si="363"/>
        <v>0</v>
      </c>
      <c r="UWS64" s="44">
        <f t="shared" si="363"/>
        <v>0</v>
      </c>
      <c r="UWT64" s="44">
        <f t="shared" si="363"/>
        <v>0</v>
      </c>
      <c r="UWU64" s="44">
        <f t="shared" si="363"/>
        <v>0</v>
      </c>
      <c r="UWV64" s="44">
        <f t="shared" si="363"/>
        <v>0</v>
      </c>
      <c r="UWW64" s="44">
        <f t="shared" si="363"/>
        <v>0</v>
      </c>
      <c r="UWX64" s="44">
        <f t="shared" si="363"/>
        <v>0</v>
      </c>
      <c r="UWY64" s="44">
        <f t="shared" si="363"/>
        <v>0</v>
      </c>
      <c r="UWZ64" s="44">
        <f t="shared" si="363"/>
        <v>0</v>
      </c>
      <c r="UXA64" s="44">
        <f t="shared" si="363"/>
        <v>0</v>
      </c>
      <c r="UXB64" s="44">
        <f t="shared" si="363"/>
        <v>0</v>
      </c>
      <c r="UXC64" s="44">
        <f t="shared" si="363"/>
        <v>0</v>
      </c>
      <c r="UXD64" s="44">
        <f t="shared" si="363"/>
        <v>0</v>
      </c>
      <c r="UXE64" s="44">
        <f t="shared" si="363"/>
        <v>0</v>
      </c>
      <c r="UXF64" s="44">
        <f t="shared" si="363"/>
        <v>0</v>
      </c>
      <c r="UXG64" s="44">
        <f t="shared" si="363"/>
        <v>0</v>
      </c>
      <c r="UXH64" s="44">
        <f t="shared" si="363"/>
        <v>0</v>
      </c>
      <c r="UXI64" s="44">
        <f t="shared" si="363"/>
        <v>0</v>
      </c>
      <c r="UXJ64" s="44">
        <f t="shared" si="363"/>
        <v>0</v>
      </c>
      <c r="UXK64" s="44">
        <f t="shared" si="363"/>
        <v>0</v>
      </c>
      <c r="UXL64" s="44">
        <f t="shared" si="363"/>
        <v>0</v>
      </c>
      <c r="UXM64" s="44">
        <f t="shared" si="363"/>
        <v>0</v>
      </c>
      <c r="UXN64" s="44">
        <f t="shared" si="363"/>
        <v>0</v>
      </c>
      <c r="UXO64" s="44">
        <f t="shared" si="363"/>
        <v>0</v>
      </c>
      <c r="UXP64" s="44">
        <f t="shared" si="363"/>
        <v>0</v>
      </c>
      <c r="UXQ64" s="44">
        <f t="shared" si="363"/>
        <v>0</v>
      </c>
      <c r="UXR64" s="44">
        <f t="shared" si="363"/>
        <v>0</v>
      </c>
      <c r="UXS64" s="44">
        <f t="shared" si="363"/>
        <v>0</v>
      </c>
      <c r="UXT64" s="44">
        <f t="shared" si="363"/>
        <v>0</v>
      </c>
      <c r="UXU64" s="44">
        <f t="shared" si="363"/>
        <v>0</v>
      </c>
      <c r="UXV64" s="44">
        <f t="shared" si="363"/>
        <v>0</v>
      </c>
      <c r="UXW64" s="44">
        <f t="shared" si="363"/>
        <v>0</v>
      </c>
      <c r="UXX64" s="44">
        <f t="shared" si="363"/>
        <v>0</v>
      </c>
      <c r="UXY64" s="44">
        <f t="shared" si="363"/>
        <v>0</v>
      </c>
      <c r="UXZ64" s="44">
        <f t="shared" si="363"/>
        <v>0</v>
      </c>
      <c r="UYA64" s="44">
        <f t="shared" si="363"/>
        <v>0</v>
      </c>
      <c r="UYB64" s="44">
        <f t="shared" si="363"/>
        <v>0</v>
      </c>
      <c r="UYC64" s="44">
        <f t="shared" si="363"/>
        <v>0</v>
      </c>
      <c r="UYD64" s="44">
        <f t="shared" si="363"/>
        <v>0</v>
      </c>
      <c r="UYE64" s="44">
        <f t="shared" si="363"/>
        <v>0</v>
      </c>
      <c r="UYF64" s="44">
        <f t="shared" si="363"/>
        <v>0</v>
      </c>
      <c r="UYG64" s="44">
        <f t="shared" si="363"/>
        <v>0</v>
      </c>
      <c r="UYH64" s="44">
        <f t="shared" si="363"/>
        <v>0</v>
      </c>
      <c r="UYI64" s="44">
        <f t="shared" si="363"/>
        <v>0</v>
      </c>
      <c r="UYJ64" s="44">
        <f t="shared" si="363"/>
        <v>0</v>
      </c>
      <c r="UYK64" s="44">
        <f t="shared" si="363"/>
        <v>0</v>
      </c>
      <c r="UYL64" s="44">
        <f t="shared" si="363"/>
        <v>0</v>
      </c>
      <c r="UYM64" s="44">
        <f t="shared" si="363"/>
        <v>0</v>
      </c>
      <c r="UYN64" s="44">
        <f t="shared" si="363"/>
        <v>0</v>
      </c>
      <c r="UYO64" s="44">
        <f t="shared" si="363"/>
        <v>0</v>
      </c>
      <c r="UYP64" s="44">
        <f t="shared" si="363"/>
        <v>0</v>
      </c>
      <c r="UYQ64" s="44">
        <f t="shared" si="363"/>
        <v>0</v>
      </c>
      <c r="UYR64" s="44">
        <f t="shared" si="363"/>
        <v>0</v>
      </c>
      <c r="UYS64" s="44">
        <f t="shared" si="363"/>
        <v>0</v>
      </c>
      <c r="UYT64" s="44">
        <f t="shared" si="363"/>
        <v>0</v>
      </c>
      <c r="UYU64" s="44">
        <f t="shared" si="363"/>
        <v>0</v>
      </c>
      <c r="UYV64" s="44">
        <f t="shared" si="363"/>
        <v>0</v>
      </c>
      <c r="UYW64" s="44">
        <f t="shared" si="363"/>
        <v>0</v>
      </c>
      <c r="UYX64" s="44">
        <f t="shared" ref="UYX64:VBI64" si="364">SUM(UYX56:UYX57)</f>
        <v>0</v>
      </c>
      <c r="UYY64" s="44">
        <f t="shared" si="364"/>
        <v>0</v>
      </c>
      <c r="UYZ64" s="44">
        <f t="shared" si="364"/>
        <v>0</v>
      </c>
      <c r="UZA64" s="44">
        <f t="shared" si="364"/>
        <v>0</v>
      </c>
      <c r="UZB64" s="44">
        <f t="shared" si="364"/>
        <v>0</v>
      </c>
      <c r="UZC64" s="44">
        <f t="shared" si="364"/>
        <v>0</v>
      </c>
      <c r="UZD64" s="44">
        <f t="shared" si="364"/>
        <v>0</v>
      </c>
      <c r="UZE64" s="44">
        <f t="shared" si="364"/>
        <v>0</v>
      </c>
      <c r="UZF64" s="44">
        <f t="shared" si="364"/>
        <v>0</v>
      </c>
      <c r="UZG64" s="44">
        <f t="shared" si="364"/>
        <v>0</v>
      </c>
      <c r="UZH64" s="44">
        <f t="shared" si="364"/>
        <v>0</v>
      </c>
      <c r="UZI64" s="44">
        <f t="shared" si="364"/>
        <v>0</v>
      </c>
      <c r="UZJ64" s="44">
        <f t="shared" si="364"/>
        <v>0</v>
      </c>
      <c r="UZK64" s="44">
        <f t="shared" si="364"/>
        <v>0</v>
      </c>
      <c r="UZL64" s="44">
        <f t="shared" si="364"/>
        <v>0</v>
      </c>
      <c r="UZM64" s="44">
        <f t="shared" si="364"/>
        <v>0</v>
      </c>
      <c r="UZN64" s="44">
        <f t="shared" si="364"/>
        <v>0</v>
      </c>
      <c r="UZO64" s="44">
        <f t="shared" si="364"/>
        <v>0</v>
      </c>
      <c r="UZP64" s="44">
        <f t="shared" si="364"/>
        <v>0</v>
      </c>
      <c r="UZQ64" s="44">
        <f t="shared" si="364"/>
        <v>0</v>
      </c>
      <c r="UZR64" s="44">
        <f t="shared" si="364"/>
        <v>0</v>
      </c>
      <c r="UZS64" s="44">
        <f t="shared" si="364"/>
        <v>0</v>
      </c>
      <c r="UZT64" s="44">
        <f t="shared" si="364"/>
        <v>0</v>
      </c>
      <c r="UZU64" s="44">
        <f t="shared" si="364"/>
        <v>0</v>
      </c>
      <c r="UZV64" s="44">
        <f t="shared" si="364"/>
        <v>0</v>
      </c>
      <c r="UZW64" s="44">
        <f t="shared" si="364"/>
        <v>0</v>
      </c>
      <c r="UZX64" s="44">
        <f t="shared" si="364"/>
        <v>0</v>
      </c>
      <c r="UZY64" s="44">
        <f t="shared" si="364"/>
        <v>0</v>
      </c>
      <c r="UZZ64" s="44">
        <f t="shared" si="364"/>
        <v>0</v>
      </c>
      <c r="VAA64" s="44">
        <f t="shared" si="364"/>
        <v>0</v>
      </c>
      <c r="VAB64" s="44">
        <f t="shared" si="364"/>
        <v>0</v>
      </c>
      <c r="VAC64" s="44">
        <f t="shared" si="364"/>
        <v>0</v>
      </c>
      <c r="VAD64" s="44">
        <f t="shared" si="364"/>
        <v>0</v>
      </c>
      <c r="VAE64" s="44">
        <f t="shared" si="364"/>
        <v>0</v>
      </c>
      <c r="VAF64" s="44">
        <f t="shared" si="364"/>
        <v>0</v>
      </c>
      <c r="VAG64" s="44">
        <f t="shared" si="364"/>
        <v>0</v>
      </c>
      <c r="VAH64" s="44">
        <f t="shared" si="364"/>
        <v>0</v>
      </c>
      <c r="VAI64" s="44">
        <f t="shared" si="364"/>
        <v>0</v>
      </c>
      <c r="VAJ64" s="44">
        <f t="shared" si="364"/>
        <v>0</v>
      </c>
      <c r="VAK64" s="44">
        <f t="shared" si="364"/>
        <v>0</v>
      </c>
      <c r="VAL64" s="44">
        <f t="shared" si="364"/>
        <v>0</v>
      </c>
      <c r="VAM64" s="44">
        <f t="shared" si="364"/>
        <v>0</v>
      </c>
      <c r="VAN64" s="44">
        <f t="shared" si="364"/>
        <v>0</v>
      </c>
      <c r="VAO64" s="44">
        <f t="shared" si="364"/>
        <v>0</v>
      </c>
      <c r="VAP64" s="44">
        <f t="shared" si="364"/>
        <v>0</v>
      </c>
      <c r="VAQ64" s="44">
        <f t="shared" si="364"/>
        <v>0</v>
      </c>
      <c r="VAR64" s="44">
        <f t="shared" si="364"/>
        <v>0</v>
      </c>
      <c r="VAS64" s="44">
        <f t="shared" si="364"/>
        <v>0</v>
      </c>
      <c r="VAT64" s="44">
        <f t="shared" si="364"/>
        <v>0</v>
      </c>
      <c r="VAU64" s="44">
        <f t="shared" si="364"/>
        <v>0</v>
      </c>
      <c r="VAV64" s="44">
        <f t="shared" si="364"/>
        <v>0</v>
      </c>
      <c r="VAW64" s="44">
        <f t="shared" si="364"/>
        <v>0</v>
      </c>
      <c r="VAX64" s="44">
        <f t="shared" si="364"/>
        <v>0</v>
      </c>
      <c r="VAY64" s="44">
        <f t="shared" si="364"/>
        <v>0</v>
      </c>
      <c r="VAZ64" s="44">
        <f t="shared" si="364"/>
        <v>0</v>
      </c>
      <c r="VBA64" s="44">
        <f t="shared" si="364"/>
        <v>0</v>
      </c>
      <c r="VBB64" s="44">
        <f t="shared" si="364"/>
        <v>0</v>
      </c>
      <c r="VBC64" s="44">
        <f t="shared" si="364"/>
        <v>0</v>
      </c>
      <c r="VBD64" s="44">
        <f t="shared" si="364"/>
        <v>0</v>
      </c>
      <c r="VBE64" s="44">
        <f t="shared" si="364"/>
        <v>0</v>
      </c>
      <c r="VBF64" s="44">
        <f t="shared" si="364"/>
        <v>0</v>
      </c>
      <c r="VBG64" s="44">
        <f t="shared" si="364"/>
        <v>0</v>
      </c>
      <c r="VBH64" s="44">
        <f t="shared" si="364"/>
        <v>0</v>
      </c>
      <c r="VBI64" s="44">
        <f t="shared" si="364"/>
        <v>0</v>
      </c>
      <c r="VBJ64" s="44">
        <f t="shared" ref="VBJ64:VDU64" si="365">SUM(VBJ56:VBJ57)</f>
        <v>0</v>
      </c>
      <c r="VBK64" s="44">
        <f t="shared" si="365"/>
        <v>0</v>
      </c>
      <c r="VBL64" s="44">
        <f t="shared" si="365"/>
        <v>0</v>
      </c>
      <c r="VBM64" s="44">
        <f t="shared" si="365"/>
        <v>0</v>
      </c>
      <c r="VBN64" s="44">
        <f t="shared" si="365"/>
        <v>0</v>
      </c>
      <c r="VBO64" s="44">
        <f t="shared" si="365"/>
        <v>0</v>
      </c>
      <c r="VBP64" s="44">
        <f t="shared" si="365"/>
        <v>0</v>
      </c>
      <c r="VBQ64" s="44">
        <f t="shared" si="365"/>
        <v>0</v>
      </c>
      <c r="VBR64" s="44">
        <f t="shared" si="365"/>
        <v>0</v>
      </c>
      <c r="VBS64" s="44">
        <f t="shared" si="365"/>
        <v>0</v>
      </c>
      <c r="VBT64" s="44">
        <f t="shared" si="365"/>
        <v>0</v>
      </c>
      <c r="VBU64" s="44">
        <f t="shared" si="365"/>
        <v>0</v>
      </c>
      <c r="VBV64" s="44">
        <f t="shared" si="365"/>
        <v>0</v>
      </c>
      <c r="VBW64" s="44">
        <f t="shared" si="365"/>
        <v>0</v>
      </c>
      <c r="VBX64" s="44">
        <f t="shared" si="365"/>
        <v>0</v>
      </c>
      <c r="VBY64" s="44">
        <f t="shared" si="365"/>
        <v>0</v>
      </c>
      <c r="VBZ64" s="44">
        <f t="shared" si="365"/>
        <v>0</v>
      </c>
      <c r="VCA64" s="44">
        <f t="shared" si="365"/>
        <v>0</v>
      </c>
      <c r="VCB64" s="44">
        <f t="shared" si="365"/>
        <v>0</v>
      </c>
      <c r="VCC64" s="44">
        <f t="shared" si="365"/>
        <v>0</v>
      </c>
      <c r="VCD64" s="44">
        <f t="shared" si="365"/>
        <v>0</v>
      </c>
      <c r="VCE64" s="44">
        <f t="shared" si="365"/>
        <v>0</v>
      </c>
      <c r="VCF64" s="44">
        <f t="shared" si="365"/>
        <v>0</v>
      </c>
      <c r="VCG64" s="44">
        <f t="shared" si="365"/>
        <v>0</v>
      </c>
      <c r="VCH64" s="44">
        <f t="shared" si="365"/>
        <v>0</v>
      </c>
      <c r="VCI64" s="44">
        <f t="shared" si="365"/>
        <v>0</v>
      </c>
      <c r="VCJ64" s="44">
        <f t="shared" si="365"/>
        <v>0</v>
      </c>
      <c r="VCK64" s="44">
        <f t="shared" si="365"/>
        <v>0</v>
      </c>
      <c r="VCL64" s="44">
        <f t="shared" si="365"/>
        <v>0</v>
      </c>
      <c r="VCM64" s="44">
        <f t="shared" si="365"/>
        <v>0</v>
      </c>
      <c r="VCN64" s="44">
        <f t="shared" si="365"/>
        <v>0</v>
      </c>
      <c r="VCO64" s="44">
        <f t="shared" si="365"/>
        <v>0</v>
      </c>
      <c r="VCP64" s="44">
        <f t="shared" si="365"/>
        <v>0</v>
      </c>
      <c r="VCQ64" s="44">
        <f t="shared" si="365"/>
        <v>0</v>
      </c>
      <c r="VCR64" s="44">
        <f t="shared" si="365"/>
        <v>0</v>
      </c>
      <c r="VCS64" s="44">
        <f t="shared" si="365"/>
        <v>0</v>
      </c>
      <c r="VCT64" s="44">
        <f t="shared" si="365"/>
        <v>0</v>
      </c>
      <c r="VCU64" s="44">
        <f t="shared" si="365"/>
        <v>0</v>
      </c>
      <c r="VCV64" s="44">
        <f t="shared" si="365"/>
        <v>0</v>
      </c>
      <c r="VCW64" s="44">
        <f t="shared" si="365"/>
        <v>0</v>
      </c>
      <c r="VCX64" s="44">
        <f t="shared" si="365"/>
        <v>0</v>
      </c>
      <c r="VCY64" s="44">
        <f t="shared" si="365"/>
        <v>0</v>
      </c>
      <c r="VCZ64" s="44">
        <f t="shared" si="365"/>
        <v>0</v>
      </c>
      <c r="VDA64" s="44">
        <f t="shared" si="365"/>
        <v>0</v>
      </c>
      <c r="VDB64" s="44">
        <f t="shared" si="365"/>
        <v>0</v>
      </c>
      <c r="VDC64" s="44">
        <f t="shared" si="365"/>
        <v>0</v>
      </c>
      <c r="VDD64" s="44">
        <f t="shared" si="365"/>
        <v>0</v>
      </c>
      <c r="VDE64" s="44">
        <f t="shared" si="365"/>
        <v>0</v>
      </c>
      <c r="VDF64" s="44">
        <f t="shared" si="365"/>
        <v>0</v>
      </c>
      <c r="VDG64" s="44">
        <f t="shared" si="365"/>
        <v>0</v>
      </c>
      <c r="VDH64" s="44">
        <f t="shared" si="365"/>
        <v>0</v>
      </c>
      <c r="VDI64" s="44">
        <f t="shared" si="365"/>
        <v>0</v>
      </c>
      <c r="VDJ64" s="44">
        <f t="shared" si="365"/>
        <v>0</v>
      </c>
      <c r="VDK64" s="44">
        <f t="shared" si="365"/>
        <v>0</v>
      </c>
      <c r="VDL64" s="44">
        <f t="shared" si="365"/>
        <v>0</v>
      </c>
      <c r="VDM64" s="44">
        <f t="shared" si="365"/>
        <v>0</v>
      </c>
      <c r="VDN64" s="44">
        <f t="shared" si="365"/>
        <v>0</v>
      </c>
      <c r="VDO64" s="44">
        <f t="shared" si="365"/>
        <v>0</v>
      </c>
      <c r="VDP64" s="44">
        <f t="shared" si="365"/>
        <v>0</v>
      </c>
      <c r="VDQ64" s="44">
        <f t="shared" si="365"/>
        <v>0</v>
      </c>
      <c r="VDR64" s="44">
        <f t="shared" si="365"/>
        <v>0</v>
      </c>
      <c r="VDS64" s="44">
        <f t="shared" si="365"/>
        <v>0</v>
      </c>
      <c r="VDT64" s="44">
        <f t="shared" si="365"/>
        <v>0</v>
      </c>
      <c r="VDU64" s="44">
        <f t="shared" si="365"/>
        <v>0</v>
      </c>
      <c r="VDV64" s="44">
        <f t="shared" ref="VDV64:VGG64" si="366">SUM(VDV56:VDV57)</f>
        <v>0</v>
      </c>
      <c r="VDW64" s="44">
        <f t="shared" si="366"/>
        <v>0</v>
      </c>
      <c r="VDX64" s="44">
        <f t="shared" si="366"/>
        <v>0</v>
      </c>
      <c r="VDY64" s="44">
        <f t="shared" si="366"/>
        <v>0</v>
      </c>
      <c r="VDZ64" s="44">
        <f t="shared" si="366"/>
        <v>0</v>
      </c>
      <c r="VEA64" s="44">
        <f t="shared" si="366"/>
        <v>0</v>
      </c>
      <c r="VEB64" s="44">
        <f t="shared" si="366"/>
        <v>0</v>
      </c>
      <c r="VEC64" s="44">
        <f t="shared" si="366"/>
        <v>0</v>
      </c>
      <c r="VED64" s="44">
        <f t="shared" si="366"/>
        <v>0</v>
      </c>
      <c r="VEE64" s="44">
        <f t="shared" si="366"/>
        <v>0</v>
      </c>
      <c r="VEF64" s="44">
        <f t="shared" si="366"/>
        <v>0</v>
      </c>
      <c r="VEG64" s="44">
        <f t="shared" si="366"/>
        <v>0</v>
      </c>
      <c r="VEH64" s="44">
        <f t="shared" si="366"/>
        <v>0</v>
      </c>
      <c r="VEI64" s="44">
        <f t="shared" si="366"/>
        <v>0</v>
      </c>
      <c r="VEJ64" s="44">
        <f t="shared" si="366"/>
        <v>0</v>
      </c>
      <c r="VEK64" s="44">
        <f t="shared" si="366"/>
        <v>0</v>
      </c>
      <c r="VEL64" s="44">
        <f t="shared" si="366"/>
        <v>0</v>
      </c>
      <c r="VEM64" s="44">
        <f t="shared" si="366"/>
        <v>0</v>
      </c>
      <c r="VEN64" s="44">
        <f t="shared" si="366"/>
        <v>0</v>
      </c>
      <c r="VEO64" s="44">
        <f t="shared" si="366"/>
        <v>0</v>
      </c>
      <c r="VEP64" s="44">
        <f t="shared" si="366"/>
        <v>0</v>
      </c>
      <c r="VEQ64" s="44">
        <f t="shared" si="366"/>
        <v>0</v>
      </c>
      <c r="VER64" s="44">
        <f t="shared" si="366"/>
        <v>0</v>
      </c>
      <c r="VES64" s="44">
        <f t="shared" si="366"/>
        <v>0</v>
      </c>
      <c r="VET64" s="44">
        <f t="shared" si="366"/>
        <v>0</v>
      </c>
      <c r="VEU64" s="44">
        <f t="shared" si="366"/>
        <v>0</v>
      </c>
      <c r="VEV64" s="44">
        <f t="shared" si="366"/>
        <v>0</v>
      </c>
      <c r="VEW64" s="44">
        <f t="shared" si="366"/>
        <v>0</v>
      </c>
      <c r="VEX64" s="44">
        <f t="shared" si="366"/>
        <v>0</v>
      </c>
      <c r="VEY64" s="44">
        <f t="shared" si="366"/>
        <v>0</v>
      </c>
      <c r="VEZ64" s="44">
        <f t="shared" si="366"/>
        <v>0</v>
      </c>
      <c r="VFA64" s="44">
        <f t="shared" si="366"/>
        <v>0</v>
      </c>
      <c r="VFB64" s="44">
        <f t="shared" si="366"/>
        <v>0</v>
      </c>
      <c r="VFC64" s="44">
        <f t="shared" si="366"/>
        <v>0</v>
      </c>
      <c r="VFD64" s="44">
        <f t="shared" si="366"/>
        <v>0</v>
      </c>
      <c r="VFE64" s="44">
        <f t="shared" si="366"/>
        <v>0</v>
      </c>
      <c r="VFF64" s="44">
        <f t="shared" si="366"/>
        <v>0</v>
      </c>
      <c r="VFG64" s="44">
        <f t="shared" si="366"/>
        <v>0</v>
      </c>
      <c r="VFH64" s="44">
        <f t="shared" si="366"/>
        <v>0</v>
      </c>
      <c r="VFI64" s="44">
        <f t="shared" si="366"/>
        <v>0</v>
      </c>
      <c r="VFJ64" s="44">
        <f t="shared" si="366"/>
        <v>0</v>
      </c>
      <c r="VFK64" s="44">
        <f t="shared" si="366"/>
        <v>0</v>
      </c>
      <c r="VFL64" s="44">
        <f t="shared" si="366"/>
        <v>0</v>
      </c>
      <c r="VFM64" s="44">
        <f t="shared" si="366"/>
        <v>0</v>
      </c>
      <c r="VFN64" s="44">
        <f t="shared" si="366"/>
        <v>0</v>
      </c>
      <c r="VFO64" s="44">
        <f t="shared" si="366"/>
        <v>0</v>
      </c>
      <c r="VFP64" s="44">
        <f t="shared" si="366"/>
        <v>0</v>
      </c>
      <c r="VFQ64" s="44">
        <f t="shared" si="366"/>
        <v>0</v>
      </c>
      <c r="VFR64" s="44">
        <f t="shared" si="366"/>
        <v>0</v>
      </c>
      <c r="VFS64" s="44">
        <f t="shared" si="366"/>
        <v>0</v>
      </c>
      <c r="VFT64" s="44">
        <f t="shared" si="366"/>
        <v>0</v>
      </c>
      <c r="VFU64" s="44">
        <f t="shared" si="366"/>
        <v>0</v>
      </c>
      <c r="VFV64" s="44">
        <f t="shared" si="366"/>
        <v>0</v>
      </c>
      <c r="VFW64" s="44">
        <f t="shared" si="366"/>
        <v>0</v>
      </c>
      <c r="VFX64" s="44">
        <f t="shared" si="366"/>
        <v>0</v>
      </c>
      <c r="VFY64" s="44">
        <f t="shared" si="366"/>
        <v>0</v>
      </c>
      <c r="VFZ64" s="44">
        <f t="shared" si="366"/>
        <v>0</v>
      </c>
      <c r="VGA64" s="44">
        <f t="shared" si="366"/>
        <v>0</v>
      </c>
      <c r="VGB64" s="44">
        <f t="shared" si="366"/>
        <v>0</v>
      </c>
      <c r="VGC64" s="44">
        <f t="shared" si="366"/>
        <v>0</v>
      </c>
      <c r="VGD64" s="44">
        <f t="shared" si="366"/>
        <v>0</v>
      </c>
      <c r="VGE64" s="44">
        <f t="shared" si="366"/>
        <v>0</v>
      </c>
      <c r="VGF64" s="44">
        <f t="shared" si="366"/>
        <v>0</v>
      </c>
      <c r="VGG64" s="44">
        <f t="shared" si="366"/>
        <v>0</v>
      </c>
      <c r="VGH64" s="44">
        <f t="shared" ref="VGH64:VIS64" si="367">SUM(VGH56:VGH57)</f>
        <v>0</v>
      </c>
      <c r="VGI64" s="44">
        <f t="shared" si="367"/>
        <v>0</v>
      </c>
      <c r="VGJ64" s="44">
        <f t="shared" si="367"/>
        <v>0</v>
      </c>
      <c r="VGK64" s="44">
        <f t="shared" si="367"/>
        <v>0</v>
      </c>
      <c r="VGL64" s="44">
        <f t="shared" si="367"/>
        <v>0</v>
      </c>
      <c r="VGM64" s="44">
        <f t="shared" si="367"/>
        <v>0</v>
      </c>
      <c r="VGN64" s="44">
        <f t="shared" si="367"/>
        <v>0</v>
      </c>
      <c r="VGO64" s="44">
        <f t="shared" si="367"/>
        <v>0</v>
      </c>
      <c r="VGP64" s="44">
        <f t="shared" si="367"/>
        <v>0</v>
      </c>
      <c r="VGQ64" s="44">
        <f t="shared" si="367"/>
        <v>0</v>
      </c>
      <c r="VGR64" s="44">
        <f t="shared" si="367"/>
        <v>0</v>
      </c>
      <c r="VGS64" s="44">
        <f t="shared" si="367"/>
        <v>0</v>
      </c>
      <c r="VGT64" s="44">
        <f t="shared" si="367"/>
        <v>0</v>
      </c>
      <c r="VGU64" s="44">
        <f t="shared" si="367"/>
        <v>0</v>
      </c>
      <c r="VGV64" s="44">
        <f t="shared" si="367"/>
        <v>0</v>
      </c>
      <c r="VGW64" s="44">
        <f t="shared" si="367"/>
        <v>0</v>
      </c>
      <c r="VGX64" s="44">
        <f t="shared" si="367"/>
        <v>0</v>
      </c>
      <c r="VGY64" s="44">
        <f t="shared" si="367"/>
        <v>0</v>
      </c>
      <c r="VGZ64" s="44">
        <f t="shared" si="367"/>
        <v>0</v>
      </c>
      <c r="VHA64" s="44">
        <f t="shared" si="367"/>
        <v>0</v>
      </c>
      <c r="VHB64" s="44">
        <f t="shared" si="367"/>
        <v>0</v>
      </c>
      <c r="VHC64" s="44">
        <f t="shared" si="367"/>
        <v>0</v>
      </c>
      <c r="VHD64" s="44">
        <f t="shared" si="367"/>
        <v>0</v>
      </c>
      <c r="VHE64" s="44">
        <f t="shared" si="367"/>
        <v>0</v>
      </c>
      <c r="VHF64" s="44">
        <f t="shared" si="367"/>
        <v>0</v>
      </c>
      <c r="VHG64" s="44">
        <f t="shared" si="367"/>
        <v>0</v>
      </c>
      <c r="VHH64" s="44">
        <f t="shared" si="367"/>
        <v>0</v>
      </c>
      <c r="VHI64" s="44">
        <f t="shared" si="367"/>
        <v>0</v>
      </c>
      <c r="VHJ64" s="44">
        <f t="shared" si="367"/>
        <v>0</v>
      </c>
      <c r="VHK64" s="44">
        <f t="shared" si="367"/>
        <v>0</v>
      </c>
      <c r="VHL64" s="44">
        <f t="shared" si="367"/>
        <v>0</v>
      </c>
      <c r="VHM64" s="44">
        <f t="shared" si="367"/>
        <v>0</v>
      </c>
      <c r="VHN64" s="44">
        <f t="shared" si="367"/>
        <v>0</v>
      </c>
      <c r="VHO64" s="44">
        <f t="shared" si="367"/>
        <v>0</v>
      </c>
      <c r="VHP64" s="44">
        <f t="shared" si="367"/>
        <v>0</v>
      </c>
      <c r="VHQ64" s="44">
        <f t="shared" si="367"/>
        <v>0</v>
      </c>
      <c r="VHR64" s="44">
        <f t="shared" si="367"/>
        <v>0</v>
      </c>
      <c r="VHS64" s="44">
        <f t="shared" si="367"/>
        <v>0</v>
      </c>
      <c r="VHT64" s="44">
        <f t="shared" si="367"/>
        <v>0</v>
      </c>
      <c r="VHU64" s="44">
        <f t="shared" si="367"/>
        <v>0</v>
      </c>
      <c r="VHV64" s="44">
        <f t="shared" si="367"/>
        <v>0</v>
      </c>
      <c r="VHW64" s="44">
        <f t="shared" si="367"/>
        <v>0</v>
      </c>
      <c r="VHX64" s="44">
        <f t="shared" si="367"/>
        <v>0</v>
      </c>
      <c r="VHY64" s="44">
        <f t="shared" si="367"/>
        <v>0</v>
      </c>
      <c r="VHZ64" s="44">
        <f t="shared" si="367"/>
        <v>0</v>
      </c>
      <c r="VIA64" s="44">
        <f t="shared" si="367"/>
        <v>0</v>
      </c>
      <c r="VIB64" s="44">
        <f t="shared" si="367"/>
        <v>0</v>
      </c>
      <c r="VIC64" s="44">
        <f t="shared" si="367"/>
        <v>0</v>
      </c>
      <c r="VID64" s="44">
        <f t="shared" si="367"/>
        <v>0</v>
      </c>
      <c r="VIE64" s="44">
        <f t="shared" si="367"/>
        <v>0</v>
      </c>
      <c r="VIF64" s="44">
        <f t="shared" si="367"/>
        <v>0</v>
      </c>
      <c r="VIG64" s="44">
        <f t="shared" si="367"/>
        <v>0</v>
      </c>
      <c r="VIH64" s="44">
        <f t="shared" si="367"/>
        <v>0</v>
      </c>
      <c r="VII64" s="44">
        <f t="shared" si="367"/>
        <v>0</v>
      </c>
      <c r="VIJ64" s="44">
        <f t="shared" si="367"/>
        <v>0</v>
      </c>
      <c r="VIK64" s="44">
        <f t="shared" si="367"/>
        <v>0</v>
      </c>
      <c r="VIL64" s="44">
        <f t="shared" si="367"/>
        <v>0</v>
      </c>
      <c r="VIM64" s="44">
        <f t="shared" si="367"/>
        <v>0</v>
      </c>
      <c r="VIN64" s="44">
        <f t="shared" si="367"/>
        <v>0</v>
      </c>
      <c r="VIO64" s="44">
        <f t="shared" si="367"/>
        <v>0</v>
      </c>
      <c r="VIP64" s="44">
        <f t="shared" si="367"/>
        <v>0</v>
      </c>
      <c r="VIQ64" s="44">
        <f t="shared" si="367"/>
        <v>0</v>
      </c>
      <c r="VIR64" s="44">
        <f t="shared" si="367"/>
        <v>0</v>
      </c>
      <c r="VIS64" s="44">
        <f t="shared" si="367"/>
        <v>0</v>
      </c>
      <c r="VIT64" s="44">
        <f t="shared" ref="VIT64:VLE64" si="368">SUM(VIT56:VIT57)</f>
        <v>0</v>
      </c>
      <c r="VIU64" s="44">
        <f t="shared" si="368"/>
        <v>0</v>
      </c>
      <c r="VIV64" s="44">
        <f t="shared" si="368"/>
        <v>0</v>
      </c>
      <c r="VIW64" s="44">
        <f t="shared" si="368"/>
        <v>0</v>
      </c>
      <c r="VIX64" s="44">
        <f t="shared" si="368"/>
        <v>0</v>
      </c>
      <c r="VIY64" s="44">
        <f t="shared" si="368"/>
        <v>0</v>
      </c>
      <c r="VIZ64" s="44">
        <f t="shared" si="368"/>
        <v>0</v>
      </c>
      <c r="VJA64" s="44">
        <f t="shared" si="368"/>
        <v>0</v>
      </c>
      <c r="VJB64" s="44">
        <f t="shared" si="368"/>
        <v>0</v>
      </c>
      <c r="VJC64" s="44">
        <f t="shared" si="368"/>
        <v>0</v>
      </c>
      <c r="VJD64" s="44">
        <f t="shared" si="368"/>
        <v>0</v>
      </c>
      <c r="VJE64" s="44">
        <f t="shared" si="368"/>
        <v>0</v>
      </c>
      <c r="VJF64" s="44">
        <f t="shared" si="368"/>
        <v>0</v>
      </c>
      <c r="VJG64" s="44">
        <f t="shared" si="368"/>
        <v>0</v>
      </c>
      <c r="VJH64" s="44">
        <f t="shared" si="368"/>
        <v>0</v>
      </c>
      <c r="VJI64" s="44">
        <f t="shared" si="368"/>
        <v>0</v>
      </c>
      <c r="VJJ64" s="44">
        <f t="shared" si="368"/>
        <v>0</v>
      </c>
      <c r="VJK64" s="44">
        <f t="shared" si="368"/>
        <v>0</v>
      </c>
      <c r="VJL64" s="44">
        <f t="shared" si="368"/>
        <v>0</v>
      </c>
      <c r="VJM64" s="44">
        <f t="shared" si="368"/>
        <v>0</v>
      </c>
      <c r="VJN64" s="44">
        <f t="shared" si="368"/>
        <v>0</v>
      </c>
      <c r="VJO64" s="44">
        <f t="shared" si="368"/>
        <v>0</v>
      </c>
      <c r="VJP64" s="44">
        <f t="shared" si="368"/>
        <v>0</v>
      </c>
      <c r="VJQ64" s="44">
        <f t="shared" si="368"/>
        <v>0</v>
      </c>
      <c r="VJR64" s="44">
        <f t="shared" si="368"/>
        <v>0</v>
      </c>
      <c r="VJS64" s="44">
        <f t="shared" si="368"/>
        <v>0</v>
      </c>
      <c r="VJT64" s="44">
        <f t="shared" si="368"/>
        <v>0</v>
      </c>
      <c r="VJU64" s="44">
        <f t="shared" si="368"/>
        <v>0</v>
      </c>
      <c r="VJV64" s="44">
        <f t="shared" si="368"/>
        <v>0</v>
      </c>
      <c r="VJW64" s="44">
        <f t="shared" si="368"/>
        <v>0</v>
      </c>
      <c r="VJX64" s="44">
        <f t="shared" si="368"/>
        <v>0</v>
      </c>
      <c r="VJY64" s="44">
        <f t="shared" si="368"/>
        <v>0</v>
      </c>
      <c r="VJZ64" s="44">
        <f t="shared" si="368"/>
        <v>0</v>
      </c>
      <c r="VKA64" s="44">
        <f t="shared" si="368"/>
        <v>0</v>
      </c>
      <c r="VKB64" s="44">
        <f t="shared" si="368"/>
        <v>0</v>
      </c>
      <c r="VKC64" s="44">
        <f t="shared" si="368"/>
        <v>0</v>
      </c>
      <c r="VKD64" s="44">
        <f t="shared" si="368"/>
        <v>0</v>
      </c>
      <c r="VKE64" s="44">
        <f t="shared" si="368"/>
        <v>0</v>
      </c>
      <c r="VKF64" s="44">
        <f t="shared" si="368"/>
        <v>0</v>
      </c>
      <c r="VKG64" s="44">
        <f t="shared" si="368"/>
        <v>0</v>
      </c>
      <c r="VKH64" s="44">
        <f t="shared" si="368"/>
        <v>0</v>
      </c>
      <c r="VKI64" s="44">
        <f t="shared" si="368"/>
        <v>0</v>
      </c>
      <c r="VKJ64" s="44">
        <f t="shared" si="368"/>
        <v>0</v>
      </c>
      <c r="VKK64" s="44">
        <f t="shared" si="368"/>
        <v>0</v>
      </c>
      <c r="VKL64" s="44">
        <f t="shared" si="368"/>
        <v>0</v>
      </c>
      <c r="VKM64" s="44">
        <f t="shared" si="368"/>
        <v>0</v>
      </c>
      <c r="VKN64" s="44">
        <f t="shared" si="368"/>
        <v>0</v>
      </c>
      <c r="VKO64" s="44">
        <f t="shared" si="368"/>
        <v>0</v>
      </c>
      <c r="VKP64" s="44">
        <f t="shared" si="368"/>
        <v>0</v>
      </c>
      <c r="VKQ64" s="44">
        <f t="shared" si="368"/>
        <v>0</v>
      </c>
      <c r="VKR64" s="44">
        <f t="shared" si="368"/>
        <v>0</v>
      </c>
      <c r="VKS64" s="44">
        <f t="shared" si="368"/>
        <v>0</v>
      </c>
      <c r="VKT64" s="44">
        <f t="shared" si="368"/>
        <v>0</v>
      </c>
      <c r="VKU64" s="44">
        <f t="shared" si="368"/>
        <v>0</v>
      </c>
      <c r="VKV64" s="44">
        <f t="shared" si="368"/>
        <v>0</v>
      </c>
      <c r="VKW64" s="44">
        <f t="shared" si="368"/>
        <v>0</v>
      </c>
      <c r="VKX64" s="44">
        <f t="shared" si="368"/>
        <v>0</v>
      </c>
      <c r="VKY64" s="44">
        <f t="shared" si="368"/>
        <v>0</v>
      </c>
      <c r="VKZ64" s="44">
        <f t="shared" si="368"/>
        <v>0</v>
      </c>
      <c r="VLA64" s="44">
        <f t="shared" si="368"/>
        <v>0</v>
      </c>
      <c r="VLB64" s="44">
        <f t="shared" si="368"/>
        <v>0</v>
      </c>
      <c r="VLC64" s="44">
        <f t="shared" si="368"/>
        <v>0</v>
      </c>
      <c r="VLD64" s="44">
        <f t="shared" si="368"/>
        <v>0</v>
      </c>
      <c r="VLE64" s="44">
        <f t="shared" si="368"/>
        <v>0</v>
      </c>
      <c r="VLF64" s="44">
        <f t="shared" ref="VLF64:VNQ64" si="369">SUM(VLF56:VLF57)</f>
        <v>0</v>
      </c>
      <c r="VLG64" s="44">
        <f t="shared" si="369"/>
        <v>0</v>
      </c>
      <c r="VLH64" s="44">
        <f t="shared" si="369"/>
        <v>0</v>
      </c>
      <c r="VLI64" s="44">
        <f t="shared" si="369"/>
        <v>0</v>
      </c>
      <c r="VLJ64" s="44">
        <f t="shared" si="369"/>
        <v>0</v>
      </c>
      <c r="VLK64" s="44">
        <f t="shared" si="369"/>
        <v>0</v>
      </c>
      <c r="VLL64" s="44">
        <f t="shared" si="369"/>
        <v>0</v>
      </c>
      <c r="VLM64" s="44">
        <f t="shared" si="369"/>
        <v>0</v>
      </c>
      <c r="VLN64" s="44">
        <f t="shared" si="369"/>
        <v>0</v>
      </c>
      <c r="VLO64" s="44">
        <f t="shared" si="369"/>
        <v>0</v>
      </c>
      <c r="VLP64" s="44">
        <f t="shared" si="369"/>
        <v>0</v>
      </c>
      <c r="VLQ64" s="44">
        <f t="shared" si="369"/>
        <v>0</v>
      </c>
      <c r="VLR64" s="44">
        <f t="shared" si="369"/>
        <v>0</v>
      </c>
      <c r="VLS64" s="44">
        <f t="shared" si="369"/>
        <v>0</v>
      </c>
      <c r="VLT64" s="44">
        <f t="shared" si="369"/>
        <v>0</v>
      </c>
      <c r="VLU64" s="44">
        <f t="shared" si="369"/>
        <v>0</v>
      </c>
      <c r="VLV64" s="44">
        <f t="shared" si="369"/>
        <v>0</v>
      </c>
      <c r="VLW64" s="44">
        <f t="shared" si="369"/>
        <v>0</v>
      </c>
      <c r="VLX64" s="44">
        <f t="shared" si="369"/>
        <v>0</v>
      </c>
      <c r="VLY64" s="44">
        <f t="shared" si="369"/>
        <v>0</v>
      </c>
      <c r="VLZ64" s="44">
        <f t="shared" si="369"/>
        <v>0</v>
      </c>
      <c r="VMA64" s="44">
        <f t="shared" si="369"/>
        <v>0</v>
      </c>
      <c r="VMB64" s="44">
        <f t="shared" si="369"/>
        <v>0</v>
      </c>
      <c r="VMC64" s="44">
        <f t="shared" si="369"/>
        <v>0</v>
      </c>
      <c r="VMD64" s="44">
        <f t="shared" si="369"/>
        <v>0</v>
      </c>
      <c r="VME64" s="44">
        <f t="shared" si="369"/>
        <v>0</v>
      </c>
      <c r="VMF64" s="44">
        <f t="shared" si="369"/>
        <v>0</v>
      </c>
      <c r="VMG64" s="44">
        <f t="shared" si="369"/>
        <v>0</v>
      </c>
      <c r="VMH64" s="44">
        <f t="shared" si="369"/>
        <v>0</v>
      </c>
      <c r="VMI64" s="44">
        <f t="shared" si="369"/>
        <v>0</v>
      </c>
      <c r="VMJ64" s="44">
        <f t="shared" si="369"/>
        <v>0</v>
      </c>
      <c r="VMK64" s="44">
        <f t="shared" si="369"/>
        <v>0</v>
      </c>
      <c r="VML64" s="44">
        <f t="shared" si="369"/>
        <v>0</v>
      </c>
      <c r="VMM64" s="44">
        <f t="shared" si="369"/>
        <v>0</v>
      </c>
      <c r="VMN64" s="44">
        <f t="shared" si="369"/>
        <v>0</v>
      </c>
      <c r="VMO64" s="44">
        <f t="shared" si="369"/>
        <v>0</v>
      </c>
      <c r="VMP64" s="44">
        <f t="shared" si="369"/>
        <v>0</v>
      </c>
      <c r="VMQ64" s="44">
        <f t="shared" si="369"/>
        <v>0</v>
      </c>
      <c r="VMR64" s="44">
        <f t="shared" si="369"/>
        <v>0</v>
      </c>
      <c r="VMS64" s="44">
        <f t="shared" si="369"/>
        <v>0</v>
      </c>
      <c r="VMT64" s="44">
        <f t="shared" si="369"/>
        <v>0</v>
      </c>
      <c r="VMU64" s="44">
        <f t="shared" si="369"/>
        <v>0</v>
      </c>
      <c r="VMV64" s="44">
        <f t="shared" si="369"/>
        <v>0</v>
      </c>
      <c r="VMW64" s="44">
        <f t="shared" si="369"/>
        <v>0</v>
      </c>
      <c r="VMX64" s="44">
        <f t="shared" si="369"/>
        <v>0</v>
      </c>
      <c r="VMY64" s="44">
        <f t="shared" si="369"/>
        <v>0</v>
      </c>
      <c r="VMZ64" s="44">
        <f t="shared" si="369"/>
        <v>0</v>
      </c>
      <c r="VNA64" s="44">
        <f t="shared" si="369"/>
        <v>0</v>
      </c>
      <c r="VNB64" s="44">
        <f t="shared" si="369"/>
        <v>0</v>
      </c>
      <c r="VNC64" s="44">
        <f t="shared" si="369"/>
        <v>0</v>
      </c>
      <c r="VND64" s="44">
        <f t="shared" si="369"/>
        <v>0</v>
      </c>
      <c r="VNE64" s="44">
        <f t="shared" si="369"/>
        <v>0</v>
      </c>
      <c r="VNF64" s="44">
        <f t="shared" si="369"/>
        <v>0</v>
      </c>
      <c r="VNG64" s="44">
        <f t="shared" si="369"/>
        <v>0</v>
      </c>
      <c r="VNH64" s="44">
        <f t="shared" si="369"/>
        <v>0</v>
      </c>
      <c r="VNI64" s="44">
        <f t="shared" si="369"/>
        <v>0</v>
      </c>
      <c r="VNJ64" s="44">
        <f t="shared" si="369"/>
        <v>0</v>
      </c>
      <c r="VNK64" s="44">
        <f t="shared" si="369"/>
        <v>0</v>
      </c>
      <c r="VNL64" s="44">
        <f t="shared" si="369"/>
        <v>0</v>
      </c>
      <c r="VNM64" s="44">
        <f t="shared" si="369"/>
        <v>0</v>
      </c>
      <c r="VNN64" s="44">
        <f t="shared" si="369"/>
        <v>0</v>
      </c>
      <c r="VNO64" s="44">
        <f t="shared" si="369"/>
        <v>0</v>
      </c>
      <c r="VNP64" s="44">
        <f t="shared" si="369"/>
        <v>0</v>
      </c>
      <c r="VNQ64" s="44">
        <f t="shared" si="369"/>
        <v>0</v>
      </c>
      <c r="VNR64" s="44">
        <f t="shared" ref="VNR64:VQC64" si="370">SUM(VNR56:VNR57)</f>
        <v>0</v>
      </c>
      <c r="VNS64" s="44">
        <f t="shared" si="370"/>
        <v>0</v>
      </c>
      <c r="VNT64" s="44">
        <f t="shared" si="370"/>
        <v>0</v>
      </c>
      <c r="VNU64" s="44">
        <f t="shared" si="370"/>
        <v>0</v>
      </c>
      <c r="VNV64" s="44">
        <f t="shared" si="370"/>
        <v>0</v>
      </c>
      <c r="VNW64" s="44">
        <f t="shared" si="370"/>
        <v>0</v>
      </c>
      <c r="VNX64" s="44">
        <f t="shared" si="370"/>
        <v>0</v>
      </c>
      <c r="VNY64" s="44">
        <f t="shared" si="370"/>
        <v>0</v>
      </c>
      <c r="VNZ64" s="44">
        <f t="shared" si="370"/>
        <v>0</v>
      </c>
      <c r="VOA64" s="44">
        <f t="shared" si="370"/>
        <v>0</v>
      </c>
      <c r="VOB64" s="44">
        <f t="shared" si="370"/>
        <v>0</v>
      </c>
      <c r="VOC64" s="44">
        <f t="shared" si="370"/>
        <v>0</v>
      </c>
      <c r="VOD64" s="44">
        <f t="shared" si="370"/>
        <v>0</v>
      </c>
      <c r="VOE64" s="44">
        <f t="shared" si="370"/>
        <v>0</v>
      </c>
      <c r="VOF64" s="44">
        <f t="shared" si="370"/>
        <v>0</v>
      </c>
      <c r="VOG64" s="44">
        <f t="shared" si="370"/>
        <v>0</v>
      </c>
      <c r="VOH64" s="44">
        <f t="shared" si="370"/>
        <v>0</v>
      </c>
      <c r="VOI64" s="44">
        <f t="shared" si="370"/>
        <v>0</v>
      </c>
      <c r="VOJ64" s="44">
        <f t="shared" si="370"/>
        <v>0</v>
      </c>
      <c r="VOK64" s="44">
        <f t="shared" si="370"/>
        <v>0</v>
      </c>
      <c r="VOL64" s="44">
        <f t="shared" si="370"/>
        <v>0</v>
      </c>
      <c r="VOM64" s="44">
        <f t="shared" si="370"/>
        <v>0</v>
      </c>
      <c r="VON64" s="44">
        <f t="shared" si="370"/>
        <v>0</v>
      </c>
      <c r="VOO64" s="44">
        <f t="shared" si="370"/>
        <v>0</v>
      </c>
      <c r="VOP64" s="44">
        <f t="shared" si="370"/>
        <v>0</v>
      </c>
      <c r="VOQ64" s="44">
        <f t="shared" si="370"/>
        <v>0</v>
      </c>
      <c r="VOR64" s="44">
        <f t="shared" si="370"/>
        <v>0</v>
      </c>
      <c r="VOS64" s="44">
        <f t="shared" si="370"/>
        <v>0</v>
      </c>
      <c r="VOT64" s="44">
        <f t="shared" si="370"/>
        <v>0</v>
      </c>
      <c r="VOU64" s="44">
        <f t="shared" si="370"/>
        <v>0</v>
      </c>
      <c r="VOV64" s="44">
        <f t="shared" si="370"/>
        <v>0</v>
      </c>
      <c r="VOW64" s="44">
        <f t="shared" si="370"/>
        <v>0</v>
      </c>
      <c r="VOX64" s="44">
        <f t="shared" si="370"/>
        <v>0</v>
      </c>
      <c r="VOY64" s="44">
        <f t="shared" si="370"/>
        <v>0</v>
      </c>
      <c r="VOZ64" s="44">
        <f t="shared" si="370"/>
        <v>0</v>
      </c>
      <c r="VPA64" s="44">
        <f t="shared" si="370"/>
        <v>0</v>
      </c>
      <c r="VPB64" s="44">
        <f t="shared" si="370"/>
        <v>0</v>
      </c>
      <c r="VPC64" s="44">
        <f t="shared" si="370"/>
        <v>0</v>
      </c>
      <c r="VPD64" s="44">
        <f t="shared" si="370"/>
        <v>0</v>
      </c>
      <c r="VPE64" s="44">
        <f t="shared" si="370"/>
        <v>0</v>
      </c>
      <c r="VPF64" s="44">
        <f t="shared" si="370"/>
        <v>0</v>
      </c>
      <c r="VPG64" s="44">
        <f t="shared" si="370"/>
        <v>0</v>
      </c>
      <c r="VPH64" s="44">
        <f t="shared" si="370"/>
        <v>0</v>
      </c>
      <c r="VPI64" s="44">
        <f t="shared" si="370"/>
        <v>0</v>
      </c>
      <c r="VPJ64" s="44">
        <f t="shared" si="370"/>
        <v>0</v>
      </c>
      <c r="VPK64" s="44">
        <f t="shared" si="370"/>
        <v>0</v>
      </c>
      <c r="VPL64" s="44">
        <f t="shared" si="370"/>
        <v>0</v>
      </c>
      <c r="VPM64" s="44">
        <f t="shared" si="370"/>
        <v>0</v>
      </c>
      <c r="VPN64" s="44">
        <f t="shared" si="370"/>
        <v>0</v>
      </c>
      <c r="VPO64" s="44">
        <f t="shared" si="370"/>
        <v>0</v>
      </c>
      <c r="VPP64" s="44">
        <f t="shared" si="370"/>
        <v>0</v>
      </c>
      <c r="VPQ64" s="44">
        <f t="shared" si="370"/>
        <v>0</v>
      </c>
      <c r="VPR64" s="44">
        <f t="shared" si="370"/>
        <v>0</v>
      </c>
      <c r="VPS64" s="44">
        <f t="shared" si="370"/>
        <v>0</v>
      </c>
      <c r="VPT64" s="44">
        <f t="shared" si="370"/>
        <v>0</v>
      </c>
      <c r="VPU64" s="44">
        <f t="shared" si="370"/>
        <v>0</v>
      </c>
      <c r="VPV64" s="44">
        <f t="shared" si="370"/>
        <v>0</v>
      </c>
      <c r="VPW64" s="44">
        <f t="shared" si="370"/>
        <v>0</v>
      </c>
      <c r="VPX64" s="44">
        <f t="shared" si="370"/>
        <v>0</v>
      </c>
      <c r="VPY64" s="44">
        <f t="shared" si="370"/>
        <v>0</v>
      </c>
      <c r="VPZ64" s="44">
        <f t="shared" si="370"/>
        <v>0</v>
      </c>
      <c r="VQA64" s="44">
        <f t="shared" si="370"/>
        <v>0</v>
      </c>
      <c r="VQB64" s="44">
        <f t="shared" si="370"/>
        <v>0</v>
      </c>
      <c r="VQC64" s="44">
        <f t="shared" si="370"/>
        <v>0</v>
      </c>
      <c r="VQD64" s="44">
        <f t="shared" ref="VQD64:VSO64" si="371">SUM(VQD56:VQD57)</f>
        <v>0</v>
      </c>
      <c r="VQE64" s="44">
        <f t="shared" si="371"/>
        <v>0</v>
      </c>
      <c r="VQF64" s="44">
        <f t="shared" si="371"/>
        <v>0</v>
      </c>
      <c r="VQG64" s="44">
        <f t="shared" si="371"/>
        <v>0</v>
      </c>
      <c r="VQH64" s="44">
        <f t="shared" si="371"/>
        <v>0</v>
      </c>
      <c r="VQI64" s="44">
        <f t="shared" si="371"/>
        <v>0</v>
      </c>
      <c r="VQJ64" s="44">
        <f t="shared" si="371"/>
        <v>0</v>
      </c>
      <c r="VQK64" s="44">
        <f t="shared" si="371"/>
        <v>0</v>
      </c>
      <c r="VQL64" s="44">
        <f t="shared" si="371"/>
        <v>0</v>
      </c>
      <c r="VQM64" s="44">
        <f t="shared" si="371"/>
        <v>0</v>
      </c>
      <c r="VQN64" s="44">
        <f t="shared" si="371"/>
        <v>0</v>
      </c>
      <c r="VQO64" s="44">
        <f t="shared" si="371"/>
        <v>0</v>
      </c>
      <c r="VQP64" s="44">
        <f t="shared" si="371"/>
        <v>0</v>
      </c>
      <c r="VQQ64" s="44">
        <f t="shared" si="371"/>
        <v>0</v>
      </c>
      <c r="VQR64" s="44">
        <f t="shared" si="371"/>
        <v>0</v>
      </c>
      <c r="VQS64" s="44">
        <f t="shared" si="371"/>
        <v>0</v>
      </c>
      <c r="VQT64" s="44">
        <f t="shared" si="371"/>
        <v>0</v>
      </c>
      <c r="VQU64" s="44">
        <f t="shared" si="371"/>
        <v>0</v>
      </c>
      <c r="VQV64" s="44">
        <f t="shared" si="371"/>
        <v>0</v>
      </c>
      <c r="VQW64" s="44">
        <f t="shared" si="371"/>
        <v>0</v>
      </c>
      <c r="VQX64" s="44">
        <f t="shared" si="371"/>
        <v>0</v>
      </c>
      <c r="VQY64" s="44">
        <f t="shared" si="371"/>
        <v>0</v>
      </c>
      <c r="VQZ64" s="44">
        <f t="shared" si="371"/>
        <v>0</v>
      </c>
      <c r="VRA64" s="44">
        <f t="shared" si="371"/>
        <v>0</v>
      </c>
      <c r="VRB64" s="44">
        <f t="shared" si="371"/>
        <v>0</v>
      </c>
      <c r="VRC64" s="44">
        <f t="shared" si="371"/>
        <v>0</v>
      </c>
      <c r="VRD64" s="44">
        <f t="shared" si="371"/>
        <v>0</v>
      </c>
      <c r="VRE64" s="44">
        <f t="shared" si="371"/>
        <v>0</v>
      </c>
      <c r="VRF64" s="44">
        <f t="shared" si="371"/>
        <v>0</v>
      </c>
      <c r="VRG64" s="44">
        <f t="shared" si="371"/>
        <v>0</v>
      </c>
      <c r="VRH64" s="44">
        <f t="shared" si="371"/>
        <v>0</v>
      </c>
      <c r="VRI64" s="44">
        <f t="shared" si="371"/>
        <v>0</v>
      </c>
      <c r="VRJ64" s="44">
        <f t="shared" si="371"/>
        <v>0</v>
      </c>
      <c r="VRK64" s="44">
        <f t="shared" si="371"/>
        <v>0</v>
      </c>
      <c r="VRL64" s="44">
        <f t="shared" si="371"/>
        <v>0</v>
      </c>
      <c r="VRM64" s="44">
        <f t="shared" si="371"/>
        <v>0</v>
      </c>
      <c r="VRN64" s="44">
        <f t="shared" si="371"/>
        <v>0</v>
      </c>
      <c r="VRO64" s="44">
        <f t="shared" si="371"/>
        <v>0</v>
      </c>
      <c r="VRP64" s="44">
        <f t="shared" si="371"/>
        <v>0</v>
      </c>
      <c r="VRQ64" s="44">
        <f t="shared" si="371"/>
        <v>0</v>
      </c>
      <c r="VRR64" s="44">
        <f t="shared" si="371"/>
        <v>0</v>
      </c>
      <c r="VRS64" s="44">
        <f t="shared" si="371"/>
        <v>0</v>
      </c>
      <c r="VRT64" s="44">
        <f t="shared" si="371"/>
        <v>0</v>
      </c>
      <c r="VRU64" s="44">
        <f t="shared" si="371"/>
        <v>0</v>
      </c>
      <c r="VRV64" s="44">
        <f t="shared" si="371"/>
        <v>0</v>
      </c>
      <c r="VRW64" s="44">
        <f t="shared" si="371"/>
        <v>0</v>
      </c>
      <c r="VRX64" s="44">
        <f t="shared" si="371"/>
        <v>0</v>
      </c>
      <c r="VRY64" s="44">
        <f t="shared" si="371"/>
        <v>0</v>
      </c>
      <c r="VRZ64" s="44">
        <f t="shared" si="371"/>
        <v>0</v>
      </c>
      <c r="VSA64" s="44">
        <f t="shared" si="371"/>
        <v>0</v>
      </c>
      <c r="VSB64" s="44">
        <f t="shared" si="371"/>
        <v>0</v>
      </c>
      <c r="VSC64" s="44">
        <f t="shared" si="371"/>
        <v>0</v>
      </c>
      <c r="VSD64" s="44">
        <f t="shared" si="371"/>
        <v>0</v>
      </c>
      <c r="VSE64" s="44">
        <f t="shared" si="371"/>
        <v>0</v>
      </c>
      <c r="VSF64" s="44">
        <f t="shared" si="371"/>
        <v>0</v>
      </c>
      <c r="VSG64" s="44">
        <f t="shared" si="371"/>
        <v>0</v>
      </c>
      <c r="VSH64" s="44">
        <f t="shared" si="371"/>
        <v>0</v>
      </c>
      <c r="VSI64" s="44">
        <f t="shared" si="371"/>
        <v>0</v>
      </c>
      <c r="VSJ64" s="44">
        <f t="shared" si="371"/>
        <v>0</v>
      </c>
      <c r="VSK64" s="44">
        <f t="shared" si="371"/>
        <v>0</v>
      </c>
      <c r="VSL64" s="44">
        <f t="shared" si="371"/>
        <v>0</v>
      </c>
      <c r="VSM64" s="44">
        <f t="shared" si="371"/>
        <v>0</v>
      </c>
      <c r="VSN64" s="44">
        <f t="shared" si="371"/>
        <v>0</v>
      </c>
      <c r="VSO64" s="44">
        <f t="shared" si="371"/>
        <v>0</v>
      </c>
      <c r="VSP64" s="44">
        <f t="shared" ref="VSP64:VVA64" si="372">SUM(VSP56:VSP57)</f>
        <v>0</v>
      </c>
      <c r="VSQ64" s="44">
        <f t="shared" si="372"/>
        <v>0</v>
      </c>
      <c r="VSR64" s="44">
        <f t="shared" si="372"/>
        <v>0</v>
      </c>
      <c r="VSS64" s="44">
        <f t="shared" si="372"/>
        <v>0</v>
      </c>
      <c r="VST64" s="44">
        <f t="shared" si="372"/>
        <v>0</v>
      </c>
      <c r="VSU64" s="44">
        <f t="shared" si="372"/>
        <v>0</v>
      </c>
      <c r="VSV64" s="44">
        <f t="shared" si="372"/>
        <v>0</v>
      </c>
      <c r="VSW64" s="44">
        <f t="shared" si="372"/>
        <v>0</v>
      </c>
      <c r="VSX64" s="44">
        <f t="shared" si="372"/>
        <v>0</v>
      </c>
      <c r="VSY64" s="44">
        <f t="shared" si="372"/>
        <v>0</v>
      </c>
      <c r="VSZ64" s="44">
        <f t="shared" si="372"/>
        <v>0</v>
      </c>
      <c r="VTA64" s="44">
        <f t="shared" si="372"/>
        <v>0</v>
      </c>
      <c r="VTB64" s="44">
        <f t="shared" si="372"/>
        <v>0</v>
      </c>
      <c r="VTC64" s="44">
        <f t="shared" si="372"/>
        <v>0</v>
      </c>
      <c r="VTD64" s="44">
        <f t="shared" si="372"/>
        <v>0</v>
      </c>
      <c r="VTE64" s="44">
        <f t="shared" si="372"/>
        <v>0</v>
      </c>
      <c r="VTF64" s="44">
        <f t="shared" si="372"/>
        <v>0</v>
      </c>
      <c r="VTG64" s="44">
        <f t="shared" si="372"/>
        <v>0</v>
      </c>
      <c r="VTH64" s="44">
        <f t="shared" si="372"/>
        <v>0</v>
      </c>
      <c r="VTI64" s="44">
        <f t="shared" si="372"/>
        <v>0</v>
      </c>
      <c r="VTJ64" s="44">
        <f t="shared" si="372"/>
        <v>0</v>
      </c>
      <c r="VTK64" s="44">
        <f t="shared" si="372"/>
        <v>0</v>
      </c>
      <c r="VTL64" s="44">
        <f t="shared" si="372"/>
        <v>0</v>
      </c>
      <c r="VTM64" s="44">
        <f t="shared" si="372"/>
        <v>0</v>
      </c>
      <c r="VTN64" s="44">
        <f t="shared" si="372"/>
        <v>0</v>
      </c>
      <c r="VTO64" s="44">
        <f t="shared" si="372"/>
        <v>0</v>
      </c>
      <c r="VTP64" s="44">
        <f t="shared" si="372"/>
        <v>0</v>
      </c>
      <c r="VTQ64" s="44">
        <f t="shared" si="372"/>
        <v>0</v>
      </c>
      <c r="VTR64" s="44">
        <f t="shared" si="372"/>
        <v>0</v>
      </c>
      <c r="VTS64" s="44">
        <f t="shared" si="372"/>
        <v>0</v>
      </c>
      <c r="VTT64" s="44">
        <f t="shared" si="372"/>
        <v>0</v>
      </c>
      <c r="VTU64" s="44">
        <f t="shared" si="372"/>
        <v>0</v>
      </c>
      <c r="VTV64" s="44">
        <f t="shared" si="372"/>
        <v>0</v>
      </c>
      <c r="VTW64" s="44">
        <f t="shared" si="372"/>
        <v>0</v>
      </c>
      <c r="VTX64" s="44">
        <f t="shared" si="372"/>
        <v>0</v>
      </c>
      <c r="VTY64" s="44">
        <f t="shared" si="372"/>
        <v>0</v>
      </c>
      <c r="VTZ64" s="44">
        <f t="shared" si="372"/>
        <v>0</v>
      </c>
      <c r="VUA64" s="44">
        <f t="shared" si="372"/>
        <v>0</v>
      </c>
      <c r="VUB64" s="44">
        <f t="shared" si="372"/>
        <v>0</v>
      </c>
      <c r="VUC64" s="44">
        <f t="shared" si="372"/>
        <v>0</v>
      </c>
      <c r="VUD64" s="44">
        <f t="shared" si="372"/>
        <v>0</v>
      </c>
      <c r="VUE64" s="44">
        <f t="shared" si="372"/>
        <v>0</v>
      </c>
      <c r="VUF64" s="44">
        <f t="shared" si="372"/>
        <v>0</v>
      </c>
      <c r="VUG64" s="44">
        <f t="shared" si="372"/>
        <v>0</v>
      </c>
      <c r="VUH64" s="44">
        <f t="shared" si="372"/>
        <v>0</v>
      </c>
      <c r="VUI64" s="44">
        <f t="shared" si="372"/>
        <v>0</v>
      </c>
      <c r="VUJ64" s="44">
        <f t="shared" si="372"/>
        <v>0</v>
      </c>
      <c r="VUK64" s="44">
        <f t="shared" si="372"/>
        <v>0</v>
      </c>
      <c r="VUL64" s="44">
        <f t="shared" si="372"/>
        <v>0</v>
      </c>
      <c r="VUM64" s="44">
        <f t="shared" si="372"/>
        <v>0</v>
      </c>
      <c r="VUN64" s="44">
        <f t="shared" si="372"/>
        <v>0</v>
      </c>
      <c r="VUO64" s="44">
        <f t="shared" si="372"/>
        <v>0</v>
      </c>
      <c r="VUP64" s="44">
        <f t="shared" si="372"/>
        <v>0</v>
      </c>
      <c r="VUQ64" s="44">
        <f t="shared" si="372"/>
        <v>0</v>
      </c>
      <c r="VUR64" s="44">
        <f t="shared" si="372"/>
        <v>0</v>
      </c>
      <c r="VUS64" s="44">
        <f t="shared" si="372"/>
        <v>0</v>
      </c>
      <c r="VUT64" s="44">
        <f t="shared" si="372"/>
        <v>0</v>
      </c>
      <c r="VUU64" s="44">
        <f t="shared" si="372"/>
        <v>0</v>
      </c>
      <c r="VUV64" s="44">
        <f t="shared" si="372"/>
        <v>0</v>
      </c>
      <c r="VUW64" s="44">
        <f t="shared" si="372"/>
        <v>0</v>
      </c>
      <c r="VUX64" s="44">
        <f t="shared" si="372"/>
        <v>0</v>
      </c>
      <c r="VUY64" s="44">
        <f t="shared" si="372"/>
        <v>0</v>
      </c>
      <c r="VUZ64" s="44">
        <f t="shared" si="372"/>
        <v>0</v>
      </c>
      <c r="VVA64" s="44">
        <f t="shared" si="372"/>
        <v>0</v>
      </c>
      <c r="VVB64" s="44">
        <f t="shared" ref="VVB64:VXM64" si="373">SUM(VVB56:VVB57)</f>
        <v>0</v>
      </c>
      <c r="VVC64" s="44">
        <f t="shared" si="373"/>
        <v>0</v>
      </c>
      <c r="VVD64" s="44">
        <f t="shared" si="373"/>
        <v>0</v>
      </c>
      <c r="VVE64" s="44">
        <f t="shared" si="373"/>
        <v>0</v>
      </c>
      <c r="VVF64" s="44">
        <f t="shared" si="373"/>
        <v>0</v>
      </c>
      <c r="VVG64" s="44">
        <f t="shared" si="373"/>
        <v>0</v>
      </c>
      <c r="VVH64" s="44">
        <f t="shared" si="373"/>
        <v>0</v>
      </c>
      <c r="VVI64" s="44">
        <f t="shared" si="373"/>
        <v>0</v>
      </c>
      <c r="VVJ64" s="44">
        <f t="shared" si="373"/>
        <v>0</v>
      </c>
      <c r="VVK64" s="44">
        <f t="shared" si="373"/>
        <v>0</v>
      </c>
      <c r="VVL64" s="44">
        <f t="shared" si="373"/>
        <v>0</v>
      </c>
      <c r="VVM64" s="44">
        <f t="shared" si="373"/>
        <v>0</v>
      </c>
      <c r="VVN64" s="44">
        <f t="shared" si="373"/>
        <v>0</v>
      </c>
      <c r="VVO64" s="44">
        <f t="shared" si="373"/>
        <v>0</v>
      </c>
      <c r="VVP64" s="44">
        <f t="shared" si="373"/>
        <v>0</v>
      </c>
      <c r="VVQ64" s="44">
        <f t="shared" si="373"/>
        <v>0</v>
      </c>
      <c r="VVR64" s="44">
        <f t="shared" si="373"/>
        <v>0</v>
      </c>
      <c r="VVS64" s="44">
        <f t="shared" si="373"/>
        <v>0</v>
      </c>
      <c r="VVT64" s="44">
        <f t="shared" si="373"/>
        <v>0</v>
      </c>
      <c r="VVU64" s="44">
        <f t="shared" si="373"/>
        <v>0</v>
      </c>
      <c r="VVV64" s="44">
        <f t="shared" si="373"/>
        <v>0</v>
      </c>
      <c r="VVW64" s="44">
        <f t="shared" si="373"/>
        <v>0</v>
      </c>
      <c r="VVX64" s="44">
        <f t="shared" si="373"/>
        <v>0</v>
      </c>
      <c r="VVY64" s="44">
        <f t="shared" si="373"/>
        <v>0</v>
      </c>
      <c r="VVZ64" s="44">
        <f t="shared" si="373"/>
        <v>0</v>
      </c>
      <c r="VWA64" s="44">
        <f t="shared" si="373"/>
        <v>0</v>
      </c>
      <c r="VWB64" s="44">
        <f t="shared" si="373"/>
        <v>0</v>
      </c>
      <c r="VWC64" s="44">
        <f t="shared" si="373"/>
        <v>0</v>
      </c>
      <c r="VWD64" s="44">
        <f t="shared" si="373"/>
        <v>0</v>
      </c>
      <c r="VWE64" s="44">
        <f t="shared" si="373"/>
        <v>0</v>
      </c>
      <c r="VWF64" s="44">
        <f t="shared" si="373"/>
        <v>0</v>
      </c>
      <c r="VWG64" s="44">
        <f t="shared" si="373"/>
        <v>0</v>
      </c>
      <c r="VWH64" s="44">
        <f t="shared" si="373"/>
        <v>0</v>
      </c>
      <c r="VWI64" s="44">
        <f t="shared" si="373"/>
        <v>0</v>
      </c>
      <c r="VWJ64" s="44">
        <f t="shared" si="373"/>
        <v>0</v>
      </c>
      <c r="VWK64" s="44">
        <f t="shared" si="373"/>
        <v>0</v>
      </c>
      <c r="VWL64" s="44">
        <f t="shared" si="373"/>
        <v>0</v>
      </c>
      <c r="VWM64" s="44">
        <f t="shared" si="373"/>
        <v>0</v>
      </c>
      <c r="VWN64" s="44">
        <f t="shared" si="373"/>
        <v>0</v>
      </c>
      <c r="VWO64" s="44">
        <f t="shared" si="373"/>
        <v>0</v>
      </c>
      <c r="VWP64" s="44">
        <f t="shared" si="373"/>
        <v>0</v>
      </c>
      <c r="VWQ64" s="44">
        <f t="shared" si="373"/>
        <v>0</v>
      </c>
      <c r="VWR64" s="44">
        <f t="shared" si="373"/>
        <v>0</v>
      </c>
      <c r="VWS64" s="44">
        <f t="shared" si="373"/>
        <v>0</v>
      </c>
      <c r="VWT64" s="44">
        <f t="shared" si="373"/>
        <v>0</v>
      </c>
      <c r="VWU64" s="44">
        <f t="shared" si="373"/>
        <v>0</v>
      </c>
      <c r="VWV64" s="44">
        <f t="shared" si="373"/>
        <v>0</v>
      </c>
      <c r="VWW64" s="44">
        <f t="shared" si="373"/>
        <v>0</v>
      </c>
      <c r="VWX64" s="44">
        <f t="shared" si="373"/>
        <v>0</v>
      </c>
      <c r="VWY64" s="44">
        <f t="shared" si="373"/>
        <v>0</v>
      </c>
      <c r="VWZ64" s="44">
        <f t="shared" si="373"/>
        <v>0</v>
      </c>
      <c r="VXA64" s="44">
        <f t="shared" si="373"/>
        <v>0</v>
      </c>
      <c r="VXB64" s="44">
        <f t="shared" si="373"/>
        <v>0</v>
      </c>
      <c r="VXC64" s="44">
        <f t="shared" si="373"/>
        <v>0</v>
      </c>
      <c r="VXD64" s="44">
        <f t="shared" si="373"/>
        <v>0</v>
      </c>
      <c r="VXE64" s="44">
        <f t="shared" si="373"/>
        <v>0</v>
      </c>
      <c r="VXF64" s="44">
        <f t="shared" si="373"/>
        <v>0</v>
      </c>
      <c r="VXG64" s="44">
        <f t="shared" si="373"/>
        <v>0</v>
      </c>
      <c r="VXH64" s="44">
        <f t="shared" si="373"/>
        <v>0</v>
      </c>
      <c r="VXI64" s="44">
        <f t="shared" si="373"/>
        <v>0</v>
      </c>
      <c r="VXJ64" s="44">
        <f t="shared" si="373"/>
        <v>0</v>
      </c>
      <c r="VXK64" s="44">
        <f t="shared" si="373"/>
        <v>0</v>
      </c>
      <c r="VXL64" s="44">
        <f t="shared" si="373"/>
        <v>0</v>
      </c>
      <c r="VXM64" s="44">
        <f t="shared" si="373"/>
        <v>0</v>
      </c>
      <c r="VXN64" s="44">
        <f t="shared" ref="VXN64:VZY64" si="374">SUM(VXN56:VXN57)</f>
        <v>0</v>
      </c>
      <c r="VXO64" s="44">
        <f t="shared" si="374"/>
        <v>0</v>
      </c>
      <c r="VXP64" s="44">
        <f t="shared" si="374"/>
        <v>0</v>
      </c>
      <c r="VXQ64" s="44">
        <f t="shared" si="374"/>
        <v>0</v>
      </c>
      <c r="VXR64" s="44">
        <f t="shared" si="374"/>
        <v>0</v>
      </c>
      <c r="VXS64" s="44">
        <f t="shared" si="374"/>
        <v>0</v>
      </c>
      <c r="VXT64" s="44">
        <f t="shared" si="374"/>
        <v>0</v>
      </c>
      <c r="VXU64" s="44">
        <f t="shared" si="374"/>
        <v>0</v>
      </c>
      <c r="VXV64" s="44">
        <f t="shared" si="374"/>
        <v>0</v>
      </c>
      <c r="VXW64" s="44">
        <f t="shared" si="374"/>
        <v>0</v>
      </c>
      <c r="VXX64" s="44">
        <f t="shared" si="374"/>
        <v>0</v>
      </c>
      <c r="VXY64" s="44">
        <f t="shared" si="374"/>
        <v>0</v>
      </c>
      <c r="VXZ64" s="44">
        <f t="shared" si="374"/>
        <v>0</v>
      </c>
      <c r="VYA64" s="44">
        <f t="shared" si="374"/>
        <v>0</v>
      </c>
      <c r="VYB64" s="44">
        <f t="shared" si="374"/>
        <v>0</v>
      </c>
      <c r="VYC64" s="44">
        <f t="shared" si="374"/>
        <v>0</v>
      </c>
      <c r="VYD64" s="44">
        <f t="shared" si="374"/>
        <v>0</v>
      </c>
      <c r="VYE64" s="44">
        <f t="shared" si="374"/>
        <v>0</v>
      </c>
      <c r="VYF64" s="44">
        <f t="shared" si="374"/>
        <v>0</v>
      </c>
      <c r="VYG64" s="44">
        <f t="shared" si="374"/>
        <v>0</v>
      </c>
      <c r="VYH64" s="44">
        <f t="shared" si="374"/>
        <v>0</v>
      </c>
      <c r="VYI64" s="44">
        <f t="shared" si="374"/>
        <v>0</v>
      </c>
      <c r="VYJ64" s="44">
        <f t="shared" si="374"/>
        <v>0</v>
      </c>
      <c r="VYK64" s="44">
        <f t="shared" si="374"/>
        <v>0</v>
      </c>
      <c r="VYL64" s="44">
        <f t="shared" si="374"/>
        <v>0</v>
      </c>
      <c r="VYM64" s="44">
        <f t="shared" si="374"/>
        <v>0</v>
      </c>
      <c r="VYN64" s="44">
        <f t="shared" si="374"/>
        <v>0</v>
      </c>
      <c r="VYO64" s="44">
        <f t="shared" si="374"/>
        <v>0</v>
      </c>
      <c r="VYP64" s="44">
        <f t="shared" si="374"/>
        <v>0</v>
      </c>
      <c r="VYQ64" s="44">
        <f t="shared" si="374"/>
        <v>0</v>
      </c>
      <c r="VYR64" s="44">
        <f t="shared" si="374"/>
        <v>0</v>
      </c>
      <c r="VYS64" s="44">
        <f t="shared" si="374"/>
        <v>0</v>
      </c>
      <c r="VYT64" s="44">
        <f t="shared" si="374"/>
        <v>0</v>
      </c>
      <c r="VYU64" s="44">
        <f t="shared" si="374"/>
        <v>0</v>
      </c>
      <c r="VYV64" s="44">
        <f t="shared" si="374"/>
        <v>0</v>
      </c>
      <c r="VYW64" s="44">
        <f t="shared" si="374"/>
        <v>0</v>
      </c>
      <c r="VYX64" s="44">
        <f t="shared" si="374"/>
        <v>0</v>
      </c>
      <c r="VYY64" s="44">
        <f t="shared" si="374"/>
        <v>0</v>
      </c>
      <c r="VYZ64" s="44">
        <f t="shared" si="374"/>
        <v>0</v>
      </c>
      <c r="VZA64" s="44">
        <f t="shared" si="374"/>
        <v>0</v>
      </c>
      <c r="VZB64" s="44">
        <f t="shared" si="374"/>
        <v>0</v>
      </c>
      <c r="VZC64" s="44">
        <f t="shared" si="374"/>
        <v>0</v>
      </c>
      <c r="VZD64" s="44">
        <f t="shared" si="374"/>
        <v>0</v>
      </c>
      <c r="VZE64" s="44">
        <f t="shared" si="374"/>
        <v>0</v>
      </c>
      <c r="VZF64" s="44">
        <f t="shared" si="374"/>
        <v>0</v>
      </c>
      <c r="VZG64" s="44">
        <f t="shared" si="374"/>
        <v>0</v>
      </c>
      <c r="VZH64" s="44">
        <f t="shared" si="374"/>
        <v>0</v>
      </c>
      <c r="VZI64" s="44">
        <f t="shared" si="374"/>
        <v>0</v>
      </c>
      <c r="VZJ64" s="44">
        <f t="shared" si="374"/>
        <v>0</v>
      </c>
      <c r="VZK64" s="44">
        <f t="shared" si="374"/>
        <v>0</v>
      </c>
      <c r="VZL64" s="44">
        <f t="shared" si="374"/>
        <v>0</v>
      </c>
      <c r="VZM64" s="44">
        <f t="shared" si="374"/>
        <v>0</v>
      </c>
      <c r="VZN64" s="44">
        <f t="shared" si="374"/>
        <v>0</v>
      </c>
      <c r="VZO64" s="44">
        <f t="shared" si="374"/>
        <v>0</v>
      </c>
      <c r="VZP64" s="44">
        <f t="shared" si="374"/>
        <v>0</v>
      </c>
      <c r="VZQ64" s="44">
        <f t="shared" si="374"/>
        <v>0</v>
      </c>
      <c r="VZR64" s="44">
        <f t="shared" si="374"/>
        <v>0</v>
      </c>
      <c r="VZS64" s="44">
        <f t="shared" si="374"/>
        <v>0</v>
      </c>
      <c r="VZT64" s="44">
        <f t="shared" si="374"/>
        <v>0</v>
      </c>
      <c r="VZU64" s="44">
        <f t="shared" si="374"/>
        <v>0</v>
      </c>
      <c r="VZV64" s="44">
        <f t="shared" si="374"/>
        <v>0</v>
      </c>
      <c r="VZW64" s="44">
        <f t="shared" si="374"/>
        <v>0</v>
      </c>
      <c r="VZX64" s="44">
        <f t="shared" si="374"/>
        <v>0</v>
      </c>
      <c r="VZY64" s="44">
        <f t="shared" si="374"/>
        <v>0</v>
      </c>
      <c r="VZZ64" s="44">
        <f t="shared" ref="VZZ64:WCK64" si="375">SUM(VZZ56:VZZ57)</f>
        <v>0</v>
      </c>
      <c r="WAA64" s="44">
        <f t="shared" si="375"/>
        <v>0</v>
      </c>
      <c r="WAB64" s="44">
        <f t="shared" si="375"/>
        <v>0</v>
      </c>
      <c r="WAC64" s="44">
        <f t="shared" si="375"/>
        <v>0</v>
      </c>
      <c r="WAD64" s="44">
        <f t="shared" si="375"/>
        <v>0</v>
      </c>
      <c r="WAE64" s="44">
        <f t="shared" si="375"/>
        <v>0</v>
      </c>
      <c r="WAF64" s="44">
        <f t="shared" si="375"/>
        <v>0</v>
      </c>
      <c r="WAG64" s="44">
        <f t="shared" si="375"/>
        <v>0</v>
      </c>
      <c r="WAH64" s="44">
        <f t="shared" si="375"/>
        <v>0</v>
      </c>
      <c r="WAI64" s="44">
        <f t="shared" si="375"/>
        <v>0</v>
      </c>
      <c r="WAJ64" s="44">
        <f t="shared" si="375"/>
        <v>0</v>
      </c>
      <c r="WAK64" s="44">
        <f t="shared" si="375"/>
        <v>0</v>
      </c>
      <c r="WAL64" s="44">
        <f t="shared" si="375"/>
        <v>0</v>
      </c>
      <c r="WAM64" s="44">
        <f t="shared" si="375"/>
        <v>0</v>
      </c>
      <c r="WAN64" s="44">
        <f t="shared" si="375"/>
        <v>0</v>
      </c>
      <c r="WAO64" s="44">
        <f t="shared" si="375"/>
        <v>0</v>
      </c>
      <c r="WAP64" s="44">
        <f t="shared" si="375"/>
        <v>0</v>
      </c>
      <c r="WAQ64" s="44">
        <f t="shared" si="375"/>
        <v>0</v>
      </c>
      <c r="WAR64" s="44">
        <f t="shared" si="375"/>
        <v>0</v>
      </c>
      <c r="WAS64" s="44">
        <f t="shared" si="375"/>
        <v>0</v>
      </c>
      <c r="WAT64" s="44">
        <f t="shared" si="375"/>
        <v>0</v>
      </c>
      <c r="WAU64" s="44">
        <f t="shared" si="375"/>
        <v>0</v>
      </c>
      <c r="WAV64" s="44">
        <f t="shared" si="375"/>
        <v>0</v>
      </c>
      <c r="WAW64" s="44">
        <f t="shared" si="375"/>
        <v>0</v>
      </c>
      <c r="WAX64" s="44">
        <f t="shared" si="375"/>
        <v>0</v>
      </c>
      <c r="WAY64" s="44">
        <f t="shared" si="375"/>
        <v>0</v>
      </c>
      <c r="WAZ64" s="44">
        <f t="shared" si="375"/>
        <v>0</v>
      </c>
      <c r="WBA64" s="44">
        <f t="shared" si="375"/>
        <v>0</v>
      </c>
      <c r="WBB64" s="44">
        <f t="shared" si="375"/>
        <v>0</v>
      </c>
      <c r="WBC64" s="44">
        <f t="shared" si="375"/>
        <v>0</v>
      </c>
      <c r="WBD64" s="44">
        <f t="shared" si="375"/>
        <v>0</v>
      </c>
      <c r="WBE64" s="44">
        <f t="shared" si="375"/>
        <v>0</v>
      </c>
      <c r="WBF64" s="44">
        <f t="shared" si="375"/>
        <v>0</v>
      </c>
      <c r="WBG64" s="44">
        <f t="shared" si="375"/>
        <v>0</v>
      </c>
      <c r="WBH64" s="44">
        <f t="shared" si="375"/>
        <v>0</v>
      </c>
      <c r="WBI64" s="44">
        <f t="shared" si="375"/>
        <v>0</v>
      </c>
      <c r="WBJ64" s="44">
        <f t="shared" si="375"/>
        <v>0</v>
      </c>
      <c r="WBK64" s="44">
        <f t="shared" si="375"/>
        <v>0</v>
      </c>
      <c r="WBL64" s="44">
        <f t="shared" si="375"/>
        <v>0</v>
      </c>
      <c r="WBM64" s="44">
        <f t="shared" si="375"/>
        <v>0</v>
      </c>
      <c r="WBN64" s="44">
        <f t="shared" si="375"/>
        <v>0</v>
      </c>
      <c r="WBO64" s="44">
        <f t="shared" si="375"/>
        <v>0</v>
      </c>
      <c r="WBP64" s="44">
        <f t="shared" si="375"/>
        <v>0</v>
      </c>
      <c r="WBQ64" s="44">
        <f t="shared" si="375"/>
        <v>0</v>
      </c>
      <c r="WBR64" s="44">
        <f t="shared" si="375"/>
        <v>0</v>
      </c>
      <c r="WBS64" s="44">
        <f t="shared" si="375"/>
        <v>0</v>
      </c>
      <c r="WBT64" s="44">
        <f t="shared" si="375"/>
        <v>0</v>
      </c>
      <c r="WBU64" s="44">
        <f t="shared" si="375"/>
        <v>0</v>
      </c>
      <c r="WBV64" s="44">
        <f t="shared" si="375"/>
        <v>0</v>
      </c>
      <c r="WBW64" s="44">
        <f t="shared" si="375"/>
        <v>0</v>
      </c>
      <c r="WBX64" s="44">
        <f t="shared" si="375"/>
        <v>0</v>
      </c>
      <c r="WBY64" s="44">
        <f t="shared" si="375"/>
        <v>0</v>
      </c>
      <c r="WBZ64" s="44">
        <f t="shared" si="375"/>
        <v>0</v>
      </c>
      <c r="WCA64" s="44">
        <f t="shared" si="375"/>
        <v>0</v>
      </c>
      <c r="WCB64" s="44">
        <f t="shared" si="375"/>
        <v>0</v>
      </c>
      <c r="WCC64" s="44">
        <f t="shared" si="375"/>
        <v>0</v>
      </c>
      <c r="WCD64" s="44">
        <f t="shared" si="375"/>
        <v>0</v>
      </c>
      <c r="WCE64" s="44">
        <f t="shared" si="375"/>
        <v>0</v>
      </c>
      <c r="WCF64" s="44">
        <f t="shared" si="375"/>
        <v>0</v>
      </c>
      <c r="WCG64" s="44">
        <f t="shared" si="375"/>
        <v>0</v>
      </c>
      <c r="WCH64" s="44">
        <f t="shared" si="375"/>
        <v>0</v>
      </c>
      <c r="WCI64" s="44">
        <f t="shared" si="375"/>
        <v>0</v>
      </c>
      <c r="WCJ64" s="44">
        <f t="shared" si="375"/>
        <v>0</v>
      </c>
      <c r="WCK64" s="44">
        <f t="shared" si="375"/>
        <v>0</v>
      </c>
      <c r="WCL64" s="44">
        <f t="shared" ref="WCL64:WEW64" si="376">SUM(WCL56:WCL57)</f>
        <v>0</v>
      </c>
      <c r="WCM64" s="44">
        <f t="shared" si="376"/>
        <v>0</v>
      </c>
      <c r="WCN64" s="44">
        <f t="shared" si="376"/>
        <v>0</v>
      </c>
      <c r="WCO64" s="44">
        <f t="shared" si="376"/>
        <v>0</v>
      </c>
      <c r="WCP64" s="44">
        <f t="shared" si="376"/>
        <v>0</v>
      </c>
      <c r="WCQ64" s="44">
        <f t="shared" si="376"/>
        <v>0</v>
      </c>
      <c r="WCR64" s="44">
        <f t="shared" si="376"/>
        <v>0</v>
      </c>
      <c r="WCS64" s="44">
        <f t="shared" si="376"/>
        <v>0</v>
      </c>
      <c r="WCT64" s="44">
        <f t="shared" si="376"/>
        <v>0</v>
      </c>
      <c r="WCU64" s="44">
        <f t="shared" si="376"/>
        <v>0</v>
      </c>
      <c r="WCV64" s="44">
        <f t="shared" si="376"/>
        <v>0</v>
      </c>
      <c r="WCW64" s="44">
        <f t="shared" si="376"/>
        <v>0</v>
      </c>
      <c r="WCX64" s="44">
        <f t="shared" si="376"/>
        <v>0</v>
      </c>
      <c r="WCY64" s="44">
        <f t="shared" si="376"/>
        <v>0</v>
      </c>
      <c r="WCZ64" s="44">
        <f t="shared" si="376"/>
        <v>0</v>
      </c>
      <c r="WDA64" s="44">
        <f t="shared" si="376"/>
        <v>0</v>
      </c>
      <c r="WDB64" s="44">
        <f t="shared" si="376"/>
        <v>0</v>
      </c>
      <c r="WDC64" s="44">
        <f t="shared" si="376"/>
        <v>0</v>
      </c>
      <c r="WDD64" s="44">
        <f t="shared" si="376"/>
        <v>0</v>
      </c>
      <c r="WDE64" s="44">
        <f t="shared" si="376"/>
        <v>0</v>
      </c>
      <c r="WDF64" s="44">
        <f t="shared" si="376"/>
        <v>0</v>
      </c>
      <c r="WDG64" s="44">
        <f t="shared" si="376"/>
        <v>0</v>
      </c>
      <c r="WDH64" s="44">
        <f t="shared" si="376"/>
        <v>0</v>
      </c>
      <c r="WDI64" s="44">
        <f t="shared" si="376"/>
        <v>0</v>
      </c>
      <c r="WDJ64" s="44">
        <f t="shared" si="376"/>
        <v>0</v>
      </c>
      <c r="WDK64" s="44">
        <f t="shared" si="376"/>
        <v>0</v>
      </c>
      <c r="WDL64" s="44">
        <f t="shared" si="376"/>
        <v>0</v>
      </c>
      <c r="WDM64" s="44">
        <f t="shared" si="376"/>
        <v>0</v>
      </c>
      <c r="WDN64" s="44">
        <f t="shared" si="376"/>
        <v>0</v>
      </c>
      <c r="WDO64" s="44">
        <f t="shared" si="376"/>
        <v>0</v>
      </c>
      <c r="WDP64" s="44">
        <f t="shared" si="376"/>
        <v>0</v>
      </c>
      <c r="WDQ64" s="44">
        <f t="shared" si="376"/>
        <v>0</v>
      </c>
      <c r="WDR64" s="44">
        <f t="shared" si="376"/>
        <v>0</v>
      </c>
      <c r="WDS64" s="44">
        <f t="shared" si="376"/>
        <v>0</v>
      </c>
      <c r="WDT64" s="44">
        <f t="shared" si="376"/>
        <v>0</v>
      </c>
      <c r="WDU64" s="44">
        <f t="shared" si="376"/>
        <v>0</v>
      </c>
      <c r="WDV64" s="44">
        <f t="shared" si="376"/>
        <v>0</v>
      </c>
      <c r="WDW64" s="44">
        <f t="shared" si="376"/>
        <v>0</v>
      </c>
      <c r="WDX64" s="44">
        <f t="shared" si="376"/>
        <v>0</v>
      </c>
      <c r="WDY64" s="44">
        <f t="shared" si="376"/>
        <v>0</v>
      </c>
      <c r="WDZ64" s="44">
        <f t="shared" si="376"/>
        <v>0</v>
      </c>
      <c r="WEA64" s="44">
        <f t="shared" si="376"/>
        <v>0</v>
      </c>
      <c r="WEB64" s="44">
        <f t="shared" si="376"/>
        <v>0</v>
      </c>
      <c r="WEC64" s="44">
        <f t="shared" si="376"/>
        <v>0</v>
      </c>
      <c r="WED64" s="44">
        <f t="shared" si="376"/>
        <v>0</v>
      </c>
      <c r="WEE64" s="44">
        <f t="shared" si="376"/>
        <v>0</v>
      </c>
      <c r="WEF64" s="44">
        <f t="shared" si="376"/>
        <v>0</v>
      </c>
      <c r="WEG64" s="44">
        <f t="shared" si="376"/>
        <v>0</v>
      </c>
      <c r="WEH64" s="44">
        <f t="shared" si="376"/>
        <v>0</v>
      </c>
      <c r="WEI64" s="44">
        <f t="shared" si="376"/>
        <v>0</v>
      </c>
      <c r="WEJ64" s="44">
        <f t="shared" si="376"/>
        <v>0</v>
      </c>
      <c r="WEK64" s="44">
        <f t="shared" si="376"/>
        <v>0</v>
      </c>
      <c r="WEL64" s="44">
        <f t="shared" si="376"/>
        <v>0</v>
      </c>
      <c r="WEM64" s="44">
        <f t="shared" si="376"/>
        <v>0</v>
      </c>
      <c r="WEN64" s="44">
        <f t="shared" si="376"/>
        <v>0</v>
      </c>
      <c r="WEO64" s="44">
        <f t="shared" si="376"/>
        <v>0</v>
      </c>
      <c r="WEP64" s="44">
        <f t="shared" si="376"/>
        <v>0</v>
      </c>
      <c r="WEQ64" s="44">
        <f t="shared" si="376"/>
        <v>0</v>
      </c>
      <c r="WER64" s="44">
        <f t="shared" si="376"/>
        <v>0</v>
      </c>
      <c r="WES64" s="44">
        <f t="shared" si="376"/>
        <v>0</v>
      </c>
      <c r="WET64" s="44">
        <f t="shared" si="376"/>
        <v>0</v>
      </c>
      <c r="WEU64" s="44">
        <f t="shared" si="376"/>
        <v>0</v>
      </c>
      <c r="WEV64" s="44">
        <f t="shared" si="376"/>
        <v>0</v>
      </c>
      <c r="WEW64" s="44">
        <f t="shared" si="376"/>
        <v>0</v>
      </c>
      <c r="WEX64" s="44">
        <f t="shared" ref="WEX64:WHI64" si="377">SUM(WEX56:WEX57)</f>
        <v>0</v>
      </c>
      <c r="WEY64" s="44">
        <f t="shared" si="377"/>
        <v>0</v>
      </c>
      <c r="WEZ64" s="44">
        <f t="shared" si="377"/>
        <v>0</v>
      </c>
      <c r="WFA64" s="44">
        <f t="shared" si="377"/>
        <v>0</v>
      </c>
      <c r="WFB64" s="44">
        <f t="shared" si="377"/>
        <v>0</v>
      </c>
      <c r="WFC64" s="44">
        <f t="shared" si="377"/>
        <v>0</v>
      </c>
      <c r="WFD64" s="44">
        <f t="shared" si="377"/>
        <v>0</v>
      </c>
      <c r="WFE64" s="44">
        <f t="shared" si="377"/>
        <v>0</v>
      </c>
      <c r="WFF64" s="44">
        <f t="shared" si="377"/>
        <v>0</v>
      </c>
      <c r="WFG64" s="44">
        <f t="shared" si="377"/>
        <v>0</v>
      </c>
      <c r="WFH64" s="44">
        <f t="shared" si="377"/>
        <v>0</v>
      </c>
      <c r="WFI64" s="44">
        <f t="shared" si="377"/>
        <v>0</v>
      </c>
      <c r="WFJ64" s="44">
        <f t="shared" si="377"/>
        <v>0</v>
      </c>
      <c r="WFK64" s="44">
        <f t="shared" si="377"/>
        <v>0</v>
      </c>
      <c r="WFL64" s="44">
        <f t="shared" si="377"/>
        <v>0</v>
      </c>
      <c r="WFM64" s="44">
        <f t="shared" si="377"/>
        <v>0</v>
      </c>
      <c r="WFN64" s="44">
        <f t="shared" si="377"/>
        <v>0</v>
      </c>
      <c r="WFO64" s="44">
        <f t="shared" si="377"/>
        <v>0</v>
      </c>
      <c r="WFP64" s="44">
        <f t="shared" si="377"/>
        <v>0</v>
      </c>
      <c r="WFQ64" s="44">
        <f t="shared" si="377"/>
        <v>0</v>
      </c>
      <c r="WFR64" s="44">
        <f t="shared" si="377"/>
        <v>0</v>
      </c>
      <c r="WFS64" s="44">
        <f t="shared" si="377"/>
        <v>0</v>
      </c>
      <c r="WFT64" s="44">
        <f t="shared" si="377"/>
        <v>0</v>
      </c>
      <c r="WFU64" s="44">
        <f t="shared" si="377"/>
        <v>0</v>
      </c>
      <c r="WFV64" s="44">
        <f t="shared" si="377"/>
        <v>0</v>
      </c>
      <c r="WFW64" s="44">
        <f t="shared" si="377"/>
        <v>0</v>
      </c>
      <c r="WFX64" s="44">
        <f t="shared" si="377"/>
        <v>0</v>
      </c>
      <c r="WFY64" s="44">
        <f t="shared" si="377"/>
        <v>0</v>
      </c>
      <c r="WFZ64" s="44">
        <f t="shared" si="377"/>
        <v>0</v>
      </c>
      <c r="WGA64" s="44">
        <f t="shared" si="377"/>
        <v>0</v>
      </c>
      <c r="WGB64" s="44">
        <f t="shared" si="377"/>
        <v>0</v>
      </c>
      <c r="WGC64" s="44">
        <f t="shared" si="377"/>
        <v>0</v>
      </c>
      <c r="WGD64" s="44">
        <f t="shared" si="377"/>
        <v>0</v>
      </c>
      <c r="WGE64" s="44">
        <f t="shared" si="377"/>
        <v>0</v>
      </c>
      <c r="WGF64" s="44">
        <f t="shared" si="377"/>
        <v>0</v>
      </c>
      <c r="WGG64" s="44">
        <f t="shared" si="377"/>
        <v>0</v>
      </c>
      <c r="WGH64" s="44">
        <f t="shared" si="377"/>
        <v>0</v>
      </c>
      <c r="WGI64" s="44">
        <f t="shared" si="377"/>
        <v>0</v>
      </c>
      <c r="WGJ64" s="44">
        <f t="shared" si="377"/>
        <v>0</v>
      </c>
      <c r="WGK64" s="44">
        <f t="shared" si="377"/>
        <v>0</v>
      </c>
      <c r="WGL64" s="44">
        <f t="shared" si="377"/>
        <v>0</v>
      </c>
      <c r="WGM64" s="44">
        <f t="shared" si="377"/>
        <v>0</v>
      </c>
      <c r="WGN64" s="44">
        <f t="shared" si="377"/>
        <v>0</v>
      </c>
      <c r="WGO64" s="44">
        <f t="shared" si="377"/>
        <v>0</v>
      </c>
      <c r="WGP64" s="44">
        <f t="shared" si="377"/>
        <v>0</v>
      </c>
      <c r="WGQ64" s="44">
        <f t="shared" si="377"/>
        <v>0</v>
      </c>
      <c r="WGR64" s="44">
        <f t="shared" si="377"/>
        <v>0</v>
      </c>
      <c r="WGS64" s="44">
        <f t="shared" si="377"/>
        <v>0</v>
      </c>
      <c r="WGT64" s="44">
        <f t="shared" si="377"/>
        <v>0</v>
      </c>
      <c r="WGU64" s="44">
        <f t="shared" si="377"/>
        <v>0</v>
      </c>
      <c r="WGV64" s="44">
        <f t="shared" si="377"/>
        <v>0</v>
      </c>
      <c r="WGW64" s="44">
        <f t="shared" si="377"/>
        <v>0</v>
      </c>
      <c r="WGX64" s="44">
        <f t="shared" si="377"/>
        <v>0</v>
      </c>
      <c r="WGY64" s="44">
        <f t="shared" si="377"/>
        <v>0</v>
      </c>
      <c r="WGZ64" s="44">
        <f t="shared" si="377"/>
        <v>0</v>
      </c>
      <c r="WHA64" s="44">
        <f t="shared" si="377"/>
        <v>0</v>
      </c>
      <c r="WHB64" s="44">
        <f t="shared" si="377"/>
        <v>0</v>
      </c>
      <c r="WHC64" s="44">
        <f t="shared" si="377"/>
        <v>0</v>
      </c>
      <c r="WHD64" s="44">
        <f t="shared" si="377"/>
        <v>0</v>
      </c>
      <c r="WHE64" s="44">
        <f t="shared" si="377"/>
        <v>0</v>
      </c>
      <c r="WHF64" s="44">
        <f t="shared" si="377"/>
        <v>0</v>
      </c>
      <c r="WHG64" s="44">
        <f t="shared" si="377"/>
        <v>0</v>
      </c>
      <c r="WHH64" s="44">
        <f t="shared" si="377"/>
        <v>0</v>
      </c>
      <c r="WHI64" s="44">
        <f t="shared" si="377"/>
        <v>0</v>
      </c>
      <c r="WHJ64" s="44">
        <f t="shared" ref="WHJ64:WJU64" si="378">SUM(WHJ56:WHJ57)</f>
        <v>0</v>
      </c>
      <c r="WHK64" s="44">
        <f t="shared" si="378"/>
        <v>0</v>
      </c>
      <c r="WHL64" s="44">
        <f t="shared" si="378"/>
        <v>0</v>
      </c>
      <c r="WHM64" s="44">
        <f t="shared" si="378"/>
        <v>0</v>
      </c>
      <c r="WHN64" s="44">
        <f t="shared" si="378"/>
        <v>0</v>
      </c>
      <c r="WHO64" s="44">
        <f t="shared" si="378"/>
        <v>0</v>
      </c>
      <c r="WHP64" s="44">
        <f t="shared" si="378"/>
        <v>0</v>
      </c>
      <c r="WHQ64" s="44">
        <f t="shared" si="378"/>
        <v>0</v>
      </c>
      <c r="WHR64" s="44">
        <f t="shared" si="378"/>
        <v>0</v>
      </c>
      <c r="WHS64" s="44">
        <f t="shared" si="378"/>
        <v>0</v>
      </c>
      <c r="WHT64" s="44">
        <f t="shared" si="378"/>
        <v>0</v>
      </c>
      <c r="WHU64" s="44">
        <f t="shared" si="378"/>
        <v>0</v>
      </c>
      <c r="WHV64" s="44">
        <f t="shared" si="378"/>
        <v>0</v>
      </c>
      <c r="WHW64" s="44">
        <f t="shared" si="378"/>
        <v>0</v>
      </c>
      <c r="WHX64" s="44">
        <f t="shared" si="378"/>
        <v>0</v>
      </c>
      <c r="WHY64" s="44">
        <f t="shared" si="378"/>
        <v>0</v>
      </c>
      <c r="WHZ64" s="44">
        <f t="shared" si="378"/>
        <v>0</v>
      </c>
      <c r="WIA64" s="44">
        <f t="shared" si="378"/>
        <v>0</v>
      </c>
      <c r="WIB64" s="44">
        <f t="shared" si="378"/>
        <v>0</v>
      </c>
      <c r="WIC64" s="44">
        <f t="shared" si="378"/>
        <v>0</v>
      </c>
      <c r="WID64" s="44">
        <f t="shared" si="378"/>
        <v>0</v>
      </c>
      <c r="WIE64" s="44">
        <f t="shared" si="378"/>
        <v>0</v>
      </c>
      <c r="WIF64" s="44">
        <f t="shared" si="378"/>
        <v>0</v>
      </c>
      <c r="WIG64" s="44">
        <f t="shared" si="378"/>
        <v>0</v>
      </c>
      <c r="WIH64" s="44">
        <f t="shared" si="378"/>
        <v>0</v>
      </c>
      <c r="WII64" s="44">
        <f t="shared" si="378"/>
        <v>0</v>
      </c>
      <c r="WIJ64" s="44">
        <f t="shared" si="378"/>
        <v>0</v>
      </c>
      <c r="WIK64" s="44">
        <f t="shared" si="378"/>
        <v>0</v>
      </c>
      <c r="WIL64" s="44">
        <f t="shared" si="378"/>
        <v>0</v>
      </c>
      <c r="WIM64" s="44">
        <f t="shared" si="378"/>
        <v>0</v>
      </c>
      <c r="WIN64" s="44">
        <f t="shared" si="378"/>
        <v>0</v>
      </c>
      <c r="WIO64" s="44">
        <f t="shared" si="378"/>
        <v>0</v>
      </c>
      <c r="WIP64" s="44">
        <f t="shared" si="378"/>
        <v>0</v>
      </c>
      <c r="WIQ64" s="44">
        <f t="shared" si="378"/>
        <v>0</v>
      </c>
      <c r="WIR64" s="44">
        <f t="shared" si="378"/>
        <v>0</v>
      </c>
      <c r="WIS64" s="44">
        <f t="shared" si="378"/>
        <v>0</v>
      </c>
      <c r="WIT64" s="44">
        <f t="shared" si="378"/>
        <v>0</v>
      </c>
      <c r="WIU64" s="44">
        <f t="shared" si="378"/>
        <v>0</v>
      </c>
      <c r="WIV64" s="44">
        <f t="shared" si="378"/>
        <v>0</v>
      </c>
      <c r="WIW64" s="44">
        <f t="shared" si="378"/>
        <v>0</v>
      </c>
      <c r="WIX64" s="44">
        <f t="shared" si="378"/>
        <v>0</v>
      </c>
      <c r="WIY64" s="44">
        <f t="shared" si="378"/>
        <v>0</v>
      </c>
      <c r="WIZ64" s="44">
        <f t="shared" si="378"/>
        <v>0</v>
      </c>
      <c r="WJA64" s="44">
        <f t="shared" si="378"/>
        <v>0</v>
      </c>
      <c r="WJB64" s="44">
        <f t="shared" si="378"/>
        <v>0</v>
      </c>
      <c r="WJC64" s="44">
        <f t="shared" si="378"/>
        <v>0</v>
      </c>
      <c r="WJD64" s="44">
        <f t="shared" si="378"/>
        <v>0</v>
      </c>
      <c r="WJE64" s="44">
        <f t="shared" si="378"/>
        <v>0</v>
      </c>
      <c r="WJF64" s="44">
        <f t="shared" si="378"/>
        <v>0</v>
      </c>
      <c r="WJG64" s="44">
        <f t="shared" si="378"/>
        <v>0</v>
      </c>
      <c r="WJH64" s="44">
        <f t="shared" si="378"/>
        <v>0</v>
      </c>
      <c r="WJI64" s="44">
        <f t="shared" si="378"/>
        <v>0</v>
      </c>
      <c r="WJJ64" s="44">
        <f t="shared" si="378"/>
        <v>0</v>
      </c>
      <c r="WJK64" s="44">
        <f t="shared" si="378"/>
        <v>0</v>
      </c>
      <c r="WJL64" s="44">
        <f t="shared" si="378"/>
        <v>0</v>
      </c>
      <c r="WJM64" s="44">
        <f t="shared" si="378"/>
        <v>0</v>
      </c>
      <c r="WJN64" s="44">
        <f t="shared" si="378"/>
        <v>0</v>
      </c>
      <c r="WJO64" s="44">
        <f t="shared" si="378"/>
        <v>0</v>
      </c>
      <c r="WJP64" s="44">
        <f t="shared" si="378"/>
        <v>0</v>
      </c>
      <c r="WJQ64" s="44">
        <f t="shared" si="378"/>
        <v>0</v>
      </c>
      <c r="WJR64" s="44">
        <f t="shared" si="378"/>
        <v>0</v>
      </c>
      <c r="WJS64" s="44">
        <f t="shared" si="378"/>
        <v>0</v>
      </c>
      <c r="WJT64" s="44">
        <f t="shared" si="378"/>
        <v>0</v>
      </c>
      <c r="WJU64" s="44">
        <f t="shared" si="378"/>
        <v>0</v>
      </c>
      <c r="WJV64" s="44">
        <f t="shared" ref="WJV64:WMG64" si="379">SUM(WJV56:WJV57)</f>
        <v>0</v>
      </c>
      <c r="WJW64" s="44">
        <f t="shared" si="379"/>
        <v>0</v>
      </c>
      <c r="WJX64" s="44">
        <f t="shared" si="379"/>
        <v>0</v>
      </c>
      <c r="WJY64" s="44">
        <f t="shared" si="379"/>
        <v>0</v>
      </c>
      <c r="WJZ64" s="44">
        <f t="shared" si="379"/>
        <v>0</v>
      </c>
      <c r="WKA64" s="44">
        <f t="shared" si="379"/>
        <v>0</v>
      </c>
      <c r="WKB64" s="44">
        <f t="shared" si="379"/>
        <v>0</v>
      </c>
      <c r="WKC64" s="44">
        <f t="shared" si="379"/>
        <v>0</v>
      </c>
      <c r="WKD64" s="44">
        <f t="shared" si="379"/>
        <v>0</v>
      </c>
      <c r="WKE64" s="44">
        <f t="shared" si="379"/>
        <v>0</v>
      </c>
      <c r="WKF64" s="44">
        <f t="shared" si="379"/>
        <v>0</v>
      </c>
      <c r="WKG64" s="44">
        <f t="shared" si="379"/>
        <v>0</v>
      </c>
      <c r="WKH64" s="44">
        <f t="shared" si="379"/>
        <v>0</v>
      </c>
      <c r="WKI64" s="44">
        <f t="shared" si="379"/>
        <v>0</v>
      </c>
      <c r="WKJ64" s="44">
        <f t="shared" si="379"/>
        <v>0</v>
      </c>
      <c r="WKK64" s="44">
        <f t="shared" si="379"/>
        <v>0</v>
      </c>
      <c r="WKL64" s="44">
        <f t="shared" si="379"/>
        <v>0</v>
      </c>
      <c r="WKM64" s="44">
        <f t="shared" si="379"/>
        <v>0</v>
      </c>
      <c r="WKN64" s="44">
        <f t="shared" si="379"/>
        <v>0</v>
      </c>
      <c r="WKO64" s="44">
        <f t="shared" si="379"/>
        <v>0</v>
      </c>
      <c r="WKP64" s="44">
        <f t="shared" si="379"/>
        <v>0</v>
      </c>
      <c r="WKQ64" s="44">
        <f t="shared" si="379"/>
        <v>0</v>
      </c>
      <c r="WKR64" s="44">
        <f t="shared" si="379"/>
        <v>0</v>
      </c>
      <c r="WKS64" s="44">
        <f t="shared" si="379"/>
        <v>0</v>
      </c>
      <c r="WKT64" s="44">
        <f t="shared" si="379"/>
        <v>0</v>
      </c>
      <c r="WKU64" s="44">
        <f t="shared" si="379"/>
        <v>0</v>
      </c>
      <c r="WKV64" s="44">
        <f t="shared" si="379"/>
        <v>0</v>
      </c>
      <c r="WKW64" s="44">
        <f t="shared" si="379"/>
        <v>0</v>
      </c>
      <c r="WKX64" s="44">
        <f t="shared" si="379"/>
        <v>0</v>
      </c>
      <c r="WKY64" s="44">
        <f t="shared" si="379"/>
        <v>0</v>
      </c>
      <c r="WKZ64" s="44">
        <f t="shared" si="379"/>
        <v>0</v>
      </c>
      <c r="WLA64" s="44">
        <f t="shared" si="379"/>
        <v>0</v>
      </c>
      <c r="WLB64" s="44">
        <f t="shared" si="379"/>
        <v>0</v>
      </c>
      <c r="WLC64" s="44">
        <f t="shared" si="379"/>
        <v>0</v>
      </c>
      <c r="WLD64" s="44">
        <f t="shared" si="379"/>
        <v>0</v>
      </c>
      <c r="WLE64" s="44">
        <f t="shared" si="379"/>
        <v>0</v>
      </c>
      <c r="WLF64" s="44">
        <f t="shared" si="379"/>
        <v>0</v>
      </c>
      <c r="WLG64" s="44">
        <f t="shared" si="379"/>
        <v>0</v>
      </c>
      <c r="WLH64" s="44">
        <f t="shared" si="379"/>
        <v>0</v>
      </c>
      <c r="WLI64" s="44">
        <f t="shared" si="379"/>
        <v>0</v>
      </c>
      <c r="WLJ64" s="44">
        <f t="shared" si="379"/>
        <v>0</v>
      </c>
      <c r="WLK64" s="44">
        <f t="shared" si="379"/>
        <v>0</v>
      </c>
      <c r="WLL64" s="44">
        <f t="shared" si="379"/>
        <v>0</v>
      </c>
      <c r="WLM64" s="44">
        <f t="shared" si="379"/>
        <v>0</v>
      </c>
      <c r="WLN64" s="44">
        <f t="shared" si="379"/>
        <v>0</v>
      </c>
      <c r="WLO64" s="44">
        <f t="shared" si="379"/>
        <v>0</v>
      </c>
      <c r="WLP64" s="44">
        <f t="shared" si="379"/>
        <v>0</v>
      </c>
      <c r="WLQ64" s="44">
        <f t="shared" si="379"/>
        <v>0</v>
      </c>
      <c r="WLR64" s="44">
        <f t="shared" si="379"/>
        <v>0</v>
      </c>
      <c r="WLS64" s="44">
        <f t="shared" si="379"/>
        <v>0</v>
      </c>
      <c r="WLT64" s="44">
        <f t="shared" si="379"/>
        <v>0</v>
      </c>
      <c r="WLU64" s="44">
        <f t="shared" si="379"/>
        <v>0</v>
      </c>
      <c r="WLV64" s="44">
        <f t="shared" si="379"/>
        <v>0</v>
      </c>
      <c r="WLW64" s="44">
        <f t="shared" si="379"/>
        <v>0</v>
      </c>
      <c r="WLX64" s="44">
        <f t="shared" si="379"/>
        <v>0</v>
      </c>
      <c r="WLY64" s="44">
        <f t="shared" si="379"/>
        <v>0</v>
      </c>
      <c r="WLZ64" s="44">
        <f t="shared" si="379"/>
        <v>0</v>
      </c>
      <c r="WMA64" s="44">
        <f t="shared" si="379"/>
        <v>0</v>
      </c>
      <c r="WMB64" s="44">
        <f t="shared" si="379"/>
        <v>0</v>
      </c>
      <c r="WMC64" s="44">
        <f t="shared" si="379"/>
        <v>0</v>
      </c>
      <c r="WMD64" s="44">
        <f t="shared" si="379"/>
        <v>0</v>
      </c>
      <c r="WME64" s="44">
        <f t="shared" si="379"/>
        <v>0</v>
      </c>
      <c r="WMF64" s="44">
        <f t="shared" si="379"/>
        <v>0</v>
      </c>
      <c r="WMG64" s="44">
        <f t="shared" si="379"/>
        <v>0</v>
      </c>
      <c r="WMH64" s="44">
        <f t="shared" ref="WMH64:WOS64" si="380">SUM(WMH56:WMH57)</f>
        <v>0</v>
      </c>
      <c r="WMI64" s="44">
        <f t="shared" si="380"/>
        <v>0</v>
      </c>
      <c r="WMJ64" s="44">
        <f t="shared" si="380"/>
        <v>0</v>
      </c>
      <c r="WMK64" s="44">
        <f t="shared" si="380"/>
        <v>0</v>
      </c>
      <c r="WML64" s="44">
        <f t="shared" si="380"/>
        <v>0</v>
      </c>
      <c r="WMM64" s="44">
        <f t="shared" si="380"/>
        <v>0</v>
      </c>
      <c r="WMN64" s="44">
        <f t="shared" si="380"/>
        <v>0</v>
      </c>
      <c r="WMO64" s="44">
        <f t="shared" si="380"/>
        <v>0</v>
      </c>
      <c r="WMP64" s="44">
        <f t="shared" si="380"/>
        <v>0</v>
      </c>
      <c r="WMQ64" s="44">
        <f t="shared" si="380"/>
        <v>0</v>
      </c>
      <c r="WMR64" s="44">
        <f t="shared" si="380"/>
        <v>0</v>
      </c>
      <c r="WMS64" s="44">
        <f t="shared" si="380"/>
        <v>0</v>
      </c>
      <c r="WMT64" s="44">
        <f t="shared" si="380"/>
        <v>0</v>
      </c>
      <c r="WMU64" s="44">
        <f t="shared" si="380"/>
        <v>0</v>
      </c>
      <c r="WMV64" s="44">
        <f t="shared" si="380"/>
        <v>0</v>
      </c>
      <c r="WMW64" s="44">
        <f t="shared" si="380"/>
        <v>0</v>
      </c>
      <c r="WMX64" s="44">
        <f t="shared" si="380"/>
        <v>0</v>
      </c>
      <c r="WMY64" s="44">
        <f t="shared" si="380"/>
        <v>0</v>
      </c>
      <c r="WMZ64" s="44">
        <f t="shared" si="380"/>
        <v>0</v>
      </c>
      <c r="WNA64" s="44">
        <f t="shared" si="380"/>
        <v>0</v>
      </c>
      <c r="WNB64" s="44">
        <f t="shared" si="380"/>
        <v>0</v>
      </c>
      <c r="WNC64" s="44">
        <f t="shared" si="380"/>
        <v>0</v>
      </c>
      <c r="WND64" s="44">
        <f t="shared" si="380"/>
        <v>0</v>
      </c>
      <c r="WNE64" s="44">
        <f t="shared" si="380"/>
        <v>0</v>
      </c>
      <c r="WNF64" s="44">
        <f t="shared" si="380"/>
        <v>0</v>
      </c>
      <c r="WNG64" s="44">
        <f t="shared" si="380"/>
        <v>0</v>
      </c>
      <c r="WNH64" s="44">
        <f t="shared" si="380"/>
        <v>0</v>
      </c>
      <c r="WNI64" s="44">
        <f t="shared" si="380"/>
        <v>0</v>
      </c>
      <c r="WNJ64" s="44">
        <f t="shared" si="380"/>
        <v>0</v>
      </c>
      <c r="WNK64" s="44">
        <f t="shared" si="380"/>
        <v>0</v>
      </c>
      <c r="WNL64" s="44">
        <f t="shared" si="380"/>
        <v>0</v>
      </c>
      <c r="WNM64" s="44">
        <f t="shared" si="380"/>
        <v>0</v>
      </c>
      <c r="WNN64" s="44">
        <f t="shared" si="380"/>
        <v>0</v>
      </c>
      <c r="WNO64" s="44">
        <f t="shared" si="380"/>
        <v>0</v>
      </c>
      <c r="WNP64" s="44">
        <f t="shared" si="380"/>
        <v>0</v>
      </c>
      <c r="WNQ64" s="44">
        <f t="shared" si="380"/>
        <v>0</v>
      </c>
      <c r="WNR64" s="44">
        <f t="shared" si="380"/>
        <v>0</v>
      </c>
      <c r="WNS64" s="44">
        <f t="shared" si="380"/>
        <v>0</v>
      </c>
      <c r="WNT64" s="44">
        <f t="shared" si="380"/>
        <v>0</v>
      </c>
      <c r="WNU64" s="44">
        <f t="shared" si="380"/>
        <v>0</v>
      </c>
      <c r="WNV64" s="44">
        <f t="shared" si="380"/>
        <v>0</v>
      </c>
      <c r="WNW64" s="44">
        <f t="shared" si="380"/>
        <v>0</v>
      </c>
      <c r="WNX64" s="44">
        <f t="shared" si="380"/>
        <v>0</v>
      </c>
      <c r="WNY64" s="44">
        <f t="shared" si="380"/>
        <v>0</v>
      </c>
      <c r="WNZ64" s="44">
        <f t="shared" si="380"/>
        <v>0</v>
      </c>
      <c r="WOA64" s="44">
        <f t="shared" si="380"/>
        <v>0</v>
      </c>
      <c r="WOB64" s="44">
        <f t="shared" si="380"/>
        <v>0</v>
      </c>
      <c r="WOC64" s="44">
        <f t="shared" si="380"/>
        <v>0</v>
      </c>
      <c r="WOD64" s="44">
        <f t="shared" si="380"/>
        <v>0</v>
      </c>
      <c r="WOE64" s="44">
        <f t="shared" si="380"/>
        <v>0</v>
      </c>
      <c r="WOF64" s="44">
        <f t="shared" si="380"/>
        <v>0</v>
      </c>
      <c r="WOG64" s="44">
        <f t="shared" si="380"/>
        <v>0</v>
      </c>
      <c r="WOH64" s="44">
        <f t="shared" si="380"/>
        <v>0</v>
      </c>
      <c r="WOI64" s="44">
        <f t="shared" si="380"/>
        <v>0</v>
      </c>
      <c r="WOJ64" s="44">
        <f t="shared" si="380"/>
        <v>0</v>
      </c>
      <c r="WOK64" s="44">
        <f t="shared" si="380"/>
        <v>0</v>
      </c>
      <c r="WOL64" s="44">
        <f t="shared" si="380"/>
        <v>0</v>
      </c>
      <c r="WOM64" s="44">
        <f t="shared" si="380"/>
        <v>0</v>
      </c>
      <c r="WON64" s="44">
        <f t="shared" si="380"/>
        <v>0</v>
      </c>
      <c r="WOO64" s="44">
        <f t="shared" si="380"/>
        <v>0</v>
      </c>
      <c r="WOP64" s="44">
        <f t="shared" si="380"/>
        <v>0</v>
      </c>
      <c r="WOQ64" s="44">
        <f t="shared" si="380"/>
        <v>0</v>
      </c>
      <c r="WOR64" s="44">
        <f t="shared" si="380"/>
        <v>0</v>
      </c>
      <c r="WOS64" s="44">
        <f t="shared" si="380"/>
        <v>0</v>
      </c>
      <c r="WOT64" s="44">
        <f t="shared" ref="WOT64:WRE64" si="381">SUM(WOT56:WOT57)</f>
        <v>0</v>
      </c>
      <c r="WOU64" s="44">
        <f t="shared" si="381"/>
        <v>0</v>
      </c>
      <c r="WOV64" s="44">
        <f t="shared" si="381"/>
        <v>0</v>
      </c>
      <c r="WOW64" s="44">
        <f t="shared" si="381"/>
        <v>0</v>
      </c>
      <c r="WOX64" s="44">
        <f t="shared" si="381"/>
        <v>0</v>
      </c>
      <c r="WOY64" s="44">
        <f t="shared" si="381"/>
        <v>0</v>
      </c>
      <c r="WOZ64" s="44">
        <f t="shared" si="381"/>
        <v>0</v>
      </c>
      <c r="WPA64" s="44">
        <f t="shared" si="381"/>
        <v>0</v>
      </c>
      <c r="WPB64" s="44">
        <f t="shared" si="381"/>
        <v>0</v>
      </c>
      <c r="WPC64" s="44">
        <f t="shared" si="381"/>
        <v>0</v>
      </c>
      <c r="WPD64" s="44">
        <f t="shared" si="381"/>
        <v>0</v>
      </c>
      <c r="WPE64" s="44">
        <f t="shared" si="381"/>
        <v>0</v>
      </c>
      <c r="WPF64" s="44">
        <f t="shared" si="381"/>
        <v>0</v>
      </c>
      <c r="WPG64" s="44">
        <f t="shared" si="381"/>
        <v>0</v>
      </c>
      <c r="WPH64" s="44">
        <f t="shared" si="381"/>
        <v>0</v>
      </c>
      <c r="WPI64" s="44">
        <f t="shared" si="381"/>
        <v>0</v>
      </c>
      <c r="WPJ64" s="44">
        <f t="shared" si="381"/>
        <v>0</v>
      </c>
      <c r="WPK64" s="44">
        <f t="shared" si="381"/>
        <v>0</v>
      </c>
      <c r="WPL64" s="44">
        <f t="shared" si="381"/>
        <v>0</v>
      </c>
      <c r="WPM64" s="44">
        <f t="shared" si="381"/>
        <v>0</v>
      </c>
      <c r="WPN64" s="44">
        <f t="shared" si="381"/>
        <v>0</v>
      </c>
      <c r="WPO64" s="44">
        <f t="shared" si="381"/>
        <v>0</v>
      </c>
      <c r="WPP64" s="44">
        <f t="shared" si="381"/>
        <v>0</v>
      </c>
      <c r="WPQ64" s="44">
        <f t="shared" si="381"/>
        <v>0</v>
      </c>
      <c r="WPR64" s="44">
        <f t="shared" si="381"/>
        <v>0</v>
      </c>
      <c r="WPS64" s="44">
        <f t="shared" si="381"/>
        <v>0</v>
      </c>
      <c r="WPT64" s="44">
        <f t="shared" si="381"/>
        <v>0</v>
      </c>
      <c r="WPU64" s="44">
        <f t="shared" si="381"/>
        <v>0</v>
      </c>
      <c r="WPV64" s="44">
        <f t="shared" si="381"/>
        <v>0</v>
      </c>
      <c r="WPW64" s="44">
        <f t="shared" si="381"/>
        <v>0</v>
      </c>
      <c r="WPX64" s="44">
        <f t="shared" si="381"/>
        <v>0</v>
      </c>
      <c r="WPY64" s="44">
        <f t="shared" si="381"/>
        <v>0</v>
      </c>
      <c r="WPZ64" s="44">
        <f t="shared" si="381"/>
        <v>0</v>
      </c>
      <c r="WQA64" s="44">
        <f t="shared" si="381"/>
        <v>0</v>
      </c>
      <c r="WQB64" s="44">
        <f t="shared" si="381"/>
        <v>0</v>
      </c>
      <c r="WQC64" s="44">
        <f t="shared" si="381"/>
        <v>0</v>
      </c>
      <c r="WQD64" s="44">
        <f t="shared" si="381"/>
        <v>0</v>
      </c>
      <c r="WQE64" s="44">
        <f t="shared" si="381"/>
        <v>0</v>
      </c>
      <c r="WQF64" s="44">
        <f t="shared" si="381"/>
        <v>0</v>
      </c>
      <c r="WQG64" s="44">
        <f t="shared" si="381"/>
        <v>0</v>
      </c>
      <c r="WQH64" s="44">
        <f t="shared" si="381"/>
        <v>0</v>
      </c>
      <c r="WQI64" s="44">
        <f t="shared" si="381"/>
        <v>0</v>
      </c>
      <c r="WQJ64" s="44">
        <f t="shared" si="381"/>
        <v>0</v>
      </c>
      <c r="WQK64" s="44">
        <f t="shared" si="381"/>
        <v>0</v>
      </c>
      <c r="WQL64" s="44">
        <f t="shared" si="381"/>
        <v>0</v>
      </c>
      <c r="WQM64" s="44">
        <f t="shared" si="381"/>
        <v>0</v>
      </c>
      <c r="WQN64" s="44">
        <f t="shared" si="381"/>
        <v>0</v>
      </c>
      <c r="WQO64" s="44">
        <f t="shared" si="381"/>
        <v>0</v>
      </c>
      <c r="WQP64" s="44">
        <f t="shared" si="381"/>
        <v>0</v>
      </c>
      <c r="WQQ64" s="44">
        <f t="shared" si="381"/>
        <v>0</v>
      </c>
      <c r="WQR64" s="44">
        <f t="shared" si="381"/>
        <v>0</v>
      </c>
      <c r="WQS64" s="44">
        <f t="shared" si="381"/>
        <v>0</v>
      </c>
      <c r="WQT64" s="44">
        <f t="shared" si="381"/>
        <v>0</v>
      </c>
      <c r="WQU64" s="44">
        <f t="shared" si="381"/>
        <v>0</v>
      </c>
      <c r="WQV64" s="44">
        <f t="shared" si="381"/>
        <v>0</v>
      </c>
      <c r="WQW64" s="44">
        <f t="shared" si="381"/>
        <v>0</v>
      </c>
      <c r="WQX64" s="44">
        <f t="shared" si="381"/>
        <v>0</v>
      </c>
      <c r="WQY64" s="44">
        <f t="shared" si="381"/>
        <v>0</v>
      </c>
      <c r="WQZ64" s="44">
        <f t="shared" si="381"/>
        <v>0</v>
      </c>
      <c r="WRA64" s="44">
        <f t="shared" si="381"/>
        <v>0</v>
      </c>
      <c r="WRB64" s="44">
        <f t="shared" si="381"/>
        <v>0</v>
      </c>
      <c r="WRC64" s="44">
        <f t="shared" si="381"/>
        <v>0</v>
      </c>
      <c r="WRD64" s="44">
        <f t="shared" si="381"/>
        <v>0</v>
      </c>
      <c r="WRE64" s="44">
        <f t="shared" si="381"/>
        <v>0</v>
      </c>
      <c r="WRF64" s="44">
        <f t="shared" ref="WRF64:WTQ64" si="382">SUM(WRF56:WRF57)</f>
        <v>0</v>
      </c>
      <c r="WRG64" s="44">
        <f t="shared" si="382"/>
        <v>0</v>
      </c>
      <c r="WRH64" s="44">
        <f t="shared" si="382"/>
        <v>0</v>
      </c>
      <c r="WRI64" s="44">
        <f t="shared" si="382"/>
        <v>0</v>
      </c>
      <c r="WRJ64" s="44">
        <f t="shared" si="382"/>
        <v>0</v>
      </c>
      <c r="WRK64" s="44">
        <f t="shared" si="382"/>
        <v>0</v>
      </c>
      <c r="WRL64" s="44">
        <f t="shared" si="382"/>
        <v>0</v>
      </c>
      <c r="WRM64" s="44">
        <f t="shared" si="382"/>
        <v>0</v>
      </c>
      <c r="WRN64" s="44">
        <f t="shared" si="382"/>
        <v>0</v>
      </c>
      <c r="WRO64" s="44">
        <f t="shared" si="382"/>
        <v>0</v>
      </c>
      <c r="WRP64" s="44">
        <f t="shared" si="382"/>
        <v>0</v>
      </c>
      <c r="WRQ64" s="44">
        <f t="shared" si="382"/>
        <v>0</v>
      </c>
      <c r="WRR64" s="44">
        <f t="shared" si="382"/>
        <v>0</v>
      </c>
      <c r="WRS64" s="44">
        <f t="shared" si="382"/>
        <v>0</v>
      </c>
      <c r="WRT64" s="44">
        <f t="shared" si="382"/>
        <v>0</v>
      </c>
      <c r="WRU64" s="44">
        <f t="shared" si="382"/>
        <v>0</v>
      </c>
      <c r="WRV64" s="44">
        <f t="shared" si="382"/>
        <v>0</v>
      </c>
      <c r="WRW64" s="44">
        <f t="shared" si="382"/>
        <v>0</v>
      </c>
      <c r="WRX64" s="44">
        <f t="shared" si="382"/>
        <v>0</v>
      </c>
      <c r="WRY64" s="44">
        <f t="shared" si="382"/>
        <v>0</v>
      </c>
      <c r="WRZ64" s="44">
        <f t="shared" si="382"/>
        <v>0</v>
      </c>
      <c r="WSA64" s="44">
        <f t="shared" si="382"/>
        <v>0</v>
      </c>
      <c r="WSB64" s="44">
        <f t="shared" si="382"/>
        <v>0</v>
      </c>
      <c r="WSC64" s="44">
        <f t="shared" si="382"/>
        <v>0</v>
      </c>
      <c r="WSD64" s="44">
        <f t="shared" si="382"/>
        <v>0</v>
      </c>
      <c r="WSE64" s="44">
        <f t="shared" si="382"/>
        <v>0</v>
      </c>
      <c r="WSF64" s="44">
        <f t="shared" si="382"/>
        <v>0</v>
      </c>
      <c r="WSG64" s="44">
        <f t="shared" si="382"/>
        <v>0</v>
      </c>
      <c r="WSH64" s="44">
        <f t="shared" si="382"/>
        <v>0</v>
      </c>
      <c r="WSI64" s="44">
        <f t="shared" si="382"/>
        <v>0</v>
      </c>
      <c r="WSJ64" s="44">
        <f t="shared" si="382"/>
        <v>0</v>
      </c>
      <c r="WSK64" s="44">
        <f t="shared" si="382"/>
        <v>0</v>
      </c>
      <c r="WSL64" s="44">
        <f t="shared" si="382"/>
        <v>0</v>
      </c>
      <c r="WSM64" s="44">
        <f t="shared" si="382"/>
        <v>0</v>
      </c>
      <c r="WSN64" s="44">
        <f t="shared" si="382"/>
        <v>0</v>
      </c>
      <c r="WSO64" s="44">
        <f t="shared" si="382"/>
        <v>0</v>
      </c>
      <c r="WSP64" s="44">
        <f t="shared" si="382"/>
        <v>0</v>
      </c>
      <c r="WSQ64" s="44">
        <f t="shared" si="382"/>
        <v>0</v>
      </c>
      <c r="WSR64" s="44">
        <f t="shared" si="382"/>
        <v>0</v>
      </c>
      <c r="WSS64" s="44">
        <f t="shared" si="382"/>
        <v>0</v>
      </c>
      <c r="WST64" s="44">
        <f t="shared" si="382"/>
        <v>0</v>
      </c>
      <c r="WSU64" s="44">
        <f t="shared" si="382"/>
        <v>0</v>
      </c>
      <c r="WSV64" s="44">
        <f t="shared" si="382"/>
        <v>0</v>
      </c>
      <c r="WSW64" s="44">
        <f t="shared" si="382"/>
        <v>0</v>
      </c>
      <c r="WSX64" s="44">
        <f t="shared" si="382"/>
        <v>0</v>
      </c>
      <c r="WSY64" s="44">
        <f t="shared" si="382"/>
        <v>0</v>
      </c>
      <c r="WSZ64" s="44">
        <f t="shared" si="382"/>
        <v>0</v>
      </c>
      <c r="WTA64" s="44">
        <f t="shared" si="382"/>
        <v>0</v>
      </c>
      <c r="WTB64" s="44">
        <f t="shared" si="382"/>
        <v>0</v>
      </c>
      <c r="WTC64" s="44">
        <f t="shared" si="382"/>
        <v>0</v>
      </c>
      <c r="WTD64" s="44">
        <f t="shared" si="382"/>
        <v>0</v>
      </c>
      <c r="WTE64" s="44">
        <f t="shared" si="382"/>
        <v>0</v>
      </c>
      <c r="WTF64" s="44">
        <f t="shared" si="382"/>
        <v>0</v>
      </c>
      <c r="WTG64" s="44">
        <f t="shared" si="382"/>
        <v>0</v>
      </c>
      <c r="WTH64" s="44">
        <f t="shared" si="382"/>
        <v>0</v>
      </c>
      <c r="WTI64" s="44">
        <f t="shared" si="382"/>
        <v>0</v>
      </c>
      <c r="WTJ64" s="44">
        <f t="shared" si="382"/>
        <v>0</v>
      </c>
      <c r="WTK64" s="44">
        <f t="shared" si="382"/>
        <v>0</v>
      </c>
      <c r="WTL64" s="44">
        <f t="shared" si="382"/>
        <v>0</v>
      </c>
      <c r="WTM64" s="44">
        <f t="shared" si="382"/>
        <v>0</v>
      </c>
      <c r="WTN64" s="44">
        <f t="shared" si="382"/>
        <v>0</v>
      </c>
      <c r="WTO64" s="44">
        <f t="shared" si="382"/>
        <v>0</v>
      </c>
      <c r="WTP64" s="44">
        <f t="shared" si="382"/>
        <v>0</v>
      </c>
      <c r="WTQ64" s="44">
        <f t="shared" si="382"/>
        <v>0</v>
      </c>
      <c r="WTR64" s="44">
        <f t="shared" ref="WTR64:WWC64" si="383">SUM(WTR56:WTR57)</f>
        <v>0</v>
      </c>
      <c r="WTS64" s="44">
        <f t="shared" si="383"/>
        <v>0</v>
      </c>
      <c r="WTT64" s="44">
        <f t="shared" si="383"/>
        <v>0</v>
      </c>
      <c r="WTU64" s="44">
        <f t="shared" si="383"/>
        <v>0</v>
      </c>
      <c r="WTV64" s="44">
        <f t="shared" si="383"/>
        <v>0</v>
      </c>
      <c r="WTW64" s="44">
        <f t="shared" si="383"/>
        <v>0</v>
      </c>
      <c r="WTX64" s="44">
        <f t="shared" si="383"/>
        <v>0</v>
      </c>
      <c r="WTY64" s="44">
        <f t="shared" si="383"/>
        <v>0</v>
      </c>
      <c r="WTZ64" s="44">
        <f t="shared" si="383"/>
        <v>0</v>
      </c>
      <c r="WUA64" s="44">
        <f t="shared" si="383"/>
        <v>0</v>
      </c>
      <c r="WUB64" s="44">
        <f t="shared" si="383"/>
        <v>0</v>
      </c>
      <c r="WUC64" s="44">
        <f t="shared" si="383"/>
        <v>0</v>
      </c>
      <c r="WUD64" s="44">
        <f t="shared" si="383"/>
        <v>0</v>
      </c>
      <c r="WUE64" s="44">
        <f t="shared" si="383"/>
        <v>0</v>
      </c>
      <c r="WUF64" s="44">
        <f t="shared" si="383"/>
        <v>0</v>
      </c>
      <c r="WUG64" s="44">
        <f t="shared" si="383"/>
        <v>0</v>
      </c>
      <c r="WUH64" s="44">
        <f t="shared" si="383"/>
        <v>0</v>
      </c>
      <c r="WUI64" s="44">
        <f t="shared" si="383"/>
        <v>0</v>
      </c>
      <c r="WUJ64" s="44">
        <f t="shared" si="383"/>
        <v>0</v>
      </c>
      <c r="WUK64" s="44">
        <f t="shared" si="383"/>
        <v>0</v>
      </c>
      <c r="WUL64" s="44">
        <f t="shared" si="383"/>
        <v>0</v>
      </c>
      <c r="WUM64" s="44">
        <f t="shared" si="383"/>
        <v>0</v>
      </c>
      <c r="WUN64" s="44">
        <f t="shared" si="383"/>
        <v>0</v>
      </c>
      <c r="WUO64" s="44">
        <f t="shared" si="383"/>
        <v>0</v>
      </c>
      <c r="WUP64" s="44">
        <f t="shared" si="383"/>
        <v>0</v>
      </c>
      <c r="WUQ64" s="44">
        <f t="shared" si="383"/>
        <v>0</v>
      </c>
      <c r="WUR64" s="44">
        <f t="shared" si="383"/>
        <v>0</v>
      </c>
      <c r="WUS64" s="44">
        <f t="shared" si="383"/>
        <v>0</v>
      </c>
      <c r="WUT64" s="44">
        <f t="shared" si="383"/>
        <v>0</v>
      </c>
      <c r="WUU64" s="44">
        <f t="shared" si="383"/>
        <v>0</v>
      </c>
      <c r="WUV64" s="44">
        <f t="shared" si="383"/>
        <v>0</v>
      </c>
      <c r="WUW64" s="44">
        <f t="shared" si="383"/>
        <v>0</v>
      </c>
      <c r="WUX64" s="44">
        <f t="shared" si="383"/>
        <v>0</v>
      </c>
      <c r="WUY64" s="44">
        <f t="shared" si="383"/>
        <v>0</v>
      </c>
      <c r="WUZ64" s="44">
        <f t="shared" si="383"/>
        <v>0</v>
      </c>
      <c r="WVA64" s="44">
        <f t="shared" si="383"/>
        <v>0</v>
      </c>
      <c r="WVB64" s="44">
        <f t="shared" si="383"/>
        <v>0</v>
      </c>
      <c r="WVC64" s="44">
        <f t="shared" si="383"/>
        <v>0</v>
      </c>
      <c r="WVD64" s="44">
        <f t="shared" si="383"/>
        <v>0</v>
      </c>
      <c r="WVE64" s="44">
        <f t="shared" si="383"/>
        <v>0</v>
      </c>
      <c r="WVF64" s="44">
        <f t="shared" si="383"/>
        <v>0</v>
      </c>
      <c r="WVG64" s="44">
        <f t="shared" si="383"/>
        <v>0</v>
      </c>
      <c r="WVH64" s="44">
        <f t="shared" si="383"/>
        <v>0</v>
      </c>
      <c r="WVI64" s="44">
        <f t="shared" si="383"/>
        <v>0</v>
      </c>
      <c r="WVJ64" s="44">
        <f t="shared" si="383"/>
        <v>0</v>
      </c>
      <c r="WVK64" s="44">
        <f t="shared" si="383"/>
        <v>0</v>
      </c>
      <c r="WVL64" s="44">
        <f t="shared" si="383"/>
        <v>0</v>
      </c>
      <c r="WVM64" s="44">
        <f t="shared" si="383"/>
        <v>0</v>
      </c>
      <c r="WVN64" s="44">
        <f t="shared" si="383"/>
        <v>0</v>
      </c>
      <c r="WVO64" s="44">
        <f t="shared" si="383"/>
        <v>0</v>
      </c>
      <c r="WVP64" s="44">
        <f t="shared" si="383"/>
        <v>0</v>
      </c>
      <c r="WVQ64" s="44">
        <f t="shared" si="383"/>
        <v>0</v>
      </c>
      <c r="WVR64" s="44">
        <f t="shared" si="383"/>
        <v>0</v>
      </c>
      <c r="WVS64" s="44">
        <f t="shared" si="383"/>
        <v>0</v>
      </c>
      <c r="WVT64" s="44">
        <f t="shared" si="383"/>
        <v>0</v>
      </c>
      <c r="WVU64" s="44">
        <f t="shared" si="383"/>
        <v>0</v>
      </c>
      <c r="WVV64" s="44">
        <f t="shared" si="383"/>
        <v>0</v>
      </c>
      <c r="WVW64" s="44">
        <f t="shared" si="383"/>
        <v>0</v>
      </c>
      <c r="WVX64" s="44">
        <f t="shared" si="383"/>
        <v>0</v>
      </c>
      <c r="WVY64" s="44">
        <f t="shared" si="383"/>
        <v>0</v>
      </c>
      <c r="WVZ64" s="44">
        <f t="shared" si="383"/>
        <v>0</v>
      </c>
      <c r="WWA64" s="44">
        <f t="shared" si="383"/>
        <v>0</v>
      </c>
      <c r="WWB64" s="44">
        <f t="shared" si="383"/>
        <v>0</v>
      </c>
      <c r="WWC64" s="44">
        <f t="shared" si="383"/>
        <v>0</v>
      </c>
      <c r="WWD64" s="44">
        <f t="shared" ref="WWD64:WYO64" si="384">SUM(WWD56:WWD57)</f>
        <v>0</v>
      </c>
      <c r="WWE64" s="44">
        <f t="shared" si="384"/>
        <v>0</v>
      </c>
      <c r="WWF64" s="44">
        <f t="shared" si="384"/>
        <v>0</v>
      </c>
      <c r="WWG64" s="44">
        <f t="shared" si="384"/>
        <v>0</v>
      </c>
      <c r="WWH64" s="44">
        <f t="shared" si="384"/>
        <v>0</v>
      </c>
      <c r="WWI64" s="44">
        <f t="shared" si="384"/>
        <v>0</v>
      </c>
      <c r="WWJ64" s="44">
        <f t="shared" si="384"/>
        <v>0</v>
      </c>
      <c r="WWK64" s="44">
        <f t="shared" si="384"/>
        <v>0</v>
      </c>
      <c r="WWL64" s="44">
        <f t="shared" si="384"/>
        <v>0</v>
      </c>
      <c r="WWM64" s="44">
        <f t="shared" si="384"/>
        <v>0</v>
      </c>
      <c r="WWN64" s="44">
        <f t="shared" si="384"/>
        <v>0</v>
      </c>
      <c r="WWO64" s="44">
        <f t="shared" si="384"/>
        <v>0</v>
      </c>
      <c r="WWP64" s="44">
        <f t="shared" si="384"/>
        <v>0</v>
      </c>
      <c r="WWQ64" s="44">
        <f t="shared" si="384"/>
        <v>0</v>
      </c>
      <c r="WWR64" s="44">
        <f t="shared" si="384"/>
        <v>0</v>
      </c>
      <c r="WWS64" s="44">
        <f t="shared" si="384"/>
        <v>0</v>
      </c>
      <c r="WWT64" s="44">
        <f t="shared" si="384"/>
        <v>0</v>
      </c>
      <c r="WWU64" s="44">
        <f t="shared" si="384"/>
        <v>0</v>
      </c>
      <c r="WWV64" s="44">
        <f t="shared" si="384"/>
        <v>0</v>
      </c>
      <c r="WWW64" s="44">
        <f t="shared" si="384"/>
        <v>0</v>
      </c>
      <c r="WWX64" s="44">
        <f t="shared" si="384"/>
        <v>0</v>
      </c>
      <c r="WWY64" s="44">
        <f t="shared" si="384"/>
        <v>0</v>
      </c>
      <c r="WWZ64" s="44">
        <f t="shared" si="384"/>
        <v>0</v>
      </c>
      <c r="WXA64" s="44">
        <f t="shared" si="384"/>
        <v>0</v>
      </c>
      <c r="WXB64" s="44">
        <f t="shared" si="384"/>
        <v>0</v>
      </c>
      <c r="WXC64" s="44">
        <f t="shared" si="384"/>
        <v>0</v>
      </c>
      <c r="WXD64" s="44">
        <f t="shared" si="384"/>
        <v>0</v>
      </c>
      <c r="WXE64" s="44">
        <f t="shared" si="384"/>
        <v>0</v>
      </c>
      <c r="WXF64" s="44">
        <f t="shared" si="384"/>
        <v>0</v>
      </c>
      <c r="WXG64" s="44">
        <f t="shared" si="384"/>
        <v>0</v>
      </c>
      <c r="WXH64" s="44">
        <f t="shared" si="384"/>
        <v>0</v>
      </c>
      <c r="WXI64" s="44">
        <f t="shared" si="384"/>
        <v>0</v>
      </c>
      <c r="WXJ64" s="44">
        <f t="shared" si="384"/>
        <v>0</v>
      </c>
      <c r="WXK64" s="44">
        <f t="shared" si="384"/>
        <v>0</v>
      </c>
      <c r="WXL64" s="44">
        <f t="shared" si="384"/>
        <v>0</v>
      </c>
      <c r="WXM64" s="44">
        <f t="shared" si="384"/>
        <v>0</v>
      </c>
      <c r="WXN64" s="44">
        <f t="shared" si="384"/>
        <v>0</v>
      </c>
      <c r="WXO64" s="44">
        <f t="shared" si="384"/>
        <v>0</v>
      </c>
      <c r="WXP64" s="44">
        <f t="shared" si="384"/>
        <v>0</v>
      </c>
      <c r="WXQ64" s="44">
        <f t="shared" si="384"/>
        <v>0</v>
      </c>
      <c r="WXR64" s="44">
        <f t="shared" si="384"/>
        <v>0</v>
      </c>
      <c r="WXS64" s="44">
        <f t="shared" si="384"/>
        <v>0</v>
      </c>
      <c r="WXT64" s="44">
        <f t="shared" si="384"/>
        <v>0</v>
      </c>
      <c r="WXU64" s="44">
        <f t="shared" si="384"/>
        <v>0</v>
      </c>
      <c r="WXV64" s="44">
        <f t="shared" si="384"/>
        <v>0</v>
      </c>
      <c r="WXW64" s="44">
        <f t="shared" si="384"/>
        <v>0</v>
      </c>
      <c r="WXX64" s="44">
        <f t="shared" si="384"/>
        <v>0</v>
      </c>
      <c r="WXY64" s="44">
        <f t="shared" si="384"/>
        <v>0</v>
      </c>
      <c r="WXZ64" s="44">
        <f t="shared" si="384"/>
        <v>0</v>
      </c>
      <c r="WYA64" s="44">
        <f t="shared" si="384"/>
        <v>0</v>
      </c>
      <c r="WYB64" s="44">
        <f t="shared" si="384"/>
        <v>0</v>
      </c>
      <c r="WYC64" s="44">
        <f t="shared" si="384"/>
        <v>0</v>
      </c>
      <c r="WYD64" s="44">
        <f t="shared" si="384"/>
        <v>0</v>
      </c>
      <c r="WYE64" s="44">
        <f t="shared" si="384"/>
        <v>0</v>
      </c>
      <c r="WYF64" s="44">
        <f t="shared" si="384"/>
        <v>0</v>
      </c>
      <c r="WYG64" s="44">
        <f t="shared" si="384"/>
        <v>0</v>
      </c>
      <c r="WYH64" s="44">
        <f t="shared" si="384"/>
        <v>0</v>
      </c>
      <c r="WYI64" s="44">
        <f t="shared" si="384"/>
        <v>0</v>
      </c>
      <c r="WYJ64" s="44">
        <f t="shared" si="384"/>
        <v>0</v>
      </c>
      <c r="WYK64" s="44">
        <f t="shared" si="384"/>
        <v>0</v>
      </c>
      <c r="WYL64" s="44">
        <f t="shared" si="384"/>
        <v>0</v>
      </c>
      <c r="WYM64" s="44">
        <f t="shared" si="384"/>
        <v>0</v>
      </c>
      <c r="WYN64" s="44">
        <f t="shared" si="384"/>
        <v>0</v>
      </c>
      <c r="WYO64" s="44">
        <f t="shared" si="384"/>
        <v>0</v>
      </c>
      <c r="WYP64" s="44">
        <f t="shared" ref="WYP64:XBA64" si="385">SUM(WYP56:WYP57)</f>
        <v>0</v>
      </c>
      <c r="WYQ64" s="44">
        <f t="shared" si="385"/>
        <v>0</v>
      </c>
      <c r="WYR64" s="44">
        <f t="shared" si="385"/>
        <v>0</v>
      </c>
      <c r="WYS64" s="44">
        <f t="shared" si="385"/>
        <v>0</v>
      </c>
      <c r="WYT64" s="44">
        <f t="shared" si="385"/>
        <v>0</v>
      </c>
      <c r="WYU64" s="44">
        <f t="shared" si="385"/>
        <v>0</v>
      </c>
      <c r="WYV64" s="44">
        <f t="shared" si="385"/>
        <v>0</v>
      </c>
      <c r="WYW64" s="44">
        <f t="shared" si="385"/>
        <v>0</v>
      </c>
      <c r="WYX64" s="44">
        <f t="shared" si="385"/>
        <v>0</v>
      </c>
      <c r="WYY64" s="44">
        <f t="shared" si="385"/>
        <v>0</v>
      </c>
      <c r="WYZ64" s="44">
        <f t="shared" si="385"/>
        <v>0</v>
      </c>
      <c r="WZA64" s="44">
        <f t="shared" si="385"/>
        <v>0</v>
      </c>
      <c r="WZB64" s="44">
        <f t="shared" si="385"/>
        <v>0</v>
      </c>
      <c r="WZC64" s="44">
        <f t="shared" si="385"/>
        <v>0</v>
      </c>
      <c r="WZD64" s="44">
        <f t="shared" si="385"/>
        <v>0</v>
      </c>
      <c r="WZE64" s="44">
        <f t="shared" si="385"/>
        <v>0</v>
      </c>
      <c r="WZF64" s="44">
        <f t="shared" si="385"/>
        <v>0</v>
      </c>
      <c r="WZG64" s="44">
        <f t="shared" si="385"/>
        <v>0</v>
      </c>
      <c r="WZH64" s="44">
        <f t="shared" si="385"/>
        <v>0</v>
      </c>
      <c r="WZI64" s="44">
        <f t="shared" si="385"/>
        <v>0</v>
      </c>
      <c r="WZJ64" s="44">
        <f t="shared" si="385"/>
        <v>0</v>
      </c>
      <c r="WZK64" s="44">
        <f t="shared" si="385"/>
        <v>0</v>
      </c>
      <c r="WZL64" s="44">
        <f t="shared" si="385"/>
        <v>0</v>
      </c>
      <c r="WZM64" s="44">
        <f t="shared" si="385"/>
        <v>0</v>
      </c>
      <c r="WZN64" s="44">
        <f t="shared" si="385"/>
        <v>0</v>
      </c>
      <c r="WZO64" s="44">
        <f t="shared" si="385"/>
        <v>0</v>
      </c>
      <c r="WZP64" s="44">
        <f t="shared" si="385"/>
        <v>0</v>
      </c>
      <c r="WZQ64" s="44">
        <f t="shared" si="385"/>
        <v>0</v>
      </c>
      <c r="WZR64" s="44">
        <f t="shared" si="385"/>
        <v>0</v>
      </c>
      <c r="WZS64" s="44">
        <f t="shared" si="385"/>
        <v>0</v>
      </c>
      <c r="WZT64" s="44">
        <f t="shared" si="385"/>
        <v>0</v>
      </c>
      <c r="WZU64" s="44">
        <f t="shared" si="385"/>
        <v>0</v>
      </c>
      <c r="WZV64" s="44">
        <f t="shared" si="385"/>
        <v>0</v>
      </c>
      <c r="WZW64" s="44">
        <f t="shared" si="385"/>
        <v>0</v>
      </c>
      <c r="WZX64" s="44">
        <f t="shared" si="385"/>
        <v>0</v>
      </c>
      <c r="WZY64" s="44">
        <f t="shared" si="385"/>
        <v>0</v>
      </c>
      <c r="WZZ64" s="44">
        <f t="shared" si="385"/>
        <v>0</v>
      </c>
      <c r="XAA64" s="44">
        <f t="shared" si="385"/>
        <v>0</v>
      </c>
      <c r="XAB64" s="44">
        <f t="shared" si="385"/>
        <v>0</v>
      </c>
      <c r="XAC64" s="44">
        <f t="shared" si="385"/>
        <v>0</v>
      </c>
      <c r="XAD64" s="44">
        <f t="shared" si="385"/>
        <v>0</v>
      </c>
      <c r="XAE64" s="44">
        <f t="shared" si="385"/>
        <v>0</v>
      </c>
      <c r="XAF64" s="44">
        <f t="shared" si="385"/>
        <v>0</v>
      </c>
      <c r="XAG64" s="44">
        <f t="shared" si="385"/>
        <v>0</v>
      </c>
      <c r="XAH64" s="44">
        <f t="shared" si="385"/>
        <v>0</v>
      </c>
      <c r="XAI64" s="44">
        <f t="shared" si="385"/>
        <v>0</v>
      </c>
      <c r="XAJ64" s="44">
        <f t="shared" si="385"/>
        <v>0</v>
      </c>
      <c r="XAK64" s="44">
        <f t="shared" si="385"/>
        <v>0</v>
      </c>
      <c r="XAL64" s="44">
        <f t="shared" si="385"/>
        <v>0</v>
      </c>
      <c r="XAM64" s="44">
        <f t="shared" si="385"/>
        <v>0</v>
      </c>
      <c r="XAN64" s="44">
        <f t="shared" si="385"/>
        <v>0</v>
      </c>
      <c r="XAO64" s="44">
        <f t="shared" si="385"/>
        <v>0</v>
      </c>
      <c r="XAP64" s="44">
        <f t="shared" si="385"/>
        <v>0</v>
      </c>
      <c r="XAQ64" s="44">
        <f t="shared" si="385"/>
        <v>0</v>
      </c>
      <c r="XAR64" s="44">
        <f t="shared" si="385"/>
        <v>0</v>
      </c>
      <c r="XAS64" s="44">
        <f t="shared" si="385"/>
        <v>0</v>
      </c>
      <c r="XAT64" s="44">
        <f t="shared" si="385"/>
        <v>0</v>
      </c>
      <c r="XAU64" s="44">
        <f t="shared" si="385"/>
        <v>0</v>
      </c>
      <c r="XAV64" s="44">
        <f t="shared" si="385"/>
        <v>0</v>
      </c>
      <c r="XAW64" s="44">
        <f t="shared" si="385"/>
        <v>0</v>
      </c>
      <c r="XAX64" s="44">
        <f t="shared" si="385"/>
        <v>0</v>
      </c>
      <c r="XAY64" s="44">
        <f t="shared" si="385"/>
        <v>0</v>
      </c>
      <c r="XAZ64" s="44">
        <f t="shared" si="385"/>
        <v>0</v>
      </c>
      <c r="XBA64" s="44">
        <f t="shared" si="385"/>
        <v>0</v>
      </c>
      <c r="XBB64" s="44">
        <f t="shared" ref="XBB64:XDM64" si="386">SUM(XBB56:XBB57)</f>
        <v>0</v>
      </c>
      <c r="XBC64" s="44">
        <f t="shared" si="386"/>
        <v>0</v>
      </c>
      <c r="XBD64" s="44">
        <f t="shared" si="386"/>
        <v>0</v>
      </c>
      <c r="XBE64" s="44">
        <f t="shared" si="386"/>
        <v>0</v>
      </c>
      <c r="XBF64" s="44">
        <f t="shared" si="386"/>
        <v>0</v>
      </c>
      <c r="XBG64" s="44">
        <f t="shared" si="386"/>
        <v>0</v>
      </c>
      <c r="XBH64" s="44">
        <f t="shared" si="386"/>
        <v>0</v>
      </c>
      <c r="XBI64" s="44">
        <f t="shared" si="386"/>
        <v>0</v>
      </c>
      <c r="XBJ64" s="44">
        <f t="shared" si="386"/>
        <v>0</v>
      </c>
      <c r="XBK64" s="44">
        <f t="shared" si="386"/>
        <v>0</v>
      </c>
      <c r="XBL64" s="44">
        <f t="shared" si="386"/>
        <v>0</v>
      </c>
      <c r="XBM64" s="44">
        <f t="shared" si="386"/>
        <v>0</v>
      </c>
      <c r="XBN64" s="44">
        <f t="shared" si="386"/>
        <v>0</v>
      </c>
      <c r="XBO64" s="44">
        <f t="shared" si="386"/>
        <v>0</v>
      </c>
      <c r="XBP64" s="44">
        <f t="shared" si="386"/>
        <v>0</v>
      </c>
      <c r="XBQ64" s="44">
        <f t="shared" si="386"/>
        <v>0</v>
      </c>
      <c r="XBR64" s="44">
        <f t="shared" si="386"/>
        <v>0</v>
      </c>
      <c r="XBS64" s="44">
        <f t="shared" si="386"/>
        <v>0</v>
      </c>
      <c r="XBT64" s="44">
        <f t="shared" si="386"/>
        <v>0</v>
      </c>
      <c r="XBU64" s="44">
        <f t="shared" si="386"/>
        <v>0</v>
      </c>
      <c r="XBV64" s="44">
        <f t="shared" si="386"/>
        <v>0</v>
      </c>
      <c r="XBW64" s="44">
        <f t="shared" si="386"/>
        <v>0</v>
      </c>
      <c r="XBX64" s="44">
        <f t="shared" si="386"/>
        <v>0</v>
      </c>
      <c r="XBY64" s="44">
        <f t="shared" si="386"/>
        <v>0</v>
      </c>
      <c r="XBZ64" s="44">
        <f t="shared" si="386"/>
        <v>0</v>
      </c>
      <c r="XCA64" s="44">
        <f t="shared" si="386"/>
        <v>0</v>
      </c>
      <c r="XCB64" s="44">
        <f t="shared" si="386"/>
        <v>0</v>
      </c>
      <c r="XCC64" s="44">
        <f t="shared" si="386"/>
        <v>0</v>
      </c>
      <c r="XCD64" s="44">
        <f t="shared" si="386"/>
        <v>0</v>
      </c>
      <c r="XCE64" s="44">
        <f t="shared" si="386"/>
        <v>0</v>
      </c>
      <c r="XCF64" s="44">
        <f t="shared" si="386"/>
        <v>0</v>
      </c>
      <c r="XCG64" s="44">
        <f t="shared" si="386"/>
        <v>0</v>
      </c>
      <c r="XCH64" s="44">
        <f t="shared" si="386"/>
        <v>0</v>
      </c>
      <c r="XCI64" s="44">
        <f t="shared" si="386"/>
        <v>0</v>
      </c>
      <c r="XCJ64" s="44">
        <f t="shared" si="386"/>
        <v>0</v>
      </c>
      <c r="XCK64" s="44">
        <f t="shared" si="386"/>
        <v>0</v>
      </c>
      <c r="XCL64" s="44">
        <f t="shared" si="386"/>
        <v>0</v>
      </c>
      <c r="XCM64" s="44">
        <f t="shared" si="386"/>
        <v>0</v>
      </c>
      <c r="XCN64" s="44">
        <f t="shared" si="386"/>
        <v>0</v>
      </c>
      <c r="XCO64" s="44">
        <f t="shared" si="386"/>
        <v>0</v>
      </c>
      <c r="XCP64" s="44">
        <f t="shared" si="386"/>
        <v>0</v>
      </c>
      <c r="XCQ64" s="44">
        <f t="shared" si="386"/>
        <v>0</v>
      </c>
      <c r="XCR64" s="44">
        <f t="shared" si="386"/>
        <v>0</v>
      </c>
      <c r="XCS64" s="44">
        <f t="shared" si="386"/>
        <v>0</v>
      </c>
      <c r="XCT64" s="44">
        <f t="shared" si="386"/>
        <v>0</v>
      </c>
      <c r="XCU64" s="44">
        <f t="shared" si="386"/>
        <v>0</v>
      </c>
      <c r="XCV64" s="44">
        <f t="shared" si="386"/>
        <v>0</v>
      </c>
      <c r="XCW64" s="44">
        <f t="shared" si="386"/>
        <v>0</v>
      </c>
      <c r="XCX64" s="44">
        <f t="shared" si="386"/>
        <v>0</v>
      </c>
      <c r="XCY64" s="44">
        <f t="shared" si="386"/>
        <v>0</v>
      </c>
      <c r="XCZ64" s="44">
        <f t="shared" si="386"/>
        <v>0</v>
      </c>
      <c r="XDA64" s="44">
        <f t="shared" si="386"/>
        <v>0</v>
      </c>
      <c r="XDB64" s="44">
        <f t="shared" si="386"/>
        <v>0</v>
      </c>
      <c r="XDC64" s="44">
        <f t="shared" si="386"/>
        <v>0</v>
      </c>
      <c r="XDD64" s="44">
        <f t="shared" si="386"/>
        <v>0</v>
      </c>
      <c r="XDE64" s="44">
        <f t="shared" si="386"/>
        <v>0</v>
      </c>
      <c r="XDF64" s="44">
        <f t="shared" si="386"/>
        <v>0</v>
      </c>
      <c r="XDG64" s="44">
        <f t="shared" si="386"/>
        <v>0</v>
      </c>
      <c r="XDH64" s="44">
        <f t="shared" si="386"/>
        <v>0</v>
      </c>
      <c r="XDI64" s="44">
        <f t="shared" si="386"/>
        <v>0</v>
      </c>
      <c r="XDJ64" s="44">
        <f t="shared" si="386"/>
        <v>0</v>
      </c>
      <c r="XDK64" s="44">
        <f t="shared" si="386"/>
        <v>0</v>
      </c>
      <c r="XDL64" s="44">
        <f t="shared" si="386"/>
        <v>0</v>
      </c>
      <c r="XDM64" s="44">
        <f t="shared" si="386"/>
        <v>0</v>
      </c>
      <c r="XDN64" s="44">
        <f t="shared" ref="XDN64:XFD64" si="387">SUM(XDN56:XDN57)</f>
        <v>0</v>
      </c>
      <c r="XDO64" s="44">
        <f t="shared" si="387"/>
        <v>0</v>
      </c>
      <c r="XDP64" s="44">
        <f t="shared" si="387"/>
        <v>0</v>
      </c>
      <c r="XDQ64" s="44">
        <f t="shared" si="387"/>
        <v>0</v>
      </c>
      <c r="XDR64" s="44">
        <f t="shared" si="387"/>
        <v>0</v>
      </c>
      <c r="XDS64" s="44">
        <f t="shared" si="387"/>
        <v>0</v>
      </c>
      <c r="XDT64" s="44">
        <f t="shared" si="387"/>
        <v>0</v>
      </c>
      <c r="XDU64" s="44">
        <f t="shared" si="387"/>
        <v>0</v>
      </c>
      <c r="XDV64" s="44">
        <f t="shared" si="387"/>
        <v>0</v>
      </c>
      <c r="XDW64" s="44">
        <f t="shared" si="387"/>
        <v>0</v>
      </c>
      <c r="XDX64" s="44">
        <f t="shared" si="387"/>
        <v>0</v>
      </c>
      <c r="XDY64" s="44">
        <f t="shared" si="387"/>
        <v>0</v>
      </c>
      <c r="XDZ64" s="44">
        <f t="shared" si="387"/>
        <v>0</v>
      </c>
      <c r="XEA64" s="44">
        <f t="shared" si="387"/>
        <v>0</v>
      </c>
      <c r="XEB64" s="44">
        <f t="shared" si="387"/>
        <v>0</v>
      </c>
      <c r="XEC64" s="44">
        <f t="shared" si="387"/>
        <v>0</v>
      </c>
      <c r="XED64" s="44">
        <f t="shared" si="387"/>
        <v>0</v>
      </c>
      <c r="XEE64" s="44">
        <f t="shared" si="387"/>
        <v>0</v>
      </c>
      <c r="XEF64" s="44">
        <f t="shared" si="387"/>
        <v>0</v>
      </c>
      <c r="XEG64" s="44">
        <f t="shared" si="387"/>
        <v>0</v>
      </c>
      <c r="XEH64" s="44">
        <f t="shared" si="387"/>
        <v>0</v>
      </c>
      <c r="XEI64" s="44">
        <f t="shared" si="387"/>
        <v>0</v>
      </c>
      <c r="XEJ64" s="44">
        <f t="shared" si="387"/>
        <v>0</v>
      </c>
      <c r="XEK64" s="44">
        <f t="shared" si="387"/>
        <v>0</v>
      </c>
      <c r="XEL64" s="44">
        <f t="shared" si="387"/>
        <v>0</v>
      </c>
      <c r="XEM64" s="44">
        <f t="shared" si="387"/>
        <v>0</v>
      </c>
      <c r="XEN64" s="44">
        <f t="shared" si="387"/>
        <v>0</v>
      </c>
      <c r="XEO64" s="44">
        <f t="shared" si="387"/>
        <v>0</v>
      </c>
      <c r="XEP64" s="44">
        <f t="shared" si="387"/>
        <v>0</v>
      </c>
      <c r="XEQ64" s="44">
        <f t="shared" si="387"/>
        <v>0</v>
      </c>
      <c r="XER64" s="44">
        <f t="shared" si="387"/>
        <v>0</v>
      </c>
      <c r="XES64" s="44">
        <f t="shared" si="387"/>
        <v>0</v>
      </c>
      <c r="XET64" s="44">
        <f t="shared" si="387"/>
        <v>0</v>
      </c>
      <c r="XEU64" s="44">
        <f t="shared" si="387"/>
        <v>0</v>
      </c>
      <c r="XEV64" s="44">
        <f t="shared" si="387"/>
        <v>0</v>
      </c>
      <c r="XEW64" s="44">
        <f t="shared" si="387"/>
        <v>0</v>
      </c>
      <c r="XEX64" s="44">
        <f t="shared" si="387"/>
        <v>0</v>
      </c>
      <c r="XEY64" s="44">
        <f t="shared" si="387"/>
        <v>0</v>
      </c>
      <c r="XEZ64" s="44">
        <f t="shared" si="387"/>
        <v>0</v>
      </c>
      <c r="XFA64" s="44">
        <f t="shared" si="387"/>
        <v>0</v>
      </c>
      <c r="XFB64" s="44">
        <f t="shared" si="387"/>
        <v>0</v>
      </c>
      <c r="XFC64" s="44">
        <f t="shared" si="387"/>
        <v>0</v>
      </c>
      <c r="XFD64" s="44">
        <f t="shared" si="387"/>
        <v>0</v>
      </c>
    </row>
    <row r="65" spans="1:21" s="42" customFormat="1" x14ac:dyDescent="0.3">
      <c r="A65" s="69" t="s">
        <v>118</v>
      </c>
      <c r="B65" s="69"/>
      <c r="C65" s="69"/>
      <c r="D65" s="69"/>
      <c r="E65" s="69"/>
      <c r="F65" s="40">
        <f>SUM(F11,F20,F27,F41,F48,F52,F64)</f>
        <v>199.22499999999997</v>
      </c>
      <c r="G65" s="40">
        <f>SUM(G11,G20,G27,G41,G48,G52,G64)</f>
        <v>122.52731647000002</v>
      </c>
      <c r="H65" s="65">
        <f t="shared" si="100"/>
        <v>0.6150197840130508</v>
      </c>
      <c r="I65" s="40">
        <f>SUM(I11,I20,I27,I41,I48,I52,I64)</f>
        <v>330.32499999999999</v>
      </c>
      <c r="J65" s="40">
        <f>SUM(J11,J20,J27,J41,J48,J52,J64)</f>
        <v>132.21361039200002</v>
      </c>
      <c r="K65" s="65">
        <f t="shared" ref="K65" si="388">IFERROR(J65/I65,"-")</f>
        <v>0.40025311554378273</v>
      </c>
      <c r="L65" s="40">
        <f>SUM(L11,L20,L27,L41,L48,L52,L64)</f>
        <v>498</v>
      </c>
      <c r="M65" s="40">
        <f>SUM(M11,M20,M27,M41,M48,M52,M64)</f>
        <v>254.76520206200001</v>
      </c>
      <c r="N65" s="65">
        <f t="shared" ref="N65" si="389">IFERROR(M65/L65,"-")</f>
        <v>0.5115767109678715</v>
      </c>
      <c r="O65" s="40">
        <f>SUM(O11,O20,O27,O41,O48,O52,O64)</f>
        <v>615.5</v>
      </c>
      <c r="P65" s="40">
        <f>SUM(P11,P20,P27,P41,P48,P52,P64)</f>
        <v>0</v>
      </c>
      <c r="Q65" s="40">
        <f>SUM(Q11,Q20,Q27,Q41,Q48,Q52,Q64)</f>
        <v>0</v>
      </c>
      <c r="R65" s="40">
        <v>1250</v>
      </c>
      <c r="S65" s="40">
        <f>SUM(S11,S20,S27,S41,S48,S52,S64)</f>
        <v>254.76520206200001</v>
      </c>
      <c r="T65" s="65">
        <f t="shared" ref="T65" si="390">IFERROR(S65/R65,"-")</f>
        <v>0.2038121616496</v>
      </c>
      <c r="U65" s="40">
        <f>SUM(U11,U20,U27,U41,U48,U52,U64)</f>
        <v>551</v>
      </c>
    </row>
    <row r="66" spans="1:21" x14ac:dyDescent="0.3">
      <c r="G66" s="29">
        <f>SUM(G11,G20,G27,G41,G48,G53)</f>
        <v>97.334076888000013</v>
      </c>
      <c r="J66" s="29">
        <f>SUM(J11,J20,J27,J41,J48,J53)</f>
        <v>89.270129972000007</v>
      </c>
      <c r="M66" s="29">
        <f>SUM(M11,M20,M27,M41,M48,M53)</f>
        <v>186.60420686000001</v>
      </c>
      <c r="S66" s="29">
        <f>SUM(S11,S20,S27,S41,S48,S53)</f>
        <v>186.60420686000001</v>
      </c>
    </row>
  </sheetData>
  <mergeCells count="9">
    <mergeCell ref="A65:E65"/>
    <mergeCell ref="A50:Z50"/>
    <mergeCell ref="A1:Z1"/>
    <mergeCell ref="A3:Z3"/>
    <mergeCell ref="A13:Z13"/>
    <mergeCell ref="A22:Z22"/>
    <mergeCell ref="A29:Z29"/>
    <mergeCell ref="A43:Z43"/>
    <mergeCell ref="A54:Z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38F4F-0DFF-4C0D-9F25-27E17713341C}">
  <dimension ref="A1:U23"/>
  <sheetViews>
    <sheetView topLeftCell="A2" zoomScale="85" zoomScaleNormal="85" workbookViewId="0">
      <selection activeCell="S23" sqref="S23"/>
    </sheetView>
  </sheetViews>
  <sheetFormatPr defaultRowHeight="14.4" x14ac:dyDescent="0.3"/>
  <cols>
    <col min="2" max="2" width="19.6640625" bestFit="1" customWidth="1"/>
    <col min="7" max="7" width="11" bestFit="1" customWidth="1"/>
  </cols>
  <sheetData>
    <row r="1" spans="1:21" ht="27.75" customHeight="1" x14ac:dyDescent="0.3">
      <c r="A1" s="59" t="s">
        <v>143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</row>
    <row r="2" spans="1:21" ht="36" customHeight="1" x14ac:dyDescent="0.3">
      <c r="A2" s="54" t="s">
        <v>1</v>
      </c>
      <c r="B2" s="54" t="s">
        <v>2</v>
      </c>
      <c r="C2" s="54" t="s">
        <v>3</v>
      </c>
      <c r="D2" s="54" t="s">
        <v>4</v>
      </c>
      <c r="E2" s="54" t="s">
        <v>5</v>
      </c>
      <c r="F2" s="54" t="s">
        <v>6</v>
      </c>
      <c r="G2" s="54" t="s">
        <v>7</v>
      </c>
      <c r="H2" s="54" t="s">
        <v>8</v>
      </c>
      <c r="I2" s="54" t="s">
        <v>9</v>
      </c>
      <c r="J2" s="54" t="s">
        <v>10</v>
      </c>
      <c r="K2" s="54" t="s">
        <v>11</v>
      </c>
      <c r="L2" s="54" t="s">
        <v>12</v>
      </c>
      <c r="M2" s="54" t="s">
        <v>13</v>
      </c>
      <c r="N2" s="54" t="s">
        <v>14</v>
      </c>
      <c r="O2" s="54" t="s">
        <v>15</v>
      </c>
      <c r="P2" s="54" t="s">
        <v>16</v>
      </c>
      <c r="Q2" s="54" t="s">
        <v>17</v>
      </c>
      <c r="R2" s="54" t="s">
        <v>18</v>
      </c>
      <c r="S2" s="54" t="s">
        <v>19</v>
      </c>
      <c r="T2" s="54" t="s">
        <v>20</v>
      </c>
      <c r="U2" s="54" t="s">
        <v>21</v>
      </c>
    </row>
    <row r="3" spans="1:21" x14ac:dyDescent="0.3">
      <c r="A3" s="53">
        <v>1</v>
      </c>
      <c r="B3" s="53" t="s">
        <v>122</v>
      </c>
      <c r="C3" s="55" t="s">
        <v>131</v>
      </c>
      <c r="D3" s="55" t="s">
        <v>30</v>
      </c>
      <c r="E3" s="55" t="s">
        <v>133</v>
      </c>
      <c r="F3" s="53"/>
      <c r="G3" s="56">
        <f>SUMIF('[2]Opportunity Pipeline'!$F:$F,"Ajay Patodia",'[2]Opportunity Pipeline'!$P:$P)/10^7</f>
        <v>0.301487</v>
      </c>
      <c r="H3" s="53"/>
      <c r="I3" s="53"/>
      <c r="J3" s="56">
        <f>SUMIF('[3]Opportunity Pipeline '!$F:$F,"Ajay Patodia",'[3]Opportunity Pipeline '!$P:$P)/10^7</f>
        <v>2.3530000000000002</v>
      </c>
      <c r="K3" s="53"/>
      <c r="L3" s="56">
        <f>(SUMIF('[2]Opportunity Pipeline'!$F:$F,"Ajay Patodia",'[2]Opportunity Pipeline'!$P:$P)+SUMIF('[3]Opportunity Pipeline '!$F:$F,"Ajay Patodia",'[3]Opportunity Pipeline '!$P:$P))/10^7</f>
        <v>2.654487</v>
      </c>
      <c r="M3" s="53"/>
      <c r="N3" s="53"/>
      <c r="O3" s="53"/>
      <c r="P3" s="53"/>
      <c r="Q3" s="53"/>
      <c r="R3" s="53"/>
      <c r="S3" s="56">
        <f>SUM(L3,P3)</f>
        <v>2.654487</v>
      </c>
      <c r="T3" s="53"/>
      <c r="U3" s="58">
        <f>COUNTIF('[2]Opportunity Pipeline'!$F:$F,"Ajay Patodia")+ COUNTIF('[3]Opportunity Pipeline '!$F:$F,"Ajay Patodia")</f>
        <v>39</v>
      </c>
    </row>
    <row r="4" spans="1:21" x14ac:dyDescent="0.3">
      <c r="A4" s="53">
        <v>2</v>
      </c>
      <c r="B4" s="53" t="s">
        <v>123</v>
      </c>
      <c r="C4" s="55" t="s">
        <v>41</v>
      </c>
      <c r="D4" s="55" t="s">
        <v>30</v>
      </c>
      <c r="E4" s="55" t="s">
        <v>134</v>
      </c>
      <c r="F4" s="53"/>
      <c r="G4" s="56">
        <f>SUMIF('[2]Opportunity Pipeline'!$F:$F,"Dipti  Karpe",'[2]Opportunity Pipeline'!$P:$P)/10^7</f>
        <v>0</v>
      </c>
      <c r="H4" s="53"/>
      <c r="I4" s="53"/>
      <c r="J4" s="56">
        <f>SUMIF('[3]Opportunity Pipeline '!$F:$F,"Dipti Karpe",'[3]Opportunity Pipeline '!$P:$P)/10^7</f>
        <v>0</v>
      </c>
      <c r="K4" s="53"/>
      <c r="L4" s="56">
        <f>(SUMIF('[2]Opportunity Pipeline'!$F:$F,"Dipti Karpe",'[2]Opportunity Pipeline'!$P:$P)+SUMIF('[3]Opportunity Pipeline '!$F:$F,"Dipti Karpe",'[3]Opportunity Pipeline '!$P:$P))/10^7</f>
        <v>0</v>
      </c>
      <c r="M4" s="53"/>
      <c r="N4" s="53"/>
      <c r="O4" s="53"/>
      <c r="P4" s="53"/>
      <c r="Q4" s="53"/>
      <c r="R4" s="53"/>
      <c r="S4" s="56">
        <f t="shared" ref="S4:S10" si="0">SUM(L4,P4)</f>
        <v>0</v>
      </c>
      <c r="T4" s="53"/>
      <c r="U4" s="58">
        <f>COUNTIF('[2]Opportunity Pipeline'!$F:$F,"Dipti Karpe")+ COUNTIF('[3]Opportunity Pipeline '!$F:$F,"Dipti Karpe")</f>
        <v>0</v>
      </c>
    </row>
    <row r="5" spans="1:21" x14ac:dyDescent="0.3">
      <c r="A5" s="53">
        <v>3</v>
      </c>
      <c r="B5" s="53" t="s">
        <v>124</v>
      </c>
      <c r="C5" s="55" t="s">
        <v>29</v>
      </c>
      <c r="D5" s="55" t="s">
        <v>30</v>
      </c>
      <c r="E5" s="55" t="s">
        <v>134</v>
      </c>
      <c r="F5" s="53"/>
      <c r="G5" s="56">
        <f>SUMIF('[2]Opportunity Pipeline'!$F:$F,"Ishwari Kadam",'[2]Opportunity Pipeline'!$P:$P)/10^7</f>
        <v>0.47133999999999998</v>
      </c>
      <c r="H5" s="53"/>
      <c r="I5" s="53"/>
      <c r="J5" s="56">
        <f>SUMIF('[3]Opportunity Pipeline '!$F:$F,"Ishwari Kadam",'[3]Opportunity Pipeline '!$P:$P)/10^7</f>
        <v>0</v>
      </c>
      <c r="K5" s="53"/>
      <c r="L5" s="56">
        <f>(SUMIF('[2]Opportunity Pipeline'!$F:$F,"Ishwari Kadam",'[2]Opportunity Pipeline'!$P:$P)+SUMIF('[3]Opportunity Pipeline '!$F:$F,"Ishwari Kadam",'[3]Opportunity Pipeline '!$P:$P))/10^7</f>
        <v>0.47133999999999998</v>
      </c>
      <c r="M5" s="53"/>
      <c r="N5" s="53"/>
      <c r="O5" s="53"/>
      <c r="P5" s="53"/>
      <c r="Q5" s="53"/>
      <c r="R5" s="53"/>
      <c r="S5" s="56">
        <f t="shared" si="0"/>
        <v>0.47133999999999998</v>
      </c>
      <c r="T5" s="53"/>
      <c r="U5" s="58">
        <f>COUNTIF('[2]Opportunity Pipeline'!$F:$F,"Ishwari Kadam")+ COUNTIF('[3]Opportunity Pipeline '!$F:$F,"Ishwari Kadam")</f>
        <v>4</v>
      </c>
    </row>
    <row r="6" spans="1:21" x14ac:dyDescent="0.3">
      <c r="A6" s="53">
        <v>4</v>
      </c>
      <c r="B6" s="53" t="s">
        <v>125</v>
      </c>
      <c r="C6" s="55" t="s">
        <v>50</v>
      </c>
      <c r="D6" s="55" t="s">
        <v>30</v>
      </c>
      <c r="E6" s="55" t="s">
        <v>133</v>
      </c>
      <c r="F6" s="53"/>
      <c r="G6" s="56">
        <f>SUMIF('[2]Opportunity Pipeline'!$F:$F,"Vineet Gadia",'[2]Opportunity Pipeline'!$P:$P)/10^7</f>
        <v>0</v>
      </c>
      <c r="H6" s="53"/>
      <c r="I6" s="53"/>
      <c r="J6" s="56">
        <f>SUMIF('[3]Opportunity Pipeline '!$F:$F,"Vineet Gadia",'[3]Opportunity Pipeline '!$P:$P)/10^7</f>
        <v>0</v>
      </c>
      <c r="K6" s="53"/>
      <c r="L6" s="56">
        <f>(SUMIF('[2]Opportunity Pipeline'!$F:$F,"Vineet Gadia",'[2]Opportunity Pipeline'!$P:$P)+SUMIF('[3]Opportunity Pipeline '!$F:$F,"Vineet Gadia",'[3]Opportunity Pipeline '!$P:$P))/10^7</f>
        <v>0</v>
      </c>
      <c r="M6" s="53"/>
      <c r="N6" s="53"/>
      <c r="O6" s="53"/>
      <c r="P6" s="53"/>
      <c r="Q6" s="53"/>
      <c r="R6" s="53"/>
      <c r="S6" s="56">
        <f t="shared" si="0"/>
        <v>0</v>
      </c>
      <c r="T6" s="53"/>
      <c r="U6" s="58">
        <f>COUNTIF('[2]Opportunity Pipeline'!$F:$F,"Vineet Gadia")+ COUNTIF('[3]Opportunity Pipeline '!$F:$F,"Vineet Gadia")</f>
        <v>0</v>
      </c>
    </row>
    <row r="7" spans="1:21" x14ac:dyDescent="0.3">
      <c r="A7" s="53">
        <v>5</v>
      </c>
      <c r="B7" s="53" t="s">
        <v>126</v>
      </c>
      <c r="C7" s="55" t="s">
        <v>80</v>
      </c>
      <c r="D7" s="55" t="s">
        <v>30</v>
      </c>
      <c r="E7" s="55" t="s">
        <v>133</v>
      </c>
      <c r="F7" s="53"/>
      <c r="G7" s="56">
        <f>SUMIF('[2]Opportunity Pipeline'!$F:$F,"Sanjeev Kohli",'[2]Opportunity Pipeline'!$P:$P)/10^7</f>
        <v>0.02</v>
      </c>
      <c r="H7" s="53"/>
      <c r="I7" s="53"/>
      <c r="J7" s="56">
        <f>SUMIF('[3]Opportunity Pipeline '!$F:$F,"Sanjeev Kohli",'[3]Opportunity Pipeline '!$P:$P)/10^7</f>
        <v>0.75</v>
      </c>
      <c r="K7" s="53"/>
      <c r="L7" s="56">
        <f>(SUMIF('[2]Opportunity Pipeline'!$F:$F,"Sanjeev Kohli",'[2]Opportunity Pipeline'!$P:$P)+SUMIF('[3]Opportunity Pipeline '!$F:$F,"Sanjeev Kohli",'[3]Opportunity Pipeline '!$P:$P))/10^7</f>
        <v>0.77</v>
      </c>
      <c r="M7" s="53"/>
      <c r="N7" s="53"/>
      <c r="O7" s="53"/>
      <c r="P7" s="53"/>
      <c r="Q7" s="53"/>
      <c r="R7" s="53"/>
      <c r="S7" s="56">
        <f t="shared" si="0"/>
        <v>0.77</v>
      </c>
      <c r="T7" s="53"/>
      <c r="U7" s="58">
        <f>COUNTIF('[2]Opportunity Pipeline'!$F:$F,"Sanjeev Kohli")+ COUNTIF('[3]Opportunity Pipeline '!$F:$F,"Sanjeev Kohli")</f>
        <v>2</v>
      </c>
    </row>
    <row r="8" spans="1:21" x14ac:dyDescent="0.3">
      <c r="A8" s="53">
        <v>6</v>
      </c>
      <c r="B8" s="53" t="s">
        <v>127</v>
      </c>
      <c r="C8" s="55" t="s">
        <v>58</v>
      </c>
      <c r="D8" s="55" t="s">
        <v>30</v>
      </c>
      <c r="E8" s="55" t="s">
        <v>133</v>
      </c>
      <c r="F8" s="53"/>
      <c r="G8" s="56">
        <f>SUMIF('[2]Opportunity Pipeline'!$F:$F,"Yogesh Bhatia",'[2]Opportunity Pipeline'!$P:$P)/10^7</f>
        <v>0</v>
      </c>
      <c r="H8" s="53"/>
      <c r="I8" s="53"/>
      <c r="J8" s="56">
        <f>SUMIF('[3]Opportunity Pipeline '!$F:$F,"Yogesh Bhatia",'[3]Opportunity Pipeline '!$P:$P)/10^7</f>
        <v>2.5000000000000001E-3</v>
      </c>
      <c r="K8" s="53"/>
      <c r="L8" s="56">
        <f>(SUMIF('[2]Opportunity Pipeline'!$F:$F,"Yogesh Bhatia",'[2]Opportunity Pipeline'!$P:$P)+SUMIF('[3]Opportunity Pipeline '!$F:$F,"Yogesh Bhatia",'[3]Opportunity Pipeline '!$P:$P))/10^7</f>
        <v>2.5000000000000001E-3</v>
      </c>
      <c r="M8" s="53"/>
      <c r="N8" s="53"/>
      <c r="O8" s="53"/>
      <c r="P8" s="53"/>
      <c r="Q8" s="53"/>
      <c r="R8" s="53"/>
      <c r="S8" s="56">
        <f t="shared" si="0"/>
        <v>2.5000000000000001E-3</v>
      </c>
      <c r="T8" s="53"/>
      <c r="U8" s="58">
        <f>COUNTIF('[2]Opportunity Pipeline'!$F:$F,"Yogesh Bhatia")+ COUNTIF('[3]Opportunity Pipeline '!$F:$F,"Yogesh Bhatia")</f>
        <v>1</v>
      </c>
    </row>
    <row r="9" spans="1:21" x14ac:dyDescent="0.3">
      <c r="A9" s="53">
        <v>7</v>
      </c>
      <c r="B9" s="53" t="s">
        <v>128</v>
      </c>
      <c r="C9" s="55" t="s">
        <v>132</v>
      </c>
      <c r="D9" s="55" t="s">
        <v>30</v>
      </c>
      <c r="E9" s="55" t="s">
        <v>133</v>
      </c>
      <c r="F9" s="53"/>
      <c r="G9" s="57">
        <f>SUMIF('[2]Opportunity Pipeline'!$F:$F,"Jitesh Rajput",'[2]Opportunity Pipeline'!$P:$P)/10^7</f>
        <v>1.333E-3</v>
      </c>
      <c r="H9" s="53"/>
      <c r="I9" s="53"/>
      <c r="J9" s="56">
        <f>SUMIF('[3]Opportunity Pipeline '!$F:$F,"Jitesh Rajput",'[3]Opportunity Pipeline '!$P:$P)/10^7</f>
        <v>0</v>
      </c>
      <c r="K9" s="53"/>
      <c r="L9" s="57">
        <f>(SUMIF('[2]Opportunity Pipeline'!$F:$F,"Jitesh Rajput",'[2]Opportunity Pipeline'!$P:$P)+SUMIF('[3]Opportunity Pipeline '!$F:$F,"Jitesh Rajput",'[3]Opportunity Pipeline '!$P:$P))/10^7</f>
        <v>1.333E-3</v>
      </c>
      <c r="M9" s="53"/>
      <c r="N9" s="53"/>
      <c r="O9" s="53"/>
      <c r="P9" s="53"/>
      <c r="Q9" s="53"/>
      <c r="R9" s="53"/>
      <c r="S9" s="56">
        <f t="shared" si="0"/>
        <v>1.333E-3</v>
      </c>
      <c r="T9" s="53"/>
      <c r="U9" s="58">
        <f>COUNTIF('[2]Opportunity Pipeline'!$F:$F,"Jitesh Rajput")+ COUNTIF('[3]Opportunity Pipeline '!$F:$F,"Jitesh Rajput")</f>
        <v>3</v>
      </c>
    </row>
    <row r="10" spans="1:21" x14ac:dyDescent="0.3">
      <c r="A10" s="53">
        <v>8</v>
      </c>
      <c r="B10" s="53" t="s">
        <v>129</v>
      </c>
      <c r="C10" s="55" t="s">
        <v>130</v>
      </c>
      <c r="D10" s="55" t="s">
        <v>30</v>
      </c>
      <c r="E10" s="55" t="s">
        <v>133</v>
      </c>
      <c r="F10" s="53"/>
      <c r="G10" s="56">
        <f>SUMIF('[2]Opportunity Pipeline'!$F:$F,"Rocky Braganza",'[2]Opportunity Pipeline'!$P:$P)/10^7</f>
        <v>0</v>
      </c>
      <c r="H10" s="53"/>
      <c r="I10" s="53"/>
      <c r="J10" s="56">
        <f>SUMIF('[3]Opportunity Pipeline '!$F:$F,"Rocky Braganza",'[3]Opportunity Pipeline '!$P:$P)/10^7</f>
        <v>0</v>
      </c>
      <c r="K10" s="53"/>
      <c r="L10" s="56">
        <f>(SUMIF('[2]Opportunity Pipeline'!$F:$F,"Rocky Braganza",'[2]Opportunity Pipeline'!$P:$P)+SUMIF('[3]Opportunity Pipeline '!$F:$F,"Rocky Braganza",'[3]Opportunity Pipeline '!$P:$P))/10^7</f>
        <v>0</v>
      </c>
      <c r="M10" s="53"/>
      <c r="N10" s="53"/>
      <c r="O10" s="53"/>
      <c r="P10" s="53"/>
      <c r="Q10" s="53"/>
      <c r="R10" s="53"/>
      <c r="S10" s="56">
        <f t="shared" si="0"/>
        <v>0</v>
      </c>
      <c r="T10" s="53"/>
      <c r="U10" s="58">
        <f>COUNTIF('[2]Opportunity Pipeline'!$F:$F,"Rocky Braganza")+ COUNTIF('[3]Opportunity Pipeline '!$F:$F,"Rocky Braganza")</f>
        <v>0</v>
      </c>
    </row>
    <row r="11" spans="1:21" x14ac:dyDescent="0.3">
      <c r="L11" s="25">
        <f>SUM(L3:L10)</f>
        <v>3.8996599999999999</v>
      </c>
      <c r="S11" s="25">
        <f>SUM(S3:S10)</f>
        <v>3.8996599999999999</v>
      </c>
      <c r="U11">
        <f>SUM(U3:U10)</f>
        <v>49</v>
      </c>
    </row>
    <row r="13" spans="1:21" ht="27.75" customHeight="1" x14ac:dyDescent="0.3">
      <c r="A13" s="59" t="s">
        <v>144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</row>
    <row r="14" spans="1:21" ht="36" customHeight="1" x14ac:dyDescent="0.3">
      <c r="A14" s="54" t="s">
        <v>1</v>
      </c>
      <c r="B14" s="54" t="s">
        <v>2</v>
      </c>
      <c r="C14" s="54" t="s">
        <v>3</v>
      </c>
      <c r="D14" s="54" t="s">
        <v>4</v>
      </c>
      <c r="E14" s="54" t="s">
        <v>5</v>
      </c>
      <c r="F14" s="54" t="s">
        <v>6</v>
      </c>
      <c r="G14" s="54" t="s">
        <v>7</v>
      </c>
      <c r="H14" s="54" t="s">
        <v>8</v>
      </c>
      <c r="I14" s="54" t="s">
        <v>9</v>
      </c>
      <c r="J14" s="54" t="s">
        <v>10</v>
      </c>
      <c r="K14" s="54" t="s">
        <v>11</v>
      </c>
      <c r="L14" s="54" t="s">
        <v>12</v>
      </c>
      <c r="M14" s="54" t="s">
        <v>13</v>
      </c>
      <c r="N14" s="54" t="s">
        <v>14</v>
      </c>
      <c r="O14" s="54" t="s">
        <v>15</v>
      </c>
      <c r="P14" s="54" t="s">
        <v>16</v>
      </c>
      <c r="Q14" s="54" t="s">
        <v>17</v>
      </c>
      <c r="R14" s="54" t="s">
        <v>18</v>
      </c>
      <c r="S14" s="54" t="s">
        <v>19</v>
      </c>
      <c r="T14" s="54" t="s">
        <v>20</v>
      </c>
      <c r="U14" s="54" t="s">
        <v>21</v>
      </c>
    </row>
    <row r="15" spans="1:21" x14ac:dyDescent="0.3">
      <c r="A15" s="53">
        <v>1</v>
      </c>
      <c r="B15" s="53" t="s">
        <v>122</v>
      </c>
      <c r="C15" s="55" t="s">
        <v>131</v>
      </c>
      <c r="D15" s="55" t="s">
        <v>30</v>
      </c>
      <c r="E15" s="55" t="s">
        <v>133</v>
      </c>
      <c r="F15" s="53"/>
      <c r="G15" s="56">
        <f>SUMIF('[2]Opportunity Pipeline'!$F:$F,"Ajay Patodia",'[2]Opportunity Pipeline'!$O:$O)/10^7</f>
        <v>9.4460405699999974</v>
      </c>
      <c r="H15" s="53"/>
      <c r="I15" s="53"/>
      <c r="J15" s="56">
        <f>SUMIF('[3]Opportunity Pipeline '!$F:$F,"Ajay Patodia",'[3]Opportunity Pipeline '!$O:$O)/10^7</f>
        <v>25.86609722</v>
      </c>
      <c r="K15" s="53"/>
      <c r="L15" s="56">
        <f>(SUMIF('[2]Opportunity Pipeline'!$F:$F,"Ajay Patodia",'[2]Opportunity Pipeline'!$O:$O)+SUMIF('[3]Opportunity Pipeline '!$F:$F,"Ajay Patodia",'[3]Opportunity Pipeline '!$O:$O))/10^7</f>
        <v>35.312137789999994</v>
      </c>
      <c r="M15" s="53"/>
      <c r="N15" s="53"/>
      <c r="O15" s="53"/>
      <c r="P15" s="53"/>
      <c r="Q15" s="53"/>
      <c r="R15" s="53"/>
      <c r="S15" s="56">
        <f>SUM(L15,P15)</f>
        <v>35.312137789999994</v>
      </c>
      <c r="T15" s="53"/>
      <c r="U15" s="58">
        <f>COUNTIF('[2]Opportunity Pipeline'!$F:$F,"Ajay Patodia")+ COUNTIF('[3]Opportunity Pipeline '!$F:$F,"Ajay Patodia")</f>
        <v>39</v>
      </c>
    </row>
    <row r="16" spans="1:21" x14ac:dyDescent="0.3">
      <c r="A16" s="53">
        <v>2</v>
      </c>
      <c r="B16" s="53" t="s">
        <v>123</v>
      </c>
      <c r="C16" s="55" t="s">
        <v>41</v>
      </c>
      <c r="D16" s="55" t="s">
        <v>30</v>
      </c>
      <c r="E16" s="55" t="s">
        <v>134</v>
      </c>
      <c r="F16" s="53"/>
      <c r="G16" s="56">
        <f>SUMIF('[2]Opportunity Pipeline'!$F:$F,"Dipti  Karpe",'[2]Opportunity Pipeline'!$O:$O)/10^7</f>
        <v>0</v>
      </c>
      <c r="H16" s="53"/>
      <c r="I16" s="53"/>
      <c r="J16" s="56">
        <f>SUMIF('[3]Opportunity Pipeline '!$F:$F,"Dipti Karpe",'[3]Opportunity Pipeline '!$O:$O)/10^7</f>
        <v>0</v>
      </c>
      <c r="K16" s="53"/>
      <c r="L16" s="56">
        <f>(SUMIF('[2]Opportunity Pipeline'!$F:$F,"Dipti Karpe",'[2]Opportunity Pipeline'!$O:$O)+SUMIF('[3]Opportunity Pipeline '!$F:$F,"Dipti Karpe",'[3]Opportunity Pipeline '!$O:$O))/10^7</f>
        <v>0</v>
      </c>
      <c r="M16" s="53"/>
      <c r="N16" s="53"/>
      <c r="O16" s="53"/>
      <c r="P16" s="53"/>
      <c r="Q16" s="53"/>
      <c r="R16" s="53"/>
      <c r="S16" s="56">
        <f t="shared" ref="S16:S22" si="1">SUM(L16,P16)</f>
        <v>0</v>
      </c>
      <c r="T16" s="53"/>
      <c r="U16" s="58">
        <f>COUNTIF('[2]Opportunity Pipeline'!$F:$F,"Dipti Karpe")+ COUNTIF('[3]Opportunity Pipeline '!$F:$F,"Dipti Karpe")</f>
        <v>0</v>
      </c>
    </row>
    <row r="17" spans="1:21" x14ac:dyDescent="0.3">
      <c r="A17" s="53">
        <v>3</v>
      </c>
      <c r="B17" s="53" t="s">
        <v>124</v>
      </c>
      <c r="C17" s="55" t="s">
        <v>29</v>
      </c>
      <c r="D17" s="55" t="s">
        <v>30</v>
      </c>
      <c r="E17" s="55" t="s">
        <v>134</v>
      </c>
      <c r="F17" s="53"/>
      <c r="G17" s="56">
        <f>SUMIF('[2]Opportunity Pipeline'!$F:$F,"Ishwari Kadam",'[2]Opportunity Pipeline'!$O:$O)/10^7</f>
        <v>6.26694</v>
      </c>
      <c r="H17" s="53"/>
      <c r="I17" s="53"/>
      <c r="J17" s="56">
        <f>SUMIF('[3]Opportunity Pipeline '!$F:$F,"Ishwari Kadam",'[3]Opportunity Pipeline '!$O:$O)/10^7</f>
        <v>0</v>
      </c>
      <c r="K17" s="53"/>
      <c r="L17" s="56">
        <f>(SUMIF('[2]Opportunity Pipeline'!$F:$F,"Ishwari Kadam",'[2]Opportunity Pipeline'!$O:$O)+SUMIF('[3]Opportunity Pipeline '!$F:$F,"Ishwari Kadam",'[3]Opportunity Pipeline '!$O:$O))/10^7</f>
        <v>6.26694</v>
      </c>
      <c r="M17" s="53"/>
      <c r="N17" s="53"/>
      <c r="O17" s="53"/>
      <c r="P17" s="53"/>
      <c r="Q17" s="53"/>
      <c r="R17" s="53"/>
      <c r="S17" s="56">
        <f t="shared" si="1"/>
        <v>6.26694</v>
      </c>
      <c r="T17" s="53"/>
      <c r="U17" s="58">
        <f>COUNTIF('[2]Opportunity Pipeline'!$F:$F,"Ishwari Kadam")+ COUNTIF('[3]Opportunity Pipeline '!$F:$F,"Ishwari Kadam")</f>
        <v>4</v>
      </c>
    </row>
    <row r="18" spans="1:21" x14ac:dyDescent="0.3">
      <c r="A18" s="53">
        <v>4</v>
      </c>
      <c r="B18" s="53" t="s">
        <v>125</v>
      </c>
      <c r="C18" s="55" t="s">
        <v>50</v>
      </c>
      <c r="D18" s="55" t="s">
        <v>30</v>
      </c>
      <c r="E18" s="55" t="s">
        <v>133</v>
      </c>
      <c r="F18" s="53"/>
      <c r="G18" s="56">
        <f>SUMIF('[2]Opportunity Pipeline'!$F:$F,"Vineet Gadia",'[2]Opportunity Pipeline'!$O:$O)/10^7</f>
        <v>0</v>
      </c>
      <c r="H18" s="53"/>
      <c r="I18" s="53"/>
      <c r="J18" s="56">
        <f>SUMIF('[3]Opportunity Pipeline '!$F:$F,"Vineet Gadia",'[3]Opportunity Pipeline '!$O:$O)/10^7</f>
        <v>0</v>
      </c>
      <c r="K18" s="53"/>
      <c r="L18" s="56">
        <f>(SUMIF('[2]Opportunity Pipeline'!$F:$F,"Vineet Gadia",'[2]Opportunity Pipeline'!$O:$O)+SUMIF('[3]Opportunity Pipeline '!$F:$F,"Vineet Gadia",'[3]Opportunity Pipeline '!$O:$O))/10^7</f>
        <v>0</v>
      </c>
      <c r="M18" s="53"/>
      <c r="N18" s="53"/>
      <c r="O18" s="53"/>
      <c r="P18" s="53"/>
      <c r="Q18" s="53"/>
      <c r="R18" s="53"/>
      <c r="S18" s="56">
        <f t="shared" si="1"/>
        <v>0</v>
      </c>
      <c r="T18" s="53"/>
      <c r="U18" s="58">
        <f>COUNTIF('[2]Opportunity Pipeline'!$F:$F,"Vineet Gadia")+ COUNTIF('[3]Opportunity Pipeline '!$F:$F,"Vineet Gadia")</f>
        <v>0</v>
      </c>
    </row>
    <row r="19" spans="1:21" x14ac:dyDescent="0.3">
      <c r="A19" s="53">
        <v>5</v>
      </c>
      <c r="B19" s="53" t="s">
        <v>126</v>
      </c>
      <c r="C19" s="55" t="s">
        <v>80</v>
      </c>
      <c r="D19" s="55" t="s">
        <v>30</v>
      </c>
      <c r="E19" s="55" t="s">
        <v>133</v>
      </c>
      <c r="F19" s="53"/>
      <c r="G19" s="56">
        <f>SUMIF('[2]Opportunity Pipeline'!$F:$F,"Sanjeev Kohli",'[2]Opportunity Pipeline'!$O:$O)/10^7</f>
        <v>2.19665</v>
      </c>
      <c r="H19" s="53"/>
      <c r="I19" s="53"/>
      <c r="J19" s="56">
        <f>SUMIF('[3]Opportunity Pipeline '!$F:$F,"Sanjeev Kohli",'[3]Opportunity Pipeline '!$O:$O)/10^7</f>
        <v>17.005643200000002</v>
      </c>
      <c r="K19" s="53"/>
      <c r="L19" s="56">
        <f>(SUMIF('[2]Opportunity Pipeline'!$F:$F,"Sanjeev Kohli",'[2]Opportunity Pipeline'!$O:$O)+SUMIF('[3]Opportunity Pipeline '!$F:$F,"Sanjeev Kohli",'[3]Opportunity Pipeline '!$O:$O))/10^7</f>
        <v>19.2022932</v>
      </c>
      <c r="M19" s="53"/>
      <c r="N19" s="53"/>
      <c r="O19" s="53"/>
      <c r="P19" s="53"/>
      <c r="Q19" s="53"/>
      <c r="R19" s="53"/>
      <c r="S19" s="56">
        <f t="shared" si="1"/>
        <v>19.2022932</v>
      </c>
      <c r="T19" s="53"/>
      <c r="U19" s="58">
        <f>COUNTIF('[2]Opportunity Pipeline'!$F:$F,"Sanjeev Kohli")+ COUNTIF('[3]Opportunity Pipeline '!$F:$F,"Sanjeev Kohli")</f>
        <v>2</v>
      </c>
    </row>
    <row r="20" spans="1:21" x14ac:dyDescent="0.3">
      <c r="A20" s="53">
        <v>6</v>
      </c>
      <c r="B20" s="53" t="s">
        <v>127</v>
      </c>
      <c r="C20" s="55" t="s">
        <v>58</v>
      </c>
      <c r="D20" s="55" t="s">
        <v>30</v>
      </c>
      <c r="E20" s="55" t="s">
        <v>133</v>
      </c>
      <c r="F20" s="53"/>
      <c r="G20" s="56">
        <f>SUMIF('[2]Opportunity Pipeline'!$F:$F,"Yogesh Bhatia",'[2]Opportunity Pipeline'!$O:$O)/10^7</f>
        <v>0</v>
      </c>
      <c r="H20" s="53"/>
      <c r="I20" s="53"/>
      <c r="J20" s="56">
        <f>SUMIF('[3]Opportunity Pipeline '!$F:$F,"Yogesh Bhatia",'[3]Opportunity Pipeline '!$O:$O)/10^7</f>
        <v>4.65E-2</v>
      </c>
      <c r="K20" s="53"/>
      <c r="L20" s="56">
        <f>(SUMIF('[2]Opportunity Pipeline'!$F:$F,"Yogesh Bhatia",'[2]Opportunity Pipeline'!$O:$O)+SUMIF('[3]Opportunity Pipeline '!$F:$F,"Yogesh Bhatia",'[3]Opportunity Pipeline '!$O:$O))/10^7</f>
        <v>4.65E-2</v>
      </c>
      <c r="M20" s="53"/>
      <c r="N20" s="53"/>
      <c r="O20" s="53"/>
      <c r="P20" s="53"/>
      <c r="Q20" s="53"/>
      <c r="R20" s="53"/>
      <c r="S20" s="56">
        <f t="shared" si="1"/>
        <v>4.65E-2</v>
      </c>
      <c r="T20" s="53"/>
      <c r="U20" s="58">
        <f>COUNTIF('[2]Opportunity Pipeline'!$F:$F,"Yogesh Bhatia")+ COUNTIF('[3]Opportunity Pipeline '!$F:$F,"Yogesh Bhatia")</f>
        <v>1</v>
      </c>
    </row>
    <row r="21" spans="1:21" x14ac:dyDescent="0.3">
      <c r="A21" s="53">
        <v>7</v>
      </c>
      <c r="B21" s="53" t="s">
        <v>128</v>
      </c>
      <c r="C21" s="55" t="s">
        <v>132</v>
      </c>
      <c r="D21" s="55" t="s">
        <v>30</v>
      </c>
      <c r="E21" s="55" t="s">
        <v>133</v>
      </c>
      <c r="F21" s="53"/>
      <c r="G21" s="57">
        <f>SUMIF('[2]Opportunity Pipeline'!$F:$F,"Jitesh Rajput",'[2]Opportunity Pipeline'!$O:$O)/10^7</f>
        <v>1.5479999999999999E-3</v>
      </c>
      <c r="H21" s="53"/>
      <c r="I21" s="53"/>
      <c r="J21" s="56">
        <f>SUMIF('[3]Opportunity Pipeline '!$F:$F,"Jitesh Rajput",'[3]Opportunity Pipeline '!$O:$O)/10^7</f>
        <v>0</v>
      </c>
      <c r="K21" s="53"/>
      <c r="L21" s="57">
        <f>(SUMIF('[2]Opportunity Pipeline'!$F:$F,"Jitesh Rajput",'[2]Opportunity Pipeline'!$O:$O)+SUMIF('[3]Opportunity Pipeline '!$F:$F,"Jitesh Rajput",'[3]Opportunity Pipeline '!$O:$O))/10^7</f>
        <v>1.5479999999999999E-3</v>
      </c>
      <c r="M21" s="53"/>
      <c r="N21" s="53"/>
      <c r="O21" s="53"/>
      <c r="P21" s="53"/>
      <c r="Q21" s="53"/>
      <c r="R21" s="53"/>
      <c r="S21" s="56">
        <f t="shared" si="1"/>
        <v>1.5479999999999999E-3</v>
      </c>
      <c r="T21" s="53"/>
      <c r="U21" s="58">
        <f>COUNTIF('[2]Opportunity Pipeline'!$F:$F,"Jitesh Rajput")+ COUNTIF('[3]Opportunity Pipeline '!$F:$F,"Jitesh Rajput")</f>
        <v>3</v>
      </c>
    </row>
    <row r="22" spans="1:21" x14ac:dyDescent="0.3">
      <c r="A22" s="53">
        <v>8</v>
      </c>
      <c r="B22" s="53" t="s">
        <v>129</v>
      </c>
      <c r="C22" s="55" t="s">
        <v>130</v>
      </c>
      <c r="D22" s="55" t="s">
        <v>30</v>
      </c>
      <c r="E22" s="55" t="s">
        <v>133</v>
      </c>
      <c r="F22" s="53"/>
      <c r="G22" s="56">
        <f>SUMIF('[2]Opportunity Pipeline'!$F:$F,"Rocky Braganza",'[2]Opportunity Pipeline'!$O:$O)/10^7</f>
        <v>0</v>
      </c>
      <c r="H22" s="53"/>
      <c r="I22" s="53"/>
      <c r="J22" s="56">
        <f>SUMIF('[3]Opportunity Pipeline '!$F:$F,"Rocky Braganza",'[3]Opportunity Pipeline '!$O:$O)/10^7</f>
        <v>0</v>
      </c>
      <c r="K22" s="53"/>
      <c r="L22" s="56">
        <f>(SUMIF('[2]Opportunity Pipeline'!$F:$F,"Rocky Braganza",'[2]Opportunity Pipeline'!$O:$O)+SUMIF('[3]Opportunity Pipeline '!$F:$F,"Rocky Braganza",'[3]Opportunity Pipeline '!$O:$O))/10^7</f>
        <v>0</v>
      </c>
      <c r="M22" s="53"/>
      <c r="N22" s="53"/>
      <c r="O22" s="53"/>
      <c r="P22" s="53"/>
      <c r="Q22" s="53"/>
      <c r="R22" s="53"/>
      <c r="S22" s="56">
        <f t="shared" si="1"/>
        <v>0</v>
      </c>
      <c r="T22" s="53"/>
      <c r="U22" s="58">
        <f>COUNTIF('[2]Opportunity Pipeline'!$F:$F,"Rocky Braganza")+ COUNTIF('[3]Opportunity Pipeline '!$F:$F,"Rocky Braganza")</f>
        <v>0</v>
      </c>
    </row>
    <row r="23" spans="1:21" x14ac:dyDescent="0.3">
      <c r="S23" s="25">
        <f>SUM(S15:S22)</f>
        <v>60.829418989999994</v>
      </c>
      <c r="U23">
        <f>SUM(U15:U22)</f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027B7-AC88-4085-A150-112194933550}">
  <dimension ref="A1:AK12"/>
  <sheetViews>
    <sheetView topLeftCell="B1" workbookViewId="0">
      <selection activeCell="AK6" sqref="AK6"/>
    </sheetView>
  </sheetViews>
  <sheetFormatPr defaultRowHeight="14.4" x14ac:dyDescent="0.3"/>
  <cols>
    <col min="1" max="1" width="41.6640625" customWidth="1"/>
    <col min="2" max="2" width="8.88671875" customWidth="1"/>
    <col min="6" max="6" width="11.5546875" bestFit="1" customWidth="1"/>
  </cols>
  <sheetData>
    <row r="1" spans="1:37" ht="27.75" customHeight="1" x14ac:dyDescent="0.3">
      <c r="A1" s="9" t="s">
        <v>135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2"/>
      <c r="Y1" s="2"/>
      <c r="Z1" s="2"/>
      <c r="AA1" s="2"/>
      <c r="AB1" s="2"/>
      <c r="AC1" s="2"/>
      <c r="AD1" s="10"/>
      <c r="AE1" s="9"/>
      <c r="AF1" s="9"/>
      <c r="AG1" s="9"/>
      <c r="AH1" s="9"/>
      <c r="AI1" s="9"/>
      <c r="AJ1" s="9"/>
      <c r="AK1" s="9"/>
    </row>
    <row r="2" spans="1:37" ht="19.5" customHeight="1" x14ac:dyDescent="0.3">
      <c r="A2" s="2" t="s">
        <v>83</v>
      </c>
      <c r="B2" s="2" t="s">
        <v>3</v>
      </c>
      <c r="C2" s="78" t="s">
        <v>84</v>
      </c>
      <c r="D2" s="78"/>
      <c r="E2" s="78"/>
      <c r="F2" s="2" t="s">
        <v>146</v>
      </c>
      <c r="G2" s="75" t="s">
        <v>85</v>
      </c>
      <c r="H2" s="76"/>
      <c r="I2" s="77"/>
      <c r="J2" s="78" t="s">
        <v>86</v>
      </c>
      <c r="K2" s="78"/>
      <c r="L2" s="78"/>
      <c r="M2" s="2" t="s">
        <v>145</v>
      </c>
      <c r="N2" s="75" t="s">
        <v>87</v>
      </c>
      <c r="O2" s="76"/>
      <c r="P2" s="77"/>
      <c r="Q2" s="72" t="s">
        <v>88</v>
      </c>
      <c r="R2" s="73"/>
      <c r="S2" s="74"/>
      <c r="T2" s="75" t="s">
        <v>89</v>
      </c>
      <c r="U2" s="76"/>
      <c r="V2" s="77"/>
      <c r="W2" s="2" t="s">
        <v>90</v>
      </c>
      <c r="X2" s="72" t="s">
        <v>91</v>
      </c>
      <c r="Y2" s="73"/>
      <c r="Z2" s="74"/>
      <c r="AA2" s="75" t="s">
        <v>92</v>
      </c>
      <c r="AB2" s="76"/>
      <c r="AC2" s="77"/>
      <c r="AD2" s="2" t="s">
        <v>93</v>
      </c>
      <c r="AE2" s="78" t="s">
        <v>94</v>
      </c>
      <c r="AF2" s="78"/>
      <c r="AG2" s="78"/>
      <c r="AH2" s="79" t="s">
        <v>95</v>
      </c>
      <c r="AI2" s="79"/>
      <c r="AJ2" s="79"/>
      <c r="AK2" s="2" t="s">
        <v>96</v>
      </c>
    </row>
    <row r="3" spans="1:37" ht="19.5" customHeight="1" x14ac:dyDescent="0.3">
      <c r="A3" s="2" t="s">
        <v>97</v>
      </c>
      <c r="B3" s="2" t="s">
        <v>98</v>
      </c>
      <c r="C3" s="11" t="s">
        <v>99</v>
      </c>
      <c r="D3" s="11" t="s">
        <v>100</v>
      </c>
      <c r="E3" s="11" t="s">
        <v>101</v>
      </c>
      <c r="F3" s="2" t="s">
        <v>102</v>
      </c>
      <c r="G3" s="12" t="s">
        <v>99</v>
      </c>
      <c r="H3" s="12" t="s">
        <v>100</v>
      </c>
      <c r="I3" s="12" t="s">
        <v>101</v>
      </c>
      <c r="J3" s="11" t="s">
        <v>99</v>
      </c>
      <c r="K3" s="11" t="s">
        <v>100</v>
      </c>
      <c r="L3" s="11" t="s">
        <v>101</v>
      </c>
      <c r="M3" s="2" t="s">
        <v>102</v>
      </c>
      <c r="N3" s="12" t="s">
        <v>99</v>
      </c>
      <c r="O3" s="12" t="s">
        <v>100</v>
      </c>
      <c r="P3" s="12" t="s">
        <v>101</v>
      </c>
      <c r="Q3" s="11" t="s">
        <v>99</v>
      </c>
      <c r="R3" s="11" t="s">
        <v>100</v>
      </c>
      <c r="S3" s="11" t="s">
        <v>101</v>
      </c>
      <c r="T3" s="12" t="s">
        <v>99</v>
      </c>
      <c r="U3" s="12" t="s">
        <v>100</v>
      </c>
      <c r="V3" s="12" t="s">
        <v>101</v>
      </c>
      <c r="W3" s="2" t="s">
        <v>102</v>
      </c>
      <c r="X3" s="11" t="s">
        <v>99</v>
      </c>
      <c r="Y3" s="11" t="s">
        <v>100</v>
      </c>
      <c r="Z3" s="11" t="s">
        <v>101</v>
      </c>
      <c r="AA3" s="12" t="s">
        <v>99</v>
      </c>
      <c r="AB3" s="12" t="s">
        <v>100</v>
      </c>
      <c r="AC3" s="12" t="s">
        <v>101</v>
      </c>
      <c r="AD3" s="2" t="s">
        <v>102</v>
      </c>
      <c r="AE3" s="11" t="s">
        <v>99</v>
      </c>
      <c r="AF3" s="11" t="s">
        <v>100</v>
      </c>
      <c r="AG3" s="11" t="s">
        <v>101</v>
      </c>
      <c r="AH3" s="12" t="s">
        <v>99</v>
      </c>
      <c r="AI3" s="12" t="s">
        <v>100</v>
      </c>
      <c r="AJ3" s="12" t="s">
        <v>101</v>
      </c>
      <c r="AK3" s="2" t="s">
        <v>102</v>
      </c>
    </row>
    <row r="4" spans="1:37" x14ac:dyDescent="0.3">
      <c r="A4" s="80" t="s">
        <v>119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</row>
    <row r="5" spans="1:37" x14ac:dyDescent="0.3">
      <c r="A5" s="3" t="s">
        <v>103</v>
      </c>
      <c r="B5" s="6" t="s">
        <v>29</v>
      </c>
      <c r="C5" s="29">
        <f>'V1 · Individual'!F11</f>
        <v>108.175</v>
      </c>
      <c r="D5" s="29">
        <f>'V1 · Individual'!G11</f>
        <v>36.917492693</v>
      </c>
      <c r="E5" s="26">
        <f>IFERROR(D5/C5,"-")</f>
        <v>0.34127564310607811</v>
      </c>
      <c r="F5" s="62">
        <f>COUNTIF('[2]Opportunity Pipeline'!$Z:$Z,"S1")</f>
        <v>91</v>
      </c>
      <c r="G5" s="27" t="s">
        <v>117</v>
      </c>
      <c r="H5" s="27" t="s">
        <v>117</v>
      </c>
      <c r="I5" s="27" t="s">
        <v>117</v>
      </c>
      <c r="J5" s="29">
        <f>'V1 · Individual'!I11</f>
        <v>194.17499999999998</v>
      </c>
      <c r="K5" s="29">
        <f>'V1 · Individual'!J11</f>
        <v>20.571016627999999</v>
      </c>
      <c r="L5" s="27" t="s">
        <v>117</v>
      </c>
      <c r="M5" s="27">
        <f>COUNTIF('[3]Opportunity Pipeline '!$Z:$Z,"S1")</f>
        <v>49</v>
      </c>
      <c r="N5" s="27" t="s">
        <v>117</v>
      </c>
      <c r="O5" s="27" t="s">
        <v>117</v>
      </c>
      <c r="P5" s="27" t="s">
        <v>117</v>
      </c>
      <c r="Q5" s="29">
        <f>'V1 · Individual'!L11</f>
        <v>307.35000000000002</v>
      </c>
      <c r="R5" s="29">
        <f>'V1 · Individual'!M11</f>
        <v>57.488509321000002</v>
      </c>
      <c r="S5" s="26">
        <f t="shared" ref="S5:S9" si="0">IFERROR(R5/Q5,"-")</f>
        <v>0.18704574368309743</v>
      </c>
      <c r="T5" s="27" t="s">
        <v>117</v>
      </c>
      <c r="U5" s="27" t="s">
        <v>117</v>
      </c>
      <c r="V5" s="27" t="s">
        <v>117</v>
      </c>
      <c r="W5" s="47">
        <f>'V1 · Individual'!U11</f>
        <v>140</v>
      </c>
      <c r="X5" s="29">
        <f>'V1 · Individual'!O11</f>
        <v>352.65</v>
      </c>
      <c r="Y5" s="27" t="s">
        <v>117</v>
      </c>
      <c r="Z5" s="27" t="s">
        <v>117</v>
      </c>
      <c r="AA5" s="27" t="s">
        <v>117</v>
      </c>
      <c r="AB5" s="27" t="s">
        <v>117</v>
      </c>
      <c r="AC5" s="27" t="s">
        <v>117</v>
      </c>
      <c r="AD5" s="27" t="s">
        <v>117</v>
      </c>
      <c r="AE5" s="29">
        <f>'V1 · Individual'!R11</f>
        <v>660</v>
      </c>
      <c r="AF5" s="29">
        <f>'V1 · Individual'!S11</f>
        <v>57.488509321000002</v>
      </c>
      <c r="AG5" s="26">
        <f>AF5/AE5</f>
        <v>8.7103802001515157E-2</v>
      </c>
      <c r="AH5" s="27" t="s">
        <v>117</v>
      </c>
      <c r="AI5" s="27" t="s">
        <v>117</v>
      </c>
      <c r="AJ5" s="27" t="s">
        <v>117</v>
      </c>
      <c r="AK5" s="47">
        <f>SUM(W5,AD5)</f>
        <v>140</v>
      </c>
    </row>
    <row r="6" spans="1:37" x14ac:dyDescent="0.3">
      <c r="A6" s="3" t="s">
        <v>104</v>
      </c>
      <c r="B6" s="6" t="s">
        <v>41</v>
      </c>
      <c r="C6" s="29">
        <f>'V1 · Individual'!F20</f>
        <v>54.849999999999994</v>
      </c>
      <c r="D6" s="29">
        <f>'V1 · Individual'!G20</f>
        <v>15.396570527999998</v>
      </c>
      <c r="E6" s="26">
        <f t="shared" ref="E6:E10" si="1">IFERROR(D6/C6,"-")</f>
        <v>0.28070320014585232</v>
      </c>
      <c r="F6" s="62">
        <f>COUNTIF('[2]Opportunity Pipeline'!$Z:$Z,"S2")</f>
        <v>25</v>
      </c>
      <c r="G6" s="27" t="s">
        <v>117</v>
      </c>
      <c r="H6" s="27" t="s">
        <v>117</v>
      </c>
      <c r="I6" s="27" t="s">
        <v>117</v>
      </c>
      <c r="J6" s="29">
        <f>'V1 · Individual'!I20</f>
        <v>84.149999999999991</v>
      </c>
      <c r="K6" s="29">
        <f>'V1 · Individual'!J20</f>
        <v>43.361923364000006</v>
      </c>
      <c r="L6" s="27" t="s">
        <v>117</v>
      </c>
      <c r="M6" s="27">
        <f>COUNTIF('[3]Opportunity Pipeline '!$Z:$Z,"S2")</f>
        <v>20</v>
      </c>
      <c r="N6" s="27" t="s">
        <v>117</v>
      </c>
      <c r="O6" s="27" t="s">
        <v>117</v>
      </c>
      <c r="P6" s="27" t="s">
        <v>117</v>
      </c>
      <c r="Q6" s="29">
        <f>'V1 · Individual'!L20</f>
        <v>107.75</v>
      </c>
      <c r="R6" s="29">
        <f>'V1 · Individual'!M20</f>
        <v>58.758493891999997</v>
      </c>
      <c r="S6" s="26">
        <f t="shared" si="0"/>
        <v>0.5453224491136891</v>
      </c>
      <c r="T6" s="27" t="s">
        <v>117</v>
      </c>
      <c r="U6" s="27" t="s">
        <v>117</v>
      </c>
      <c r="V6" s="27" t="s">
        <v>117</v>
      </c>
      <c r="W6" s="47">
        <f>'V1 · Individual'!U20</f>
        <v>45</v>
      </c>
      <c r="X6" s="29">
        <f>'V1 · Individual'!O20</f>
        <v>138.25</v>
      </c>
      <c r="Y6" s="27" t="s">
        <v>117</v>
      </c>
      <c r="Z6" s="27" t="s">
        <v>117</v>
      </c>
      <c r="AA6" s="27" t="s">
        <v>117</v>
      </c>
      <c r="AB6" s="27" t="s">
        <v>117</v>
      </c>
      <c r="AC6" s="27" t="s">
        <v>117</v>
      </c>
      <c r="AD6" s="27" t="s">
        <v>117</v>
      </c>
      <c r="AE6" s="29">
        <f>'V1 · Individual'!R20</f>
        <v>246</v>
      </c>
      <c r="AF6" s="29">
        <f>'V1 · Individual'!S20</f>
        <v>58.758493891999997</v>
      </c>
      <c r="AG6" s="26">
        <f t="shared" ref="AG6:AG9" si="2">AF6/AE6</f>
        <v>0.23885566622764226</v>
      </c>
      <c r="AH6" s="27" t="s">
        <v>117</v>
      </c>
      <c r="AI6" s="27" t="s">
        <v>117</v>
      </c>
      <c r="AJ6" s="27" t="s">
        <v>117</v>
      </c>
      <c r="AK6" s="47">
        <f t="shared" ref="AK6:AK10" si="3">SUM(W6,AD6)</f>
        <v>45</v>
      </c>
    </row>
    <row r="7" spans="1:37" x14ac:dyDescent="0.3">
      <c r="A7" s="3" t="s">
        <v>105</v>
      </c>
      <c r="B7" s="6" t="s">
        <v>50</v>
      </c>
      <c r="C7" s="29">
        <f>'V1 · Individual'!F27</f>
        <v>18.5</v>
      </c>
      <c r="D7" s="29">
        <f>'V1 · Individual'!G27</f>
        <v>15.803395760000001</v>
      </c>
      <c r="E7" s="26">
        <f t="shared" si="1"/>
        <v>0.85423760864864873</v>
      </c>
      <c r="F7" s="62">
        <f>COUNTIF('[2]Opportunity Pipeline'!$Z:$Z,"CB")</f>
        <v>41</v>
      </c>
      <c r="G7" s="27" t="s">
        <v>117</v>
      </c>
      <c r="H7" s="27" t="s">
        <v>117</v>
      </c>
      <c r="I7" s="27" t="s">
        <v>117</v>
      </c>
      <c r="J7" s="29">
        <f>'V1 · Individual'!I27</f>
        <v>29.5</v>
      </c>
      <c r="K7" s="29">
        <f>'V1 · Individual'!J27</f>
        <v>8.4425210000000011</v>
      </c>
      <c r="L7" s="27" t="s">
        <v>117</v>
      </c>
      <c r="M7" s="27">
        <f>COUNTIF('[3]Opportunity Pipeline '!$Z:$Z,"CB")</f>
        <v>36</v>
      </c>
      <c r="N7" s="27" t="s">
        <v>117</v>
      </c>
      <c r="O7" s="27" t="s">
        <v>117</v>
      </c>
      <c r="P7" s="27" t="s">
        <v>117</v>
      </c>
      <c r="Q7" s="29">
        <f>'V1 · Individual'!L27</f>
        <v>48</v>
      </c>
      <c r="R7" s="29">
        <f>'V1 · Individual'!M27</f>
        <v>24.245916760000004</v>
      </c>
      <c r="S7" s="26">
        <f t="shared" si="0"/>
        <v>0.50512326583333345</v>
      </c>
      <c r="T7" s="27" t="s">
        <v>117</v>
      </c>
      <c r="U7" s="27" t="s">
        <v>117</v>
      </c>
      <c r="V7" s="27" t="s">
        <v>117</v>
      </c>
      <c r="W7" s="47">
        <f>'V1 · Individual'!U27</f>
        <v>77</v>
      </c>
      <c r="X7" s="29">
        <f>'V1 · Individual'!O27</f>
        <v>79.5</v>
      </c>
      <c r="Y7" s="27" t="s">
        <v>117</v>
      </c>
      <c r="Z7" s="27" t="s">
        <v>117</v>
      </c>
      <c r="AA7" s="27" t="s">
        <v>117</v>
      </c>
      <c r="AB7" s="27" t="s">
        <v>117</v>
      </c>
      <c r="AC7" s="27" t="s">
        <v>117</v>
      </c>
      <c r="AD7" s="27" t="s">
        <v>117</v>
      </c>
      <c r="AE7" s="29">
        <f>'V1 · Individual'!R27</f>
        <v>127.5</v>
      </c>
      <c r="AF7" s="29">
        <f>'V1 · Individual'!S27</f>
        <v>24.245916760000004</v>
      </c>
      <c r="AG7" s="26">
        <f t="shared" si="2"/>
        <v>0.19016405301960787</v>
      </c>
      <c r="AH7" s="27" t="s">
        <v>117</v>
      </c>
      <c r="AI7" s="27" t="s">
        <v>117</v>
      </c>
      <c r="AJ7" s="27" t="s">
        <v>117</v>
      </c>
      <c r="AK7" s="47">
        <f t="shared" si="3"/>
        <v>77</v>
      </c>
    </row>
    <row r="8" spans="1:37" x14ac:dyDescent="0.3">
      <c r="A8" s="3" t="s">
        <v>106</v>
      </c>
      <c r="B8" s="6" t="s">
        <v>58</v>
      </c>
      <c r="C8" s="29">
        <f>'V1 · Individual'!F41</f>
        <v>4.6999999999999993</v>
      </c>
      <c r="D8" s="29">
        <f>'V1 · Individual'!G41</f>
        <v>15.114382618</v>
      </c>
      <c r="E8" s="26">
        <f t="shared" si="1"/>
        <v>3.2158260889361707</v>
      </c>
      <c r="F8" s="62">
        <f>COUNTIF('[2]Opportunity Pipeline'!$Z:$Z,"GB")</f>
        <v>50</v>
      </c>
      <c r="G8" s="27" t="s">
        <v>117</v>
      </c>
      <c r="H8" s="27" t="s">
        <v>117</v>
      </c>
      <c r="I8" s="27" t="s">
        <v>117</v>
      </c>
      <c r="J8" s="29">
        <f>'V1 · Individual'!I41</f>
        <v>5</v>
      </c>
      <c r="K8" s="29">
        <f>'V1 · Individual'!J41</f>
        <v>13.351082799999997</v>
      </c>
      <c r="L8" s="27" t="s">
        <v>117</v>
      </c>
      <c r="M8" s="27">
        <f>COUNTIF('[3]Opportunity Pipeline '!$Z:$Z,"GB")</f>
        <v>19</v>
      </c>
      <c r="N8" s="27" t="s">
        <v>117</v>
      </c>
      <c r="O8" s="27" t="s">
        <v>117</v>
      </c>
      <c r="P8" s="27" t="s">
        <v>117</v>
      </c>
      <c r="Q8" s="29">
        <f>'V1 · Individual'!L41</f>
        <v>12.899999999999999</v>
      </c>
      <c r="R8" s="29">
        <f>'V1 · Individual'!M41</f>
        <v>28.465465418000001</v>
      </c>
      <c r="S8" s="26">
        <f t="shared" si="0"/>
        <v>2.2066252262015507</v>
      </c>
      <c r="T8" s="27" t="s">
        <v>117</v>
      </c>
      <c r="U8" s="27" t="s">
        <v>117</v>
      </c>
      <c r="V8" s="27" t="s">
        <v>117</v>
      </c>
      <c r="W8" s="47">
        <f>'V1 · Individual'!U41</f>
        <v>69</v>
      </c>
      <c r="X8" s="29">
        <f>'V1 · Individual'!O41</f>
        <v>22.099999999999998</v>
      </c>
      <c r="Y8" s="27" t="s">
        <v>117</v>
      </c>
      <c r="Z8" s="27" t="s">
        <v>117</v>
      </c>
      <c r="AA8" s="27" t="s">
        <v>117</v>
      </c>
      <c r="AB8" s="27" t="s">
        <v>117</v>
      </c>
      <c r="AC8" s="27" t="s">
        <v>117</v>
      </c>
      <c r="AD8" s="27" t="s">
        <v>117</v>
      </c>
      <c r="AE8" s="29">
        <f>'V1 · Individual'!R41</f>
        <v>35</v>
      </c>
      <c r="AF8" s="29">
        <f>'V1 · Individual'!S41</f>
        <v>28.465465418000001</v>
      </c>
      <c r="AG8" s="26">
        <f t="shared" si="2"/>
        <v>0.81329901194285714</v>
      </c>
      <c r="AH8" s="27" t="s">
        <v>117</v>
      </c>
      <c r="AI8" s="27" t="s">
        <v>117</v>
      </c>
      <c r="AJ8" s="27" t="s">
        <v>117</v>
      </c>
      <c r="AK8" s="47">
        <f t="shared" si="3"/>
        <v>69</v>
      </c>
    </row>
    <row r="9" spans="1:37" x14ac:dyDescent="0.3">
      <c r="A9" s="3" t="s">
        <v>107</v>
      </c>
      <c r="B9" s="6" t="s">
        <v>73</v>
      </c>
      <c r="C9" s="29">
        <f>'V1 · Individual'!F48</f>
        <v>10.5</v>
      </c>
      <c r="D9" s="29">
        <f>'V1 · Individual'!G48</f>
        <v>10.289626889000001</v>
      </c>
      <c r="E9" s="26">
        <f t="shared" si="1"/>
        <v>0.97996446561904771</v>
      </c>
      <c r="F9" s="62">
        <f>COUNTIF('[2]Opportunity Pipeline'!$Z:$Z,"South")</f>
        <v>54</v>
      </c>
      <c r="G9" s="27" t="s">
        <v>117</v>
      </c>
      <c r="H9" s="27" t="s">
        <v>117</v>
      </c>
      <c r="I9" s="27" t="s">
        <v>117</v>
      </c>
      <c r="J9" s="29">
        <f>'V1 · Individual'!I48</f>
        <v>7.5</v>
      </c>
      <c r="K9" s="29">
        <f>'V1 · Individual'!J48</f>
        <v>3.2297363800000003</v>
      </c>
      <c r="L9" s="27" t="s">
        <v>117</v>
      </c>
      <c r="M9" s="27">
        <f>COUNTIF('[3]Opportunity Pipeline '!$Z:$Z,"South")</f>
        <v>25</v>
      </c>
      <c r="N9" s="27" t="s">
        <v>117</v>
      </c>
      <c r="O9" s="27" t="s">
        <v>117</v>
      </c>
      <c r="P9" s="27" t="s">
        <v>117</v>
      </c>
      <c r="Q9" s="29">
        <f>'V1 · Individual'!L48</f>
        <v>22</v>
      </c>
      <c r="R9" s="29">
        <f>'V1 · Individual'!M48</f>
        <v>13.519363268999999</v>
      </c>
      <c r="S9" s="26">
        <f t="shared" si="0"/>
        <v>0.61451651222727266</v>
      </c>
      <c r="T9" s="27" t="s">
        <v>117</v>
      </c>
      <c r="U9" s="27" t="s">
        <v>117</v>
      </c>
      <c r="V9" s="27" t="s">
        <v>117</v>
      </c>
      <c r="W9" s="47">
        <f>'V1 · Individual'!U48</f>
        <v>79</v>
      </c>
      <c r="X9" s="29">
        <f>'V1 · Individual'!O48</f>
        <v>23</v>
      </c>
      <c r="Y9" s="27" t="s">
        <v>117</v>
      </c>
      <c r="Z9" s="27" t="s">
        <v>117</v>
      </c>
      <c r="AA9" s="27" t="s">
        <v>117</v>
      </c>
      <c r="AB9" s="27" t="s">
        <v>117</v>
      </c>
      <c r="AC9" s="27" t="s">
        <v>117</v>
      </c>
      <c r="AD9" s="27" t="s">
        <v>117</v>
      </c>
      <c r="AE9" s="29">
        <f>'V1 · Individual'!R48</f>
        <v>45</v>
      </c>
      <c r="AF9" s="29">
        <f>'V1 · Individual'!S48</f>
        <v>13.519363268999999</v>
      </c>
      <c r="AG9" s="26">
        <f t="shared" si="2"/>
        <v>0.30043029486666667</v>
      </c>
      <c r="AH9" s="27" t="s">
        <v>117</v>
      </c>
      <c r="AI9" s="27" t="s">
        <v>117</v>
      </c>
      <c r="AJ9" s="27" t="s">
        <v>117</v>
      </c>
      <c r="AK9" s="47">
        <f t="shared" si="3"/>
        <v>79</v>
      </c>
    </row>
    <row r="10" spans="1:37" x14ac:dyDescent="0.3">
      <c r="A10" s="13" t="s">
        <v>108</v>
      </c>
      <c r="B10" s="14" t="s">
        <v>109</v>
      </c>
      <c r="C10" s="29">
        <f>'V1 · Individual'!F53</f>
        <v>2.5</v>
      </c>
      <c r="D10" s="29">
        <f>'V1 · Individual'!G53</f>
        <v>3.8126083999999998</v>
      </c>
      <c r="E10" s="26">
        <f t="shared" si="1"/>
        <v>1.52504336</v>
      </c>
      <c r="F10" s="62">
        <f>COUNTIF('[2]Opportunity Pipeline'!$Z:$Z,"Geo X")</f>
        <v>53</v>
      </c>
      <c r="G10" s="29">
        <f>'V1 · Individual'!F51</f>
        <v>0.4</v>
      </c>
      <c r="H10" s="29">
        <f>'V1 · Individual'!G51</f>
        <v>0.29095014400000002</v>
      </c>
      <c r="I10" s="26">
        <f>IFERROR(D10/G10,"-")</f>
        <v>9.5315209999999997</v>
      </c>
      <c r="J10" s="29">
        <f>'V1 · Individual'!I53</f>
        <v>5</v>
      </c>
      <c r="K10" s="29">
        <f>'V1 · Individual'!J53</f>
        <v>0.31384980000000001</v>
      </c>
      <c r="L10" s="27" t="s">
        <v>117</v>
      </c>
      <c r="M10" s="27">
        <f>COUNTIF('[3]Opportunity Pipeline '!$Z:$Z,"GeoX")</f>
        <v>4</v>
      </c>
      <c r="N10" s="29">
        <f>'V1 · Individual'!I51</f>
        <v>0.65</v>
      </c>
      <c r="O10" s="29">
        <f>'V1 · Individual'!J51</f>
        <v>2.3678999999999999E-2</v>
      </c>
      <c r="P10" s="32">
        <f>O10/N10</f>
        <v>3.6429230769230769E-2</v>
      </c>
      <c r="Q10" s="29">
        <f>'V1 · Individual'!L53</f>
        <v>0</v>
      </c>
      <c r="R10" s="29">
        <f>'V1 · Individual'!M53</f>
        <v>4.1264582000000001</v>
      </c>
      <c r="S10" s="26" t="str">
        <f t="shared" ref="S10" si="4">IFERROR(R10/Q10,"-")</f>
        <v>-</v>
      </c>
      <c r="T10" s="29"/>
      <c r="U10" s="29"/>
      <c r="V10" s="32"/>
      <c r="W10" s="47">
        <f>'V1 · Individual'!U53</f>
        <v>57</v>
      </c>
      <c r="X10" s="27" t="s">
        <v>117</v>
      </c>
      <c r="Y10" s="27" t="s">
        <v>117</v>
      </c>
      <c r="Z10" s="27" t="s">
        <v>117</v>
      </c>
      <c r="AA10" s="29">
        <f>'V1 · Individual'!O53</f>
        <v>1.35</v>
      </c>
      <c r="AB10" s="27" t="s">
        <v>117</v>
      </c>
      <c r="AC10" s="27" t="s">
        <v>117</v>
      </c>
      <c r="AD10" s="27" t="s">
        <v>117</v>
      </c>
      <c r="AE10" s="29">
        <f>'V1 · Individual'!R53</f>
        <v>2.4000000000000004</v>
      </c>
      <c r="AF10" s="29">
        <f>'V1 · Individual'!S53</f>
        <v>4.1264582000000001</v>
      </c>
      <c r="AG10" s="26">
        <f>'V1 · Individual'!T53</f>
        <v>1.7193575833333332</v>
      </c>
      <c r="AK10" s="47">
        <f t="shared" si="3"/>
        <v>57</v>
      </c>
    </row>
    <row r="11" spans="1:37" x14ac:dyDescent="0.3">
      <c r="A11" s="13"/>
      <c r="B11" s="60"/>
      <c r="C11" s="27"/>
      <c r="D11" s="27"/>
      <c r="E11" s="27"/>
      <c r="F11" s="27"/>
      <c r="G11" s="29"/>
      <c r="H11" s="29"/>
      <c r="I11" s="26"/>
      <c r="J11" s="27"/>
      <c r="K11" s="27"/>
      <c r="L11" s="27"/>
      <c r="M11" s="27"/>
      <c r="N11" s="29"/>
      <c r="O11" s="29"/>
      <c r="P11" s="32"/>
      <c r="Q11" s="27"/>
      <c r="R11" s="27"/>
      <c r="S11" s="27"/>
      <c r="T11" s="29"/>
      <c r="U11" s="29"/>
      <c r="V11" s="32"/>
      <c r="W11" s="47"/>
      <c r="X11" s="27"/>
      <c r="Y11" s="27"/>
      <c r="Z11" s="27"/>
      <c r="AA11" s="29"/>
      <c r="AB11" s="27"/>
      <c r="AC11" s="27"/>
      <c r="AD11" s="27"/>
      <c r="AE11" s="27"/>
      <c r="AF11" s="27"/>
      <c r="AG11" s="32"/>
      <c r="AH11" s="29"/>
      <c r="AI11" s="29"/>
      <c r="AJ11" s="26"/>
      <c r="AK11" s="47"/>
    </row>
    <row r="12" spans="1:37" s="49" customFormat="1" x14ac:dyDescent="0.3">
      <c r="A12" s="51" t="s">
        <v>110</v>
      </c>
      <c r="C12" s="40">
        <f>SUM(C5:C10)</f>
        <v>199.22499999999997</v>
      </c>
      <c r="D12" s="40">
        <f>SUM(D5:D10)</f>
        <v>97.334076888000013</v>
      </c>
      <c r="E12" s="52">
        <f>D12/C12</f>
        <v>0.4885635682670349</v>
      </c>
      <c r="F12" s="63">
        <f>SUM(F5:F10)</f>
        <v>314</v>
      </c>
      <c r="G12" s="40">
        <f t="shared" ref="G12:AJ12" si="5">SUM(G5:G10)</f>
        <v>0.4</v>
      </c>
      <c r="H12" s="40">
        <f t="shared" si="5"/>
        <v>0.29095014400000002</v>
      </c>
      <c r="I12" s="52">
        <f>H12/G12</f>
        <v>0.72737536000000003</v>
      </c>
      <c r="J12" s="40">
        <f t="shared" si="5"/>
        <v>325.32499999999999</v>
      </c>
      <c r="K12" s="40">
        <f t="shared" si="5"/>
        <v>89.270129972000007</v>
      </c>
      <c r="L12" s="52">
        <f t="shared" si="5"/>
        <v>0</v>
      </c>
      <c r="M12" s="63">
        <f>SUM(M5:M10)</f>
        <v>153</v>
      </c>
      <c r="N12" s="40">
        <f t="shared" si="5"/>
        <v>0.65</v>
      </c>
      <c r="O12" s="40">
        <f t="shared" si="5"/>
        <v>2.3678999999999999E-2</v>
      </c>
      <c r="P12" s="52">
        <f t="shared" si="5"/>
        <v>3.6429230769230769E-2</v>
      </c>
      <c r="Q12" s="40">
        <f t="shared" si="5"/>
        <v>498</v>
      </c>
      <c r="R12" s="40">
        <f>SUM(R5:R10)</f>
        <v>186.60420686000001</v>
      </c>
      <c r="S12" s="52">
        <f>R12/Q12</f>
        <v>0.37470724269076305</v>
      </c>
      <c r="T12" s="40">
        <f t="shared" si="5"/>
        <v>0</v>
      </c>
      <c r="U12" s="40">
        <f t="shared" si="5"/>
        <v>0</v>
      </c>
      <c r="V12" s="52">
        <f t="shared" si="5"/>
        <v>0</v>
      </c>
      <c r="W12" s="40">
        <f t="shared" si="5"/>
        <v>467</v>
      </c>
      <c r="X12" s="40">
        <f t="shared" si="5"/>
        <v>615.5</v>
      </c>
      <c r="Y12" s="40">
        <f t="shared" si="5"/>
        <v>0</v>
      </c>
      <c r="Z12" s="52">
        <f t="shared" si="5"/>
        <v>0</v>
      </c>
      <c r="AA12" s="40">
        <f t="shared" si="5"/>
        <v>1.35</v>
      </c>
      <c r="AB12" s="40">
        <f t="shared" si="5"/>
        <v>0</v>
      </c>
      <c r="AC12" s="52">
        <f t="shared" si="5"/>
        <v>0</v>
      </c>
      <c r="AD12" s="40">
        <f t="shared" si="5"/>
        <v>0</v>
      </c>
      <c r="AE12" s="40">
        <f>SUM(AE5:AE10)</f>
        <v>1115.9000000000001</v>
      </c>
      <c r="AF12" s="40">
        <f>SUM(AF5:AF10)</f>
        <v>186.60420686000001</v>
      </c>
      <c r="AG12" s="52">
        <f>SUM(AG5:AG10)</f>
        <v>3.3492104113916223</v>
      </c>
      <c r="AH12" s="40">
        <f t="shared" si="5"/>
        <v>0</v>
      </c>
      <c r="AI12" s="40">
        <f t="shared" si="5"/>
        <v>0</v>
      </c>
      <c r="AJ12" s="52">
        <f t="shared" si="5"/>
        <v>0</v>
      </c>
      <c r="AK12" s="41">
        <f>SUM(AK5:AK10)</f>
        <v>467</v>
      </c>
    </row>
  </sheetData>
  <mergeCells count="11">
    <mergeCell ref="X2:Z2"/>
    <mergeCell ref="AA2:AC2"/>
    <mergeCell ref="AE2:AG2"/>
    <mergeCell ref="AH2:AJ2"/>
    <mergeCell ref="A4:AK4"/>
    <mergeCell ref="C2:E2"/>
    <mergeCell ref="G2:I2"/>
    <mergeCell ref="J2:L2"/>
    <mergeCell ref="N2:P2"/>
    <mergeCell ref="Q2:S2"/>
    <mergeCell ref="T2:V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0E94E-66B8-4EE5-9C96-9BC2A706A199}">
  <dimension ref="A1:Y9"/>
  <sheetViews>
    <sheetView zoomScaleNormal="100" workbookViewId="0">
      <selection activeCell="K14" sqref="K14"/>
    </sheetView>
  </sheetViews>
  <sheetFormatPr defaultRowHeight="14.4" x14ac:dyDescent="0.3"/>
  <cols>
    <col min="2" max="2" width="18.77734375" bestFit="1" customWidth="1"/>
    <col min="21" max="25" width="0" hidden="1" customWidth="1"/>
  </cols>
  <sheetData>
    <row r="1" spans="1:25" ht="27.75" customHeight="1" x14ac:dyDescent="0.3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9.6" customHeight="1" x14ac:dyDescent="0.3">
      <c r="A2" s="2" t="s">
        <v>1</v>
      </c>
      <c r="B2" s="2" t="s">
        <v>112</v>
      </c>
      <c r="C2" s="2" t="s">
        <v>3</v>
      </c>
      <c r="D2" s="2" t="s">
        <v>4</v>
      </c>
      <c r="E2" s="2" t="s">
        <v>6</v>
      </c>
      <c r="F2" s="2" t="s">
        <v>7</v>
      </c>
      <c r="G2" s="2" t="s">
        <v>113</v>
      </c>
      <c r="H2" s="2" t="s">
        <v>9</v>
      </c>
      <c r="I2" s="2" t="s">
        <v>10</v>
      </c>
      <c r="J2" s="2" t="s">
        <v>114</v>
      </c>
      <c r="K2" s="2" t="s">
        <v>12</v>
      </c>
      <c r="L2" s="2" t="s">
        <v>13</v>
      </c>
      <c r="M2" s="15" t="s">
        <v>14</v>
      </c>
      <c r="N2" s="2" t="s">
        <v>15</v>
      </c>
      <c r="O2" s="2" t="s">
        <v>16</v>
      </c>
      <c r="P2" s="15" t="s">
        <v>17</v>
      </c>
      <c r="Q2" s="15" t="s">
        <v>18</v>
      </c>
      <c r="R2" s="2" t="s">
        <v>19</v>
      </c>
      <c r="S2" s="2" t="s">
        <v>20</v>
      </c>
      <c r="T2" s="2" t="s">
        <v>21</v>
      </c>
      <c r="U2" s="10" t="s">
        <v>22</v>
      </c>
      <c r="V2" s="10" t="s">
        <v>23</v>
      </c>
      <c r="W2" s="10" t="s">
        <v>24</v>
      </c>
      <c r="X2" s="10" t="s">
        <v>25</v>
      </c>
      <c r="Y2" s="10" t="s">
        <v>26</v>
      </c>
    </row>
    <row r="3" spans="1:25" x14ac:dyDescent="0.3">
      <c r="A3" s="16">
        <v>1</v>
      </c>
      <c r="B3" s="17" t="s">
        <v>103</v>
      </c>
      <c r="C3" s="18" t="s">
        <v>29</v>
      </c>
      <c r="D3" s="19" t="s">
        <v>30</v>
      </c>
      <c r="E3" t="s">
        <v>117</v>
      </c>
      <c r="F3" s="25">
        <f>SUMIFS('[2]Opportunity Pipeline'!$O:$O,'[2]Opportunity Pipeline'!$K:$K,"Data Centre",'[2]Opportunity Pipeline'!$Z:$Z,"S1")/10^7</f>
        <v>13.039549279000001</v>
      </c>
      <c r="G3" t="str">
        <f>IFERROR(F3/E3,"-")</f>
        <v>-</v>
      </c>
      <c r="H3" t="s">
        <v>117</v>
      </c>
      <c r="I3" s="25">
        <f>SUMIFS('[3]Opportunity Pipeline '!$O:$O,'[3]Opportunity Pipeline '!$K:$K,"Data Centre",'[3]Opportunity Pipeline '!$Z:$Z,"S1")/10^7</f>
        <v>10.480089212999999</v>
      </c>
      <c r="J3" t="str">
        <f>IFERROR(I3/H3,"-")</f>
        <v>-</v>
      </c>
      <c r="K3" t="s">
        <v>117</v>
      </c>
      <c r="L3" s="25">
        <f>SUM(F3,I3)</f>
        <v>23.519638491999999</v>
      </c>
      <c r="M3" t="str">
        <f>IFERROR(L3/K3,"-")</f>
        <v>-</v>
      </c>
      <c r="N3" t="s">
        <v>117</v>
      </c>
      <c r="O3" t="s">
        <v>117</v>
      </c>
      <c r="P3" t="s">
        <v>117</v>
      </c>
      <c r="Q3">
        <v>455</v>
      </c>
      <c r="R3" s="25">
        <f>SUM(L3,O3)</f>
        <v>23.519638491999999</v>
      </c>
      <c r="S3" s="26">
        <f>IFERROR(R3/Q3,"-")</f>
        <v>5.1691513169230763E-2</v>
      </c>
      <c r="T3">
        <f>COUNTIFS('[2]Opportunity Pipeline'!$K:$K,"Data Centre",'[2]Opportunity Pipeline'!$Z:$Z,"S1")+COUNTIFS('[3]Opportunity Pipeline '!$K:$K,"Data Centre",'[3]Opportunity Pipeline '!$Z:$Z,"S1")</f>
        <v>19</v>
      </c>
    </row>
    <row r="4" spans="1:25" x14ac:dyDescent="0.3">
      <c r="A4" s="16">
        <v>2</v>
      </c>
      <c r="B4" s="17" t="s">
        <v>104</v>
      </c>
      <c r="C4" s="18" t="s">
        <v>41</v>
      </c>
      <c r="D4" s="19" t="s">
        <v>30</v>
      </c>
      <c r="E4" t="s">
        <v>117</v>
      </c>
      <c r="F4" s="25">
        <f>SUMIFS('[2]Opportunity Pipeline'!$O:$O,'[2]Opportunity Pipeline'!$K:$K,"Data Centre",'[2]Opportunity Pipeline'!$Z:$Z,"S2")/10^7</f>
        <v>6.033635673</v>
      </c>
      <c r="G4" t="str">
        <f t="shared" ref="G4:G9" si="0">IFERROR(F4/E4,"-")</f>
        <v>-</v>
      </c>
      <c r="H4" t="s">
        <v>117</v>
      </c>
      <c r="I4" s="25">
        <f>SUMIFS('[3]Opportunity Pipeline '!$O:$O,'[3]Opportunity Pipeline '!$K:$K,"Data Centre",'[3]Opportunity Pipeline '!$Z:$Z,"S2")/10^7</f>
        <v>33.943728630999999</v>
      </c>
      <c r="J4" t="str">
        <f t="shared" ref="J4:J9" si="1">IFERROR(I4/H4,"-")</f>
        <v>-</v>
      </c>
      <c r="K4" t="s">
        <v>117</v>
      </c>
      <c r="L4" s="25">
        <f t="shared" ref="L4:L8" si="2">SUM(F4,I4)</f>
        <v>39.977364303999998</v>
      </c>
      <c r="M4" t="str">
        <f t="shared" ref="M4:M9" si="3">IFERROR(L4/K4,"-")</f>
        <v>-</v>
      </c>
      <c r="N4" t="s">
        <v>117</v>
      </c>
      <c r="O4" t="s">
        <v>117</v>
      </c>
      <c r="P4" t="s">
        <v>117</v>
      </c>
      <c r="Q4">
        <v>225</v>
      </c>
      <c r="R4" s="25">
        <f t="shared" ref="R4:R8" si="4">SUM(L4,O4)</f>
        <v>39.977364303999998</v>
      </c>
      <c r="S4" s="26">
        <f>IFERROR(R4/Q4,"-")</f>
        <v>0.17767717468444444</v>
      </c>
      <c r="T4">
        <f>COUNTIFS('[2]Opportunity Pipeline'!$K:$K,"Data Centre",'[2]Opportunity Pipeline'!$Z:$Z,"S2")+COUNTIFS('[3]Opportunity Pipeline '!$K:$K,"Data Centre",'[3]Opportunity Pipeline '!$Z:$Z,"S2")</f>
        <v>9</v>
      </c>
    </row>
    <row r="5" spans="1:25" x14ac:dyDescent="0.3">
      <c r="A5" s="16">
        <v>3</v>
      </c>
      <c r="B5" s="17" t="s">
        <v>105</v>
      </c>
      <c r="C5" s="18" t="s">
        <v>50</v>
      </c>
      <c r="D5" s="19" t="s">
        <v>30</v>
      </c>
      <c r="E5" t="s">
        <v>117</v>
      </c>
      <c r="F5" s="25">
        <f>SUMIFS('[2]Opportunity Pipeline'!$O:$O,'[2]Opportunity Pipeline'!$K:$K,"Data Centre",'[2]Opportunity Pipeline'!$Z:$Z,"CB")/10^7</f>
        <v>8.1258047999999992</v>
      </c>
      <c r="G5" t="str">
        <f t="shared" si="0"/>
        <v>-</v>
      </c>
      <c r="H5" t="s">
        <v>117</v>
      </c>
      <c r="I5" s="25">
        <f>SUMIFS('[3]Opportunity Pipeline '!$O:$O,'[3]Opportunity Pipeline '!$K:$K,"Data Centre",'[3]Opportunity Pipeline '!$Z:$Z,"CB")/10^7</f>
        <v>1.8399346000000001</v>
      </c>
      <c r="J5" t="str">
        <f t="shared" si="1"/>
        <v>-</v>
      </c>
      <c r="K5" t="s">
        <v>117</v>
      </c>
      <c r="L5" s="25">
        <f t="shared" si="2"/>
        <v>9.9657393999999986</v>
      </c>
      <c r="M5" t="str">
        <f t="shared" si="3"/>
        <v>-</v>
      </c>
      <c r="N5" t="s">
        <v>117</v>
      </c>
      <c r="O5" t="s">
        <v>117</v>
      </c>
      <c r="P5" t="s">
        <v>117</v>
      </c>
      <c r="Q5">
        <v>40</v>
      </c>
      <c r="R5" s="25">
        <f t="shared" si="4"/>
        <v>9.9657393999999986</v>
      </c>
      <c r="S5" s="26">
        <f t="shared" ref="S5:S8" si="5">IFERROR(R5/Q5,"-")</f>
        <v>0.24914348499999997</v>
      </c>
      <c r="T5">
        <f>COUNTIFS('[2]Opportunity Pipeline'!$K:$K,"Data Centre",'[2]Opportunity Pipeline'!$Z:$Z,"CB")+COUNTIFS('[3]Opportunity Pipeline '!$K:$K,"Data Centre",'[3]Opportunity Pipeline '!$Z:$Z,"CB")</f>
        <v>8</v>
      </c>
    </row>
    <row r="6" spans="1:25" x14ac:dyDescent="0.3">
      <c r="A6" s="16">
        <v>4</v>
      </c>
      <c r="B6" s="17" t="s">
        <v>106</v>
      </c>
      <c r="C6" s="18" t="s">
        <v>58</v>
      </c>
      <c r="D6" s="19" t="s">
        <v>30</v>
      </c>
      <c r="E6" t="s">
        <v>117</v>
      </c>
      <c r="F6" s="25">
        <f>SUMIFS('[2]Opportunity Pipeline'!$O:$O,'[2]Opportunity Pipeline'!$K:$K,"Data Centre",'[2]Opportunity Pipeline'!$Z:$Z,"GB")/10^7</f>
        <v>0.24379999999999999</v>
      </c>
      <c r="G6" t="str">
        <f t="shared" si="0"/>
        <v>-</v>
      </c>
      <c r="H6" t="s">
        <v>117</v>
      </c>
      <c r="I6" s="25">
        <f>SUMIFS('[3]Opportunity Pipeline '!$O:$O,'[3]Opportunity Pipeline '!$K:$K,"Data Centre",'[3]Opportunity Pipeline '!$Z:$Z,"GB")/10^7</f>
        <v>11.716881000000001</v>
      </c>
      <c r="J6" t="str">
        <f t="shared" si="1"/>
        <v>-</v>
      </c>
      <c r="K6" t="s">
        <v>117</v>
      </c>
      <c r="L6" s="25">
        <f t="shared" si="2"/>
        <v>11.960681000000001</v>
      </c>
      <c r="M6" t="str">
        <f t="shared" si="3"/>
        <v>-</v>
      </c>
      <c r="N6" t="s">
        <v>117</v>
      </c>
      <c r="O6" t="s">
        <v>117</v>
      </c>
      <c r="P6" t="s">
        <v>117</v>
      </c>
      <c r="Q6">
        <v>11</v>
      </c>
      <c r="R6" s="25">
        <f t="shared" si="4"/>
        <v>11.960681000000001</v>
      </c>
      <c r="S6" s="26">
        <f t="shared" si="5"/>
        <v>1.0873346363636365</v>
      </c>
      <c r="T6">
        <f>COUNTIFS('[2]Opportunity Pipeline'!$K:$K,"Data Centre",'[2]Opportunity Pipeline'!$Z:$Z,"GB")+COUNTIFS('[3]Opportunity Pipeline '!$K:$K,"Data Centre",'[3]Opportunity Pipeline '!$Z:$Z,"GB")</f>
        <v>4</v>
      </c>
    </row>
    <row r="7" spans="1:25" x14ac:dyDescent="0.3">
      <c r="A7" s="16">
        <v>5</v>
      </c>
      <c r="B7" s="17" t="s">
        <v>107</v>
      </c>
      <c r="C7" s="18" t="s">
        <v>73</v>
      </c>
      <c r="D7" s="19" t="s">
        <v>30</v>
      </c>
      <c r="E7" t="s">
        <v>117</v>
      </c>
      <c r="F7" s="25">
        <f>SUMIFS('[2]Opportunity Pipeline'!$O:$O,'[2]Opportunity Pipeline'!$K:$K,"Data Centre",'[2]Opportunity Pipeline'!$Z:$Z,"South")/10^7</f>
        <v>5.5533859999999997</v>
      </c>
      <c r="G7" t="str">
        <f t="shared" si="0"/>
        <v>-</v>
      </c>
      <c r="H7" t="s">
        <v>117</v>
      </c>
      <c r="I7" s="25">
        <f>SUMIFS('[3]Opportunity Pipeline '!$O:$O,'[3]Opportunity Pipeline '!$K:$K,"Data Centre",'[3]Opportunity Pipeline '!$Z:$Z,"South")/10^7</f>
        <v>2.4487949800000002</v>
      </c>
      <c r="J7" t="str">
        <f t="shared" si="1"/>
        <v>-</v>
      </c>
      <c r="K7" t="s">
        <v>117</v>
      </c>
      <c r="L7" s="25">
        <f t="shared" si="2"/>
        <v>8.0021809800000003</v>
      </c>
      <c r="M7" t="str">
        <f t="shared" si="3"/>
        <v>-</v>
      </c>
      <c r="N7" t="s">
        <v>117</v>
      </c>
      <c r="O7" t="s">
        <v>117</v>
      </c>
      <c r="P7" t="s">
        <v>117</v>
      </c>
      <c r="Q7">
        <v>14</v>
      </c>
      <c r="R7" s="25">
        <f t="shared" si="4"/>
        <v>8.0021809800000003</v>
      </c>
      <c r="S7" s="26">
        <f t="shared" si="5"/>
        <v>0.57158435571428579</v>
      </c>
      <c r="T7">
        <f>COUNTIFS('[2]Opportunity Pipeline'!$K:$K,"Data Centre",'[2]Opportunity Pipeline'!$Z:$Z,"South")+COUNTIFS('[3]Opportunity Pipeline '!$K:$K,"Data Centre",'[3]Opportunity Pipeline '!$Z:$Z,"South")</f>
        <v>14</v>
      </c>
    </row>
    <row r="8" spans="1:25" x14ac:dyDescent="0.3">
      <c r="A8" s="16">
        <v>6</v>
      </c>
      <c r="B8" s="17" t="s">
        <v>115</v>
      </c>
      <c r="C8" s="18" t="s">
        <v>80</v>
      </c>
      <c r="D8" s="19" t="s">
        <v>30</v>
      </c>
      <c r="E8" t="s">
        <v>117</v>
      </c>
      <c r="F8" s="25">
        <f>SUMIFS('[2]Opportunity Pipeline'!$O:$O,'[2]Opportunity Pipeline'!$K:$K,"Data Centre",'[2]Opportunity Pipeline'!$Z:$Z,"Geo X")/10^7</f>
        <v>0</v>
      </c>
      <c r="G8" t="str">
        <f t="shared" si="0"/>
        <v>-</v>
      </c>
      <c r="H8" t="s">
        <v>117</v>
      </c>
      <c r="I8" s="25">
        <f>SUMIFS('[3]Opportunity Pipeline '!$O:$O,'[3]Opportunity Pipeline '!$K:$K,"Data Centre",'[3]Opportunity Pipeline '!$Z:$Z,"GeoX")/10^7</f>
        <v>0.2751208</v>
      </c>
      <c r="J8" t="str">
        <f t="shared" si="1"/>
        <v>-</v>
      </c>
      <c r="K8" t="s">
        <v>117</v>
      </c>
      <c r="L8" s="25">
        <f t="shared" si="2"/>
        <v>0.2751208</v>
      </c>
      <c r="M8" t="str">
        <f t="shared" si="3"/>
        <v>-</v>
      </c>
      <c r="N8" t="s">
        <v>117</v>
      </c>
      <c r="O8" t="s">
        <v>117</v>
      </c>
      <c r="P8" t="s">
        <v>117</v>
      </c>
      <c r="Q8">
        <v>10</v>
      </c>
      <c r="R8" s="25">
        <f t="shared" si="4"/>
        <v>0.2751208</v>
      </c>
      <c r="S8" s="26">
        <f t="shared" si="5"/>
        <v>2.7512080000000001E-2</v>
      </c>
      <c r="T8">
        <f>COUNTIFS('[2]Opportunity Pipeline'!$K:$K,"Data Centre",'[2]Opportunity Pipeline'!$Z:$Z,"Geo X")+COUNTIFS('[3]Opportunity Pipeline '!$K:$K,"Data Centre",'[3]Opportunity Pipeline '!$Z:$Z,"GeoX")</f>
        <v>2</v>
      </c>
    </row>
    <row r="9" spans="1:25" x14ac:dyDescent="0.3">
      <c r="A9" s="48"/>
      <c r="B9" s="48" t="s">
        <v>116</v>
      </c>
      <c r="C9" s="48"/>
      <c r="D9" s="48"/>
      <c r="E9" s="49" t="s">
        <v>117</v>
      </c>
      <c r="F9" s="50">
        <f>SUM(F3:F8)</f>
        <v>32.996175751999999</v>
      </c>
      <c r="G9" s="49" t="str">
        <f t="shared" si="0"/>
        <v>-</v>
      </c>
      <c r="H9" s="49" t="s">
        <v>117</v>
      </c>
      <c r="I9" s="50">
        <f>SUM(I3:I8)</f>
        <v>60.704549224000004</v>
      </c>
      <c r="J9" s="49" t="str">
        <f t="shared" si="1"/>
        <v>-</v>
      </c>
      <c r="K9" s="49" t="s">
        <v>117</v>
      </c>
      <c r="L9" s="50">
        <f>SUM(L3:L8)</f>
        <v>93.700724975999989</v>
      </c>
      <c r="M9" s="49" t="str">
        <f t="shared" si="3"/>
        <v>-</v>
      </c>
      <c r="N9" s="49" t="s">
        <v>117</v>
      </c>
      <c r="O9" s="49" t="s">
        <v>117</v>
      </c>
      <c r="P9" s="49" t="s">
        <v>117</v>
      </c>
      <c r="Q9" s="49">
        <f>SUM(Q3:Q8)</f>
        <v>755</v>
      </c>
      <c r="R9" s="50">
        <f>SUM(R3:R8)</f>
        <v>93.700724975999989</v>
      </c>
      <c r="S9" s="52">
        <f>IFERROR(R9/Q9,"-")</f>
        <v>0.12410692049801324</v>
      </c>
      <c r="T9" s="49">
        <f>SUM(T3:T8)</f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4E34C-61A4-4FD9-A016-81947679C928}">
  <dimension ref="A1:Y9"/>
  <sheetViews>
    <sheetView workbookViewId="0">
      <selection activeCell="F8" sqref="F8"/>
    </sheetView>
  </sheetViews>
  <sheetFormatPr defaultRowHeight="14.4" x14ac:dyDescent="0.3"/>
  <cols>
    <col min="21" max="25" width="0" hidden="1" customWidth="1"/>
  </cols>
  <sheetData>
    <row r="1" spans="1:25" ht="27.75" customHeight="1" x14ac:dyDescent="0.3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9.6" customHeight="1" x14ac:dyDescent="0.3">
      <c r="A2" s="2" t="s">
        <v>1</v>
      </c>
      <c r="B2" s="2" t="s">
        <v>112</v>
      </c>
      <c r="C2" s="2" t="s">
        <v>3</v>
      </c>
      <c r="D2" s="2" t="s">
        <v>4</v>
      </c>
      <c r="E2" s="2" t="s">
        <v>6</v>
      </c>
      <c r="F2" s="2" t="s">
        <v>7</v>
      </c>
      <c r="G2" s="2" t="s">
        <v>113</v>
      </c>
      <c r="H2" s="2" t="s">
        <v>9</v>
      </c>
      <c r="I2" s="2" t="s">
        <v>10</v>
      </c>
      <c r="J2" s="2" t="s">
        <v>114</v>
      </c>
      <c r="K2" s="2" t="s">
        <v>12</v>
      </c>
      <c r="L2" s="2" t="s">
        <v>13</v>
      </c>
      <c r="M2" s="15" t="s">
        <v>14</v>
      </c>
      <c r="N2" s="2" t="s">
        <v>15</v>
      </c>
      <c r="O2" s="2" t="s">
        <v>16</v>
      </c>
      <c r="P2" s="15" t="s">
        <v>17</v>
      </c>
      <c r="Q2" s="15" t="s">
        <v>18</v>
      </c>
      <c r="R2" s="2" t="s">
        <v>19</v>
      </c>
      <c r="S2" s="2" t="s">
        <v>20</v>
      </c>
      <c r="T2" s="2" t="s">
        <v>21</v>
      </c>
      <c r="U2" s="10" t="s">
        <v>22</v>
      </c>
      <c r="V2" s="10" t="s">
        <v>23</v>
      </c>
      <c r="W2" s="10" t="s">
        <v>24</v>
      </c>
      <c r="X2" s="10" t="s">
        <v>25</v>
      </c>
      <c r="Y2" s="10" t="s">
        <v>26</v>
      </c>
    </row>
    <row r="3" spans="1:25" x14ac:dyDescent="0.3">
      <c r="A3" s="16">
        <v>1</v>
      </c>
      <c r="B3" s="17" t="s">
        <v>103</v>
      </c>
      <c r="C3" s="18" t="s">
        <v>29</v>
      </c>
      <c r="D3" s="19" t="s">
        <v>30</v>
      </c>
      <c r="E3" t="s">
        <v>117</v>
      </c>
      <c r="F3" s="25">
        <f>SUMIFS('[2]Opportunity Pipeline'!$O:$O,'[2]Opportunity Pipeline'!$K:$K,"Cyber Security &amp; Networking",'[2]Opportunity Pipeline'!$Z:$Z,"S1")/10^7</f>
        <v>11.430924178</v>
      </c>
      <c r="G3" t="str">
        <f>IFERROR(F3/E3,"-")</f>
        <v>-</v>
      </c>
      <c r="H3" t="s">
        <v>117</v>
      </c>
      <c r="I3" s="25">
        <f>SUMIFS('[3]Opportunity Pipeline '!$O:$O,'[3]Opportunity Pipeline '!$K:$K,"Cyber Security &amp; Networking",'[3]Opportunity Pipeline '!$Z:$Z,"S1")/10^7</f>
        <v>3.4229099999999999</v>
      </c>
      <c r="J3" t="str">
        <f>IFERROR(I3/H3,"-")</f>
        <v>-</v>
      </c>
      <c r="K3" t="s">
        <v>117</v>
      </c>
      <c r="L3" s="25">
        <f>SUM(F3,I3)</f>
        <v>14.853834178</v>
      </c>
      <c r="M3" t="str">
        <f>IFERROR(L3/K3,"-")</f>
        <v>-</v>
      </c>
      <c r="N3" t="s">
        <v>117</v>
      </c>
      <c r="O3" t="s">
        <v>117</v>
      </c>
      <c r="P3" t="s">
        <v>117</v>
      </c>
      <c r="Q3">
        <v>90</v>
      </c>
      <c r="R3" s="25">
        <f>SUM(L3,O3)</f>
        <v>14.853834178</v>
      </c>
      <c r="S3" s="26">
        <f>IFERROR(R3/Q3,"-")</f>
        <v>0.16504260197777779</v>
      </c>
      <c r="T3">
        <f>COUNTIFS('[2]Opportunity Pipeline'!$K:$K,"Cyber Security &amp; Networking",'[2]Opportunity Pipeline'!$Z:$Z,"S1")+COUNTIFS('[3]Opportunity Pipeline '!$K:$K,"Cyber Security &amp; Networking",'[3]Opportunity Pipeline '!$Z:$Z,"S1")</f>
        <v>20</v>
      </c>
    </row>
    <row r="4" spans="1:25" x14ac:dyDescent="0.3">
      <c r="A4" s="16">
        <v>2</v>
      </c>
      <c r="B4" s="17" t="s">
        <v>104</v>
      </c>
      <c r="C4" s="18" t="s">
        <v>41</v>
      </c>
      <c r="D4" s="19" t="s">
        <v>30</v>
      </c>
      <c r="E4" t="s">
        <v>117</v>
      </c>
      <c r="F4" s="25">
        <f>SUMIFS('[2]Opportunity Pipeline'!$O:$O,'[2]Opportunity Pipeline'!$K:$K,"Cyber Security &amp; Networking",'[2]Opportunity Pipeline'!$Z:$Z,"S2")/10^7</f>
        <v>1.9310274550000002</v>
      </c>
      <c r="G4" t="str">
        <f t="shared" ref="G4:G9" si="0">IFERROR(F4/E4,"-")</f>
        <v>-</v>
      </c>
      <c r="H4" t="s">
        <v>117</v>
      </c>
      <c r="I4" s="25">
        <f>SUMIFS('[3]Opportunity Pipeline '!$O:$O,'[3]Opportunity Pipeline '!$K:$K,"Cyber Security &amp; Networking",'[3]Opportunity Pipeline '!$Z:$Z,"S2")/10^7</f>
        <v>7.926443033</v>
      </c>
      <c r="J4" t="str">
        <f t="shared" ref="J4:J9" si="1">IFERROR(I4/H4,"-")</f>
        <v>-</v>
      </c>
      <c r="K4" t="s">
        <v>117</v>
      </c>
      <c r="L4" s="25">
        <f t="shared" ref="L4:L8" si="2">SUM(F4,I4)</f>
        <v>9.8574704880000006</v>
      </c>
      <c r="M4" t="str">
        <f t="shared" ref="M4:M9" si="3">IFERROR(L4/K4,"-")</f>
        <v>-</v>
      </c>
      <c r="N4" t="s">
        <v>117</v>
      </c>
      <c r="O4" t="s">
        <v>117</v>
      </c>
      <c r="P4" t="s">
        <v>117</v>
      </c>
      <c r="Q4">
        <v>30</v>
      </c>
      <c r="R4" s="25">
        <f t="shared" ref="R4:R8" si="4">SUM(L4,O4)</f>
        <v>9.8574704880000006</v>
      </c>
      <c r="S4" s="26">
        <f>IFERROR(R4/Q4,"-")</f>
        <v>0.32858234960000005</v>
      </c>
      <c r="T4">
        <f>COUNTIFS('[2]Opportunity Pipeline'!$K:$K,"Cyber Security &amp; Networking",'[2]Opportunity Pipeline'!$Z:$Z,"S2")+COUNTIFS('[3]Opportunity Pipeline '!$K:$K,"Cyber Security &amp; Networking",'[3]Opportunity Pipeline '!$Z:$Z,"S2")</f>
        <v>21</v>
      </c>
    </row>
    <row r="5" spans="1:25" x14ac:dyDescent="0.3">
      <c r="A5" s="16">
        <v>3</v>
      </c>
      <c r="B5" s="17" t="s">
        <v>105</v>
      </c>
      <c r="C5" s="18" t="s">
        <v>50</v>
      </c>
      <c r="D5" s="19" t="s">
        <v>30</v>
      </c>
      <c r="E5" t="s">
        <v>117</v>
      </c>
      <c r="F5" s="25">
        <f>SUMIFS('[2]Opportunity Pipeline'!$O:$O,'[2]Opportunity Pipeline'!$K:$K,"Cyber Security &amp; Networking",'[2]Opportunity Pipeline'!$Z:$Z,"CB")/10^7</f>
        <v>5.8855196000000003</v>
      </c>
      <c r="G5" t="str">
        <f t="shared" si="0"/>
        <v>-</v>
      </c>
      <c r="H5" t="s">
        <v>117</v>
      </c>
      <c r="I5" s="25">
        <f>SUMIFS('[3]Opportunity Pipeline '!$O:$O,'[3]Opportunity Pipeline '!$K:$K,"Cyber Security &amp; Networking",'[3]Opportunity Pipeline '!$Z:$Z,"CB")/10^7</f>
        <v>3.1E-2</v>
      </c>
      <c r="J5" t="str">
        <f t="shared" si="1"/>
        <v>-</v>
      </c>
      <c r="K5" t="s">
        <v>117</v>
      </c>
      <c r="L5" s="25">
        <f t="shared" si="2"/>
        <v>5.9165196</v>
      </c>
      <c r="M5" t="str">
        <f t="shared" si="3"/>
        <v>-</v>
      </c>
      <c r="N5" t="s">
        <v>117</v>
      </c>
      <c r="O5" t="s">
        <v>117</v>
      </c>
      <c r="P5" t="s">
        <v>117</v>
      </c>
      <c r="Q5">
        <v>24</v>
      </c>
      <c r="R5" s="25">
        <f t="shared" si="4"/>
        <v>5.9165196</v>
      </c>
      <c r="S5" s="26">
        <f t="shared" ref="S5:S8" si="5">IFERROR(R5/Q5,"-")</f>
        <v>0.24652165000000001</v>
      </c>
      <c r="T5">
        <f>COUNTIFS('[2]Opportunity Pipeline'!$K:$K,"Cyber Security &amp; Networking",'[2]Opportunity Pipeline'!$Z:$Z,"CB")+COUNTIFS('[3]Opportunity Pipeline '!$K:$K,"Cyber Security &amp; Networking",'[3]Opportunity Pipeline '!$Z:$Z,"CB")</f>
        <v>7</v>
      </c>
    </row>
    <row r="6" spans="1:25" x14ac:dyDescent="0.3">
      <c r="A6" s="16">
        <v>4</v>
      </c>
      <c r="B6" s="17" t="s">
        <v>106</v>
      </c>
      <c r="C6" s="18" t="s">
        <v>58</v>
      </c>
      <c r="D6" s="19" t="s">
        <v>30</v>
      </c>
      <c r="E6" t="s">
        <v>117</v>
      </c>
      <c r="F6" s="25">
        <f>SUMIFS('[2]Opportunity Pipeline'!$O:$O,'[2]Opportunity Pipeline'!$K:$K,"Cyber Security &amp; Networking",'[2]Opportunity Pipeline'!$Z:$Z,"GB")/10^7</f>
        <v>5.6325778609999997</v>
      </c>
      <c r="G6" t="str">
        <f t="shared" si="0"/>
        <v>-</v>
      </c>
      <c r="H6" t="s">
        <v>117</v>
      </c>
      <c r="I6" s="25">
        <f>SUMIFS('[3]Opportunity Pipeline '!$O:$O,'[3]Opportunity Pipeline '!$K:$K,"Cyber Security &amp; Networking",'[3]Opportunity Pipeline '!$Z:$Z,"GB")/10^7</f>
        <v>1.2569718999999999</v>
      </c>
      <c r="J6" t="str">
        <f t="shared" si="1"/>
        <v>-</v>
      </c>
      <c r="K6" t="s">
        <v>117</v>
      </c>
      <c r="L6" s="25">
        <f t="shared" si="2"/>
        <v>6.8895497609999996</v>
      </c>
      <c r="M6" t="str">
        <f t="shared" si="3"/>
        <v>-</v>
      </c>
      <c r="N6" t="s">
        <v>117</v>
      </c>
      <c r="O6" t="s">
        <v>117</v>
      </c>
      <c r="P6" t="s">
        <v>117</v>
      </c>
      <c r="Q6">
        <v>20</v>
      </c>
      <c r="R6" s="25">
        <f t="shared" si="4"/>
        <v>6.8895497609999996</v>
      </c>
      <c r="S6" s="26">
        <f t="shared" si="5"/>
        <v>0.34447748805</v>
      </c>
      <c r="T6">
        <f>COUNTIFS('[2]Opportunity Pipeline'!$K:$K,"Cyber Security &amp; Networking",'[2]Opportunity Pipeline'!$Z:$Z,"GB")+COUNTIFS('[3]Opportunity Pipeline '!$K:$K,"Cyber Security &amp; Networking",'[3]Opportunity Pipeline '!$Z:$Z,"GB")</f>
        <v>27</v>
      </c>
    </row>
    <row r="7" spans="1:25" x14ac:dyDescent="0.3">
      <c r="A7" s="16">
        <v>5</v>
      </c>
      <c r="B7" s="17" t="s">
        <v>107</v>
      </c>
      <c r="C7" s="18" t="s">
        <v>73</v>
      </c>
      <c r="D7" s="19" t="s">
        <v>30</v>
      </c>
      <c r="E7" t="s">
        <v>117</v>
      </c>
      <c r="F7" s="25">
        <f>SUMIFS('[2]Opportunity Pipeline'!$O:$O,'[2]Opportunity Pipeline'!$K:$K,"Cyber Security &amp; Networking",'[2]Opportunity Pipeline'!$Z:$Z,"South")/10^7</f>
        <v>0.54564550000000001</v>
      </c>
      <c r="G7" t="str">
        <f t="shared" si="0"/>
        <v>-</v>
      </c>
      <c r="H7" t="s">
        <v>117</v>
      </c>
      <c r="I7" s="25">
        <f>SUMIFS('[3]Opportunity Pipeline '!$O:$O,'[3]Opportunity Pipeline '!$K:$K,"Cyber Security &amp; Networking",'[3]Opportunity Pipeline '!$Z:$Z,"South")/10^7</f>
        <v>0.17693639999999999</v>
      </c>
      <c r="J7" t="str">
        <f t="shared" si="1"/>
        <v>-</v>
      </c>
      <c r="K7" t="s">
        <v>117</v>
      </c>
      <c r="L7" s="25">
        <f t="shared" si="2"/>
        <v>0.7225819</v>
      </c>
      <c r="M7" t="str">
        <f t="shared" si="3"/>
        <v>-</v>
      </c>
      <c r="N7" t="s">
        <v>117</v>
      </c>
      <c r="O7" t="s">
        <v>117</v>
      </c>
      <c r="P7" t="s">
        <v>117</v>
      </c>
      <c r="Q7">
        <v>1</v>
      </c>
      <c r="R7" s="25">
        <f t="shared" si="4"/>
        <v>0.7225819</v>
      </c>
      <c r="S7" s="26">
        <f t="shared" si="5"/>
        <v>0.7225819</v>
      </c>
      <c r="T7">
        <f>COUNTIFS('[2]Opportunity Pipeline'!$K:$K,"Cyber Security &amp; Networking",'[2]Opportunity Pipeline'!$Z:$Z,"South")+COUNTIFS('[3]Opportunity Pipeline '!$K:$K,"Cyber Security &amp; Networking",'[3]Opportunity Pipeline '!$Z:$Z,"South")</f>
        <v>24</v>
      </c>
    </row>
    <row r="8" spans="1:25" x14ac:dyDescent="0.3">
      <c r="A8" s="16">
        <v>6</v>
      </c>
      <c r="B8" s="17" t="s">
        <v>115</v>
      </c>
      <c r="C8" s="18" t="s">
        <v>80</v>
      </c>
      <c r="D8" s="19" t="s">
        <v>30</v>
      </c>
      <c r="E8" t="s">
        <v>117</v>
      </c>
      <c r="F8" s="25">
        <f>SUMIFS('[2]Opportunity Pipeline'!$O:$O,'[2]Opportunity Pipeline'!$K:$K,"Cyber Security &amp; Networking",'[2]Opportunity Pipeline'!$Z:$Z,"Geo X")/10^7</f>
        <v>1.7841852</v>
      </c>
      <c r="G8" t="str">
        <f t="shared" si="0"/>
        <v>-</v>
      </c>
      <c r="H8" t="s">
        <v>117</v>
      </c>
      <c r="I8" s="25">
        <f>SUMIFS('[3]Opportunity Pipeline '!$O:$O,'[3]Opportunity Pipeline '!$K:$K,"Cyber Security &amp; Networking",'[3]Opportunity Pipeline '!$Z:$Z,"GeoX")/10^7</f>
        <v>0</v>
      </c>
      <c r="J8" t="str">
        <f t="shared" si="1"/>
        <v>-</v>
      </c>
      <c r="K8" t="s">
        <v>117</v>
      </c>
      <c r="L8" s="25">
        <f t="shared" si="2"/>
        <v>1.7841852</v>
      </c>
      <c r="M8" t="str">
        <f t="shared" si="3"/>
        <v>-</v>
      </c>
      <c r="N8" t="s">
        <v>117</v>
      </c>
      <c r="O8" t="s">
        <v>117</v>
      </c>
      <c r="P8" t="s">
        <v>117</v>
      </c>
      <c r="Q8">
        <v>20</v>
      </c>
      <c r="R8" s="25">
        <f t="shared" si="4"/>
        <v>1.7841852</v>
      </c>
      <c r="S8" s="26">
        <f t="shared" si="5"/>
        <v>8.9209259999999999E-2</v>
      </c>
      <c r="T8">
        <f>COUNTIFS('[2]Opportunity Pipeline'!$K:$K,"Cyber Security &amp; Networking",'[2]Opportunity Pipeline'!$Z:$Z,"Geo X")+COUNTIFS('[3]Opportunity Pipeline '!$K:$K,"Cyber Security &amp; Networking",'[3]Opportunity Pipeline '!$Z:$Z,"Geox")</f>
        <v>7</v>
      </c>
    </row>
    <row r="9" spans="1:25" x14ac:dyDescent="0.3">
      <c r="A9" s="48"/>
      <c r="B9" s="48" t="s">
        <v>116</v>
      </c>
      <c r="C9" s="48"/>
      <c r="D9" s="48"/>
      <c r="E9" s="49" t="s">
        <v>117</v>
      </c>
      <c r="F9" s="50">
        <f>SUM(F3:F8)</f>
        <v>27.209879793999999</v>
      </c>
      <c r="G9" s="49" t="str">
        <f t="shared" si="0"/>
        <v>-</v>
      </c>
      <c r="H9" s="49" t="s">
        <v>117</v>
      </c>
      <c r="I9" s="50">
        <f>SUM(I3:I8)</f>
        <v>12.814261333000001</v>
      </c>
      <c r="J9" s="49" t="str">
        <f t="shared" si="1"/>
        <v>-</v>
      </c>
      <c r="K9" s="49" t="s">
        <v>117</v>
      </c>
      <c r="L9" s="50">
        <f>SUM(L3:L8)</f>
        <v>40.024141127000007</v>
      </c>
      <c r="M9" s="49" t="str">
        <f t="shared" si="3"/>
        <v>-</v>
      </c>
      <c r="N9" s="49" t="s">
        <v>117</v>
      </c>
      <c r="O9" s="49" t="s">
        <v>117</v>
      </c>
      <c r="P9" s="49" t="s">
        <v>117</v>
      </c>
      <c r="Q9" s="49">
        <f>SUM(Q3:Q8)</f>
        <v>185</v>
      </c>
      <c r="R9" s="50">
        <f>SUM(R3:R8)</f>
        <v>40.024141127000007</v>
      </c>
      <c r="S9" s="52">
        <f>IFERROR(R9/Q9,"-")</f>
        <v>0.21634670879459464</v>
      </c>
      <c r="T9" s="49">
        <f>SUM(T3:T8)</f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F0D0D-6A28-4FB9-A9C9-36B00DE4B3CA}">
  <dimension ref="A1:Y9"/>
  <sheetViews>
    <sheetView workbookViewId="0">
      <selection activeCell="I8" sqref="I8"/>
    </sheetView>
  </sheetViews>
  <sheetFormatPr defaultRowHeight="14.4" x14ac:dyDescent="0.3"/>
  <cols>
    <col min="21" max="25" width="0" hidden="1" customWidth="1"/>
  </cols>
  <sheetData>
    <row r="1" spans="1:25" ht="27.75" customHeight="1" x14ac:dyDescent="0.3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9.6" customHeight="1" x14ac:dyDescent="0.3">
      <c r="A2" s="2" t="s">
        <v>1</v>
      </c>
      <c r="B2" s="2" t="s">
        <v>112</v>
      </c>
      <c r="C2" s="2" t="s">
        <v>3</v>
      </c>
      <c r="D2" s="2" t="s">
        <v>4</v>
      </c>
      <c r="E2" s="2" t="s">
        <v>6</v>
      </c>
      <c r="F2" s="2" t="s">
        <v>7</v>
      </c>
      <c r="G2" s="2" t="s">
        <v>113</v>
      </c>
      <c r="H2" s="2" t="s">
        <v>9</v>
      </c>
      <c r="I2" s="2" t="s">
        <v>10</v>
      </c>
      <c r="J2" s="2" t="s">
        <v>114</v>
      </c>
      <c r="K2" s="2" t="s">
        <v>12</v>
      </c>
      <c r="L2" s="2" t="s">
        <v>13</v>
      </c>
      <c r="M2" s="15" t="s">
        <v>14</v>
      </c>
      <c r="N2" s="2" t="s">
        <v>15</v>
      </c>
      <c r="O2" s="2" t="s">
        <v>16</v>
      </c>
      <c r="P2" s="15" t="s">
        <v>17</v>
      </c>
      <c r="Q2" s="15" t="s">
        <v>18</v>
      </c>
      <c r="R2" s="2" t="s">
        <v>19</v>
      </c>
      <c r="S2" s="2" t="s">
        <v>20</v>
      </c>
      <c r="T2" s="2" t="s">
        <v>21</v>
      </c>
      <c r="U2" s="10" t="s">
        <v>22</v>
      </c>
      <c r="V2" s="10" t="s">
        <v>23</v>
      </c>
      <c r="W2" s="10" t="s">
        <v>24</v>
      </c>
      <c r="X2" s="10" t="s">
        <v>25</v>
      </c>
      <c r="Y2" s="10" t="s">
        <v>26</v>
      </c>
    </row>
    <row r="3" spans="1:25" x14ac:dyDescent="0.3">
      <c r="A3" s="16">
        <v>1</v>
      </c>
      <c r="B3" s="17" t="s">
        <v>103</v>
      </c>
      <c r="C3" s="18" t="s">
        <v>29</v>
      </c>
      <c r="D3" s="19" t="s">
        <v>30</v>
      </c>
      <c r="E3" t="s">
        <v>117</v>
      </c>
      <c r="F3" s="25">
        <f>SUMIFS('[2]Opportunity Pipeline'!$O:$O,'[2]Opportunity Pipeline'!$K:$K,"Professional Services",'[2]Opportunity Pipeline'!$Z:$Z,"S1")/10^7</f>
        <v>1.5529837</v>
      </c>
      <c r="G3" t="s">
        <v>117</v>
      </c>
      <c r="H3" t="s">
        <v>117</v>
      </c>
      <c r="I3" s="25">
        <f>SUMIFS('[3]Opportunity Pipeline '!$O:$O,'[3]Opportunity Pipeline '!$K:$K,"Professional Services",'[3]Opportunity Pipeline '!$Z:$Z,"S1")/10^7</f>
        <v>0.104</v>
      </c>
      <c r="J3" t="s">
        <v>117</v>
      </c>
      <c r="K3" t="s">
        <v>117</v>
      </c>
      <c r="L3" s="25">
        <f>SUM(F3,I3)</f>
        <v>1.6569837000000001</v>
      </c>
      <c r="M3" t="s">
        <v>117</v>
      </c>
      <c r="N3" t="s">
        <v>117</v>
      </c>
      <c r="O3" t="s">
        <v>117</v>
      </c>
      <c r="P3" t="s">
        <v>117</v>
      </c>
      <c r="Q3">
        <v>2</v>
      </c>
      <c r="R3" s="25">
        <f>SUM(L3,O3)</f>
        <v>1.6569837000000001</v>
      </c>
      <c r="S3" s="26">
        <f>IFERROR(R3/Q3,"-")</f>
        <v>0.82849185000000003</v>
      </c>
      <c r="T3">
        <f>COUNTIFS('[2]Opportunity Pipeline'!$K:$K,"Professional Services",'[2]Opportunity Pipeline'!$Z:$Z,"S1")+COUNTIFS('[3]Opportunity Pipeline '!$K:$K,"Professional Services",'[3]Opportunity Pipeline '!$Z:$Z,"S1")</f>
        <v>7</v>
      </c>
    </row>
    <row r="4" spans="1:25" x14ac:dyDescent="0.3">
      <c r="A4" s="16">
        <v>2</v>
      </c>
      <c r="B4" s="17" t="s">
        <v>104</v>
      </c>
      <c r="C4" s="18" t="s">
        <v>41</v>
      </c>
      <c r="D4" s="19" t="s">
        <v>30</v>
      </c>
      <c r="E4" t="s">
        <v>117</v>
      </c>
      <c r="F4" s="25">
        <f>SUMIFS('[2]Opportunity Pipeline'!$O:$O,'[2]Opportunity Pipeline'!$K:$K,"Professional Services",'[2]Opportunity Pipeline'!$Z:$Z,"S2")/10^7</f>
        <v>7.1341840000000003</v>
      </c>
      <c r="G4" t="s">
        <v>117</v>
      </c>
      <c r="H4" t="s">
        <v>117</v>
      </c>
      <c r="I4" s="25">
        <f>SUMIFS('[3]Opportunity Pipeline '!$O:$O,'[3]Opportunity Pipeline '!$K:$K,"Professional Services",'[3]Opportunity Pipeline '!$Z:$Z,"S2")/10^7</f>
        <v>0.49</v>
      </c>
      <c r="J4" t="s">
        <v>117</v>
      </c>
      <c r="K4" t="s">
        <v>117</v>
      </c>
      <c r="L4" s="25">
        <f t="shared" ref="L4:L8" si="0">SUM(F4,I4)</f>
        <v>7.6241840000000005</v>
      </c>
      <c r="M4" t="s">
        <v>117</v>
      </c>
      <c r="N4" t="s">
        <v>117</v>
      </c>
      <c r="O4" t="s">
        <v>117</v>
      </c>
      <c r="P4" t="s">
        <v>117</v>
      </c>
      <c r="Q4">
        <v>3</v>
      </c>
      <c r="R4" s="25">
        <f t="shared" ref="R4:R8" si="1">SUM(L4,O4)</f>
        <v>7.6241840000000005</v>
      </c>
      <c r="S4" s="26">
        <f>IFERROR(R4/Q4,"-")</f>
        <v>2.5413946666666667</v>
      </c>
      <c r="T4">
        <f>COUNTIFS('[2]Opportunity Pipeline'!$K:$K,"Professional Services",'[2]Opportunity Pipeline'!$Z:$Z,"S2")+COUNTIFS('[3]Opportunity Pipeline '!$K:$K,"Professional Services",'[3]Opportunity Pipeline '!$Z:$Z,"S2")</f>
        <v>4</v>
      </c>
    </row>
    <row r="5" spans="1:25" x14ac:dyDescent="0.3">
      <c r="A5" s="16">
        <v>3</v>
      </c>
      <c r="B5" s="17" t="s">
        <v>105</v>
      </c>
      <c r="C5" s="18" t="s">
        <v>50</v>
      </c>
      <c r="D5" s="19" t="s">
        <v>30</v>
      </c>
      <c r="E5" t="s">
        <v>117</v>
      </c>
      <c r="F5" s="25">
        <f>SUMIFS('[2]Opportunity Pipeline'!$O:$O,'[2]Opportunity Pipeline'!$K:$K,"Professional Services",'[2]Opportunity Pipeline'!$Z:$Z,"CB")/10^7</f>
        <v>0</v>
      </c>
      <c r="G5" t="s">
        <v>117</v>
      </c>
      <c r="H5" t="s">
        <v>117</v>
      </c>
      <c r="I5" s="25">
        <f>SUMIFS('[3]Opportunity Pipeline '!$O:$O,'[3]Opportunity Pipeline '!$K:$K,"Professional Services",'[3]Opportunity Pipeline '!$Z:$Z,"CB")/10^7</f>
        <v>0</v>
      </c>
      <c r="J5" t="s">
        <v>117</v>
      </c>
      <c r="K5" t="s">
        <v>117</v>
      </c>
      <c r="L5" s="25">
        <f t="shared" si="0"/>
        <v>0</v>
      </c>
      <c r="M5" t="s">
        <v>117</v>
      </c>
      <c r="N5" t="s">
        <v>117</v>
      </c>
      <c r="O5" t="s">
        <v>117</v>
      </c>
      <c r="P5" t="s">
        <v>117</v>
      </c>
      <c r="Q5">
        <v>10</v>
      </c>
      <c r="R5" s="25">
        <f t="shared" si="1"/>
        <v>0</v>
      </c>
      <c r="S5" s="26">
        <f t="shared" ref="S5:S8" si="2">IFERROR(R5/Q5,"-")</f>
        <v>0</v>
      </c>
      <c r="T5">
        <f>COUNTIFS('[2]Opportunity Pipeline'!$K:$K,"Professional Services",'[2]Opportunity Pipeline'!$Z:$Z,"CB")+COUNTIFS('[3]Opportunity Pipeline '!$K:$K,"Professional Services",'[3]Opportunity Pipeline '!$Z:$Z,"CB")</f>
        <v>0</v>
      </c>
    </row>
    <row r="6" spans="1:25" x14ac:dyDescent="0.3">
      <c r="A6" s="16">
        <v>4</v>
      </c>
      <c r="B6" s="17" t="s">
        <v>106</v>
      </c>
      <c r="C6" s="18" t="s">
        <v>58</v>
      </c>
      <c r="D6" s="19" t="s">
        <v>30</v>
      </c>
      <c r="E6" t="s">
        <v>117</v>
      </c>
      <c r="F6" s="25">
        <f>SUMIFS('[2]Opportunity Pipeline'!$O:$O,'[2]Opportunity Pipeline'!$K:$K,"Professional Services",'[2]Opportunity Pipeline'!$Z:$Z,"GB")/10^7</f>
        <v>0.28294595699999997</v>
      </c>
      <c r="G6" t="s">
        <v>117</v>
      </c>
      <c r="H6" t="s">
        <v>117</v>
      </c>
      <c r="I6" s="25">
        <f>SUMIFS('[3]Opportunity Pipeline '!$O:$O,'[3]Opportunity Pipeline '!$K:$K,"Professional Services",'[3]Opportunity Pipeline '!$Z:$Z,"GB")/10^7</f>
        <v>8.3002999999999993E-2</v>
      </c>
      <c r="J6" t="s">
        <v>117</v>
      </c>
      <c r="K6" t="s">
        <v>117</v>
      </c>
      <c r="L6" s="25">
        <f t="shared" si="0"/>
        <v>0.36594895699999996</v>
      </c>
      <c r="M6" t="s">
        <v>117</v>
      </c>
      <c r="N6" t="s">
        <v>117</v>
      </c>
      <c r="O6" t="s">
        <v>117</v>
      </c>
      <c r="P6" t="s">
        <v>117</v>
      </c>
      <c r="Q6">
        <v>5</v>
      </c>
      <c r="R6" s="25">
        <f t="shared" si="1"/>
        <v>0.36594895699999996</v>
      </c>
      <c r="S6" s="26">
        <f t="shared" si="2"/>
        <v>7.3189791399999996E-2</v>
      </c>
      <c r="T6">
        <f>COUNTIFS('[2]Opportunity Pipeline'!$K:$K,"Professional Services",'[2]Opportunity Pipeline'!$Z:$Z,"GB")+COUNTIFS('[3]Opportunity Pipeline '!$K:$K,"Professional Services",'[3]Opportunity Pipeline '!$Z:$Z,"GB")</f>
        <v>12</v>
      </c>
    </row>
    <row r="7" spans="1:25" x14ac:dyDescent="0.3">
      <c r="A7" s="16">
        <v>5</v>
      </c>
      <c r="B7" s="17" t="s">
        <v>107</v>
      </c>
      <c r="C7" s="18" t="s">
        <v>73</v>
      </c>
      <c r="D7" s="19" t="s">
        <v>30</v>
      </c>
      <c r="E7" t="s">
        <v>117</v>
      </c>
      <c r="F7" s="25">
        <f>SUMIFS('[2]Opportunity Pipeline'!$O:$O,'[2]Opportunity Pipeline'!$K:$K,"Professional Services",'[2]Opportunity Pipeline'!$Z:$Z,"South")/10^7</f>
        <v>0</v>
      </c>
      <c r="G7" t="s">
        <v>117</v>
      </c>
      <c r="H7" t="s">
        <v>117</v>
      </c>
      <c r="I7" s="25">
        <f>SUMIFS('[3]Opportunity Pipeline '!$O:$O,'[3]Opportunity Pipeline '!$K:$K,"Professional Services",'[3]Opportunity Pipeline '!$Z:$Z,"South")/10^7</f>
        <v>0</v>
      </c>
      <c r="J7" t="s">
        <v>117</v>
      </c>
      <c r="K7" t="s">
        <v>117</v>
      </c>
      <c r="L7" s="25">
        <f t="shared" si="0"/>
        <v>0</v>
      </c>
      <c r="M7" t="s">
        <v>117</v>
      </c>
      <c r="N7" t="s">
        <v>117</v>
      </c>
      <c r="O7" t="s">
        <v>117</v>
      </c>
      <c r="P7" t="s">
        <v>117</v>
      </c>
      <c r="Q7">
        <v>1</v>
      </c>
      <c r="R7" s="25">
        <f t="shared" si="1"/>
        <v>0</v>
      </c>
      <c r="S7" s="26">
        <f t="shared" si="2"/>
        <v>0</v>
      </c>
      <c r="T7">
        <f>COUNTIFS('[2]Opportunity Pipeline'!$K:$K,"Professional Services",'[2]Opportunity Pipeline'!$Z:$Z,"South")+COUNTIFS('[3]Opportunity Pipeline '!$K:$K,"Professional Services",'[3]Opportunity Pipeline '!$Z:$Z,"South")</f>
        <v>0</v>
      </c>
    </row>
    <row r="8" spans="1:25" x14ac:dyDescent="0.3">
      <c r="A8" s="16">
        <v>6</v>
      </c>
      <c r="B8" s="17" t="s">
        <v>115</v>
      </c>
      <c r="C8" s="18" t="s">
        <v>80</v>
      </c>
      <c r="D8" s="19" t="s">
        <v>30</v>
      </c>
      <c r="E8" t="s">
        <v>117</v>
      </c>
      <c r="F8" s="25">
        <f>SUMIFS('[2]Opportunity Pipeline'!$O:$O,'[2]Opportunity Pipeline'!$K:$K,"Professional Services",'[2]Opportunity Pipeline'!$Z:$Z,"Geo X")/10^7</f>
        <v>0.50791580000000003</v>
      </c>
      <c r="G8" t="s">
        <v>117</v>
      </c>
      <c r="H8" t="s">
        <v>117</v>
      </c>
      <c r="I8" s="25">
        <f>SUMIFS('[3]Opportunity Pipeline '!$O:$O,'[3]Opportunity Pipeline '!$K:$K,"Professional Services",'[3]Opportunity Pipeline '!$Z:$Z,"GeoX")/10^7</f>
        <v>3.8729E-2</v>
      </c>
      <c r="J8" t="s">
        <v>117</v>
      </c>
      <c r="K8" t="s">
        <v>117</v>
      </c>
      <c r="L8" s="25">
        <f t="shared" si="0"/>
        <v>0.54664480000000004</v>
      </c>
      <c r="M8" t="s">
        <v>117</v>
      </c>
      <c r="N8" t="s">
        <v>117</v>
      </c>
      <c r="O8" t="s">
        <v>117</v>
      </c>
      <c r="P8" t="s">
        <v>117</v>
      </c>
      <c r="Q8">
        <v>5</v>
      </c>
      <c r="R8" s="25">
        <f t="shared" si="1"/>
        <v>0.54664480000000004</v>
      </c>
      <c r="S8" s="26">
        <f t="shared" si="2"/>
        <v>0.10932896</v>
      </c>
      <c r="T8">
        <f>COUNTIFS('[2]Opportunity Pipeline'!$K:$K,"Professional Services",'[2]Opportunity Pipeline'!$Z:$Z,"Geo X")+COUNTIFS('[3]Opportunity Pipeline '!$K:$K,"Professional Services",'[3]Opportunity Pipeline '!$Z:$Z,"Geox")</f>
        <v>6</v>
      </c>
    </row>
    <row r="9" spans="1:25" x14ac:dyDescent="0.3">
      <c r="A9" s="48"/>
      <c r="B9" s="48" t="s">
        <v>116</v>
      </c>
      <c r="C9" s="48"/>
      <c r="D9" s="48"/>
      <c r="E9" s="49" t="s">
        <v>117</v>
      </c>
      <c r="F9" s="50">
        <f>SUM(F3:F8)</f>
        <v>9.4780294569999999</v>
      </c>
      <c r="G9" s="49" t="s">
        <v>117</v>
      </c>
      <c r="H9" s="49" t="s">
        <v>117</v>
      </c>
      <c r="I9" s="50">
        <f>SUM(I3:I8)</f>
        <v>0.71573200000000003</v>
      </c>
      <c r="J9" s="49" t="s">
        <v>117</v>
      </c>
      <c r="K9" s="49" t="s">
        <v>117</v>
      </c>
      <c r="L9" s="50">
        <f>SUM(L3:L8)</f>
        <v>10.193761457000001</v>
      </c>
      <c r="M9" s="49" t="s">
        <v>117</v>
      </c>
      <c r="N9" s="49" t="s">
        <v>117</v>
      </c>
      <c r="O9" s="49" t="s">
        <v>117</v>
      </c>
      <c r="P9" s="49" t="s">
        <v>117</v>
      </c>
      <c r="Q9" s="49">
        <f>SUM(Q3:Q8)</f>
        <v>26</v>
      </c>
      <c r="R9" s="50">
        <f>SUM(R3:R8)</f>
        <v>10.193761457000001</v>
      </c>
      <c r="S9" s="52">
        <f>IFERROR(R9/Q9,"-")</f>
        <v>0.39206774834615388</v>
      </c>
      <c r="T9" s="49">
        <f>SUM(T3:T8)</f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F1C81-102B-4A1C-B5C2-76DA85F35D83}">
  <dimension ref="A1:Y10"/>
  <sheetViews>
    <sheetView workbookViewId="0">
      <selection activeCell="I9" sqref="I9"/>
    </sheetView>
  </sheetViews>
  <sheetFormatPr defaultRowHeight="14.4" x14ac:dyDescent="0.3"/>
  <cols>
    <col min="21" max="25" width="0" hidden="1" customWidth="1"/>
  </cols>
  <sheetData>
    <row r="1" spans="1:25" ht="27.75" customHeight="1" x14ac:dyDescent="0.3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9.6" customHeight="1" x14ac:dyDescent="0.3">
      <c r="A2" s="2" t="s">
        <v>1</v>
      </c>
      <c r="B2" s="2" t="s">
        <v>112</v>
      </c>
      <c r="C2" s="2" t="s">
        <v>3</v>
      </c>
      <c r="D2" s="2" t="s">
        <v>4</v>
      </c>
      <c r="E2" s="2" t="s">
        <v>6</v>
      </c>
      <c r="F2" s="2" t="s">
        <v>7</v>
      </c>
      <c r="G2" s="2" t="s">
        <v>113</v>
      </c>
      <c r="H2" s="2" t="s">
        <v>9</v>
      </c>
      <c r="I2" s="2" t="s">
        <v>10</v>
      </c>
      <c r="J2" s="2" t="s">
        <v>114</v>
      </c>
      <c r="K2" s="2" t="s">
        <v>12</v>
      </c>
      <c r="L2" s="2" t="s">
        <v>13</v>
      </c>
      <c r="M2" s="15" t="s">
        <v>14</v>
      </c>
      <c r="N2" s="2" t="s">
        <v>15</v>
      </c>
      <c r="O2" s="2" t="s">
        <v>16</v>
      </c>
      <c r="P2" s="15" t="s">
        <v>17</v>
      </c>
      <c r="Q2" s="15" t="s">
        <v>18</v>
      </c>
      <c r="R2" s="2" t="s">
        <v>19</v>
      </c>
      <c r="S2" s="2" t="s">
        <v>20</v>
      </c>
      <c r="T2" s="2" t="s">
        <v>21</v>
      </c>
      <c r="U2" s="10" t="s">
        <v>22</v>
      </c>
      <c r="V2" s="10" t="s">
        <v>23</v>
      </c>
      <c r="W2" s="10" t="s">
        <v>24</v>
      </c>
      <c r="X2" s="10" t="s">
        <v>25</v>
      </c>
      <c r="Y2" s="10" t="s">
        <v>26</v>
      </c>
    </row>
    <row r="3" spans="1:25" x14ac:dyDescent="0.3">
      <c r="A3" s="16">
        <v>1</v>
      </c>
      <c r="B3" s="17" t="s">
        <v>103</v>
      </c>
      <c r="C3" s="18" t="s">
        <v>29</v>
      </c>
      <c r="D3" s="19" t="s">
        <v>30</v>
      </c>
      <c r="E3" t="s">
        <v>117</v>
      </c>
      <c r="F3" s="25">
        <f>SUMIFS('[2]Opportunity Pipeline'!$O:$O,'[2]Opportunity Pipeline'!$K:$K,"CSG (EndPoint)",'[2]Opportunity Pipeline'!$Z:$Z,"S1")/10^7</f>
        <v>10.894035536000001</v>
      </c>
      <c r="G3" t="s">
        <v>117</v>
      </c>
      <c r="H3" t="s">
        <v>117</v>
      </c>
      <c r="I3" s="25">
        <f>SUMIFS('[3]Opportunity Pipeline '!$O:$O,'[3]Opportunity Pipeline '!$K:$K,"CSG (EndPoint)",'[3]Opportunity Pipeline '!$Z:$Z,"S1")/10^7</f>
        <v>6.5640174149999995</v>
      </c>
      <c r="J3" t="s">
        <v>117</v>
      </c>
      <c r="K3" t="s">
        <v>117</v>
      </c>
      <c r="L3" s="25">
        <f>SUM(F3,I3)</f>
        <v>17.458052950999999</v>
      </c>
      <c r="M3" t="s">
        <v>117</v>
      </c>
      <c r="N3" t="s">
        <v>117</v>
      </c>
      <c r="O3" t="s">
        <v>117</v>
      </c>
      <c r="P3" t="s">
        <v>117</v>
      </c>
      <c r="Q3">
        <v>37</v>
      </c>
      <c r="R3" s="25">
        <f>SUM(L3,O3)</f>
        <v>17.458052950999999</v>
      </c>
      <c r="S3" s="26">
        <f>IFERROR(R3/Q3,"-")</f>
        <v>0.47183926894594591</v>
      </c>
      <c r="T3">
        <f>COUNTIFS('[2]Opportunity Pipeline'!$K:$K,"CSG (Endpoint)",'[2]Opportunity Pipeline'!$Z:$Z,"S1")+COUNTIFS('[3]Opportunity Pipeline '!$K:$K,"CSG (Endpoint)",'[3]Opportunity Pipeline '!$Z:$Z,"S1")</f>
        <v>94</v>
      </c>
    </row>
    <row r="4" spans="1:25" x14ac:dyDescent="0.3">
      <c r="A4" s="16">
        <v>2</v>
      </c>
      <c r="B4" s="17" t="s">
        <v>104</v>
      </c>
      <c r="C4" s="18" t="s">
        <v>41</v>
      </c>
      <c r="D4" s="19" t="s">
        <v>30</v>
      </c>
      <c r="E4" t="s">
        <v>117</v>
      </c>
      <c r="F4" s="25">
        <f>SUMIFS('[2]Opportunity Pipeline'!$O:$O,'[2]Opportunity Pipeline'!$K:$K,"CSG (EndPoint)",'[2]Opportunity Pipeline'!$Z:$Z,"S2")/10^7</f>
        <v>0.29772340000000003</v>
      </c>
      <c r="G4" t="s">
        <v>117</v>
      </c>
      <c r="H4" t="s">
        <v>117</v>
      </c>
      <c r="I4" s="25">
        <f>SUMIFS('[3]Opportunity Pipeline '!$O:$O,'[3]Opportunity Pipeline '!$K:$K,"CSG (EndPoint)",'[3]Opportunity Pipeline '!$Z:$Z,"S2")/10^7</f>
        <v>1.0017517</v>
      </c>
      <c r="J4" t="s">
        <v>117</v>
      </c>
      <c r="K4" t="s">
        <v>117</v>
      </c>
      <c r="L4" s="25">
        <f t="shared" ref="L4:L8" si="0">SUM(F4,I4)</f>
        <v>1.2994751</v>
      </c>
      <c r="M4" t="s">
        <v>117</v>
      </c>
      <c r="N4" t="s">
        <v>117</v>
      </c>
      <c r="O4" t="s">
        <v>117</v>
      </c>
      <c r="P4" t="s">
        <v>117</v>
      </c>
      <c r="Q4">
        <v>42</v>
      </c>
      <c r="R4" s="25">
        <f t="shared" ref="R4:R8" si="1">SUM(L4,O4)</f>
        <v>1.2994751</v>
      </c>
      <c r="S4" s="26">
        <f>IFERROR(R4/Q4,"-")</f>
        <v>3.0939883333333335E-2</v>
      </c>
      <c r="T4">
        <f>COUNTIFS('[2]Opportunity Pipeline'!$K:$K,"CSG (Endpoint)",'[2]Opportunity Pipeline'!$Z:$Z,"S2")+COUNTIFS('[3]Opportunity Pipeline '!$K:$K,"CSG (Endpoint)",'[3]Opportunity Pipeline '!$Z:$Z,"S2")</f>
        <v>11</v>
      </c>
    </row>
    <row r="5" spans="1:25" x14ac:dyDescent="0.3">
      <c r="A5" s="16">
        <v>3</v>
      </c>
      <c r="B5" s="17" t="s">
        <v>105</v>
      </c>
      <c r="C5" s="18" t="s">
        <v>50</v>
      </c>
      <c r="D5" s="19" t="s">
        <v>30</v>
      </c>
      <c r="E5" t="s">
        <v>117</v>
      </c>
      <c r="F5" s="25">
        <f>SUMIFS('[2]Opportunity Pipeline'!$O:$O,'[2]Opportunity Pipeline'!$K:$K,"CSG (EndPoint)",'[2]Opportunity Pipeline'!$Z:$Z,"CB")/10^7</f>
        <v>0.24002599999999999</v>
      </c>
      <c r="G5" t="s">
        <v>117</v>
      </c>
      <c r="H5" t="s">
        <v>117</v>
      </c>
      <c r="I5" s="25">
        <f>SUMIFS('[3]Opportunity Pipeline '!$O:$O,'[3]Opportunity Pipeline '!$K:$K,"CSG (EndPoint)",'[3]Opportunity Pipeline '!$Z:$Z,"CB")/10^7</f>
        <v>6.4909999999999997</v>
      </c>
      <c r="J5" t="s">
        <v>117</v>
      </c>
      <c r="K5" t="s">
        <v>117</v>
      </c>
      <c r="L5" s="25">
        <f t="shared" si="0"/>
        <v>6.731026</v>
      </c>
      <c r="M5" t="s">
        <v>117</v>
      </c>
      <c r="N5" t="s">
        <v>117</v>
      </c>
      <c r="O5" t="s">
        <v>117</v>
      </c>
      <c r="P5" t="s">
        <v>117</v>
      </c>
      <c r="Q5">
        <v>30</v>
      </c>
      <c r="R5" s="25">
        <f t="shared" si="1"/>
        <v>6.731026</v>
      </c>
      <c r="S5" s="26">
        <f t="shared" ref="S5:S8" si="2">IFERROR(R5/Q5,"-")</f>
        <v>0.22436753333333334</v>
      </c>
      <c r="T5">
        <f>COUNTIFS('[2]Opportunity Pipeline'!$K:$K,"CSG (Endpoint)",'[2]Opportunity Pipeline'!$Z:$Z,"CB")+COUNTIFS('[3]Opportunity Pipeline '!$K:$K,"CSG (Endpoint)",'[3]Opportunity Pipeline '!$Z:$Z,"CB")</f>
        <v>40</v>
      </c>
    </row>
    <row r="6" spans="1:25" x14ac:dyDescent="0.3">
      <c r="A6" s="16">
        <v>4</v>
      </c>
      <c r="B6" s="17" t="s">
        <v>106</v>
      </c>
      <c r="C6" s="18" t="s">
        <v>58</v>
      </c>
      <c r="D6" s="19" t="s">
        <v>30</v>
      </c>
      <c r="E6" t="s">
        <v>117</v>
      </c>
      <c r="F6" s="25">
        <f>SUMIFS('[2]Opportunity Pipeline'!$O:$O,'[2]Opportunity Pipeline'!$K:$K,"CSG (EndPoint)",'[2]Opportunity Pipeline'!$Z:$Z,"GB")/10^7</f>
        <v>7.8676617000000002</v>
      </c>
      <c r="G6" t="s">
        <v>117</v>
      </c>
      <c r="H6" t="s">
        <v>117</v>
      </c>
      <c r="I6" s="25">
        <f>SUMIFS('[3]Opportunity Pipeline '!$O:$O,'[3]Opportunity Pipeline '!$K:$K,"CSG (EndPoint)",'[3]Opportunity Pipeline '!$Z:$Z,"GB")/10^7</f>
        <v>0.29422690000000001</v>
      </c>
      <c r="J6" t="s">
        <v>117</v>
      </c>
      <c r="K6" t="s">
        <v>117</v>
      </c>
      <c r="L6" s="25">
        <f t="shared" si="0"/>
        <v>8.161888600000001</v>
      </c>
      <c r="M6" t="s">
        <v>117</v>
      </c>
      <c r="N6" t="s">
        <v>117</v>
      </c>
      <c r="O6" t="s">
        <v>117</v>
      </c>
      <c r="P6" t="s">
        <v>117</v>
      </c>
      <c r="Q6">
        <v>0</v>
      </c>
      <c r="R6" s="25">
        <f t="shared" si="1"/>
        <v>8.161888600000001</v>
      </c>
      <c r="S6" s="26" t="str">
        <f t="shared" si="2"/>
        <v>-</v>
      </c>
      <c r="T6">
        <f>COUNTIFS('[2]Opportunity Pipeline'!$K:$K,"CSG (Endpoint)",'[2]Opportunity Pipeline'!$Z:$Z,"GB")+COUNTIFS('[3]Opportunity Pipeline '!$K:$K,"CSG (Endpoint)",'[3]Opportunity Pipeline '!$Z:$Z,"GB")</f>
        <v>24</v>
      </c>
    </row>
    <row r="7" spans="1:25" x14ac:dyDescent="0.3">
      <c r="A7" s="16">
        <v>5</v>
      </c>
      <c r="B7" s="17" t="s">
        <v>107</v>
      </c>
      <c r="C7" s="18" t="s">
        <v>73</v>
      </c>
      <c r="D7" s="19" t="s">
        <v>30</v>
      </c>
      <c r="E7" t="s">
        <v>117</v>
      </c>
      <c r="F7" s="25">
        <f>SUMIFS('[2]Opportunity Pipeline'!$O:$O,'[2]Opportunity Pipeline'!$K:$K,"CSG (EndPoint)",'[2]Opportunity Pipeline'!$Z:$Z,"South")/10^7</f>
        <v>4.1905953890000003</v>
      </c>
      <c r="G7" t="s">
        <v>117</v>
      </c>
      <c r="H7" t="s">
        <v>117</v>
      </c>
      <c r="I7" s="25">
        <f>SUMIFS('[3]Opportunity Pipeline '!$O:$O,'[3]Opportunity Pipeline '!$K:$K,"CSG (EndPoint)",'[3]Opportunity Pipeline '!$Z:$Z,"South")/10^7</f>
        <v>0.60400500000000001</v>
      </c>
      <c r="J7" t="s">
        <v>117</v>
      </c>
      <c r="K7" t="s">
        <v>117</v>
      </c>
      <c r="L7" s="25">
        <f t="shared" si="0"/>
        <v>4.7946003890000002</v>
      </c>
      <c r="M7" t="s">
        <v>117</v>
      </c>
      <c r="N7" t="s">
        <v>117</v>
      </c>
      <c r="O7" t="s">
        <v>117</v>
      </c>
      <c r="P7" t="s">
        <v>117</v>
      </c>
      <c r="Q7">
        <v>18</v>
      </c>
      <c r="R7" s="25">
        <f t="shared" si="1"/>
        <v>4.7946003890000002</v>
      </c>
      <c r="S7" s="26">
        <f t="shared" si="2"/>
        <v>0.26636668827777776</v>
      </c>
      <c r="T7">
        <f>COUNTIFS('[2]Opportunity Pipeline'!$K:$K,"CSG (Endpoint)",'[2]Opportunity Pipeline'!$Z:$Z,"South")+COUNTIFS('[3]Opportunity Pipeline '!$K:$K,"CSG (Endpoint)",'[3]Opportunity Pipeline '!$Z:$Z,"South")</f>
        <v>41</v>
      </c>
    </row>
    <row r="8" spans="1:25" x14ac:dyDescent="0.3">
      <c r="A8" s="16">
        <v>6</v>
      </c>
      <c r="B8" s="17" t="s">
        <v>115</v>
      </c>
      <c r="C8" s="18" t="s">
        <v>80</v>
      </c>
      <c r="D8" s="19" t="s">
        <v>30</v>
      </c>
      <c r="E8" t="s">
        <v>117</v>
      </c>
      <c r="F8" s="25">
        <f>SUMIFS('[2]Opportunity Pipeline'!$O:$O,'[2]Opportunity Pipeline'!$K:$K,"CSG (EndPoint)",'[2]Opportunity Pipeline'!$Z:$Z,"Geo X")/10^7</f>
        <v>1.4018849</v>
      </c>
      <c r="G8" t="s">
        <v>117</v>
      </c>
      <c r="H8" t="s">
        <v>117</v>
      </c>
      <c r="I8" s="25">
        <f>SUMIFS('[3]Opportunity Pipeline '!$O:$O,'[3]Opportunity Pipeline '!$K:$K,"CSG (EndPoint)",'[3]Opportunity Pipeline '!$Z:$Z,"GeoX")/10^7</f>
        <v>0</v>
      </c>
      <c r="J8" t="s">
        <v>117</v>
      </c>
      <c r="K8" t="s">
        <v>117</v>
      </c>
      <c r="L8" s="25">
        <f t="shared" si="0"/>
        <v>1.4018849</v>
      </c>
      <c r="M8" t="s">
        <v>117</v>
      </c>
      <c r="N8" t="s">
        <v>117</v>
      </c>
      <c r="O8" t="s">
        <v>117</v>
      </c>
      <c r="P8" t="s">
        <v>117</v>
      </c>
      <c r="Q8">
        <v>8</v>
      </c>
      <c r="R8" s="25">
        <f t="shared" si="1"/>
        <v>1.4018849</v>
      </c>
      <c r="S8" s="26">
        <f t="shared" si="2"/>
        <v>0.1752356125</v>
      </c>
      <c r="T8">
        <f>COUNTIFS('[2]Opportunity Pipeline'!$K:$K,"CSG (Endpoint)",'[2]Opportunity Pipeline'!$Z:$Z,"Geo X")+COUNTIFS('[3]Opportunity Pipeline '!$K:$K,"CSG (Endpoint)",'[3]Opportunity Pipeline '!$Z:$Z,"Geox")</f>
        <v>41</v>
      </c>
    </row>
    <row r="9" spans="1:25" x14ac:dyDescent="0.3">
      <c r="A9" s="48"/>
      <c r="B9" s="48" t="s">
        <v>116</v>
      </c>
      <c r="C9" s="48"/>
      <c r="D9" s="48"/>
      <c r="E9" s="49" t="s">
        <v>117</v>
      </c>
      <c r="F9" s="50">
        <f>SUM(F3:F8)</f>
        <v>24.891926925</v>
      </c>
      <c r="G9" s="49" t="s">
        <v>117</v>
      </c>
      <c r="H9" s="49" t="s">
        <v>117</v>
      </c>
      <c r="I9" s="50">
        <f>SUM(I3:I8)</f>
        <v>14.955001014999999</v>
      </c>
      <c r="J9" s="49" t="s">
        <v>117</v>
      </c>
      <c r="K9" s="49" t="s">
        <v>117</v>
      </c>
      <c r="L9" s="50">
        <f>SUM(L3:L8)</f>
        <v>39.84692794</v>
      </c>
      <c r="M9" s="49" t="s">
        <v>117</v>
      </c>
      <c r="N9" s="49" t="s">
        <v>117</v>
      </c>
      <c r="O9" s="49" t="s">
        <v>117</v>
      </c>
      <c r="P9" s="49" t="s">
        <v>117</v>
      </c>
      <c r="Q9" s="49">
        <f>SUM(Q3:Q8)</f>
        <v>135</v>
      </c>
      <c r="R9" s="50">
        <f>SUM(R3:R8)</f>
        <v>39.84692794</v>
      </c>
      <c r="S9" s="52">
        <f>IFERROR(R9/Q9,"-")</f>
        <v>0.2951624291851852</v>
      </c>
      <c r="T9" s="49">
        <f>SUM(T3:T8)</f>
        <v>251</v>
      </c>
    </row>
    <row r="10" spans="1:25" x14ac:dyDescent="0.3">
      <c r="A10" s="16"/>
      <c r="B10" s="17"/>
      <c r="C10" s="18"/>
      <c r="D10" s="19"/>
      <c r="F10" s="25"/>
      <c r="L10" s="25"/>
      <c r="R10" s="25"/>
      <c r="S10" s="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373EE-1A59-44CA-9992-DE5438F956B3}">
  <dimension ref="A1:T9"/>
  <sheetViews>
    <sheetView tabSelected="1" zoomScaleNormal="100" workbookViewId="0">
      <selection activeCell="I9" sqref="I9"/>
    </sheetView>
  </sheetViews>
  <sheetFormatPr defaultRowHeight="14.4" x14ac:dyDescent="0.3"/>
  <sheetData>
    <row r="1" spans="1:20" ht="27.75" customHeight="1" x14ac:dyDescent="0.3">
      <c r="A1" s="1" t="s">
        <v>121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39.6" customHeight="1" x14ac:dyDescent="0.3">
      <c r="A2" s="2" t="s">
        <v>1</v>
      </c>
      <c r="B2" s="2" t="s">
        <v>112</v>
      </c>
      <c r="C2" s="2" t="s">
        <v>3</v>
      </c>
      <c r="D2" s="2" t="s">
        <v>4</v>
      </c>
      <c r="E2" s="2" t="s">
        <v>6</v>
      </c>
      <c r="F2" s="2" t="s">
        <v>7</v>
      </c>
      <c r="G2" s="2" t="s">
        <v>113</v>
      </c>
      <c r="H2" s="2" t="s">
        <v>9</v>
      </c>
      <c r="I2" s="2" t="s">
        <v>10</v>
      </c>
      <c r="J2" s="2" t="s">
        <v>114</v>
      </c>
      <c r="K2" s="2" t="s">
        <v>12</v>
      </c>
      <c r="L2" s="2" t="s">
        <v>13</v>
      </c>
      <c r="M2" s="15" t="s">
        <v>14</v>
      </c>
      <c r="N2" s="2" t="s">
        <v>15</v>
      </c>
      <c r="O2" s="2" t="s">
        <v>16</v>
      </c>
      <c r="P2" s="15" t="s">
        <v>17</v>
      </c>
      <c r="Q2" s="15" t="s">
        <v>18</v>
      </c>
      <c r="R2" s="2" t="s">
        <v>19</v>
      </c>
      <c r="S2" s="2" t="s">
        <v>20</v>
      </c>
      <c r="T2" s="2" t="s">
        <v>21</v>
      </c>
    </row>
    <row r="3" spans="1:20" x14ac:dyDescent="0.3">
      <c r="A3" s="16">
        <v>1</v>
      </c>
      <c r="B3" s="17" t="s">
        <v>103</v>
      </c>
      <c r="C3" s="18" t="s">
        <v>29</v>
      </c>
      <c r="D3" s="19" t="s">
        <v>30</v>
      </c>
      <c r="E3" t="s">
        <v>117</v>
      </c>
      <c r="F3" s="25">
        <f>SUMIFS('[2]Opportunity Pipeline'!$O:$O,'[2]Opportunity Pipeline'!$K:$K,"Cloud",'[2]Opportunity Pipeline'!$Z:$Z,"S1")/10^7</f>
        <v>0</v>
      </c>
      <c r="G3" t="s">
        <v>117</v>
      </c>
      <c r="H3" t="s">
        <v>117</v>
      </c>
      <c r="I3" s="25">
        <f>SUMIFS('[3]Opportunity Pipeline '!$O:$O,'[3]Opportunity Pipeline '!$K:$K,"Cloud",'[3]Opportunity Pipeline '!$Z:$Z,"S1")/10^7</f>
        <v>0</v>
      </c>
      <c r="J3" t="s">
        <v>117</v>
      </c>
      <c r="K3" t="s">
        <v>117</v>
      </c>
      <c r="L3" s="25">
        <f>SUM(F3,I3)</f>
        <v>0</v>
      </c>
      <c r="M3" t="s">
        <v>117</v>
      </c>
      <c r="N3" t="s">
        <v>117</v>
      </c>
      <c r="O3" t="s">
        <v>117</v>
      </c>
      <c r="P3" t="s">
        <v>117</v>
      </c>
      <c r="Q3">
        <v>37</v>
      </c>
      <c r="R3" s="25">
        <f>SUM(L3,O3)</f>
        <v>0</v>
      </c>
      <c r="S3" s="26">
        <f>IFERROR(R3/Q3,"-")</f>
        <v>0</v>
      </c>
      <c r="T3">
        <f>COUNTIFS('[2]Opportunity Pipeline'!$K:$K,"Cloud",'[2]Opportunity Pipeline'!$Z:$Z,"S1")+COUNTIFS('[3]Opportunity Pipeline '!$K:$K,"Cloud",'[3]Opportunity Pipeline '!$Z:$Z,"S1")</f>
        <v>0</v>
      </c>
    </row>
    <row r="4" spans="1:20" x14ac:dyDescent="0.3">
      <c r="A4" s="16">
        <v>2</v>
      </c>
      <c r="B4" s="17" t="s">
        <v>104</v>
      </c>
      <c r="C4" s="18" t="s">
        <v>41</v>
      </c>
      <c r="D4" s="19" t="s">
        <v>30</v>
      </c>
      <c r="E4" t="s">
        <v>117</v>
      </c>
      <c r="F4" s="25">
        <f>SUMIFS('[2]Opportunity Pipeline'!$O:$O,'[2]Opportunity Pipeline'!$K:$K,"Cloud",'[2]Opportunity Pipeline'!$Z:$Z,"S2")/10^7</f>
        <v>0</v>
      </c>
      <c r="G4" t="s">
        <v>117</v>
      </c>
      <c r="H4" t="s">
        <v>117</v>
      </c>
      <c r="I4" s="25">
        <f>SUMIFS('[3]Opportunity Pipeline '!$O:$O,'[3]Opportunity Pipeline '!$K:$K,"Cloud",'[3]Opportunity Pipeline '!$Z:$Z,"S2")/10^7</f>
        <v>0</v>
      </c>
      <c r="J4" t="s">
        <v>117</v>
      </c>
      <c r="K4" t="s">
        <v>117</v>
      </c>
      <c r="L4" s="25">
        <f t="shared" ref="L4:L8" si="0">SUM(F4,I4)</f>
        <v>0</v>
      </c>
      <c r="M4" t="s">
        <v>117</v>
      </c>
      <c r="N4" t="s">
        <v>117</v>
      </c>
      <c r="O4" t="s">
        <v>117</v>
      </c>
      <c r="P4" t="s">
        <v>117</v>
      </c>
      <c r="Q4">
        <v>42</v>
      </c>
      <c r="R4" s="25">
        <f t="shared" ref="R4:R8" si="1">SUM(L4,O4)</f>
        <v>0</v>
      </c>
      <c r="S4" s="26">
        <f>IFERROR(R4/Q4,"-")</f>
        <v>0</v>
      </c>
      <c r="T4">
        <f>COUNTIFS('[2]Opportunity Pipeline'!$K:$K,"Cloud",'[2]Opportunity Pipeline'!$Z:$Z,"S2")+COUNTIFS('[3]Opportunity Pipeline '!$K:$K,"Cloud",'[3]Opportunity Pipeline '!$Z:$Z,"S2")</f>
        <v>0</v>
      </c>
    </row>
    <row r="5" spans="1:20" x14ac:dyDescent="0.3">
      <c r="A5" s="16">
        <v>3</v>
      </c>
      <c r="B5" s="17" t="s">
        <v>105</v>
      </c>
      <c r="C5" s="18" t="s">
        <v>50</v>
      </c>
      <c r="D5" s="19" t="s">
        <v>30</v>
      </c>
      <c r="E5" t="s">
        <v>117</v>
      </c>
      <c r="F5" s="25">
        <f>SUMIFS('[2]Opportunity Pipeline'!$O:$O,'[2]Opportunity Pipeline'!$K:$K,"Cloud",'[2]Opportunity Pipeline'!$Z:$Z,"CB")/10^7</f>
        <v>1.5520453599999999</v>
      </c>
      <c r="G5" t="s">
        <v>117</v>
      </c>
      <c r="H5" t="s">
        <v>117</v>
      </c>
      <c r="I5" s="25">
        <f>SUMIFS('[3]Opportunity Pipeline '!$O:$O,'[3]Opportunity Pipeline '!$K:$K,"Cloud",'[3]Opportunity Pipeline '!$Z:$Z,"CB")/10^7</f>
        <v>0.134521</v>
      </c>
      <c r="J5" t="s">
        <v>117</v>
      </c>
      <c r="K5" t="s">
        <v>117</v>
      </c>
      <c r="L5" s="25">
        <f t="shared" si="0"/>
        <v>1.68656636</v>
      </c>
      <c r="M5" t="s">
        <v>117</v>
      </c>
      <c r="N5" t="s">
        <v>117</v>
      </c>
      <c r="O5" t="s">
        <v>117</v>
      </c>
      <c r="P5" t="s">
        <v>117</v>
      </c>
      <c r="Q5">
        <v>30</v>
      </c>
      <c r="R5" s="25">
        <f t="shared" si="1"/>
        <v>1.68656636</v>
      </c>
      <c r="S5" s="26">
        <f t="shared" ref="S5:S8" si="2">IFERROR(R5/Q5,"-")</f>
        <v>5.6218878666666666E-2</v>
      </c>
      <c r="T5">
        <f>COUNTIFS('[2]Opportunity Pipeline'!$K:$K,"Cloud",'[2]Opportunity Pipeline'!$Z:$Z,"CB")+COUNTIFS('[3]Opportunity Pipeline '!$K:$K,"Cloud",'[3]Opportunity Pipeline '!$Z:$Z,"CB")</f>
        <v>22</v>
      </c>
    </row>
    <row r="6" spans="1:20" x14ac:dyDescent="0.3">
      <c r="A6" s="16">
        <v>4</v>
      </c>
      <c r="B6" s="17" t="s">
        <v>106</v>
      </c>
      <c r="C6" s="18" t="s">
        <v>58</v>
      </c>
      <c r="D6" s="19" t="s">
        <v>30</v>
      </c>
      <c r="E6" t="s">
        <v>117</v>
      </c>
      <c r="F6" s="25">
        <f>SUMIFS('[2]Opportunity Pipeline'!$O:$O,'[2]Opportunity Pipeline'!$K:$K,"Cloud",'[2]Opportunity Pipeline'!$Z:$Z,"GB")/10^7</f>
        <v>1.0873971</v>
      </c>
      <c r="G6" t="s">
        <v>117</v>
      </c>
      <c r="H6" t="s">
        <v>117</v>
      </c>
      <c r="I6" s="25">
        <f>SUMIFS('[3]Opportunity Pipeline '!$O:$O,'[3]Opportunity Pipeline '!$K:$K,"Cloud",'[3]Opportunity Pipeline '!$Z:$Z,"GB")/10^7</f>
        <v>0</v>
      </c>
      <c r="J6" t="s">
        <v>117</v>
      </c>
      <c r="K6" t="s">
        <v>117</v>
      </c>
      <c r="L6" s="25">
        <f t="shared" si="0"/>
        <v>1.0873971</v>
      </c>
      <c r="M6" t="s">
        <v>117</v>
      </c>
      <c r="N6" t="s">
        <v>117</v>
      </c>
      <c r="O6" t="s">
        <v>117</v>
      </c>
      <c r="P6" t="s">
        <v>117</v>
      </c>
      <c r="Q6">
        <v>0</v>
      </c>
      <c r="R6" s="25">
        <f t="shared" si="1"/>
        <v>1.0873971</v>
      </c>
      <c r="S6" s="26" t="str">
        <f t="shared" si="2"/>
        <v>-</v>
      </c>
      <c r="T6">
        <f>COUNTIFS('[2]Opportunity Pipeline'!$K:$K,"Cloud",'[2]Opportunity Pipeline'!$Z:$Z,"GB")+COUNTIFS('[3]Opportunity Pipeline '!$K:$K,"Cloud",'[3]Opportunity Pipeline '!$Z:$Z,"GB")</f>
        <v>2</v>
      </c>
    </row>
    <row r="7" spans="1:20" x14ac:dyDescent="0.3">
      <c r="A7" s="16">
        <v>5</v>
      </c>
      <c r="B7" s="17" t="s">
        <v>107</v>
      </c>
      <c r="C7" s="18" t="s">
        <v>73</v>
      </c>
      <c r="D7" s="19" t="s">
        <v>30</v>
      </c>
      <c r="E7" t="s">
        <v>117</v>
      </c>
      <c r="F7" s="25">
        <f>SUMIFS('[2]Opportunity Pipeline'!$O:$O,'[2]Opportunity Pipeline'!$K:$K,"Cloud",'[2]Opportunity Pipeline'!$Z:$Z,"South")/10^7</f>
        <v>0</v>
      </c>
      <c r="G7" t="s">
        <v>117</v>
      </c>
      <c r="H7" t="s">
        <v>117</v>
      </c>
      <c r="I7" s="25">
        <f>SUMIFS('[3]Opportunity Pipeline '!$O:$O,'[3]Opportunity Pipeline '!$K:$K,"Cloud",'[3]Opportunity Pipeline '!$Z:$Z,"South")/10^7</f>
        <v>0</v>
      </c>
      <c r="J7" t="s">
        <v>117</v>
      </c>
      <c r="K7" t="s">
        <v>117</v>
      </c>
      <c r="L7" s="25">
        <f t="shared" si="0"/>
        <v>0</v>
      </c>
      <c r="M7" t="s">
        <v>117</v>
      </c>
      <c r="N7" t="s">
        <v>117</v>
      </c>
      <c r="O7" t="s">
        <v>117</v>
      </c>
      <c r="P7" t="s">
        <v>117</v>
      </c>
      <c r="Q7">
        <v>18</v>
      </c>
      <c r="R7" s="25">
        <f t="shared" si="1"/>
        <v>0</v>
      </c>
      <c r="S7" s="26">
        <f t="shared" si="2"/>
        <v>0</v>
      </c>
      <c r="T7">
        <f>COUNTIFS('[2]Opportunity Pipeline'!$K:$K,"Cloud",'[2]Opportunity Pipeline'!$Z:$Z,"South")+COUNTIFS('[3]Opportunity Pipeline '!$K:$K,"Cloud",'[3]Opportunity Pipeline '!$Z:$Z,"South")</f>
        <v>0</v>
      </c>
    </row>
    <row r="8" spans="1:20" x14ac:dyDescent="0.3">
      <c r="A8" s="16">
        <v>6</v>
      </c>
      <c r="B8" s="17" t="s">
        <v>115</v>
      </c>
      <c r="C8" s="18" t="s">
        <v>80</v>
      </c>
      <c r="D8" s="19" t="s">
        <v>30</v>
      </c>
      <c r="E8" t="s">
        <v>117</v>
      </c>
      <c r="F8" s="25">
        <f>SUMIFS('[2]Opportunity Pipeline'!$O:$O,'[2]Opportunity Pipeline'!$K:$K,"Cloud",'[2]Opportunity Pipeline'!$Z:$Z,"Geo X")/10^7</f>
        <v>0.11862250000000001</v>
      </c>
      <c r="G8" t="s">
        <v>117</v>
      </c>
      <c r="H8" t="s">
        <v>117</v>
      </c>
      <c r="I8" s="25">
        <f>SUMIFS('[3]Opportunity Pipeline '!$O:$O,'[3]Opportunity Pipeline '!$K:$K,"Cloud",'[3]Opportunity Pipeline '!$Z:$Z,"GeoX")/10^7</f>
        <v>0</v>
      </c>
      <c r="J8" t="s">
        <v>117</v>
      </c>
      <c r="K8" t="s">
        <v>117</v>
      </c>
      <c r="L8" s="25">
        <f t="shared" si="0"/>
        <v>0.11862250000000001</v>
      </c>
      <c r="M8" t="s">
        <v>117</v>
      </c>
      <c r="N8" t="s">
        <v>117</v>
      </c>
      <c r="O8" t="s">
        <v>117</v>
      </c>
      <c r="P8" t="s">
        <v>117</v>
      </c>
      <c r="Q8">
        <v>8</v>
      </c>
      <c r="R8" s="25">
        <f t="shared" si="1"/>
        <v>0.11862250000000001</v>
      </c>
      <c r="S8" s="26">
        <f t="shared" si="2"/>
        <v>1.4827812500000001E-2</v>
      </c>
      <c r="T8">
        <f>COUNTIFS('[2]Opportunity Pipeline'!$K:$K,"Cloud",'[2]Opportunity Pipeline'!$Z:$Z,"Geo X")+COUNTIFS('[3]Opportunity Pipeline '!$K:$K,"Cloud",'[3]Opportunity Pipeline '!$Z:$Z,"Geox")</f>
        <v>1</v>
      </c>
    </row>
    <row r="9" spans="1:20" x14ac:dyDescent="0.3">
      <c r="A9" s="48"/>
      <c r="B9" s="48" t="s">
        <v>116</v>
      </c>
      <c r="C9" s="48"/>
      <c r="D9" s="48"/>
      <c r="E9" s="49" t="s">
        <v>117</v>
      </c>
      <c r="F9" s="50">
        <f>SUM(F3:F8)</f>
        <v>2.7580649599999996</v>
      </c>
      <c r="G9" s="49" t="s">
        <v>117</v>
      </c>
      <c r="H9" s="49" t="s">
        <v>117</v>
      </c>
      <c r="I9" s="50">
        <f>SUM(I3:I8)</f>
        <v>0.134521</v>
      </c>
      <c r="J9" s="49" t="s">
        <v>117</v>
      </c>
      <c r="K9" s="49" t="s">
        <v>117</v>
      </c>
      <c r="L9" s="50">
        <f>SUM(L3:L8)</f>
        <v>2.8925859599999999</v>
      </c>
      <c r="M9" s="49" t="s">
        <v>117</v>
      </c>
      <c r="N9" s="49" t="s">
        <v>117</v>
      </c>
      <c r="O9" s="49" t="s">
        <v>117</v>
      </c>
      <c r="P9" s="49" t="s">
        <v>117</v>
      </c>
      <c r="Q9" s="49">
        <f>SUM(Q3:Q8)</f>
        <v>135</v>
      </c>
      <c r="R9" s="50">
        <f>SUM(R3:R8)</f>
        <v>2.8925859599999999</v>
      </c>
      <c r="S9" s="52">
        <f>IFERROR(R9/Q9,"-")</f>
        <v>2.1426562666666666E-2</v>
      </c>
      <c r="T9" s="49">
        <f>SUM(T3:T8)</f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V1 · Individual</vt:lpstr>
      <vt:lpstr>V2 · Leadership</vt:lpstr>
      <vt:lpstr>V3 · RTM Division level</vt:lpstr>
      <vt:lpstr>V5 · DCG</vt:lpstr>
      <vt:lpstr>V6 · CSN</vt:lpstr>
      <vt:lpstr>V7 · PS</vt:lpstr>
      <vt:lpstr>V8 · CSG</vt:lpstr>
      <vt:lpstr>V9 · Cloud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Dharshini Balasankar</dc:creator>
  <cp:keywords/>
  <dc:description/>
  <cp:lastModifiedBy>Dharshini Balasankar</cp:lastModifiedBy>
  <cp:revision/>
  <dcterms:created xsi:type="dcterms:W3CDTF">2026-07-08T10:45:51Z</dcterms:created>
  <dcterms:modified xsi:type="dcterms:W3CDTF">2026-08-10T10:19:09Z</dcterms:modified>
  <cp:category/>
  <cp:contentStatus/>
</cp:coreProperties>
</file>