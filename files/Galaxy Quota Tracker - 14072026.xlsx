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0" documentId="8_{504763E0-F12C-4B2C-AC75-7E7A018FB4A0}" xr6:coauthVersionLast="47" xr6:coauthVersionMax="47" xr10:uidLastSave="{00000000-0000-0000-0000-000000000000}"/>
  <bookViews>
    <workbookView xWindow="-108" yWindow="-108" windowWidth="23256" windowHeight="12576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" i="1" l="1"/>
  <c r="J4" i="1"/>
  <c r="J5" i="1"/>
  <c r="J6" i="1"/>
  <c r="J7" i="1"/>
  <c r="J8" i="1"/>
  <c r="I30" i="1" l="1"/>
  <c r="F30" i="1"/>
  <c r="U10" i="9"/>
  <c r="U9" i="9"/>
  <c r="U8" i="9"/>
  <c r="U7" i="9"/>
  <c r="U6" i="9"/>
  <c r="U5" i="9"/>
  <c r="U4" i="9"/>
  <c r="U3" i="9"/>
  <c r="J10" i="9"/>
  <c r="J9" i="9"/>
  <c r="J8" i="9"/>
  <c r="J7" i="9"/>
  <c r="J6" i="9"/>
  <c r="J5" i="9"/>
  <c r="J4" i="9"/>
  <c r="J3" i="9"/>
  <c r="G10" i="9"/>
  <c r="G9" i="9"/>
  <c r="G8" i="9"/>
  <c r="G7" i="9"/>
  <c r="G6" i="9"/>
  <c r="G5" i="9"/>
  <c r="G4" i="9"/>
  <c r="G3" i="9"/>
  <c r="L10" i="9"/>
  <c r="S10" i="9" s="1"/>
  <c r="L9" i="9"/>
  <c r="S9" i="9" s="1"/>
  <c r="L8" i="9"/>
  <c r="S8" i="9" s="1"/>
  <c r="L7" i="9"/>
  <c r="S7" i="9" s="1"/>
  <c r="L6" i="9"/>
  <c r="S6" i="9" s="1"/>
  <c r="L5" i="9"/>
  <c r="S5" i="9" s="1"/>
  <c r="L4" i="9"/>
  <c r="S4" i="9" s="1"/>
  <c r="L3" i="9"/>
  <c r="S3" i="9" s="1"/>
  <c r="U32" i="1" l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8" i="8"/>
  <c r="T7" i="8"/>
  <c r="T6" i="8"/>
  <c r="T5" i="8"/>
  <c r="T4" i="8"/>
  <c r="T3" i="8"/>
  <c r="T8" i="7"/>
  <c r="T7" i="7"/>
  <c r="T6" i="7"/>
  <c r="T5" i="7"/>
  <c r="T4" i="7"/>
  <c r="T3" i="7"/>
  <c r="T8" i="6"/>
  <c r="T7" i="6"/>
  <c r="T6" i="6"/>
  <c r="T5" i="6"/>
  <c r="T4" i="6"/>
  <c r="T3" i="6"/>
  <c r="T8" i="5"/>
  <c r="T7" i="5"/>
  <c r="T6" i="5"/>
  <c r="T5" i="5"/>
  <c r="T4" i="5"/>
  <c r="T3" i="5"/>
  <c r="T3" i="4"/>
  <c r="T8" i="4"/>
  <c r="T7" i="4"/>
  <c r="T6" i="4"/>
  <c r="T5" i="4"/>
  <c r="T4" i="4"/>
  <c r="I8" i="4"/>
  <c r="I7" i="4"/>
  <c r="I6" i="4"/>
  <c r="I5" i="4"/>
  <c r="I3" i="4"/>
  <c r="I4" i="4"/>
  <c r="U50" i="1"/>
  <c r="U46" i="1"/>
  <c r="U45" i="1"/>
  <c r="U44" i="1"/>
  <c r="U43" i="1"/>
  <c r="U39" i="1"/>
  <c r="U38" i="1"/>
  <c r="U37" i="1"/>
  <c r="U36" i="1"/>
  <c r="U35" i="1"/>
  <c r="U34" i="1"/>
  <c r="U33" i="1"/>
  <c r="U31" i="1"/>
  <c r="U30" i="1"/>
  <c r="U29" i="1"/>
  <c r="U25" i="1"/>
  <c r="U24" i="1"/>
  <c r="U23" i="1"/>
  <c r="U22" i="1"/>
  <c r="U18" i="1"/>
  <c r="U17" i="1"/>
  <c r="U16" i="1"/>
  <c r="U15" i="1"/>
  <c r="U14" i="1"/>
  <c r="U13" i="1"/>
  <c r="U9" i="1"/>
  <c r="U8" i="1"/>
  <c r="U7" i="1"/>
  <c r="U6" i="1"/>
  <c r="U4" i="1"/>
  <c r="U5" i="1"/>
  <c r="O39" i="1"/>
  <c r="Q39" i="1" s="1"/>
  <c r="G39" i="1"/>
  <c r="F39" i="1"/>
  <c r="J39" i="1"/>
  <c r="I39" i="1"/>
  <c r="J30" i="1"/>
  <c r="I9" i="6" l="1"/>
  <c r="U40" i="1"/>
  <c r="I9" i="4"/>
  <c r="I9" i="5"/>
  <c r="K39" i="1"/>
  <c r="R39" i="1"/>
  <c r="M39" i="1"/>
  <c r="N39" i="1" s="1"/>
  <c r="H39" i="1"/>
  <c r="S39" i="1" l="1"/>
  <c r="T39" i="1" s="1"/>
  <c r="G30" i="1" l="1"/>
  <c r="M30" i="1" s="1"/>
  <c r="J50" i="1"/>
  <c r="J51" i="1" s="1"/>
  <c r="M10" i="2" s="1"/>
  <c r="M11" i="2" s="1"/>
  <c r="J46" i="1"/>
  <c r="J45" i="1"/>
  <c r="J44" i="1"/>
  <c r="J43" i="1"/>
  <c r="J38" i="1"/>
  <c r="J37" i="1"/>
  <c r="J36" i="1"/>
  <c r="J35" i="1"/>
  <c r="J34" i="1"/>
  <c r="J33" i="1"/>
  <c r="J32" i="1"/>
  <c r="J31" i="1"/>
  <c r="J29" i="1"/>
  <c r="G31" i="1"/>
  <c r="J25" i="1"/>
  <c r="J24" i="1"/>
  <c r="J23" i="1"/>
  <c r="J22" i="1"/>
  <c r="J18" i="1"/>
  <c r="J17" i="1"/>
  <c r="J16" i="1"/>
  <c r="J15" i="1"/>
  <c r="J14" i="1"/>
  <c r="J13" i="1"/>
  <c r="F8" i="8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L8" i="8"/>
  <c r="R8" i="8" s="1"/>
  <c r="S8" i="8" s="1"/>
  <c r="Q9" i="5"/>
  <c r="Q9" i="6"/>
  <c r="Q9" i="7"/>
  <c r="F8" i="7"/>
  <c r="L8" i="7" s="1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F8" i="6"/>
  <c r="L8" i="6" s="1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F8" i="5"/>
  <c r="G8" i="5" s="1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F8" i="4"/>
  <c r="G8" i="4" s="1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1" i="1"/>
  <c r="AE10" i="2"/>
  <c r="K11" i="2"/>
  <c r="W11" i="2"/>
  <c r="X11" i="2"/>
  <c r="Z11" i="2"/>
  <c r="AA11" i="2"/>
  <c r="AB11" i="2"/>
  <c r="J10" i="1" l="1"/>
  <c r="J26" i="1"/>
  <c r="J40" i="1"/>
  <c r="M31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T9" i="8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M4" i="5" l="1"/>
  <c r="R4" i="4"/>
  <c r="S4" i="4" s="1"/>
  <c r="R8" i="4"/>
  <c r="S8" i="4" s="1"/>
  <c r="M7" i="5"/>
  <c r="R6" i="5"/>
  <c r="S6" i="5" s="1"/>
  <c r="L9" i="5"/>
  <c r="M9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1" i="1" l="1"/>
  <c r="U10" i="2" s="1"/>
  <c r="AI10" i="2" s="1"/>
  <c r="O50" i="1"/>
  <c r="O51" i="1" s="1"/>
  <c r="Y10" i="2" s="1"/>
  <c r="Y11" i="2" s="1"/>
  <c r="L50" i="1"/>
  <c r="R50" i="1" l="1"/>
  <c r="R51" i="1" s="1"/>
  <c r="AF10" i="2" s="1"/>
  <c r="AF11" i="2" s="1"/>
  <c r="L51" i="1"/>
  <c r="R10" i="2" s="1"/>
  <c r="R11" i="2" s="1"/>
  <c r="G50" i="1"/>
  <c r="P47" i="1"/>
  <c r="J47" i="1"/>
  <c r="J9" i="2" s="1"/>
  <c r="O45" i="1"/>
  <c r="Q45" i="1" s="1"/>
  <c r="L45" i="1"/>
  <c r="G51" i="1" l="1"/>
  <c r="M50" i="1"/>
  <c r="M51" i="1" s="1"/>
  <c r="S10" i="2" s="1"/>
  <c r="U47" i="1"/>
  <c r="U9" i="2" s="1"/>
  <c r="AI9" i="2" s="1"/>
  <c r="G10" i="2"/>
  <c r="R45" i="1"/>
  <c r="O44" i="1"/>
  <c r="Q44" i="1" s="1"/>
  <c r="L44" i="1"/>
  <c r="S50" i="1" l="1"/>
  <c r="T50" i="1" s="1"/>
  <c r="N50" i="1"/>
  <c r="S11" i="2"/>
  <c r="T10" i="2"/>
  <c r="T11" i="2" s="1"/>
  <c r="G11" i="2"/>
  <c r="R44" i="1"/>
  <c r="O46" i="1"/>
  <c r="L46" i="1"/>
  <c r="S51" i="1" l="1"/>
  <c r="AG10" i="2" s="1"/>
  <c r="AG11" i="2" s="1"/>
  <c r="R46" i="1"/>
  <c r="Q46" i="1"/>
  <c r="L43" i="1"/>
  <c r="O43" i="1"/>
  <c r="Q43" i="1" l="1"/>
  <c r="O47" i="1"/>
  <c r="V9" i="2" s="1"/>
  <c r="R43" i="1"/>
  <c r="L47" i="1"/>
  <c r="O9" i="2" s="1"/>
  <c r="G46" i="1"/>
  <c r="M46" i="1" s="1"/>
  <c r="G45" i="1"/>
  <c r="M45" i="1" s="1"/>
  <c r="G44" i="1"/>
  <c r="M44" i="1" s="1"/>
  <c r="G43" i="1"/>
  <c r="M43" i="1" s="1"/>
  <c r="N43" i="1" s="1"/>
  <c r="P40" i="1"/>
  <c r="J8" i="2"/>
  <c r="S31" i="1"/>
  <c r="S30" i="1"/>
  <c r="O32" i="1"/>
  <c r="Q32" i="1" s="1"/>
  <c r="L32" i="1"/>
  <c r="O35" i="1"/>
  <c r="Q35" i="1" s="1"/>
  <c r="L35" i="1"/>
  <c r="U8" i="2" l="1"/>
  <c r="AI8" i="2" s="1"/>
  <c r="S46" i="1"/>
  <c r="T46" i="1" s="1"/>
  <c r="N46" i="1"/>
  <c r="R32" i="1"/>
  <c r="G47" i="1"/>
  <c r="D9" i="2" s="1"/>
  <c r="M47" i="1"/>
  <c r="P9" i="2" s="1"/>
  <c r="Q9" i="2" s="1"/>
  <c r="S43" i="1"/>
  <c r="T43" i="1" s="1"/>
  <c r="S45" i="1"/>
  <c r="T45" i="1" s="1"/>
  <c r="N45" i="1"/>
  <c r="S44" i="1"/>
  <c r="T44" i="1" s="1"/>
  <c r="N44" i="1"/>
  <c r="R35" i="1"/>
  <c r="R47" i="1"/>
  <c r="AC9" i="2" s="1"/>
  <c r="Q47" i="1"/>
  <c r="Q51" i="1"/>
  <c r="N51" i="1"/>
  <c r="O38" i="1"/>
  <c r="Q38" i="1" s="1"/>
  <c r="L38" i="1"/>
  <c r="N47" i="1" l="1"/>
  <c r="R38" i="1"/>
  <c r="S47" i="1"/>
  <c r="AD9" i="2" s="1"/>
  <c r="AE9" i="2" s="1"/>
  <c r="T51" i="1"/>
  <c r="AH10" i="2" s="1"/>
  <c r="AH11" i="2" s="1"/>
  <c r="I38" i="1"/>
  <c r="K38" i="1" s="1"/>
  <c r="F38" i="1"/>
  <c r="G38" i="1"/>
  <c r="M38" i="1" s="1"/>
  <c r="S38" i="1" s="1"/>
  <c r="N38" i="1" l="1"/>
  <c r="T38" i="1"/>
  <c r="T47" i="1"/>
  <c r="H38" i="1"/>
  <c r="O37" i="1"/>
  <c r="Q37" i="1" s="1"/>
  <c r="L37" i="1"/>
  <c r="R37" i="1" l="1"/>
  <c r="O30" i="1"/>
  <c r="Q30" i="1" s="1"/>
  <c r="L30" i="1"/>
  <c r="R30" i="1" l="1"/>
  <c r="T30" i="1" s="1"/>
  <c r="N30" i="1"/>
  <c r="O34" i="1"/>
  <c r="Q34" i="1" s="1"/>
  <c r="L34" i="1"/>
  <c r="R34" i="1" l="1"/>
  <c r="O36" i="1"/>
  <c r="Q36" i="1" s="1"/>
  <c r="L36" i="1"/>
  <c r="R36" i="1" l="1"/>
  <c r="O31" i="1"/>
  <c r="Q31" i="1" s="1"/>
  <c r="L31" i="1"/>
  <c r="O33" i="1"/>
  <c r="L33" i="1"/>
  <c r="N31" i="1" l="1"/>
  <c r="R31" i="1"/>
  <c r="T31" i="1" s="1"/>
  <c r="R33" i="1"/>
  <c r="L40" i="1"/>
  <c r="Q33" i="1"/>
  <c r="O40" i="1"/>
  <c r="O29" i="1"/>
  <c r="Q29" i="1" s="1"/>
  <c r="L29" i="1"/>
  <c r="O8" i="2" l="1"/>
  <c r="Q40" i="1"/>
  <c r="V8" i="2"/>
  <c r="R40" i="1"/>
  <c r="R29" i="1"/>
  <c r="K35" i="1"/>
  <c r="K30" i="1"/>
  <c r="G37" i="1"/>
  <c r="M37" i="1" s="1"/>
  <c r="G36" i="1"/>
  <c r="M36" i="1" s="1"/>
  <c r="G35" i="1"/>
  <c r="G34" i="1"/>
  <c r="M34" i="1" s="1"/>
  <c r="G33" i="1"/>
  <c r="M33" i="1" s="1"/>
  <c r="G32" i="1"/>
  <c r="M32" i="1" s="1"/>
  <c r="H30" i="1"/>
  <c r="G29" i="1"/>
  <c r="I50" i="1"/>
  <c r="F50" i="1"/>
  <c r="I46" i="1"/>
  <c r="K46" i="1" s="1"/>
  <c r="I45" i="1"/>
  <c r="K45" i="1" s="1"/>
  <c r="I44" i="1"/>
  <c r="K44" i="1" s="1"/>
  <c r="I43" i="1"/>
  <c r="F45" i="1"/>
  <c r="H45" i="1" s="1"/>
  <c r="F46" i="1"/>
  <c r="H46" i="1" s="1"/>
  <c r="F44" i="1"/>
  <c r="H44" i="1" s="1"/>
  <c r="F43" i="1"/>
  <c r="I37" i="1"/>
  <c r="K37" i="1" s="1"/>
  <c r="I29" i="1"/>
  <c r="K29" i="1" s="1"/>
  <c r="I36" i="1"/>
  <c r="K36" i="1" s="1"/>
  <c r="I32" i="1"/>
  <c r="K32" i="1" s="1"/>
  <c r="I31" i="1"/>
  <c r="K31" i="1" s="1"/>
  <c r="I34" i="1"/>
  <c r="K34" i="1" s="1"/>
  <c r="I33" i="1"/>
  <c r="F31" i="1"/>
  <c r="H31" i="1" s="1"/>
  <c r="F37" i="1"/>
  <c r="F29" i="1"/>
  <c r="F36" i="1"/>
  <c r="F32" i="1"/>
  <c r="F34" i="1"/>
  <c r="F33" i="1"/>
  <c r="P26" i="1"/>
  <c r="J7" i="2"/>
  <c r="O25" i="1"/>
  <c r="Q25" i="1" s="1"/>
  <c r="L25" i="1"/>
  <c r="M29" i="1" l="1"/>
  <c r="G40" i="1"/>
  <c r="S33" i="1"/>
  <c r="N33" i="1"/>
  <c r="S37" i="1"/>
  <c r="T37" i="1" s="1"/>
  <c r="N37" i="1"/>
  <c r="S32" i="1"/>
  <c r="T32" i="1" s="1"/>
  <c r="N32" i="1"/>
  <c r="S34" i="1"/>
  <c r="T34" i="1" s="1"/>
  <c r="N34" i="1"/>
  <c r="S36" i="1"/>
  <c r="T36" i="1" s="1"/>
  <c r="N36" i="1"/>
  <c r="N29" i="1"/>
  <c r="H35" i="1"/>
  <c r="M35" i="1"/>
  <c r="U26" i="1"/>
  <c r="U7" i="2" s="1"/>
  <c r="AI7" i="2" s="1"/>
  <c r="R25" i="1"/>
  <c r="K50" i="1"/>
  <c r="I51" i="1"/>
  <c r="L10" i="2" s="1"/>
  <c r="H50" i="1"/>
  <c r="F51" i="1"/>
  <c r="AC8" i="2"/>
  <c r="H36" i="1"/>
  <c r="F40" i="1"/>
  <c r="C8" i="2" s="1"/>
  <c r="H29" i="1"/>
  <c r="H33" i="1"/>
  <c r="H37" i="1"/>
  <c r="F47" i="1"/>
  <c r="C9" i="2" s="1"/>
  <c r="E9" i="2" s="1"/>
  <c r="H43" i="1"/>
  <c r="I47" i="1"/>
  <c r="I9" i="2" s="1"/>
  <c r="K43" i="1"/>
  <c r="K33" i="1"/>
  <c r="I40" i="1"/>
  <c r="H32" i="1"/>
  <c r="H34" i="1"/>
  <c r="O24" i="1"/>
  <c r="Q24" i="1" s="1"/>
  <c r="L24" i="1"/>
  <c r="R24" i="1" s="1"/>
  <c r="S29" i="1" l="1"/>
  <c r="M40" i="1"/>
  <c r="S35" i="1"/>
  <c r="T35" i="1" s="1"/>
  <c r="N35" i="1"/>
  <c r="T33" i="1"/>
  <c r="H40" i="1"/>
  <c r="D8" i="2"/>
  <c r="E8" i="2" s="1"/>
  <c r="K40" i="1"/>
  <c r="I8" i="2"/>
  <c r="L11" i="2"/>
  <c r="N10" i="2"/>
  <c r="N11" i="2" s="1"/>
  <c r="F10" i="2"/>
  <c r="H51" i="1"/>
  <c r="H47" i="1"/>
  <c r="K51" i="1"/>
  <c r="K47" i="1"/>
  <c r="O23" i="1"/>
  <c r="Q23" i="1" s="1"/>
  <c r="L23" i="1"/>
  <c r="S40" i="1" l="1"/>
  <c r="T40" i="1" s="1"/>
  <c r="T29" i="1"/>
  <c r="P8" i="2"/>
  <c r="Q8" i="2" s="1"/>
  <c r="N40" i="1"/>
  <c r="F11" i="2"/>
  <c r="H11" i="2" s="1"/>
  <c r="H10" i="2"/>
  <c r="R23" i="1"/>
  <c r="O22" i="1"/>
  <c r="L22" i="1"/>
  <c r="AD8" i="2" l="1"/>
  <c r="AE8" i="2" s="1"/>
  <c r="R22" i="1"/>
  <c r="L26" i="1"/>
  <c r="O26" i="1"/>
  <c r="Q22" i="1"/>
  <c r="K25" i="1"/>
  <c r="I24" i="1"/>
  <c r="K24" i="1" s="1"/>
  <c r="I23" i="1"/>
  <c r="K23" i="1" s="1"/>
  <c r="I22" i="1"/>
  <c r="G25" i="1"/>
  <c r="G24" i="1"/>
  <c r="M24" i="1" s="1"/>
  <c r="G23" i="1"/>
  <c r="M23" i="1" s="1"/>
  <c r="G22" i="1"/>
  <c r="F24" i="1"/>
  <c r="F23" i="1"/>
  <c r="F22" i="1"/>
  <c r="P19" i="1"/>
  <c r="J19" i="1"/>
  <c r="J6" i="2" s="1"/>
  <c r="O15" i="1"/>
  <c r="Q15" i="1" s="1"/>
  <c r="L15" i="1"/>
  <c r="M22" i="1" l="1"/>
  <c r="S22" i="1" s="1"/>
  <c r="T22" i="1" s="1"/>
  <c r="G26" i="1"/>
  <c r="S24" i="1"/>
  <c r="T24" i="1" s="1"/>
  <c r="N24" i="1"/>
  <c r="H25" i="1"/>
  <c r="M25" i="1"/>
  <c r="S23" i="1"/>
  <c r="T23" i="1" s="1"/>
  <c r="N23" i="1"/>
  <c r="H22" i="1"/>
  <c r="Q26" i="1"/>
  <c r="V7" i="2"/>
  <c r="O7" i="2"/>
  <c r="U19" i="1"/>
  <c r="U6" i="2" s="1"/>
  <c r="AI6" i="2" s="1"/>
  <c r="H23" i="1"/>
  <c r="I26" i="1"/>
  <c r="H24" i="1"/>
  <c r="R15" i="1"/>
  <c r="D7" i="2"/>
  <c r="F26" i="1"/>
  <c r="C7" i="2" s="1"/>
  <c r="K22" i="1"/>
  <c r="R26" i="1"/>
  <c r="O14" i="1"/>
  <c r="Q14" i="1" s="1"/>
  <c r="S26" i="1" l="1"/>
  <c r="N22" i="1"/>
  <c r="M26" i="1"/>
  <c r="P7" i="2" s="1"/>
  <c r="Q7" i="2" s="1"/>
  <c r="S25" i="1"/>
  <c r="T25" i="1" s="1"/>
  <c r="N25" i="1"/>
  <c r="K26" i="1"/>
  <c r="I7" i="2"/>
  <c r="AC7" i="2"/>
  <c r="E7" i="2"/>
  <c r="H26" i="1"/>
  <c r="O13" i="1"/>
  <c r="N26" i="1" l="1"/>
  <c r="AD7" i="2"/>
  <c r="AE7" i="2" s="1"/>
  <c r="T26" i="1"/>
  <c r="Q13" i="1"/>
  <c r="L14" i="1"/>
  <c r="R14" i="1" l="1"/>
  <c r="L13" i="1"/>
  <c r="R13" i="1" l="1"/>
  <c r="G18" i="1"/>
  <c r="M18" i="1" s="1"/>
  <c r="S18" i="1" s="1"/>
  <c r="G17" i="1"/>
  <c r="M17" i="1" s="1"/>
  <c r="S17" i="1" s="1"/>
  <c r="G16" i="1"/>
  <c r="M16" i="1" s="1"/>
  <c r="S16" i="1" s="1"/>
  <c r="G15" i="1"/>
  <c r="M15" i="1" s="1"/>
  <c r="G14" i="1"/>
  <c r="M14" i="1" s="1"/>
  <c r="G13" i="1"/>
  <c r="M13" i="1" s="1"/>
  <c r="N13" i="1" s="1"/>
  <c r="I18" i="1"/>
  <c r="K18" i="1" s="1"/>
  <c r="L18" i="1" s="1"/>
  <c r="I17" i="1"/>
  <c r="K17" i="1" s="1"/>
  <c r="L17" i="1" s="1"/>
  <c r="I16" i="1"/>
  <c r="K16" i="1" s="1"/>
  <c r="L16" i="1" s="1"/>
  <c r="I15" i="1"/>
  <c r="K15" i="1" s="1"/>
  <c r="I14" i="1"/>
  <c r="K14" i="1" s="1"/>
  <c r="I13" i="1"/>
  <c r="K13" i="1" s="1"/>
  <c r="F18" i="1"/>
  <c r="F17" i="1"/>
  <c r="F16" i="1"/>
  <c r="F15" i="1"/>
  <c r="F14" i="1"/>
  <c r="F13" i="1"/>
  <c r="S14" i="1" l="1"/>
  <c r="T14" i="1" s="1"/>
  <c r="N14" i="1"/>
  <c r="S15" i="1"/>
  <c r="T15" i="1" s="1"/>
  <c r="N15" i="1"/>
  <c r="S13" i="1"/>
  <c r="T13" i="1" s="1"/>
  <c r="M19" i="1"/>
  <c r="P6" i="2" s="1"/>
  <c r="H16" i="1"/>
  <c r="H15" i="1"/>
  <c r="F19" i="1"/>
  <c r="C6" i="2" s="1"/>
  <c r="G19" i="1"/>
  <c r="D6" i="2" s="1"/>
  <c r="H17" i="1"/>
  <c r="H14" i="1"/>
  <c r="H18" i="1"/>
  <c r="N16" i="1"/>
  <c r="O16" i="1" s="1"/>
  <c r="L19" i="1"/>
  <c r="I19" i="1"/>
  <c r="H13" i="1"/>
  <c r="N18" i="1"/>
  <c r="O18" i="1" s="1"/>
  <c r="Q18" i="1" s="1"/>
  <c r="N17" i="1"/>
  <c r="O17" i="1" s="1"/>
  <c r="Q17" i="1" s="1"/>
  <c r="P10" i="1"/>
  <c r="P53" i="1" s="1"/>
  <c r="O9" i="1"/>
  <c r="Q9" i="1" s="1"/>
  <c r="L9" i="1"/>
  <c r="J53" i="1" l="1"/>
  <c r="J5" i="2"/>
  <c r="J11" i="2" s="1"/>
  <c r="S19" i="1"/>
  <c r="AD6" i="2" s="1"/>
  <c r="E6" i="2"/>
  <c r="K19" i="1"/>
  <c r="I6" i="2"/>
  <c r="H19" i="1"/>
  <c r="N19" i="1"/>
  <c r="O6" i="2"/>
  <c r="U10" i="1"/>
  <c r="R9" i="1"/>
  <c r="R17" i="1"/>
  <c r="T17" i="1" s="1"/>
  <c r="R18" i="1"/>
  <c r="T18" i="1" s="1"/>
  <c r="Q16" i="1"/>
  <c r="O19" i="1"/>
  <c r="R16" i="1"/>
  <c r="O8" i="1"/>
  <c r="Q8" i="1" s="1"/>
  <c r="L8" i="1"/>
  <c r="U5" i="2" l="1"/>
  <c r="U53" i="1"/>
  <c r="Q19" i="1"/>
  <c r="V6" i="2"/>
  <c r="Q6" i="2"/>
  <c r="T16" i="1"/>
  <c r="R19" i="1"/>
  <c r="R8" i="1"/>
  <c r="O7" i="1"/>
  <c r="Q7" i="1" s="1"/>
  <c r="L7" i="1"/>
  <c r="AI5" i="2" l="1"/>
  <c r="AI11" i="2" s="1"/>
  <c r="U11" i="2"/>
  <c r="T19" i="1"/>
  <c r="AC6" i="2"/>
  <c r="R7" i="1"/>
  <c r="O6" i="1"/>
  <c r="Q6" i="1" s="1"/>
  <c r="L6" i="1"/>
  <c r="AE6" i="2" l="1"/>
  <c r="R6" i="1"/>
  <c r="O5" i="1"/>
  <c r="Q5" i="1" s="1"/>
  <c r="L5" i="1"/>
  <c r="R5" i="1" l="1"/>
  <c r="O4" i="1"/>
  <c r="L4" i="1"/>
  <c r="L10" i="1" l="1"/>
  <c r="R4" i="1"/>
  <c r="Q4" i="1"/>
  <c r="O10" i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s="1"/>
  <c r="G4" i="1"/>
  <c r="G10" i="1" l="1"/>
  <c r="S5" i="1"/>
  <c r="T5" i="1" s="1"/>
  <c r="N5" i="1"/>
  <c r="H4" i="1"/>
  <c r="M4" i="1"/>
  <c r="H6" i="1"/>
  <c r="M6" i="1"/>
  <c r="S8" i="1"/>
  <c r="T8" i="1" s="1"/>
  <c r="N8" i="1"/>
  <c r="S9" i="1"/>
  <c r="T9" i="1" s="1"/>
  <c r="N9" i="1"/>
  <c r="G7" i="1"/>
  <c r="M7" i="1" s="1"/>
  <c r="Q10" i="1"/>
  <c r="V5" i="2"/>
  <c r="V11" i="2" s="1"/>
  <c r="O53" i="1"/>
  <c r="Q53" i="1" s="1"/>
  <c r="O5" i="2"/>
  <c r="L53" i="1"/>
  <c r="H5" i="1"/>
  <c r="H9" i="1"/>
  <c r="H8" i="1"/>
  <c r="F7" i="1"/>
  <c r="F10" i="1" s="1"/>
  <c r="I7" i="1"/>
  <c r="K8" i="1"/>
  <c r="R10" i="1"/>
  <c r="M10" i="1" l="1"/>
  <c r="S7" i="1"/>
  <c r="T7" i="1" s="1"/>
  <c r="N7" i="1"/>
  <c r="S4" i="1"/>
  <c r="S10" i="1" s="1"/>
  <c r="N4" i="1"/>
  <c r="S6" i="1"/>
  <c r="T6" i="1" s="1"/>
  <c r="N6" i="1"/>
  <c r="H7" i="1"/>
  <c r="F53" i="1"/>
  <c r="C5" i="2"/>
  <c r="C11" i="2" s="1"/>
  <c r="AC5" i="2"/>
  <c r="R53" i="1"/>
  <c r="D5" i="2"/>
  <c r="G53" i="1"/>
  <c r="O11" i="2"/>
  <c r="H10" i="1"/>
  <c r="I10" i="1"/>
  <c r="K7" i="1"/>
  <c r="T4" i="1" l="1"/>
  <c r="P5" i="2"/>
  <c r="M53" i="1"/>
  <c r="N53" i="1" s="1"/>
  <c r="N10" i="1"/>
  <c r="H53" i="1"/>
  <c r="K10" i="1"/>
  <c r="I5" i="2"/>
  <c r="I11" i="2" s="1"/>
  <c r="I53" i="1"/>
  <c r="K53" i="1" s="1"/>
  <c r="D11" i="2"/>
  <c r="E11" i="2" s="1"/>
  <c r="E5" i="2"/>
  <c r="AC11" i="2"/>
  <c r="P11" i="2" l="1"/>
  <c r="Q11" i="2" s="1"/>
  <c r="Q5" i="2"/>
  <c r="AD5" i="2"/>
  <c r="S53" i="1"/>
  <c r="T53" i="1" s="1"/>
  <c r="T10" i="1"/>
  <c r="AD11" i="2" l="1"/>
  <c r="AE5" i="2"/>
  <c r="AE11" i="2" s="1"/>
</calcChain>
</file>

<file path=xl/sharedStrings.xml><?xml version="1.0" encoding="utf-8"?>
<sst xmlns="http://schemas.openxmlformats.org/spreadsheetml/2006/main" count="930" uniqueCount="137">
  <si>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</si>
  <si>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</si>
  <si>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</si>
  <si>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</si>
  <si>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</si>
  <si>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</si>
  <si>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</si>
  <si>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</si>
  <si>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</si>
  <si>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</si>
  <si>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</si>
  <si>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</si>
  <si>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</si>
  <si>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</si>
  <si>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</si>
  <si>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</si>
  <si>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</si>
  <si>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</si>
  <si>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</si>
  <si>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</si>
  <si>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</si>
  <si>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</si>
  <si>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</si>
  <si>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</si>
  <si>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</si>
  <si>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</si>
  <si>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</si>
  <si>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</si>
  <si>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</si>
  <si>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</si>
  <si>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</si>
  <si>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</si>
  <si>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-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</si>
  <si>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</si>
  <si>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</si>
  <si>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</si>
  <si>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</si>
  <si>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</si>
  <si>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</si>
  <si>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</si>
  <si>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</si>
  <si>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</si>
  <si>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</si>
  <si>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</si>
  <si>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</si>
  <si>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</si>
  <si>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</si>
  <si>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</si>
  <si>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</si>
  <si>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</si>
  <si>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</si>
  <si>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</si>
  <si>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</si>
  <si>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</si>
  <si>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</si>
  <si>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</si>
  <si>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</si>
  <si>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</si>
  <si>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</si>
  <si>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</si>
  <si>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</si>
  <si>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</si>
  <si>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</si>
  <si>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</si>
  <si>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</si>
  <si>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</si>
  <si>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</si>
  <si>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</si>
  <si>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</si>
  <si>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</si>
  <si>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</si>
  <si>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Varunkumar Mishra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</si>
  <si>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</si>
  <si>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</si>
  <si>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</si>
  <si>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</si>
  <si>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</si>
  <si>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</si>
  <si>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</si>
  <si>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</si>
  <si>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</si>
  <si>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</si>
  <si>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</si>
  <si>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</si>
  <si>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IC Subtotal — Geo X</t>
  </si>
  <si>
    <t>GRAND TOTAL — All IC (Revenue, excl. GeoX BL)</t>
  </si>
  <si>
    <t>VIEW 2 —LEADERSHIP   |   Booking (Revenue)   |   H1 &amp; Annual</t>
  </si>
  <si>
    <t>Ajay Patodia</t>
  </si>
  <si>
    <t>DCG</t>
  </si>
  <si>
    <t>Head</t>
  </si>
  <si>
    <t>Dipti  Karpe</t>
  </si>
  <si>
    <t>AVP</t>
  </si>
  <si>
    <t>Ishwari Santosh Kadam</t>
  </si>
  <si>
    <t>Vineet Gadia</t>
  </si>
  <si>
    <t>Sanjeev Kohli</t>
  </si>
  <si>
    <t>Yogesh Bhatia</t>
  </si>
  <si>
    <t>Jitesh Rajput</t>
  </si>
  <si>
    <t>Cloud</t>
  </si>
  <si>
    <t>Rocky Braganza</t>
  </si>
  <si>
    <t xml:space="preserve">CSN </t>
  </si>
  <si>
    <t>VIEW 3 — SUMMARY OUTLOOK   |   BU Roll-up   |   Revenue + Bottomline (BL)   |   H1 &amp; Annual</t>
  </si>
  <si>
    <t>Level / Name</t>
  </si>
  <si>
    <t>Q1 — Revenue (₹ Cr)</t>
  </si>
  <si>
    <t>Q1 — Bottomline (₹ Cr)</t>
  </si>
  <si>
    <t>Q2 — Revenue (₹ Cr)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</si>
  <si>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</si>
  <si>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</si>
  <si>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</si>
  <si>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</si>
  <si>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</si>
  <si>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</si>
  <si>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</si>
  <si>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</si>
  <si>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</si>
  <si>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</si>
  <si>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</si>
  <si>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</si>
  <si>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</si>
  <si>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</si>
  <si>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</si>
  <si>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</si>
  <si>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 xml:space="preserve"> RTM Division Level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</si>
  <si>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</si>
  <si>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</si>
  <si>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</si>
  <si>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</si>
  <si>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</si>
  <si>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</si>
  <si>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</si>
  <si>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</si>
  <si>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</si>
  <si>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</si>
  <si>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</si>
  <si>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</si>
  <si>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</si>
  <si>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</si>
  <si>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VIEW 9 — RTM CONTRIBUTION | CLOUD |   Booking (Revenue)   |   H1 &amp;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</si>
</sst>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7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9" fontId="11" fillId="11" borderId="0" xfId="1" applyFont="1" applyFill="1" applyAlignment="1">
      <alignment horizontal="right"/>
    </xf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1" Type="http://schemas.microsoft.com/office/2019/04/relationships/externalLinkLongPath" Target="Growth%20Business/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H8">
            <v>10</v>
          </cell>
          <cell r="I8">
            <v>15</v>
          </cell>
        </row>
        <row r="9">
          <cell r="H9">
            <v>1.1499999999999999</v>
          </cell>
          <cell r="I9">
            <v>1.65</v>
          </cell>
        </row>
        <row r="12">
          <cell r="H12" t="str">
            <v>Quota Split  H1 (In Crs.)</v>
          </cell>
        </row>
        <row r="13">
          <cell r="A13" t="str">
            <v>Name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Opportunity Pipeline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Z5" t="str">
            <v>Bottomline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Z6" t="str">
            <v>Bottomline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Z7" t="str">
            <v>Bottomline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Z8" t="str">
            <v>Bottomline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Z9" t="str">
            <v>Bottomline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Z10" t="str">
            <v>Bottomline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Z11" t="str">
            <v>Bottomline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Z12" t="str">
            <v>Bottomline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Z13" t="str">
            <v>Bottomline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Z14" t="str">
            <v>Bottomline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Z15" t="str">
            <v>Bottomline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Z16" t="str">
            <v>Bottomline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Z17" t="str">
            <v>Bottomline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Z18" t="str">
            <v>Bottomline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Z19" t="str">
            <v>Bottomline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Z20" t="str">
            <v>Bottomline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Z21" t="str">
            <v>Bottomline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Z22" t="str">
            <v>Bottomline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Z23" t="str">
            <v>Bottomline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Z24" t="str">
            <v>Bottomline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Z25" t="str">
            <v>Bottomline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Z26" t="str">
            <v>Bottomline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Z27" t="str">
            <v>Bottomline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Z28" t="str">
            <v>Bottomline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Z29" t="str">
            <v>Bottomline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Z30" t="str">
            <v>Bottomline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Z31" t="str">
            <v>Bottomline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Z32" t="str">
            <v>Bottomline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Z38" t="str">
            <v>NA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Z39" t="str">
            <v>NA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Z40" t="str">
            <v>NA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Z41" t="str">
            <v>AVP - S1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Z42" t="str">
            <v>AVP - S1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Z43" t="str">
            <v>AVP - S1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Z44" t="str">
            <v>AVP - S1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Z63" t="str">
            <v>NA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Z70" t="str">
            <v>NA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Z71" t="str">
            <v>NA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Z72" t="str">
            <v>NA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Z73" t="str">
            <v>NA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Z74" t="str">
            <v>NA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Z75" t="str">
            <v>NA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Z76" t="str">
            <v>NA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Z77" t="str">
            <v>NA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Z78" t="str">
            <v>NA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Z125" t="str">
            <v>NA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Z192" t="str">
            <v>NA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Z193" t="str">
            <v>NA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Z197" t="str">
            <v>NA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Z198" t="str">
            <v>NA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Z199" t="str">
            <v>NA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Z200" t="str">
            <v>NA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Z226" t="str">
            <v>TL - CB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Z230" t="str">
            <v>BU - Geo Expansion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Z264" t="str">
            <v>Self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Z290" t="str">
            <v xml:space="preserve">BU - Cloud 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Z291" t="str">
            <v xml:space="preserve">BU - Cloud 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Z292" t="str">
            <v xml:space="preserve">BU - Cloud 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Z293" t="str">
            <v>TL - CB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Z369" t="str">
            <v>Self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Z370" t="str">
            <v>Self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Z371" t="str">
            <v>Self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Z372" t="str">
            <v>Self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Z373" t="str">
            <v>Self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Z374" t="str">
            <v>Self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Z375" t="str">
            <v>Self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Z376" t="str">
            <v>Self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Z377" t="str">
            <v>Self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Z378" t="str">
            <v>Self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Z379" t="str">
            <v>Self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Z380" t="str">
            <v>Self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portunity Pipeline "/>
    </sheetNames>
    <sheetDataSet>
      <sheetData sheetId="0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Z3" t="str">
            <v>South</v>
          </cell>
        </row>
        <row r="4">
          <cell r="F4" t="str">
            <v>Prachi Mayekar</v>
          </cell>
          <cell r="K4" t="str">
            <v>Data Centre</v>
          </cell>
          <cell r="O4">
            <v>14500000</v>
          </cell>
          <cell r="Z4" t="str">
            <v>CB</v>
          </cell>
        </row>
        <row r="5">
          <cell r="F5" t="str">
            <v>Rohit Deshmukh</v>
          </cell>
          <cell r="K5" t="str">
            <v>Data Centre</v>
          </cell>
          <cell r="O5">
            <v>984960000</v>
          </cell>
          <cell r="Z5" t="str">
            <v>S2</v>
          </cell>
        </row>
        <row r="6">
          <cell r="F6" t="str">
            <v>Rohit Deshmukh</v>
          </cell>
          <cell r="K6" t="str">
            <v>Data Centre</v>
          </cell>
          <cell r="O6">
            <v>900000</v>
          </cell>
          <cell r="Z6" t="str">
            <v>S2</v>
          </cell>
        </row>
        <row r="7">
          <cell r="F7" t="str">
            <v>Sagar TR</v>
          </cell>
          <cell r="K7" t="str">
            <v>CSG (EndPoint)</v>
          </cell>
          <cell r="O7">
            <v>362400</v>
          </cell>
          <cell r="Z7" t="str">
            <v>South</v>
          </cell>
        </row>
        <row r="8">
          <cell r="F8" t="str">
            <v>Sagar TR</v>
          </cell>
          <cell r="K8" t="str">
            <v>Data Centre</v>
          </cell>
          <cell r="O8">
            <v>145000</v>
          </cell>
          <cell r="Z8" t="str">
            <v>S2</v>
          </cell>
        </row>
        <row r="9">
          <cell r="F9" t="str">
            <v>Sagar TR</v>
          </cell>
          <cell r="K9" t="str">
            <v>Data Centre</v>
          </cell>
          <cell r="O9">
            <v>631600</v>
          </cell>
          <cell r="Z9" t="str">
            <v>South</v>
          </cell>
        </row>
        <row r="10">
          <cell r="F10" t="str">
            <v>Sagar TR</v>
          </cell>
          <cell r="K10" t="str">
            <v>Data Centre</v>
          </cell>
          <cell r="O10">
            <v>1794000</v>
          </cell>
          <cell r="Z10" t="str">
            <v>South</v>
          </cell>
        </row>
        <row r="11">
          <cell r="F11" t="str">
            <v>Sagar TR</v>
          </cell>
          <cell r="K11" t="str">
            <v>Data Centre</v>
          </cell>
          <cell r="O11">
            <v>2025000</v>
          </cell>
          <cell r="Z11" t="str">
            <v>South</v>
          </cell>
        </row>
        <row r="12">
          <cell r="F12" t="str">
            <v>Shaik Khadhar</v>
          </cell>
          <cell r="K12" t="str">
            <v>Data Centre</v>
          </cell>
          <cell r="O12">
            <v>0</v>
          </cell>
          <cell r="Z12" t="str">
            <v>South</v>
          </cell>
        </row>
        <row r="13">
          <cell r="F13" t="str">
            <v>Tasneem K</v>
          </cell>
          <cell r="K13" t="str">
            <v>Data Centre</v>
          </cell>
          <cell r="O13">
            <v>1091540.1299999999</v>
          </cell>
          <cell r="Z13" t="str">
            <v>S1</v>
          </cell>
        </row>
        <row r="14">
          <cell r="F14" t="str">
            <v>Tasneem K</v>
          </cell>
          <cell r="K14" t="str">
            <v>CSG (EndPoint)</v>
          </cell>
          <cell r="O14">
            <v>275000</v>
          </cell>
          <cell r="Z14" t="str">
            <v>S1</v>
          </cell>
        </row>
        <row r="15">
          <cell r="F15" t="str">
            <v>Chirag Palande</v>
          </cell>
          <cell r="K15" t="str">
            <v>CSG (EndPoint)</v>
          </cell>
          <cell r="O15">
            <v>9601500</v>
          </cell>
          <cell r="Z15" t="str">
            <v>S2</v>
          </cell>
        </row>
        <row r="16">
          <cell r="F16" t="str">
            <v>Chirag Palande</v>
          </cell>
          <cell r="K16" t="str">
            <v>CSG (EndPoint)</v>
          </cell>
          <cell r="O16">
            <v>199500</v>
          </cell>
          <cell r="Z16" t="str">
            <v>S2</v>
          </cell>
        </row>
        <row r="17">
          <cell r="F17" t="str">
            <v>Jimesh Shah</v>
          </cell>
          <cell r="K17" t="str">
            <v>CSG (EndPoint)</v>
          </cell>
          <cell r="O17">
            <v>22400</v>
          </cell>
          <cell r="Z17" t="str">
            <v>CB</v>
          </cell>
        </row>
        <row r="18">
          <cell r="F18" t="str">
            <v>Ajay Patodia</v>
          </cell>
          <cell r="K18" t="str">
            <v>Professional Services</v>
          </cell>
          <cell r="O18">
            <v>4998498</v>
          </cell>
          <cell r="Z18" t="str">
            <v>DCG BU Head</v>
          </cell>
        </row>
        <row r="19">
          <cell r="F19" t="str">
            <v>Hrushikesh Bagade</v>
          </cell>
          <cell r="K19" t="str">
            <v>Professional Services</v>
          </cell>
          <cell r="O19">
            <v>169490</v>
          </cell>
          <cell r="Z19" t="str">
            <v>GeoX</v>
          </cell>
        </row>
        <row r="20">
          <cell r="F20" t="str">
            <v>Rima Ingle</v>
          </cell>
          <cell r="K20" t="str">
            <v>Professional Services</v>
          </cell>
          <cell r="O20">
            <v>53100</v>
          </cell>
          <cell r="Z20" t="str">
            <v>GB</v>
          </cell>
        </row>
        <row r="21">
          <cell r="F21" t="str">
            <v>Rohit Deshmukh</v>
          </cell>
          <cell r="K21" t="str">
            <v>Cyber Security &amp; Networking</v>
          </cell>
          <cell r="O21">
            <v>80000</v>
          </cell>
          <cell r="Z21" t="str">
            <v>S2</v>
          </cell>
        </row>
        <row r="22">
          <cell r="F22" t="str">
            <v>Rohit Deshmukh</v>
          </cell>
          <cell r="K22" t="str">
            <v>Cyber Security &amp; Networking</v>
          </cell>
          <cell r="O22">
            <v>455169</v>
          </cell>
          <cell r="Z22" t="str">
            <v>S2</v>
          </cell>
        </row>
        <row r="23">
          <cell r="F23" t="str">
            <v>Jimesh Shah</v>
          </cell>
          <cell r="K23" t="str">
            <v>Cyber Security &amp; Networking</v>
          </cell>
          <cell r="O23">
            <v>92000</v>
          </cell>
          <cell r="Z23" t="str">
            <v>CB</v>
          </cell>
        </row>
        <row r="24">
          <cell r="F24" t="str">
            <v>Sagar TR</v>
          </cell>
          <cell r="K24" t="str">
            <v>Cyber Security &amp; Networking</v>
          </cell>
          <cell r="O24">
            <v>31000</v>
          </cell>
          <cell r="Z24" t="str">
            <v>South</v>
          </cell>
        </row>
        <row r="25">
          <cell r="F25" t="str">
            <v>Sagar TR</v>
          </cell>
          <cell r="K25" t="str">
            <v>Cyber Security &amp; Networking</v>
          </cell>
          <cell r="O25">
            <v>6349</v>
          </cell>
          <cell r="Z25" t="str">
            <v>South</v>
          </cell>
        </row>
        <row r="26">
          <cell r="F26" t="str">
            <v>Shubhangi Srinivasan</v>
          </cell>
          <cell r="K26" t="str">
            <v>Cyber Security &amp; Networking</v>
          </cell>
          <cell r="O26">
            <v>8600000</v>
          </cell>
          <cell r="Z26" t="str">
            <v>GB</v>
          </cell>
        </row>
        <row r="27">
          <cell r="F27" t="str">
            <v>Tasneem K</v>
          </cell>
          <cell r="K27" t="str">
            <v>Cyber Security &amp; Networking</v>
          </cell>
          <cell r="O27">
            <v>16900000</v>
          </cell>
          <cell r="Z27" t="str">
            <v>S1</v>
          </cell>
        </row>
        <row r="28">
          <cell r="F28" t="str">
            <v>Rohit Deshmukh</v>
          </cell>
          <cell r="K28" t="str">
            <v>CSG (EndPoint)</v>
          </cell>
          <cell r="O28">
            <v>800000</v>
          </cell>
          <cell r="Z28" t="str">
            <v>S2</v>
          </cell>
        </row>
        <row r="29">
          <cell r="F29" t="str">
            <v>Sankeerth Bhargav</v>
          </cell>
          <cell r="K29" t="str">
            <v>CSG (EndPoint)</v>
          </cell>
          <cell r="O29">
            <v>667800</v>
          </cell>
          <cell r="Z29" t="str">
            <v>S2</v>
          </cell>
        </row>
        <row r="30">
          <cell r="F30" t="str">
            <v>Pratik Kadam</v>
          </cell>
          <cell r="K30" t="str">
            <v>CSG (EndPoint)</v>
          </cell>
          <cell r="O30">
            <v>87000</v>
          </cell>
          <cell r="Z30" t="str">
            <v>S1</v>
          </cell>
        </row>
        <row r="31">
          <cell r="F31" t="str">
            <v>Jay Rushi</v>
          </cell>
          <cell r="K31" t="str">
            <v>CSG (EndPoint)</v>
          </cell>
          <cell r="O31">
            <v>1700</v>
          </cell>
          <cell r="Z31" t="str">
            <v>GB</v>
          </cell>
        </row>
        <row r="32">
          <cell r="F32" t="str">
            <v>Jay Rushi</v>
          </cell>
          <cell r="K32" t="str">
            <v>CSG (EndPoint)</v>
          </cell>
          <cell r="O32">
            <v>39000</v>
          </cell>
          <cell r="Z32" t="str">
            <v>GB</v>
          </cell>
        </row>
        <row r="33">
          <cell r="F33" t="str">
            <v>Jay Rushi</v>
          </cell>
          <cell r="K33" t="str">
            <v>CSG (EndPoint)</v>
          </cell>
          <cell r="O33">
            <v>167954</v>
          </cell>
          <cell r="Z33" t="str">
            <v>GB</v>
          </cell>
        </row>
        <row r="34">
          <cell r="F34" t="str">
            <v>Varunkumar Mishra</v>
          </cell>
          <cell r="K34" t="str">
            <v>CSG (EndPoint)</v>
          </cell>
          <cell r="O34">
            <v>210638</v>
          </cell>
          <cell r="Z34" t="str">
            <v>GB</v>
          </cell>
        </row>
        <row r="35">
          <cell r="F35" t="str">
            <v>Chirag Palande</v>
          </cell>
          <cell r="K35" t="str">
            <v>Data Centre</v>
          </cell>
          <cell r="O35">
            <v>33000000</v>
          </cell>
        </row>
        <row r="36">
          <cell r="F36" t="str">
            <v>Chirag Palande</v>
          </cell>
          <cell r="K36" t="str">
            <v>Data Centre</v>
          </cell>
          <cell r="O36">
            <v>33000000</v>
          </cell>
        </row>
        <row r="37">
          <cell r="F37" t="str">
            <v>Chirag Palande</v>
          </cell>
          <cell r="K37" t="str">
            <v>Data Centre</v>
          </cell>
          <cell r="O37">
            <v>33000000</v>
          </cell>
        </row>
        <row r="38">
          <cell r="F38" t="str">
            <v>Prachi Mayekar</v>
          </cell>
          <cell r="K38" t="str">
            <v>Data Centre</v>
          </cell>
          <cell r="O38">
            <v>14500000</v>
          </cell>
        </row>
        <row r="39">
          <cell r="F39" t="str">
            <v>Sankeerth Bhargav</v>
          </cell>
          <cell r="K39" t="str">
            <v>Data Centre</v>
          </cell>
          <cell r="O39">
            <v>38348039</v>
          </cell>
        </row>
        <row r="40">
          <cell r="F40" t="str">
            <v>Chetna Sharma</v>
          </cell>
          <cell r="K40" t="str">
            <v>CSG (EndPoint)</v>
          </cell>
          <cell r="O40">
            <v>6310392</v>
          </cell>
        </row>
        <row r="41">
          <cell r="F41" t="str">
            <v>Chirag Palande</v>
          </cell>
          <cell r="K41" t="str">
            <v>CSG (EndPoint)</v>
          </cell>
          <cell r="O41">
            <v>9601500</v>
          </cell>
        </row>
        <row r="42">
          <cell r="F42" t="str">
            <v>Rohit Deshmukh</v>
          </cell>
          <cell r="K42" t="str">
            <v>Cyber Security &amp; Networking</v>
          </cell>
          <cell r="O42">
            <v>80000</v>
          </cell>
        </row>
        <row r="43">
          <cell r="F43" t="str">
            <v>Rohit Deshmukh</v>
          </cell>
          <cell r="K43" t="str">
            <v>Cyber Security &amp; Networking</v>
          </cell>
          <cell r="O43">
            <v>748050</v>
          </cell>
        </row>
        <row r="44">
          <cell r="F44" t="str">
            <v>Rohit Deshmukh</v>
          </cell>
          <cell r="K44" t="str">
            <v>Cyber Security &amp; Networking</v>
          </cell>
          <cell r="O44">
            <v>2159406.77</v>
          </cell>
        </row>
        <row r="45">
          <cell r="F45" t="str">
            <v>Rohit Deshmukh</v>
          </cell>
          <cell r="K45" t="str">
            <v>Cyber Security &amp; Networking</v>
          </cell>
          <cell r="O45">
            <v>455169</v>
          </cell>
        </row>
        <row r="46">
          <cell r="F46" t="str">
            <v>Tasneem K</v>
          </cell>
          <cell r="K46" t="str">
            <v>Cyber Security &amp; Networking</v>
          </cell>
          <cell r="O46">
            <v>16900000</v>
          </cell>
        </row>
        <row r="47">
          <cell r="F47" t="str">
            <v>Rohit Deshmukh</v>
          </cell>
          <cell r="K47" t="str">
            <v>CSG (EndPoint)</v>
          </cell>
          <cell r="O47">
            <v>1690000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250000000</v>
          </cell>
        </row>
        <row r="12">
          <cell r="D12">
            <v>350000000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AA53"/>
  <sheetViews>
    <sheetView tabSelected="1" zoomScale="85" zoomScaleNormal="85" workbookViewId="0">
      <pane ySplit="1" topLeftCell="A2" activePane="bottomLeft" state="frozen"/>
      <selection pane="bottomLeft" activeCell="M53" sqref="M53"/>
    </sheetView>
  </sheetViews>
  <sheetFormatPr defaultColWidth="0" defaultRowHeight="14.45"/>
  <cols>
    <col min="1" max="1" width="8.85546875" customWidth="1"/>
    <col min="2" max="2" width="24.5703125" bestFit="1" customWidth="1"/>
    <col min="3" max="4" width="8.85546875" customWidth="1"/>
    <col min="5" max="5" width="17" bestFit="1" customWidth="1"/>
    <col min="6" max="7" width="8.85546875" customWidth="1"/>
    <col min="8" max="8" width="14" customWidth="1"/>
    <col min="9" max="13" width="8.85546875" customWidth="1"/>
    <col min="14" max="14" width="12.28515625" customWidth="1"/>
    <col min="15" max="20" width="8.85546875" customWidth="1"/>
    <col min="21" max="21" width="10.7109375" customWidth="1"/>
    <col min="22" max="27" width="0" hidden="1" customWidth="1"/>
    <col min="28" max="16384" width="8.85546875" hidden="1"/>
  </cols>
  <sheetData>
    <row r="1" spans="1:26" ht="27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ht="36" customHeight="1" thickBo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>
      <c r="A3" s="62" t="s">
        <v>27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spans="1:26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SUMIF('[1]S1 '!$B:$B,"Tasneem khatri",'[1]S1 '!$H:$H)</f>
        <v>35.075000000000003</v>
      </c>
      <c r="G4" s="31">
        <f>SUMIF('[2]Opportunity Pipeline'!$F:$F, "Tasneem k",'[2]Opportunity Pipeline'!$O:$O)/10^7</f>
        <v>15.920587479000002</v>
      </c>
      <c r="H4" s="32">
        <f>IFERROR(G4/F4,"-")</f>
        <v>0.45390128236635779</v>
      </c>
      <c r="I4" s="30">
        <f>SUMIF('[1]S1 '!$B:$B,"Tasneem khatri",'[1]S1 '!$I:$I)</f>
        <v>95.275000000000006</v>
      </c>
      <c r="J4" s="31">
        <f>SUMIF('[3]Opportunity Pipeline '!$F:$F,"Tasneem K",'[3]Opportunity Pipeline '!$O:$O)/10^7</f>
        <v>3.5166540129999997</v>
      </c>
      <c r="K4" s="32">
        <f>IFERROR(J4/I4,"-")</f>
        <v>3.6910564292836519E-2</v>
      </c>
      <c r="L4" s="33">
        <f>'[4]Tasneem- TARGET LETTER - 26-27'!$D$9/10^7</f>
        <v>130.35</v>
      </c>
      <c r="M4" s="31">
        <f>SUM(G4,J4)</f>
        <v>19.437241492000002</v>
      </c>
      <c r="N4" s="32">
        <f>IFERROR(M4/L4,"-")</f>
        <v>0.14911577669351747</v>
      </c>
      <c r="O4" s="27">
        <f>'[4]Tasneem- TARGET LETTER - 26-27'!$D$16/10^7</f>
        <v>129.65</v>
      </c>
      <c r="P4" s="27" t="s">
        <v>32</v>
      </c>
      <c r="Q4" s="32" t="str">
        <f>IFERROR(P4/O4,"-")</f>
        <v>-</v>
      </c>
      <c r="R4" s="33">
        <f>SUM(L4,O4)</f>
        <v>260</v>
      </c>
      <c r="S4" s="33">
        <f>SUM(M4,P4)</f>
        <v>19.437241492000002</v>
      </c>
      <c r="T4" s="32">
        <f>IFERROR(S4/R4,"-")</f>
        <v>7.4758621123076935E-2</v>
      </c>
      <c r="U4" s="27">
        <f>COUNTIF('[2]Opportunity Pipeline'!$F:$F,"Tasneem K")+ COUNTIF('[3]Opportunity Pipeline '!$F:$F,"Tasneem K")</f>
        <v>11</v>
      </c>
    </row>
    <row r="5" spans="1:26">
      <c r="A5">
        <v>2</v>
      </c>
      <c r="B5" s="3" t="s">
        <v>33</v>
      </c>
      <c r="C5" s="6" t="s">
        <v>29</v>
      </c>
      <c r="D5" s="7" t="s">
        <v>30</v>
      </c>
      <c r="E5" s="8" t="s">
        <v>31</v>
      </c>
      <c r="F5" s="30">
        <f>SUMIF('[1]S1 '!$B:$B,"Riya Roshyara",'[1]S1 '!$H:$H)</f>
        <v>20</v>
      </c>
      <c r="G5" s="31">
        <f>SUMIF('[2]Opportunity Pipeline'!$F:$F, "Riya Bhatt",'[2]Opportunity Pipeline'!$O:$O)/10^7</f>
        <v>0.57979999999999998</v>
      </c>
      <c r="H5" s="32">
        <f t="shared" ref="H5:H9" si="0">IFERROR(G5/F5,"-")</f>
        <v>2.8989999999999998E-2</v>
      </c>
      <c r="I5" s="30">
        <f>SUMIF('[1]S1 '!$B:$B,"Riya Roshyara",'[1]S1 '!$I:$I)</f>
        <v>38</v>
      </c>
      <c r="J5" s="31">
        <f>SUMIF('[3]Opportunity Pipeline '!$F:$F,"Riya Bhatt",'[3]Opportunity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32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COUNTIF('[2]Opportunity Pipeline'!$F:$F,"Riya Bhatt")+ COUNTIF('[3]Opportunity Pipeline '!$F:$F,"Riya Bhatt")</f>
        <v>2</v>
      </c>
    </row>
    <row r="6" spans="1:26">
      <c r="A6">
        <v>3</v>
      </c>
      <c r="B6" s="3" t="s">
        <v>34</v>
      </c>
      <c r="C6" s="6" t="s">
        <v>29</v>
      </c>
      <c r="D6" s="7" t="s">
        <v>30</v>
      </c>
      <c r="E6" s="8" t="s">
        <v>31</v>
      </c>
      <c r="F6" s="30">
        <f>SUMIF('[1]S1 '!$B:$B,"Pratik Kadam",'[1]S1 '!$H:$H)</f>
        <v>3</v>
      </c>
      <c r="G6" s="31">
        <f>SUMIF('[2]Opportunity Pipeline'!$F:$F, "Pratik Kadam",'[2]Opportunity Pipeline'!$O:$O)/10^7</f>
        <v>1.4004570359999999</v>
      </c>
      <c r="H6" s="32">
        <f t="shared" si="0"/>
        <v>0.46681901199999998</v>
      </c>
      <c r="I6" s="30">
        <f>SUMIF('[1]S1 '!$B:$B,"Pratik Kadam",'[1]S1 '!$I:$I)</f>
        <v>2</v>
      </c>
      <c r="J6" s="31">
        <f>SUMIF('[3]Opportunity Pipeline '!$F:$F,"Pratik Kadam",'[3]Opportunity Pipeline '!$O:$O)/10^7</f>
        <v>8.6999999999999994E-3</v>
      </c>
      <c r="K6" s="32">
        <f t="shared" si="1"/>
        <v>4.3499999999999997E-3</v>
      </c>
      <c r="L6" s="27">
        <f>'[6]Pratik- TARGET LETTER - 26-27'!$D$9/10^7</f>
        <v>5</v>
      </c>
      <c r="M6" s="31">
        <f t="shared" si="2"/>
        <v>1.4091570359999999</v>
      </c>
      <c r="N6" s="32">
        <f t="shared" si="3"/>
        <v>0.28183140719999999</v>
      </c>
      <c r="O6" s="27">
        <f>'[6]Pratik- TARGET LETTER - 26-27'!$D$10/10^7</f>
        <v>5</v>
      </c>
      <c r="P6" s="27" t="s">
        <v>32</v>
      </c>
      <c r="Q6" s="32" t="str">
        <f t="shared" si="4"/>
        <v>-</v>
      </c>
      <c r="R6" s="33">
        <f t="shared" si="5"/>
        <v>10</v>
      </c>
      <c r="S6" s="33">
        <f t="shared" si="6"/>
        <v>1.4091570359999999</v>
      </c>
      <c r="T6" s="32">
        <f t="shared" si="7"/>
        <v>0.1409157036</v>
      </c>
      <c r="U6" s="27">
        <f>COUNTIF('[2]Opportunity Pipeline'!$F:$F,"Pratik Kadam")+ COUNTIF('[3]Opportunity Pipeline '!$F:$F,"Pratik Kadam")</f>
        <v>39</v>
      </c>
    </row>
    <row r="7" spans="1:26">
      <c r="A7" s="24">
        <v>4</v>
      </c>
      <c r="B7" s="20" t="s">
        <v>35</v>
      </c>
      <c r="C7" s="21" t="s">
        <v>29</v>
      </c>
      <c r="D7" s="22" t="s">
        <v>30</v>
      </c>
      <c r="E7" s="23" t="s">
        <v>36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SUMIF('[3]Opportunity Pipeline '!$F:$F,"Prashant Ddugu",'[3]Opportunity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32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COUNTIF('[2]Opportunity Pipeline'!$F:$F,"Prashant Ddugu")+ COUNTIF('[3]Opportunity Pipeline '!$F:$F,"Prashant Ddugu")</f>
        <v>0</v>
      </c>
    </row>
    <row r="8" spans="1:26">
      <c r="A8">
        <v>5</v>
      </c>
      <c r="B8" s="3" t="s">
        <v>37</v>
      </c>
      <c r="C8" s="6" t="s">
        <v>29</v>
      </c>
      <c r="D8" s="7" t="s">
        <v>30</v>
      </c>
      <c r="E8" s="8" t="s">
        <v>31</v>
      </c>
      <c r="F8" s="30">
        <f>SUMIF('[1]S1 '!$B:$B,"Chirag Palande",'[1]S1 '!$H:$H)</f>
        <v>13</v>
      </c>
      <c r="G8" s="31">
        <f>SUMIF('[2]Opportunity Pipeline'!$F:$F, "Chirag Palande",'[2]Opportunity Pipeline'!$O:$O)/10^7</f>
        <v>0.12866739999999999</v>
      </c>
      <c r="H8" s="32">
        <f t="shared" si="0"/>
        <v>9.8974923076923065E-3</v>
      </c>
      <c r="I8" s="30">
        <f>SUMIF('[1]S1 '!$B:$B,"Chirag Palande",'[1]S1 '!$I:$I)</f>
        <v>10</v>
      </c>
      <c r="J8" s="31">
        <f>SUMIF('[3]Opportunity Pipeline '!$F:$F,"Chirag Palande",'[3]Opportunity Pipeline '!$O:$O)/10^7</f>
        <v>11.840249999999999</v>
      </c>
      <c r="K8" s="32">
        <f t="shared" si="1"/>
        <v>1.1840249999999999</v>
      </c>
      <c r="L8" s="27">
        <f>'[8]Chirag- TARGET LETTER - 26-27'!$D$9/10^7</f>
        <v>27.5</v>
      </c>
      <c r="M8" s="31">
        <f t="shared" si="2"/>
        <v>11.968917399999999</v>
      </c>
      <c r="N8" s="32">
        <f t="shared" si="3"/>
        <v>0.43523335999999996</v>
      </c>
      <c r="O8" s="27">
        <f>'[8]Chirag- TARGET LETTER - 26-27'!$D$14/10^7</f>
        <v>32.5</v>
      </c>
      <c r="P8" s="27" t="s">
        <v>32</v>
      </c>
      <c r="Q8" s="32" t="str">
        <f t="shared" si="4"/>
        <v>-</v>
      </c>
      <c r="R8" s="33">
        <f t="shared" si="5"/>
        <v>60</v>
      </c>
      <c r="S8" s="33">
        <f t="shared" si="6"/>
        <v>11.968917399999999</v>
      </c>
      <c r="T8" s="32">
        <f t="shared" si="7"/>
        <v>0.19948195666666665</v>
      </c>
      <c r="U8" s="27">
        <f>COUNTIF('[2]Opportunity Pipeline'!$F:$F,"Chirag Palande")+ COUNTIF('[3]Opportunity Pipeline '!$F:$F,"Chirag Palande")</f>
        <v>9</v>
      </c>
    </row>
    <row r="9" spans="1:26">
      <c r="A9">
        <v>6</v>
      </c>
      <c r="B9" s="3" t="s">
        <v>38</v>
      </c>
      <c r="C9" s="6" t="s">
        <v>29</v>
      </c>
      <c r="D9" s="7" t="s">
        <v>30</v>
      </c>
      <c r="E9" s="8" t="s">
        <v>31</v>
      </c>
      <c r="F9" s="30">
        <f>SUMIF('[1]S1 '!$B:$B,"Richa Tiwari",'[1]S1 '!$H:$H)</f>
        <v>8.2999999999999989</v>
      </c>
      <c r="G9" s="31">
        <f>SUMIF('[2]Opportunity Pipeline'!$F:$F, "RICHA TIWARI",'[2]Opportunity Pipeline'!$O:$O)/10^7</f>
        <v>18.887980778000003</v>
      </c>
      <c r="H9" s="32">
        <f t="shared" si="0"/>
        <v>2.275660334698796</v>
      </c>
      <c r="I9" s="30">
        <f>SUMIF('[1]S1 '!$B:$B,"Richa Tiwari",'[1]S1 '!$I:$I)</f>
        <v>16.949999999999996</v>
      </c>
      <c r="J9" s="31">
        <f>SUMIF('[3]Opportunity Pipeline '!$F:$F,"Richa Tiwari",'[3]Opportunity Pipeline '!$O:$O)/10^7</f>
        <v>0</v>
      </c>
      <c r="K9" s="32">
        <f t="shared" si="1"/>
        <v>0</v>
      </c>
      <c r="L9" s="27">
        <f>'[9]Richa- TARGET LETTER - 26-27'!$D$9/10^7</f>
        <v>25</v>
      </c>
      <c r="M9" s="31">
        <f t="shared" si="2"/>
        <v>18.887980778000003</v>
      </c>
      <c r="N9" s="32">
        <f t="shared" si="3"/>
        <v>0.75551923112000008</v>
      </c>
      <c r="O9" s="27">
        <f>'[9]Richa- TARGET LETTER - 26-27'!$D$12/10^7</f>
        <v>35</v>
      </c>
      <c r="P9" s="27" t="s">
        <v>32</v>
      </c>
      <c r="Q9" s="32" t="str">
        <f t="shared" si="4"/>
        <v>-</v>
      </c>
      <c r="R9" s="33">
        <f t="shared" si="5"/>
        <v>60</v>
      </c>
      <c r="S9" s="33">
        <f t="shared" si="6"/>
        <v>18.887980778000003</v>
      </c>
      <c r="T9" s="32">
        <f t="shared" si="7"/>
        <v>0.31479967963333338</v>
      </c>
      <c r="U9" s="27">
        <f>COUNTIF('[2]Opportunity Pipeline'!$F:$F,"Richa Tiwari")+ COUNTIF('[3]Opportunity Pipeline '!$F:$F,"Richa Tiwari")</f>
        <v>41</v>
      </c>
    </row>
    <row r="10" spans="1:26" s="44" customFormat="1">
      <c r="B10" s="5" t="s">
        <v>39</v>
      </c>
      <c r="F10" s="45">
        <f>SUM(F4:F9)</f>
        <v>108.175</v>
      </c>
      <c r="G10" s="45">
        <f>SUM(G4,G5,G6,G8,G9)</f>
        <v>36.917492693</v>
      </c>
      <c r="H10" s="46">
        <f>G10/F10</f>
        <v>0.34127564310607811</v>
      </c>
      <c r="I10" s="45">
        <f t="shared" ref="I10:U10" si="8">SUM(I4:I9)</f>
        <v>194.17499999999998</v>
      </c>
      <c r="J10" s="45">
        <f>SUM(J4,J5,J6,J8,J9)</f>
        <v>15.365604012999999</v>
      </c>
      <c r="K10" s="46">
        <f>J10/I10</f>
        <v>7.9132761750997815E-2</v>
      </c>
      <c r="L10" s="45">
        <f t="shared" si="8"/>
        <v>307.35000000000002</v>
      </c>
      <c r="M10" s="45">
        <f>SUM(M4,M5,M6,M8,M9)</f>
        <v>52.283096705999995</v>
      </c>
      <c r="N10" s="46">
        <f>M10/L10</f>
        <v>0.17010931090287942</v>
      </c>
      <c r="O10" s="45">
        <f t="shared" si="8"/>
        <v>352.65</v>
      </c>
      <c r="P10" s="45">
        <f t="shared" si="8"/>
        <v>0</v>
      </c>
      <c r="Q10" s="46">
        <f>P10/O10</f>
        <v>0</v>
      </c>
      <c r="R10" s="45">
        <f t="shared" si="8"/>
        <v>660</v>
      </c>
      <c r="S10" s="45">
        <f>SUM(S4,S5,S6,S8,S9)</f>
        <v>52.283096705999995</v>
      </c>
      <c r="T10" s="46">
        <f>S10/R10</f>
        <v>7.9216813190909077E-2</v>
      </c>
      <c r="U10" s="47">
        <f t="shared" si="8"/>
        <v>102</v>
      </c>
    </row>
    <row r="11" spans="1:26" ht="15" thickBot="1"/>
    <row r="12" spans="1:26" ht="15" thickBot="1">
      <c r="A12" s="62" t="s">
        <v>40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>
      <c r="A13">
        <v>1</v>
      </c>
      <c r="B13" s="3" t="s">
        <v>41</v>
      </c>
      <c r="C13" s="6" t="s">
        <v>42</v>
      </c>
      <c r="D13" s="7" t="s">
        <v>30</v>
      </c>
      <c r="E13" s="8" t="s">
        <v>31</v>
      </c>
      <c r="F13" s="30">
        <f>SUMIF('[1]S2 '!$B$1:$B$45,"Rohit",'[1]S2 '!$G$1:$G$45)</f>
        <v>29</v>
      </c>
      <c r="G13" s="31">
        <f>SUMIF('[2]Opportunity Pipeline'!$F:$F, "Rohit Deshmukh",'[2]Opportunity Pipeline'!$O:$O)/10^7</f>
        <v>2.2971171500000001</v>
      </c>
      <c r="H13" s="32">
        <f t="shared" ref="H13:H18" si="9">IFERROR(G13/F13,"-")</f>
        <v>7.9210936206896551E-2</v>
      </c>
      <c r="I13" s="30">
        <f>SUMIF('[1]S2 '!$B$1:$B$45,"Rohit",'[1]S2 '!$H$1:$H$45)</f>
        <v>53</v>
      </c>
      <c r="J13" s="31">
        <f>SUMIF('[3]Opportunity Pipeline '!$F:$F,"Rohit Deshmukh",'[3]Opportunity Pipeline '!$O:$O)/10^7</f>
        <v>99.232779476999994</v>
      </c>
      <c r="K13" s="32">
        <f>IFERROR(J13/I13,"-")</f>
        <v>1.8723165939056603</v>
      </c>
      <c r="L13" s="33">
        <f>'[10]Rohit- TARGET LETTER - 26-27'!$D$9/10^7</f>
        <v>76</v>
      </c>
      <c r="M13" s="31">
        <f t="shared" ref="M13:M18" si="10">SUM(G13,J13)</f>
        <v>101.529896627</v>
      </c>
      <c r="N13" s="32">
        <f t="shared" ref="N13:N18" si="11">IFERROR(M13/L13,"-")</f>
        <v>1.3359196924605263</v>
      </c>
      <c r="O13" s="27">
        <f>'[10]Rohit- TARGET LETTER - 26-27'!$D$12/10^7</f>
        <v>59</v>
      </c>
      <c r="P13" s="27" t="s">
        <v>32</v>
      </c>
      <c r="Q13" s="32" t="str">
        <f t="shared" ref="Q13:Q18" si="12">IFERROR(P13/O13,"-")</f>
        <v>-</v>
      </c>
      <c r="R13" s="33">
        <f>SUM(L13,O13)</f>
        <v>135</v>
      </c>
      <c r="S13" s="33">
        <f>SUM(M13,P13)</f>
        <v>101.529896627</v>
      </c>
      <c r="T13" s="32">
        <f t="shared" ref="T13:T18" si="13">IFERROR(S13/R13,"-")</f>
        <v>0.75207330834814812</v>
      </c>
      <c r="U13" s="27">
        <f>COUNTIF('[2]Opportunity Pipeline'!$F:$F,"Rohit Deshmukh")+ COUNTIF('[3]Opportunity Pipeline '!$F:$F,"Rohit Deshmukh")</f>
        <v>19</v>
      </c>
    </row>
    <row r="14" spans="1:26">
      <c r="A14">
        <v>2</v>
      </c>
      <c r="B14" s="3" t="s">
        <v>43</v>
      </c>
      <c r="C14" s="6" t="s">
        <v>42</v>
      </c>
      <c r="D14" s="7" t="s">
        <v>30</v>
      </c>
      <c r="E14" s="8" t="s">
        <v>31</v>
      </c>
      <c r="F14" s="30">
        <f>SUMIF('[1]S2 '!$B$1:$B$45,"Chetna",'[1]S2 '!$G$1:$G$45)</f>
        <v>8</v>
      </c>
      <c r="G14" s="31">
        <f>SUMIF('[2]Opportunity Pipeline'!$F:$F, "Chetna Sharma",'[2]Opportunity Pipeline'!$O:$O)/10^7</f>
        <v>11.771068571999999</v>
      </c>
      <c r="H14" s="32">
        <f t="shared" si="9"/>
        <v>1.4713835714999999</v>
      </c>
      <c r="I14" s="30">
        <f>SUMIF('[1]S2 '!$B$1:$B$45,"Chetna",'[1]S2 '!$H$1:$H$45)</f>
        <v>10</v>
      </c>
      <c r="J14" s="31">
        <f>SUMIF('[3]Opportunity Pipeline '!$F:$F,"Chetna Sharma",'[3]Opportunity Pipeline '!$O:$O)/10^7</f>
        <v>0.63103920000000002</v>
      </c>
      <c r="K14" s="32">
        <f t="shared" ref="K14:L18" si="14">IFERROR(J14/I14,"-")</f>
        <v>6.3103920000000008E-2</v>
      </c>
      <c r="L14" s="27">
        <f>'[11]Chetna- TARGET LETTER - 26-27'!$D$9/10^7</f>
        <v>20</v>
      </c>
      <c r="M14" s="31">
        <f t="shared" si="10"/>
        <v>12.402107771999999</v>
      </c>
      <c r="N14" s="32">
        <f t="shared" si="11"/>
        <v>0.62010538859999997</v>
      </c>
      <c r="O14" s="27">
        <f>'[11]Chetna- TARGET LETTER - 26-27'!$D$17/10^7</f>
        <v>49</v>
      </c>
      <c r="P14" s="27" t="s">
        <v>32</v>
      </c>
      <c r="Q14" s="32" t="str">
        <f t="shared" si="12"/>
        <v>-</v>
      </c>
      <c r="R14" s="33">
        <f t="shared" ref="R14:R18" si="15">SUM(L14,O14)</f>
        <v>69</v>
      </c>
      <c r="S14" s="33">
        <f t="shared" ref="S14:S18" si="16">SUM(M14,P14)</f>
        <v>12.402107771999999</v>
      </c>
      <c r="T14" s="32">
        <f t="shared" si="13"/>
        <v>0.17974069234782608</v>
      </c>
      <c r="U14" s="27">
        <f>COUNTIF('[2]Opportunity Pipeline'!$F:$F,"Chetna Sharma")+ COUNTIF('[3]Opportunity Pipeline '!$F:$F,"Chetna Sharma")</f>
        <v>8</v>
      </c>
    </row>
    <row r="15" spans="1:26">
      <c r="A15">
        <v>3</v>
      </c>
      <c r="B15" s="3" t="s">
        <v>44</v>
      </c>
      <c r="C15" s="6" t="s">
        <v>42</v>
      </c>
      <c r="D15" s="7" t="s">
        <v>30</v>
      </c>
      <c r="E15" s="8" t="s">
        <v>31</v>
      </c>
      <c r="F15" s="30">
        <f>SUMIF('[1]S2 '!$B$1:$B$45,"Sankeerth",'[1]S2 '!$G$1:$G$45)</f>
        <v>2.75</v>
      </c>
      <c r="G15" s="31">
        <f>SUMIF('[2]Opportunity Pipeline'!$F:$F, "Sankeerth Bhargav",'[2]Opportunity Pipeline'!$O:$O)/10^7</f>
        <v>0.21651999999999999</v>
      </c>
      <c r="H15" s="32">
        <f t="shared" si="9"/>
        <v>7.8734545454545446E-2</v>
      </c>
      <c r="I15" s="30">
        <f>SUMIF('[1]S2 '!$B$1:$B$45,"Sankeerth",'[1]S2 '!$H$1:$H$45)</f>
        <v>2.75</v>
      </c>
      <c r="J15" s="31">
        <f>SUMIF('[3]Opportunity Pipeline '!$F:$F,"Sankeerth Bhargav",'[3]Opportunity Pipeline '!$O:$O)/10^7</f>
        <v>3.9015838999999999</v>
      </c>
      <c r="K15" s="32">
        <f t="shared" si="14"/>
        <v>1.4187577818181818</v>
      </c>
      <c r="L15" s="27">
        <f>'[12]Sankeerth TARGET LETTER - 26-27'!$D$9/10^7</f>
        <v>11.75</v>
      </c>
      <c r="M15" s="31">
        <f t="shared" si="10"/>
        <v>4.1181038999999995</v>
      </c>
      <c r="N15" s="32">
        <f t="shared" si="11"/>
        <v>0.35047692765957444</v>
      </c>
      <c r="O15" s="27">
        <f>'[12]Sankeerth TARGET LETTER - 26-27'!$D$15/10^7</f>
        <v>30.25</v>
      </c>
      <c r="P15" s="27" t="s">
        <v>32</v>
      </c>
      <c r="Q15" s="32" t="str">
        <f t="shared" si="12"/>
        <v>-</v>
      </c>
      <c r="R15" s="33">
        <f t="shared" si="15"/>
        <v>42</v>
      </c>
      <c r="S15" s="33">
        <f t="shared" si="16"/>
        <v>4.1181038999999995</v>
      </c>
      <c r="T15" s="32">
        <f t="shared" si="13"/>
        <v>9.8050092857142848E-2</v>
      </c>
      <c r="U15" s="27">
        <f>COUNTIF('[2]Opportunity Pipeline'!$F:$F,"Sankeerth Bhargav")+ COUNTIF('[3]Opportunity Pipeline '!$F:$F,"Sankeerth Bhargav")</f>
        <v>5</v>
      </c>
    </row>
    <row r="16" spans="1:26">
      <c r="A16">
        <v>4</v>
      </c>
      <c r="B16" s="4" t="s">
        <v>45</v>
      </c>
      <c r="C16" s="6" t="s">
        <v>42</v>
      </c>
      <c r="D16" s="7" t="s">
        <v>30</v>
      </c>
      <c r="E16" s="8" t="s">
        <v>31</v>
      </c>
      <c r="F16" s="30">
        <f>SUMIF('[1]S2 '!$B$1:$B$45,"Varsha",'[1]S2 '!$G$1:$G$45)</f>
        <v>7.3000000000000007</v>
      </c>
      <c r="G16" s="31">
        <f>SUMIF('[2]Opportunity Pipeline'!$F:$F, "Varsha Ray",'[2]Opportunity Pipeline'!$O:$O)/10^7</f>
        <v>1.055468973</v>
      </c>
      <c r="H16" s="38">
        <f t="shared" si="9"/>
        <v>0.1445847908219178</v>
      </c>
      <c r="I16" s="30">
        <f>SUMIF('[1]S2 '!$B$1:$B$45,"Varsha",'[1]S2 '!$H$1:$H$45)</f>
        <v>9.8000000000000007</v>
      </c>
      <c r="J16" s="31">
        <f>SUMIF('[3]Opportunity Pipeline '!$F:$F,"Varsha Ray",'[3]Opportunity Pipeline '!$O:$O)/10^7</f>
        <v>0</v>
      </c>
      <c r="K16" s="38">
        <f t="shared" si="14"/>
        <v>0</v>
      </c>
      <c r="L16" s="27" t="str">
        <f t="shared" si="14"/>
        <v>-</v>
      </c>
      <c r="M16" s="31">
        <f t="shared" si="10"/>
        <v>1.055468973</v>
      </c>
      <c r="N16" s="38" t="str">
        <f t="shared" si="11"/>
        <v>-</v>
      </c>
      <c r="O16" s="27" t="str">
        <f t="shared" ref="O16:O18" si="17">IFERROR(N16/M16,"-")</f>
        <v>-</v>
      </c>
      <c r="P16" s="27" t="s">
        <v>32</v>
      </c>
      <c r="Q16" s="38" t="str">
        <f t="shared" si="12"/>
        <v>-</v>
      </c>
      <c r="R16" s="33">
        <f t="shared" si="15"/>
        <v>0</v>
      </c>
      <c r="S16" s="33">
        <f t="shared" si="16"/>
        <v>1.055468973</v>
      </c>
      <c r="T16" s="38" t="str">
        <f t="shared" si="13"/>
        <v>-</v>
      </c>
      <c r="U16" s="27">
        <f>COUNTIF('[2]Opportunity Pipeline'!$F:$F,"Varsha Ray")+ COUNTIF('[3]Opportunity Pipeline '!$F:$F,"Varsha Ray")</f>
        <v>4</v>
      </c>
    </row>
    <row r="17" spans="1:26">
      <c r="A17">
        <v>5</v>
      </c>
      <c r="B17" s="4" t="s">
        <v>46</v>
      </c>
      <c r="C17" s="6" t="s">
        <v>42</v>
      </c>
      <c r="D17" s="7" t="s">
        <v>30</v>
      </c>
      <c r="E17" s="8" t="s">
        <v>31</v>
      </c>
      <c r="F17" s="30">
        <f>SUMIF('[1]S2 '!$B$1:$B$45,"Arpit",'[1]S2 '!$G$1:$G$45)</f>
        <v>6.75</v>
      </c>
      <c r="G17" s="31">
        <f>SUMIF('[2]Opportunity Pipeline'!$F:$F, "Arpit Srivastava",'[2]Opportunity Pipeline'!$O:$O)/10^7</f>
        <v>5.6395832999999992E-2</v>
      </c>
      <c r="H17" s="32">
        <f t="shared" si="9"/>
        <v>8.3549382222222208E-3</v>
      </c>
      <c r="I17" s="30">
        <f>SUMIF('[1]S2 '!$B$1:$B$45,"Arpit",'[1]S2 '!$H$1:$H$45)</f>
        <v>6.75</v>
      </c>
      <c r="J17" s="31">
        <f>SUMIF('[3]Opportunity Pipeline '!$F:$F,"Arpit Srivastava",'[3]Opportunity Pipeline '!$O:$O)/10^7</f>
        <v>0</v>
      </c>
      <c r="K17" s="32">
        <f t="shared" si="14"/>
        <v>0</v>
      </c>
      <c r="L17" s="27" t="str">
        <f t="shared" si="14"/>
        <v>-</v>
      </c>
      <c r="M17" s="31">
        <f t="shared" si="10"/>
        <v>5.6395832999999992E-2</v>
      </c>
      <c r="N17" s="32" t="str">
        <f t="shared" si="11"/>
        <v>-</v>
      </c>
      <c r="O17" s="27" t="str">
        <f t="shared" si="17"/>
        <v>-</v>
      </c>
      <c r="P17" s="27" t="s">
        <v>32</v>
      </c>
      <c r="Q17" s="32" t="str">
        <f t="shared" si="12"/>
        <v>-</v>
      </c>
      <c r="R17" s="33">
        <f t="shared" si="15"/>
        <v>0</v>
      </c>
      <c r="S17" s="33">
        <f t="shared" si="16"/>
        <v>5.6395832999999992E-2</v>
      </c>
      <c r="T17" s="32" t="str">
        <f t="shared" si="13"/>
        <v>-</v>
      </c>
      <c r="U17" s="27">
        <f>COUNTIF('[2]Opportunity Pipeline'!$F:$F,"Arpit Srivastava")+ COUNTIF('[3]Opportunity Pipeline '!$F:$F,"Arpit Srivastava")</f>
        <v>2</v>
      </c>
    </row>
    <row r="18" spans="1:26">
      <c r="A18">
        <v>6</v>
      </c>
      <c r="B18" s="4" t="s">
        <v>47</v>
      </c>
      <c r="C18" s="6" t="s">
        <v>42</v>
      </c>
      <c r="D18" s="7" t="s">
        <v>30</v>
      </c>
      <c r="E18" s="8" t="s">
        <v>31</v>
      </c>
      <c r="F18" s="30">
        <f>SUMIF('[1]S2 '!$B$1:$B$45,"Dennis",'[1]S2 '!$G$1:$G$45)</f>
        <v>1.05</v>
      </c>
      <c r="G18" s="31">
        <f>SUMIF('[2]Opportunity Pipeline'!$F:$F, "Dennis",'[2]Opportunity Pipeline'!$O:$O)/10^7</f>
        <v>0</v>
      </c>
      <c r="H18" s="32">
        <f t="shared" si="9"/>
        <v>0</v>
      </c>
      <c r="I18" s="30">
        <f>SUMIF('[1]S2 '!$B$1:$B$45,"Dennis",'[1]S2 '!$H$1:$H$45)</f>
        <v>1.8499999999999999</v>
      </c>
      <c r="J18" s="31">
        <f>SUMIF('[3]Opportunity Pipeline '!$F:$F,"Dennis",'[3]Opportunity Pipeline '!$O:$O)/10^7</f>
        <v>0</v>
      </c>
      <c r="K18" s="32">
        <f t="shared" si="14"/>
        <v>0</v>
      </c>
      <c r="L18" s="27" t="str">
        <f t="shared" si="14"/>
        <v>-</v>
      </c>
      <c r="M18" s="31">
        <f t="shared" si="10"/>
        <v>0</v>
      </c>
      <c r="N18" s="32" t="str">
        <f t="shared" si="11"/>
        <v>-</v>
      </c>
      <c r="O18" s="27" t="str">
        <f t="shared" si="17"/>
        <v>-</v>
      </c>
      <c r="P18" s="27" t="s">
        <v>32</v>
      </c>
      <c r="Q18" s="32" t="str">
        <f t="shared" si="12"/>
        <v>-</v>
      </c>
      <c r="R18" s="33">
        <f t="shared" si="15"/>
        <v>0</v>
      </c>
      <c r="S18" s="33">
        <f t="shared" si="16"/>
        <v>0</v>
      </c>
      <c r="T18" s="32" t="str">
        <f t="shared" si="13"/>
        <v>-</v>
      </c>
      <c r="U18" s="27">
        <f>COUNTIF('[2]Opportunity Pipeline'!$F:$F,"Dennis")+ COUNTIF('[3]Opportunity Pipeline '!$F:$F,"Dennis")</f>
        <v>0</v>
      </c>
    </row>
    <row r="19" spans="1:26" s="44" customFormat="1">
      <c r="B19" s="5" t="s">
        <v>48</v>
      </c>
      <c r="F19" s="45">
        <f>SUM(F13:F18)</f>
        <v>54.849999999999994</v>
      </c>
      <c r="G19" s="45">
        <f t="shared" ref="G19" si="18">SUM(G13:G18)</f>
        <v>15.396570527999998</v>
      </c>
      <c r="H19" s="46">
        <f>G19/F19</f>
        <v>0.28070320014585232</v>
      </c>
      <c r="I19" s="45">
        <f t="shared" ref="I19" si="19">SUM(I13:I18)</f>
        <v>84.149999999999991</v>
      </c>
      <c r="J19" s="45">
        <f t="shared" ref="J19" si="20">SUM(J13:J18)</f>
        <v>103.765402577</v>
      </c>
      <c r="K19" s="46">
        <f>J19/I19</f>
        <v>1.2331004465478315</v>
      </c>
      <c r="L19" s="45">
        <f t="shared" ref="L19" si="21">SUM(L13:L18)</f>
        <v>107.75</v>
      </c>
      <c r="M19" s="45">
        <f t="shared" ref="M19" si="22">SUM(M13:M18)</f>
        <v>119.16197310499999</v>
      </c>
      <c r="N19" s="46">
        <f>M19/L19</f>
        <v>1.1059115833410671</v>
      </c>
      <c r="O19" s="45">
        <f t="shared" ref="O19" si="23">SUM(O13:O18)</f>
        <v>138.25</v>
      </c>
      <c r="P19" s="45">
        <f t="shared" ref="P19" si="24">SUM(P13:P18)</f>
        <v>0</v>
      </c>
      <c r="Q19" s="46">
        <f>P19/O19</f>
        <v>0</v>
      </c>
      <c r="R19" s="45">
        <f t="shared" ref="R19" si="25">SUM(R13:R18)</f>
        <v>246</v>
      </c>
      <c r="S19" s="45">
        <f t="shared" ref="S19" si="26">SUM(S13:S18)</f>
        <v>119.16197310499999</v>
      </c>
      <c r="T19" s="46">
        <f>S19/R19</f>
        <v>0.4843982646544715</v>
      </c>
      <c r="U19" s="47">
        <f t="shared" ref="U19" si="27">SUM(U13:U18)</f>
        <v>38</v>
      </c>
    </row>
    <row r="20" spans="1:26" ht="15" thickBot="1"/>
    <row r="21" spans="1:26" ht="15" thickBot="1">
      <c r="A21" s="62" t="s">
        <v>49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>
      <c r="A22">
        <v>1</v>
      </c>
      <c r="B22" s="3" t="s">
        <v>50</v>
      </c>
      <c r="C22" s="6" t="s">
        <v>51</v>
      </c>
      <c r="D22" s="7" t="s">
        <v>52</v>
      </c>
      <c r="E22" s="8" t="s">
        <v>31</v>
      </c>
      <c r="F22" s="30">
        <f>SUMIF('[1]CB '!$A$1:$A$16,"Prachi Mayekar",'[1]CB '!$C$1:$C$16)</f>
        <v>7.5</v>
      </c>
      <c r="G22" s="31">
        <f>SUMIF('[2]Opportunity Pipeline'!$F:$F, "Prachi Mayekar",'[2]Opportunity Pipeline'!$O:$O)/10^7</f>
        <v>12.897684399999999</v>
      </c>
      <c r="H22" s="32">
        <f t="shared" ref="H22:H25" si="28">IFERROR(G22/F22,"-")</f>
        <v>1.7196912533333333</v>
      </c>
      <c r="I22" s="30">
        <f>SUMIF('[1]CB '!$A$1:$A$16,"Prachi Mayekar",'[1]CB '!$D$1:$D$22)</f>
        <v>7.5</v>
      </c>
      <c r="J22" s="31">
        <f>SUMIF('[3]Opportunity Pipeline '!$F:$F,"Prachi Mayekar",'[3]Opportunity Pipeline '!$O:$O)/10^7</f>
        <v>2.9</v>
      </c>
      <c r="K22" s="32">
        <f t="shared" ref="K22:K25" si="29">IFERROR(J22/I22,"-")</f>
        <v>0.38666666666666666</v>
      </c>
      <c r="L22" s="33">
        <f>'[13]Prachi TARGET LETTER - 26-27'!$D$9/10^7</f>
        <v>15</v>
      </c>
      <c r="M22" s="31">
        <f t="shared" ref="M22:M25" si="30">SUM(G22,J22)</f>
        <v>15.7976844</v>
      </c>
      <c r="N22" s="32">
        <f t="shared" ref="N22:N25" si="31">IFERROR(M22/L22,"-")</f>
        <v>1.0531789599999999</v>
      </c>
      <c r="O22" s="27">
        <f>'[13]Prachi TARGET LETTER - 26-27'!$D$10/10^7</f>
        <v>18</v>
      </c>
      <c r="P22" s="27" t="s">
        <v>32</v>
      </c>
      <c r="Q22" s="32" t="str">
        <f t="shared" ref="Q22:Q25" si="32">IFERROR(P22/O22,"-")</f>
        <v>-</v>
      </c>
      <c r="R22" s="33">
        <f>SUM(L22,O22)</f>
        <v>33</v>
      </c>
      <c r="S22" s="33">
        <f>SUM(M22,P22)</f>
        <v>15.7976844</v>
      </c>
      <c r="T22" s="32">
        <f t="shared" ref="T22:T25" si="33">IFERROR(S22/R22,"-")</f>
        <v>0.4787177090909091</v>
      </c>
      <c r="U22" s="27">
        <f>COUNTIF('[2]Opportunity Pipeline'!$F:$F,"Prachi Mayekar")+ COUNTIF('[3]Opportunity Pipeline '!$F:$F,"Prachi Mayekar")</f>
        <v>12</v>
      </c>
    </row>
    <row r="23" spans="1:26">
      <c r="A23">
        <v>2</v>
      </c>
      <c r="B23" s="3" t="s">
        <v>53</v>
      </c>
      <c r="C23" s="6" t="s">
        <v>51</v>
      </c>
      <c r="D23" s="7" t="s">
        <v>52</v>
      </c>
      <c r="E23" s="8" t="s">
        <v>31</v>
      </c>
      <c r="F23" s="30">
        <f>SUMIF('[1]CB '!$A$1:$A$16,"Shilpa Kavde",'[1]CB '!$C$1:$C$16)</f>
        <v>5</v>
      </c>
      <c r="G23" s="31">
        <f>SUMIF('[2]Opportunity Pipeline'!$F:$F, "Shilpa Kavde",'[2]Opportunity Pipeline'!$O:$O)/10^7</f>
        <v>2.9018713600000003</v>
      </c>
      <c r="H23" s="32">
        <f t="shared" si="28"/>
        <v>0.58037427200000002</v>
      </c>
      <c r="I23" s="30">
        <f>SUMIF('[1]CB '!$A$1:$A$16,"Shilpa Kavde",'[1]CB '!$D$1:$D$22)</f>
        <v>10</v>
      </c>
      <c r="J23" s="31">
        <f>SUMIF('[3]Opportunity Pipeline '!$F:$F,"Shilpa Kavde",'[3]Opportunity Pipeline '!$O:$O)/10^7</f>
        <v>0</v>
      </c>
      <c r="K23" s="32">
        <f t="shared" si="29"/>
        <v>0</v>
      </c>
      <c r="L23" s="27">
        <f>'[14]Shilpa TARGET LETTER - 26-27'!$D$9/10^7</f>
        <v>15</v>
      </c>
      <c r="M23" s="31">
        <f t="shared" si="30"/>
        <v>2.9018713600000003</v>
      </c>
      <c r="N23" s="32">
        <f t="shared" si="31"/>
        <v>0.19345809066666669</v>
      </c>
      <c r="O23" s="27">
        <f>'[14]Shilpa TARGET LETTER - 26-27'!$D$10/10^7</f>
        <v>25</v>
      </c>
      <c r="P23" s="27" t="s">
        <v>32</v>
      </c>
      <c r="Q23" s="32" t="str">
        <f t="shared" si="32"/>
        <v>-</v>
      </c>
      <c r="R23" s="33">
        <f t="shared" ref="R23:R25" si="34">SUM(L23,O23)</f>
        <v>40</v>
      </c>
      <c r="S23" s="33">
        <f t="shared" ref="S23:S25" si="35">SUM(M23,P23)</f>
        <v>2.9018713600000003</v>
      </c>
      <c r="T23" s="32">
        <f t="shared" si="33"/>
        <v>7.2546784000000003E-2</v>
      </c>
      <c r="U23" s="27">
        <f>COUNTIF('[2]Opportunity Pipeline'!$F:$F,"Shilpa Kavde")+ COUNTIF('[3]Opportunity Pipeline '!$F:$F,"Shilpa Kavde")</f>
        <v>28</v>
      </c>
    </row>
    <row r="24" spans="1:26">
      <c r="A24">
        <v>3</v>
      </c>
      <c r="B24" s="3" t="s">
        <v>54</v>
      </c>
      <c r="C24" s="6" t="s">
        <v>51</v>
      </c>
      <c r="D24" s="7" t="s">
        <v>52</v>
      </c>
      <c r="E24" s="8" t="s">
        <v>31</v>
      </c>
      <c r="F24" s="30">
        <f>SUMIF('[1]CB '!$A$1:$A$22,"Vidula Chavan",'[1]CB '!$C$1:$C$22)</f>
        <v>1</v>
      </c>
      <c r="G24" s="31">
        <f>SUMIF('[2]Opportunity Pipeline'!$F:$F, "Vidula Chawan",'[2]Opportunity Pipeline'!$O:$O)/10^7</f>
        <v>3.8400000000000001E-3</v>
      </c>
      <c r="H24" s="32">
        <f t="shared" si="28"/>
        <v>3.8400000000000001E-3</v>
      </c>
      <c r="I24" s="30">
        <f>SUMIF('[1]CB '!$A$1:$A$22,"Vidula Chavan",'[1]CB '!$D$1:$D$22)</f>
        <v>2</v>
      </c>
      <c r="J24" s="31">
        <f>SUMIF('[3]Opportunity Pipeline '!$F:$F,"Vidula Chavan",'[3]Opportunity Pipeline '!$O:$O)/10^7</f>
        <v>0</v>
      </c>
      <c r="K24" s="32">
        <f t="shared" si="29"/>
        <v>0</v>
      </c>
      <c r="L24" s="27">
        <f>'[15]Vidula TARGET LETTER - 26-27'!$D$9/10^7</f>
        <v>3</v>
      </c>
      <c r="M24" s="31">
        <f t="shared" si="30"/>
        <v>3.8400000000000001E-3</v>
      </c>
      <c r="N24" s="32">
        <f t="shared" si="31"/>
        <v>1.2800000000000001E-3</v>
      </c>
      <c r="O24" s="27">
        <f>'[15]Vidula TARGET LETTER - 26-27'!$D$10/10^7</f>
        <v>6.5</v>
      </c>
      <c r="P24" s="27" t="s">
        <v>32</v>
      </c>
      <c r="Q24" s="32" t="str">
        <f t="shared" si="32"/>
        <v>-</v>
      </c>
      <c r="R24" s="33">
        <f t="shared" si="34"/>
        <v>9.5</v>
      </c>
      <c r="S24" s="33">
        <f t="shared" si="35"/>
        <v>3.8400000000000001E-3</v>
      </c>
      <c r="T24" s="32">
        <f t="shared" si="33"/>
        <v>4.0421052631578946E-4</v>
      </c>
      <c r="U24" s="27">
        <f>COUNTIF('[2]Opportunity Pipeline'!$F:$F,"Vidula Chawan")+ COUNTIF('[3]Opportunity Pipeline '!$F:$F,"Vidula Chawan")</f>
        <v>3</v>
      </c>
    </row>
    <row r="25" spans="1:26">
      <c r="A25" s="24">
        <v>4</v>
      </c>
      <c r="B25" s="20" t="s">
        <v>55</v>
      </c>
      <c r="C25" s="21" t="s">
        <v>51</v>
      </c>
      <c r="D25" s="22" t="s">
        <v>52</v>
      </c>
      <c r="E25" s="23" t="s">
        <v>36</v>
      </c>
      <c r="F25" s="34">
        <v>5</v>
      </c>
      <c r="G25" s="35">
        <f>SUMIF('[2]Opportunity Pipeline'!$F:$F, "Jimesh Shah",'[2]Opportunity Pipeline'!$O:$O)/10^7</f>
        <v>2.2727199999999999E-2</v>
      </c>
      <c r="H25" s="36">
        <f t="shared" si="28"/>
        <v>4.5454399999999996E-3</v>
      </c>
      <c r="I25" s="34">
        <v>10</v>
      </c>
      <c r="J25" s="35">
        <f>SUMIF('[3]Opportunity Pipeline '!$F:$F,"Jimesh Shah",'[3]Opportunity Pipeline '!$O:$O)/10^7</f>
        <v>1.1440000000000001E-2</v>
      </c>
      <c r="K25" s="36">
        <f t="shared" si="29"/>
        <v>1.1440000000000001E-3</v>
      </c>
      <c r="L25" s="28">
        <f>'[16]Jimesh TARGET LETTER - 26-27'!$D$9/10^7</f>
        <v>15</v>
      </c>
      <c r="M25" s="35">
        <f t="shared" si="30"/>
        <v>3.4167200000000002E-2</v>
      </c>
      <c r="N25" s="36">
        <f t="shared" si="31"/>
        <v>2.2778133333333337E-3</v>
      </c>
      <c r="O25" s="28">
        <f>'[16]Jimesh TARGET LETTER - 26-27'!$D$13/10^7</f>
        <v>30</v>
      </c>
      <c r="P25" s="28" t="s">
        <v>32</v>
      </c>
      <c r="Q25" s="36" t="str">
        <f t="shared" si="32"/>
        <v>-</v>
      </c>
      <c r="R25" s="37">
        <f t="shared" si="34"/>
        <v>45</v>
      </c>
      <c r="S25" s="37">
        <f t="shared" si="35"/>
        <v>3.4167200000000002E-2</v>
      </c>
      <c r="T25" s="36">
        <f t="shared" si="33"/>
        <v>7.5927111111111114E-4</v>
      </c>
      <c r="U25" s="28">
        <f>COUNTIF('[2]Opportunity Pipeline'!$F:$F,"Jimesh Shah")+ COUNTIF('[3]Opportunity Pipeline '!$F:$F,"Jimesh Shah")</f>
        <v>4</v>
      </c>
    </row>
    <row r="26" spans="1:26" s="44" customFormat="1">
      <c r="B26" s="5" t="s">
        <v>56</v>
      </c>
      <c r="F26" s="45">
        <f>SUM(F20:F25)</f>
        <v>18.5</v>
      </c>
      <c r="G26" s="45">
        <f>SUM(G22:G24)</f>
        <v>15.803395760000001</v>
      </c>
      <c r="H26" s="46">
        <f>G26/F26</f>
        <v>0.85423760864864873</v>
      </c>
      <c r="I26" s="45">
        <f t="shared" ref="I26" si="36">SUM(I20:I25)</f>
        <v>29.5</v>
      </c>
      <c r="J26" s="45">
        <f>SUM(J22:J24)</f>
        <v>2.9</v>
      </c>
      <c r="K26" s="46">
        <f>J26/I26</f>
        <v>9.8305084745762703E-2</v>
      </c>
      <c r="L26" s="45">
        <f t="shared" ref="L26" si="37">SUM(L20:L25)</f>
        <v>48</v>
      </c>
      <c r="M26" s="45">
        <f>SUM(M20:M24)</f>
        <v>18.703395759999999</v>
      </c>
      <c r="N26" s="46">
        <f>M26/L26</f>
        <v>0.38965407833333332</v>
      </c>
      <c r="O26" s="45">
        <f t="shared" ref="O26" si="38">SUM(O20:O25)</f>
        <v>79.5</v>
      </c>
      <c r="P26" s="45">
        <f t="shared" ref="P26" si="39">SUM(P20:P25)</f>
        <v>0</v>
      </c>
      <c r="Q26" s="46">
        <f>P26/O26</f>
        <v>0</v>
      </c>
      <c r="R26" s="45">
        <f t="shared" ref="R26" si="40">SUM(R20:R25)</f>
        <v>127.5</v>
      </c>
      <c r="S26" s="45">
        <f>SUM(S20:S24)</f>
        <v>18.703395759999999</v>
      </c>
      <c r="T26" s="46">
        <f>S26/R26</f>
        <v>0.14669330007843137</v>
      </c>
      <c r="U26" s="47">
        <f t="shared" ref="U26" si="41">SUM(U20:U25)</f>
        <v>47</v>
      </c>
    </row>
    <row r="27" spans="1:26" ht="15" thickBot="1"/>
    <row r="28" spans="1:26" ht="15" thickBot="1">
      <c r="A28" s="62" t="s">
        <v>57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>
      <c r="A29">
        <v>1</v>
      </c>
      <c r="B29" s="3" t="s">
        <v>58</v>
      </c>
      <c r="C29" s="6" t="s">
        <v>59</v>
      </c>
      <c r="D29" s="7" t="s">
        <v>52</v>
      </c>
      <c r="E29" s="8" t="s">
        <v>60</v>
      </c>
      <c r="F29" s="30">
        <f>SUMIF('[1]GB '!$A$1:$A$28,"Ashish",'[1]GB '!$C$1:$C$28)</f>
        <v>2</v>
      </c>
      <c r="G29" s="31">
        <f>SUMIF('[2]Opportunity Pipeline'!$F:$F, "Ashish Singh",'[2]Opportunity Pipeline'!$O:$O)/10^7</f>
        <v>1.345843057</v>
      </c>
      <c r="H29" s="32">
        <f t="shared" ref="H29:H38" si="42">IFERROR(G29/F29,"-")</f>
        <v>0.67292152849999998</v>
      </c>
      <c r="I29" s="30">
        <f>SUMIF('[1]GB '!$A$1:$A$28,"Ashish",'[1]GB '!$D$1:$D$28)</f>
        <v>3</v>
      </c>
      <c r="J29" s="31">
        <f>SUMIF('[3]Opportunity Pipeline '!$F:$F,"Ashish Singh",'[3]Opportunity Pipeline '!$O:$O)/10^7</f>
        <v>0</v>
      </c>
      <c r="K29" s="32">
        <f t="shared" ref="K29:K37" si="43">IFERROR(J29/I29,"-")</f>
        <v>0</v>
      </c>
      <c r="L29" s="33">
        <f>'[17]Ashish  Target Letter 26 27 '!$D$9/10^7</f>
        <v>5</v>
      </c>
      <c r="M29" s="31">
        <f t="shared" ref="M29:M39" si="44">SUM(G29,J29)</f>
        <v>1.345843057</v>
      </c>
      <c r="N29" s="32">
        <f t="shared" ref="N29:N38" si="45">IFERROR(M29/L29,"-")</f>
        <v>0.26916861139999998</v>
      </c>
      <c r="O29" s="27">
        <f>'[17]Ashish  Target Letter 26 27 '!$D$10/10^7</f>
        <v>10</v>
      </c>
      <c r="P29" s="27" t="s">
        <v>32</v>
      </c>
      <c r="Q29" s="32" t="str">
        <f t="shared" ref="Q29:Q38" si="46">IFERROR(P29/O29,"-")</f>
        <v>-</v>
      </c>
      <c r="R29" s="33">
        <f>SUM(L29,O29)</f>
        <v>15</v>
      </c>
      <c r="S29" s="33">
        <f>SUM(M29,P29)</f>
        <v>1.345843057</v>
      </c>
      <c r="T29" s="32">
        <f t="shared" ref="T29:T38" si="47">IFERROR(S29/R29,"-")</f>
        <v>8.972287046666666E-2</v>
      </c>
      <c r="U29" s="27">
        <f>COUNTIF('[2]Opportunity Pipeline'!$F:$F,"Ashish Singh")+ COUNTIF('[3]Opportunity Pipeline '!$F:$F,"Ashish Singh")</f>
        <v>9</v>
      </c>
    </row>
    <row r="30" spans="1:26">
      <c r="A30">
        <v>2</v>
      </c>
      <c r="B30" s="3" t="s">
        <v>61</v>
      </c>
      <c r="C30" s="6" t="s">
        <v>59</v>
      </c>
      <c r="D30" s="7" t="s">
        <v>52</v>
      </c>
      <c r="E30" s="8" t="s">
        <v>60</v>
      </c>
      <c r="F30" s="30">
        <f>'[18]Rima Target Letter 26 27 '!$D$9/10^7</f>
        <v>3</v>
      </c>
      <c r="G30" s="31">
        <f>SUMIF('[2]Opportunity Pipeline'!$F:$F, "Rima Ingle",'[2]Opportunity Pipeline'!$O:$O)/10^7</f>
        <v>0</v>
      </c>
      <c r="H30" s="32">
        <f t="shared" si="42"/>
        <v>0</v>
      </c>
      <c r="I30" s="30">
        <f>'[18]Rima Target Letter 26 27 '!$D$10/10^7</f>
        <v>5</v>
      </c>
      <c r="J30" s="31">
        <f>SUMIF('[3]Opportunity Pipeline '!$F:$F,"Rima Ingle",'[3]Opportunity Pipeline '!$O:$O)/10^7</f>
        <v>5.3099999999999996E-3</v>
      </c>
      <c r="K30" s="32">
        <f t="shared" si="43"/>
        <v>1.062E-3</v>
      </c>
      <c r="L30" s="33">
        <f>'[18]Rima Target Letter 26 27 '!$D$9/10^7</f>
        <v>3</v>
      </c>
      <c r="M30" s="31">
        <f t="shared" si="44"/>
        <v>5.3099999999999996E-3</v>
      </c>
      <c r="N30" s="32">
        <f t="shared" si="45"/>
        <v>1.7699999999999999E-3</v>
      </c>
      <c r="O30" s="27">
        <f>'[18]Rima Target Letter 26 27 '!$D$10/10^7</f>
        <v>5</v>
      </c>
      <c r="P30" s="27" t="s">
        <v>32</v>
      </c>
      <c r="Q30" s="32" t="str">
        <f t="shared" si="46"/>
        <v>-</v>
      </c>
      <c r="R30" s="33">
        <f t="shared" ref="R30:R38" si="48">SUM(L30,O30)</f>
        <v>8</v>
      </c>
      <c r="S30" s="33">
        <f t="shared" ref="S30:S38" si="49">SUM(M30,P30)</f>
        <v>5.3099999999999996E-3</v>
      </c>
      <c r="T30" s="32">
        <f t="shared" si="47"/>
        <v>6.6374999999999995E-4</v>
      </c>
      <c r="U30" s="27">
        <f>COUNTIF('[2]Opportunity Pipeline'!$F:$F,"Rima Ingle")+ COUNTIF('[3]Opportunity Pipeline '!$F:$F,"Rima Ingle")</f>
        <v>1</v>
      </c>
    </row>
    <row r="31" spans="1:26">
      <c r="A31">
        <v>3</v>
      </c>
      <c r="B31" s="3" t="s">
        <v>62</v>
      </c>
      <c r="C31" s="6" t="s">
        <v>59</v>
      </c>
      <c r="D31" s="7" t="s">
        <v>52</v>
      </c>
      <c r="E31" s="8" t="s">
        <v>63</v>
      </c>
      <c r="F31" s="30">
        <f>SUMIF('[1]GB '!$A$1:$A$28,"Ayushaman",'[1]GB '!$C$1:$C$28)</f>
        <v>1</v>
      </c>
      <c r="G31" s="31">
        <f>SUMIF('[2]Opportunity Pipeline'!$F:$F, "Ayushman Singh",'[2]Opportunity Pipeline'!$O:$O)/10^7</f>
        <v>0.30205890000000002</v>
      </c>
      <c r="H31" s="32">
        <f t="shared" si="42"/>
        <v>0.30205890000000002</v>
      </c>
      <c r="I31" s="30">
        <f>SUMIF('[1]GB '!$A$1:$A$28,"Ayushaman",'[1]GB '!$D$1:$D$28)</f>
        <v>2</v>
      </c>
      <c r="J31" s="31">
        <f>SUMIF('[3]Opportunity Pipeline '!$F:$F,"Ayushman Singh",'[3]Opportunity Pipeline '!$O:$O)/10^7</f>
        <v>0</v>
      </c>
      <c r="K31" s="32">
        <f t="shared" si="43"/>
        <v>0</v>
      </c>
      <c r="L31" s="33">
        <f>'[19]Ayushman-TARGET LETTER - 26-27'!$D$9/10^7</f>
        <v>3</v>
      </c>
      <c r="M31" s="31">
        <f t="shared" si="44"/>
        <v>0.30205890000000002</v>
      </c>
      <c r="N31" s="32">
        <f t="shared" si="45"/>
        <v>0.10068630000000001</v>
      </c>
      <c r="O31" s="27">
        <f>'[19]Ayushman-TARGET LETTER - 26-27'!$D$10/10^7</f>
        <v>9</v>
      </c>
      <c r="P31" s="27" t="s">
        <v>32</v>
      </c>
      <c r="Q31" s="32" t="str">
        <f t="shared" si="46"/>
        <v>-</v>
      </c>
      <c r="R31" s="33">
        <f t="shared" si="48"/>
        <v>12</v>
      </c>
      <c r="S31" s="33">
        <f t="shared" si="49"/>
        <v>0.30205890000000002</v>
      </c>
      <c r="T31" s="32">
        <f t="shared" si="47"/>
        <v>2.5171575000000002E-2</v>
      </c>
      <c r="U31" s="27">
        <f>COUNTIF('[2]Opportunity Pipeline'!$F:$F,"Ayushman Singh")+ COUNTIF('[3]Opportunity Pipeline '!$F:$F,"Ayushman Singh")</f>
        <v>4</v>
      </c>
    </row>
    <row r="32" spans="1:26">
      <c r="A32">
        <v>4</v>
      </c>
      <c r="B32" s="3" t="s">
        <v>64</v>
      </c>
      <c r="C32" s="6" t="s">
        <v>59</v>
      </c>
      <c r="D32" s="7" t="s">
        <v>52</v>
      </c>
      <c r="E32" s="8" t="s">
        <v>63</v>
      </c>
      <c r="F32" s="30">
        <f>SUMIF('[1]GB '!$A$1:$A$28,"Shubhangi",'[1]GB '!$C$1:$C$28)</f>
        <v>2</v>
      </c>
      <c r="G32" s="31">
        <f>SUMIF('[2]Opportunity Pipeline'!$F:$F, "Shubhangi Srinivasan",'[2]Opportunity Pipeline'!$O:$O)/10^7</f>
        <v>5.5185175610000003</v>
      </c>
      <c r="H32" s="32">
        <f t="shared" si="42"/>
        <v>2.7592587805000002</v>
      </c>
      <c r="I32" s="30">
        <f>SUMIF('[1]GB '!$A$1:$A$28,"Shubhangi",'[1]GB '!$D$1:$D$28)</f>
        <v>3</v>
      </c>
      <c r="J32" s="31">
        <f>SUMIF('[3]Opportunity Pipeline '!$F:$F,"Shubhangi Srinivasan",'[3]Opportunity Pipeline '!$O:$O)/10^7</f>
        <v>0.86</v>
      </c>
      <c r="K32" s="32">
        <f t="shared" si="43"/>
        <v>0.28666666666666668</v>
      </c>
      <c r="L32" s="33">
        <f>'[20]Shubhangi-TARGET LETTER - 26-27'!$D$9/10^7</f>
        <v>5</v>
      </c>
      <c r="M32" s="31">
        <f t="shared" si="44"/>
        <v>6.3785175610000007</v>
      </c>
      <c r="N32" s="32">
        <f t="shared" si="45"/>
        <v>1.2757035122000002</v>
      </c>
      <c r="O32" s="27">
        <f>'[20]Shubhangi-TARGET LETTER - 26-27'!$D$10/10^7</f>
        <v>10</v>
      </c>
      <c r="P32" s="27" t="s">
        <v>32</v>
      </c>
      <c r="Q32" s="32" t="str">
        <f t="shared" si="46"/>
        <v>-</v>
      </c>
      <c r="R32" s="33">
        <f t="shared" si="48"/>
        <v>15</v>
      </c>
      <c r="S32" s="33">
        <f t="shared" si="49"/>
        <v>6.3785175610000007</v>
      </c>
      <c r="T32" s="32">
        <f t="shared" si="47"/>
        <v>0.42523450406666669</v>
      </c>
      <c r="U32" s="27">
        <f>COUNTIF('[2]Opportunity Pipeline'!$F:$F,"Shubhangi Srinivasan")+ COUNTIF('[3]Opportunity Pipeline '!$F:$F,"Shubhangi Srinivasan")</f>
        <v>14</v>
      </c>
    </row>
    <row r="33" spans="1:26">
      <c r="A33">
        <v>5</v>
      </c>
      <c r="B33" s="3" t="s">
        <v>65</v>
      </c>
      <c r="C33" s="6" t="s">
        <v>59</v>
      </c>
      <c r="D33" s="7" t="s">
        <v>52</v>
      </c>
      <c r="E33" s="8" t="s">
        <v>31</v>
      </c>
      <c r="F33" s="30">
        <f>SUMIF('[1]GB '!$A$1:$A$28,"Atharva Kapre",'[1]GB '!$C$1:$C$28)</f>
        <v>3</v>
      </c>
      <c r="G33" s="31">
        <f>SUMIF('[2]Opportunity Pipeline'!$F:$F, "Atharva Karpe",'[2]Opportunity Pipeline'!$O:$O)/10^7</f>
        <v>6.4578696999999998</v>
      </c>
      <c r="H33" s="32">
        <f t="shared" si="42"/>
        <v>2.1526232333333333</v>
      </c>
      <c r="I33" s="30">
        <f>SUMIF('[1]GB '!$A$1:$A$28,"Atharva Kapre",'[1]GB '!$D$1:$D$28)</f>
        <v>1</v>
      </c>
      <c r="J33" s="31">
        <f>SUMIF('[3]Opportunity Pipeline '!$F:$F,"Atharva Karpe",'[3]Opportunity Pipeline '!$O:$O)/10^7</f>
        <v>0</v>
      </c>
      <c r="K33" s="32">
        <f t="shared" si="43"/>
        <v>0</v>
      </c>
      <c r="L33" s="33">
        <f>'[21]Atharva -TARGET LETTER - 26-27'!$D$9/10^7</f>
        <v>4</v>
      </c>
      <c r="M33" s="31">
        <f t="shared" si="44"/>
        <v>6.4578696999999998</v>
      </c>
      <c r="N33" s="32">
        <f t="shared" si="45"/>
        <v>1.614467425</v>
      </c>
      <c r="O33" s="27">
        <f>'[21]Atharva -TARGET LETTER - 26-27'!$D$10/10^7</f>
        <v>4</v>
      </c>
      <c r="P33" s="27" t="s">
        <v>32</v>
      </c>
      <c r="Q33" s="32" t="str">
        <f t="shared" si="46"/>
        <v>-</v>
      </c>
      <c r="R33" s="33">
        <f t="shared" si="48"/>
        <v>8</v>
      </c>
      <c r="S33" s="33">
        <f t="shared" si="49"/>
        <v>6.4578696999999998</v>
      </c>
      <c r="T33" s="32">
        <f t="shared" si="47"/>
        <v>0.80723371249999998</v>
      </c>
      <c r="U33" s="27">
        <f>COUNTIF('[2]Opportunity Pipeline'!$F:$F,"Atharva Karpe")+ COUNTIF('[3]Opportunity Pipeline '!$F:$F,"Atharva Karpe")</f>
        <v>12</v>
      </c>
    </row>
    <row r="34" spans="1:26">
      <c r="A34">
        <v>6</v>
      </c>
      <c r="B34" s="3" t="s">
        <v>66</v>
      </c>
      <c r="C34" s="6" t="s">
        <v>59</v>
      </c>
      <c r="D34" s="7" t="s">
        <v>52</v>
      </c>
      <c r="E34" s="8" t="s">
        <v>31</v>
      </c>
      <c r="F34" s="30">
        <f>SUMIF('[1]GB '!$A$1:$A$28,"Jay Rushi",'[1]GB '!$C$1:$C$28)</f>
        <v>1</v>
      </c>
      <c r="G34" s="31">
        <f>SUMIF('[2]Opportunity Pipeline'!$F:$F, "Jay Rushi",'[2]Opportunity Pipeline'!$O:$O)/10^7</f>
        <v>1.4900933999999999</v>
      </c>
      <c r="H34" s="32">
        <f t="shared" si="42"/>
        <v>1.4900933999999999</v>
      </c>
      <c r="I34" s="30">
        <f>SUMIF('[1]GB '!$A$1:$A$28,"Jay Rushi",'[1]GB '!$D$1:$D$28)</f>
        <v>2</v>
      </c>
      <c r="J34" s="31">
        <f>SUMIF('[3]Opportunity Pipeline '!$F:$F,"Jay Rushi",'[3]Opportunity Pipeline '!$O:$O)/10^7</f>
        <v>2.0865399999999999E-2</v>
      </c>
      <c r="K34" s="32">
        <f t="shared" si="43"/>
        <v>1.04327E-2</v>
      </c>
      <c r="L34" s="33">
        <f>'[22]Jay Rushi TARGET LETTER - 26-27'!$D$9/10^7</f>
        <v>3</v>
      </c>
      <c r="M34" s="31">
        <f t="shared" si="44"/>
        <v>1.5109587999999998</v>
      </c>
      <c r="N34" s="32">
        <f t="shared" si="45"/>
        <v>0.50365293333333327</v>
      </c>
      <c r="O34" s="27">
        <f>'[22]Jay Rushi TARGET LETTER - 26-27'!$D$10/10^7</f>
        <v>5</v>
      </c>
      <c r="P34" s="27" t="s">
        <v>32</v>
      </c>
      <c r="Q34" s="32" t="str">
        <f t="shared" si="46"/>
        <v>-</v>
      </c>
      <c r="R34" s="33">
        <f t="shared" si="48"/>
        <v>8</v>
      </c>
      <c r="S34" s="33">
        <f t="shared" si="49"/>
        <v>1.5109587999999998</v>
      </c>
      <c r="T34" s="32">
        <f t="shared" si="47"/>
        <v>0.18886984999999998</v>
      </c>
      <c r="U34" s="27">
        <f>COUNTIF('[2]Opportunity Pipeline'!$F:$F,"Jay Rushi")+ COUNTIF('[3]Opportunity Pipeline '!$F:$F,"Jay Rushi")</f>
        <v>15</v>
      </c>
    </row>
    <row r="35" spans="1:26">
      <c r="A35" s="24">
        <v>7</v>
      </c>
      <c r="B35" s="20" t="s">
        <v>67</v>
      </c>
      <c r="C35" s="21" t="s">
        <v>59</v>
      </c>
      <c r="D35" s="22" t="s">
        <v>52</v>
      </c>
      <c r="E35" s="23" t="s">
        <v>36</v>
      </c>
      <c r="F35" s="39" t="s">
        <v>32</v>
      </c>
      <c r="G35" s="35">
        <f>SUMIF('[2]Opportunity Pipeline'!$F:$F, "Sana",'[2]Opportunity Pipeline'!$O:$O)/10^7</f>
        <v>0</v>
      </c>
      <c r="H35" s="36" t="str">
        <f t="shared" si="42"/>
        <v>-</v>
      </c>
      <c r="I35" s="39" t="s">
        <v>32</v>
      </c>
      <c r="J35" s="35">
        <f>SUMIF('[3]Opportunity Pipeline '!$F:$F,"Sana",'[3]Opportunity Pipeline '!$O:$O)/10^7</f>
        <v>0</v>
      </c>
      <c r="K35" s="36" t="str">
        <f t="shared" si="43"/>
        <v>-</v>
      </c>
      <c r="L35" s="37">
        <f>'[23]SANA -TARGET LETTER - 26-27'!$D$9/10^7</f>
        <v>3.2</v>
      </c>
      <c r="M35" s="35">
        <f t="shared" si="44"/>
        <v>0</v>
      </c>
      <c r="N35" s="36">
        <f t="shared" si="45"/>
        <v>0</v>
      </c>
      <c r="O35" s="28">
        <f>'[23]SANA -TARGET LETTER - 26-27'!$D$14/10^7</f>
        <v>6.8</v>
      </c>
      <c r="P35" s="28" t="s">
        <v>32</v>
      </c>
      <c r="Q35" s="36" t="str">
        <f t="shared" si="46"/>
        <v>-</v>
      </c>
      <c r="R35" s="37">
        <f t="shared" si="48"/>
        <v>10</v>
      </c>
      <c r="S35" s="37">
        <f t="shared" si="49"/>
        <v>0</v>
      </c>
      <c r="T35" s="36">
        <f t="shared" si="47"/>
        <v>0</v>
      </c>
      <c r="U35" s="28">
        <f>COUNTIF('[2]Opportunity Pipeline'!$F:$F,"Sana")+ COUNTIF('[3]Opportunity Pipeline '!$F:$F,"Sana")</f>
        <v>0</v>
      </c>
    </row>
    <row r="36" spans="1:26">
      <c r="A36">
        <v>8</v>
      </c>
      <c r="B36" s="3" t="s">
        <v>68</v>
      </c>
      <c r="C36" s="6" t="s">
        <v>59</v>
      </c>
      <c r="D36" s="7" t="s">
        <v>52</v>
      </c>
      <c r="E36" s="8" t="s">
        <v>31</v>
      </c>
      <c r="F36" s="30">
        <f>SUMIF('[1]GB '!$A$1:$A$28,"Bhumi ",'[1]GB '!$C$1:$C$28)</f>
        <v>0.1</v>
      </c>
      <c r="G36" s="31">
        <f>SUMIF('[2]Opportunity Pipeline'!$F:$F, "Bhumi",'[2]Opportunity Pipeline'!$O:$O)/10^7</f>
        <v>0</v>
      </c>
      <c r="H36" s="32">
        <f t="shared" si="42"/>
        <v>0</v>
      </c>
      <c r="I36" s="30">
        <f>SUMIF('[1]GB '!$A$1:$A$28,"Bhumi ",'[1]GB '!$D$1:$D$28)</f>
        <v>0.5</v>
      </c>
      <c r="J36" s="31">
        <f>SUMIF('[3]Opportunity Pipeline '!$F:$F,"Bhumi Karelia",'[3]Opportunity Pipeline '!$O:$O)/10^7</f>
        <v>0</v>
      </c>
      <c r="K36" s="32">
        <f t="shared" si="43"/>
        <v>0</v>
      </c>
      <c r="L36" s="33">
        <f>'[24]Bhumi Target Letter 26 27 '!$D$9/10^7</f>
        <v>0.6</v>
      </c>
      <c r="M36" s="31">
        <f t="shared" si="44"/>
        <v>0</v>
      </c>
      <c r="N36" s="32">
        <f t="shared" si="45"/>
        <v>0</v>
      </c>
      <c r="O36" s="27">
        <f>'[24]Bhumi Target Letter 26 27 '!$D$10/10^7</f>
        <v>1.4</v>
      </c>
      <c r="P36" s="27" t="s">
        <v>32</v>
      </c>
      <c r="Q36" s="32" t="str">
        <f t="shared" si="46"/>
        <v>-</v>
      </c>
      <c r="R36" s="33">
        <f t="shared" si="48"/>
        <v>2</v>
      </c>
      <c r="S36" s="33">
        <f t="shared" si="49"/>
        <v>0</v>
      </c>
      <c r="T36" s="32">
        <f t="shared" si="47"/>
        <v>0</v>
      </c>
      <c r="U36" s="27">
        <f>COUNTIF('[2]Opportunity Pipeline'!$F:$F,"Bhumi Karelia")+ COUNTIF('[3]Opportunity Pipeline '!$F:$F,"Bhumi Karelia")</f>
        <v>0</v>
      </c>
    </row>
    <row r="37" spans="1:26">
      <c r="A37">
        <v>9</v>
      </c>
      <c r="B37" s="3" t="s">
        <v>69</v>
      </c>
      <c r="C37" s="6" t="s">
        <v>59</v>
      </c>
      <c r="D37" s="7" t="s">
        <v>52</v>
      </c>
      <c r="E37" s="8" t="s">
        <v>31</v>
      </c>
      <c r="F37" s="30">
        <f>SUMIF('[1]GB '!$A$1:$A$28,"Rizwana (ISR/OSR)",'[1]GB '!$C$1:$C$28)</f>
        <v>0.5</v>
      </c>
      <c r="G37" s="31">
        <f>SUMIF('[2]Opportunity Pipeline'!$F:$F, "Rizwana",'[2]Opportunity Pipeline'!$O:$O)/10^7</f>
        <v>0</v>
      </c>
      <c r="H37" s="32">
        <f t="shared" si="42"/>
        <v>0</v>
      </c>
      <c r="I37" s="30">
        <f>SUMIF('[1]GB '!$A$1:$A$28,"Rizwana (ISR/OSR)",'[1]GB '!$D$1:$D$28)</f>
        <v>1</v>
      </c>
      <c r="J37" s="31">
        <f>SUMIF('[3]Opportunity Pipeline '!$F:$F,"Rizwana Khan",'[3]Opportunity Pipeline '!$O:$O)/10^7</f>
        <v>0</v>
      </c>
      <c r="K37" s="32">
        <f t="shared" si="43"/>
        <v>0</v>
      </c>
      <c r="L37" s="33">
        <f>'[25]Rizwana Target Letter 26 27 '!$D$9/10^7</f>
        <v>1.5</v>
      </c>
      <c r="M37" s="31">
        <f t="shared" si="44"/>
        <v>0</v>
      </c>
      <c r="N37" s="32">
        <f t="shared" si="45"/>
        <v>0</v>
      </c>
      <c r="O37" s="27">
        <f>'[25]Rizwana Target Letter 26 27 '!$D$10/10^7</f>
        <v>3.5</v>
      </c>
      <c r="P37" s="27" t="s">
        <v>32</v>
      </c>
      <c r="Q37" s="32" t="str">
        <f t="shared" si="46"/>
        <v>-</v>
      </c>
      <c r="R37" s="33">
        <f t="shared" si="48"/>
        <v>5</v>
      </c>
      <c r="S37" s="33">
        <f t="shared" si="49"/>
        <v>0</v>
      </c>
      <c r="T37" s="32">
        <f t="shared" si="47"/>
        <v>0</v>
      </c>
      <c r="U37" s="27">
        <f>COUNTIF('[2]Opportunity Pipeline'!$F:$F,"Rizwana Khan")+ COUNTIF('[3]Opportunity Pipeline '!$F:$F,"Rizwana Khan")</f>
        <v>0</v>
      </c>
    </row>
    <row r="38" spans="1:26">
      <c r="A38">
        <v>10</v>
      </c>
      <c r="B38" s="3" t="s">
        <v>70</v>
      </c>
      <c r="C38" s="6" t="s">
        <v>59</v>
      </c>
      <c r="D38" s="7" t="s">
        <v>52</v>
      </c>
      <c r="E38" s="8" t="s">
        <v>31</v>
      </c>
      <c r="F38" s="30">
        <f>SUMIF('[1]GB '!$A$1:$A$28,"Suyesh",'[1]GB '!$C$1:$C$28)</f>
        <v>0.1</v>
      </c>
      <c r="G38" s="31">
        <f>SUMIF('[2]Opportunity Pipeline'!$F:$F, "Suvesh Malakar",'[2]Opportunity Pipeline'!$O:$O)/10^7</f>
        <v>0</v>
      </c>
      <c r="H38" s="32">
        <f t="shared" si="42"/>
        <v>0</v>
      </c>
      <c r="I38" s="30">
        <f>SUMIF('[1]GB '!$A$1:$A$28,"Suyesh",'[1]GB '!$D$1:$D$28)</f>
        <v>0.5</v>
      </c>
      <c r="J38" s="31">
        <f>SUMIF('[3]Opportunity Pipeline '!$F:$F,"Suvesh Malakar",'[3]Opportunity Pipeline '!$O:$O)/10^7</f>
        <v>0</v>
      </c>
      <c r="K38" s="32">
        <f t="shared" ref="K38:K39" si="50">IFERROR(J38/I38,"-")</f>
        <v>0</v>
      </c>
      <c r="L38" s="33">
        <f>'[26]Suvesh- Target Letter 26 27 '!$D$9/10^7</f>
        <v>0.6</v>
      </c>
      <c r="M38" s="31">
        <f t="shared" si="44"/>
        <v>0</v>
      </c>
      <c r="N38" s="32">
        <f t="shared" si="45"/>
        <v>0</v>
      </c>
      <c r="O38" s="27">
        <f>'[26]Suvesh- Target Letter 26 27 '!$D$10/10^7</f>
        <v>1.4</v>
      </c>
      <c r="P38" s="27" t="s">
        <v>32</v>
      </c>
      <c r="Q38" s="32" t="str">
        <f t="shared" si="46"/>
        <v>-</v>
      </c>
      <c r="R38" s="33">
        <f t="shared" si="48"/>
        <v>2</v>
      </c>
      <c r="S38" s="33">
        <f t="shared" si="49"/>
        <v>0</v>
      </c>
      <c r="T38" s="32">
        <f t="shared" si="47"/>
        <v>0</v>
      </c>
      <c r="U38" s="27">
        <f>COUNTIF('[2]Opportunity Pipeline'!$F:$F,"Suvesh Malakar")+ COUNTIF('[3]Opportunity Pipeline '!$F:$F,"Suvesh Malakar")</f>
        <v>0</v>
      </c>
    </row>
    <row r="39" spans="1:26">
      <c r="A39">
        <v>11</v>
      </c>
      <c r="B39" s="3" t="s">
        <v>71</v>
      </c>
      <c r="C39" s="6" t="s">
        <v>59</v>
      </c>
      <c r="D39" s="7" t="s">
        <v>52</v>
      </c>
      <c r="E39" s="8" t="s">
        <v>31</v>
      </c>
      <c r="F39" s="30">
        <f>SUMIF('[1]GB '!$A$1:$A$28,"Varunkumar Mishra",'[1]GB '!$C$1:$C$28)</f>
        <v>0</v>
      </c>
      <c r="G39" s="31">
        <f>SUMIF('[2]Opportunity Pipeline'!$F:$F, "Varunkumar Mishra",'[2]Opportunity Pipeline'!$O:$O)/10^7</f>
        <v>0</v>
      </c>
      <c r="H39" s="32" t="str">
        <f t="shared" ref="H39" si="51">IFERROR(G39/F39,"-")</f>
        <v>-</v>
      </c>
      <c r="I39" s="30">
        <f>SUMIF('[1]GB '!$A$1:$A$28,"Varunkumar Mishra",'[1]GB '!$D$1:$D$28)</f>
        <v>0</v>
      </c>
      <c r="J39" s="31">
        <f>SUMIF('[3]Opportunity Pipeline '!$F:$F,"Varunkumar Mishra",'[3]Opportunity Pipeline '!$O:$O)/10^7</f>
        <v>2.1063800000000001E-2</v>
      </c>
      <c r="K39" s="32" t="str">
        <f t="shared" si="50"/>
        <v>-</v>
      </c>
      <c r="L39" s="33" t="s">
        <v>32</v>
      </c>
      <c r="M39" s="31">
        <f t="shared" si="44"/>
        <v>2.1063800000000001E-2</v>
      </c>
      <c r="N39" s="32" t="str">
        <f t="shared" ref="N39" si="52">IFERROR(M39/L39,"-")</f>
        <v>-</v>
      </c>
      <c r="O39" s="27">
        <f>'[26]Suvesh- Target Letter 26 27 '!$D$10/10^7</f>
        <v>1.4</v>
      </c>
      <c r="P39" s="27" t="s">
        <v>32</v>
      </c>
      <c r="Q39" s="32" t="str">
        <f t="shared" ref="Q39" si="53">IFERROR(P39/O39,"-")</f>
        <v>-</v>
      </c>
      <c r="R39" s="33">
        <f t="shared" ref="R39" si="54">SUM(L39,O39)</f>
        <v>1.4</v>
      </c>
      <c r="S39" s="33">
        <f t="shared" ref="S39" si="55">SUM(M39,P39)</f>
        <v>2.1063800000000001E-2</v>
      </c>
      <c r="T39" s="32">
        <f t="shared" ref="T39" si="56">IFERROR(S39/R39,"-")</f>
        <v>1.5045571428571431E-2</v>
      </c>
      <c r="U39" s="27">
        <f>COUNTIF('[2]Opportunity Pipeline'!$F:$F,"Varunkumar Mishra")+ COUNTIF('[3]Opportunity Pipeline '!$F:$F,"Varunkumar Mishra")</f>
        <v>1</v>
      </c>
    </row>
    <row r="40" spans="1:26" s="44" customFormat="1">
      <c r="B40" s="5" t="s">
        <v>72</v>
      </c>
      <c r="F40" s="45">
        <f>SUM(F33:F38)</f>
        <v>4.6999999999999993</v>
      </c>
      <c r="G40" s="45">
        <f>SUM(G29:G39)</f>
        <v>15.114382618</v>
      </c>
      <c r="H40" s="46">
        <f>G40/F40</f>
        <v>3.2158260889361707</v>
      </c>
      <c r="I40" s="45">
        <f>SUM(I33:I38)</f>
        <v>5</v>
      </c>
      <c r="J40" s="45">
        <f>SUM(J29:J39)</f>
        <v>0.90723920000000002</v>
      </c>
      <c r="K40" s="46">
        <f>J40/I40</f>
        <v>0.18144784</v>
      </c>
      <c r="L40" s="45">
        <f>SUM(L33:L38)</f>
        <v>12.899999999999999</v>
      </c>
      <c r="M40" s="45">
        <f>SUM(M29:M39)</f>
        <v>16.021621818</v>
      </c>
      <c r="N40" s="46">
        <f>M40/L40</f>
        <v>1.2419861874418605</v>
      </c>
      <c r="O40" s="45">
        <f>SUM(O33:O38)</f>
        <v>22.099999999999998</v>
      </c>
      <c r="P40" s="45">
        <f>SUM(P33:P38)</f>
        <v>0</v>
      </c>
      <c r="Q40" s="46">
        <f>P40/O40</f>
        <v>0</v>
      </c>
      <c r="R40" s="45">
        <f>SUM(R33:R38)</f>
        <v>35</v>
      </c>
      <c r="S40" s="45">
        <f>SUM(S29:S39)</f>
        <v>16.021621818</v>
      </c>
      <c r="T40" s="46">
        <f>S40/R40</f>
        <v>0.45776062337142859</v>
      </c>
      <c r="U40" s="47">
        <f>SUM(U29:U39)</f>
        <v>56</v>
      </c>
    </row>
    <row r="41" spans="1:26" ht="15" thickBot="1"/>
    <row r="42" spans="1:26" ht="15" thickBot="1">
      <c r="A42" s="62" t="s">
        <v>73</v>
      </c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>
      <c r="A43">
        <v>1</v>
      </c>
      <c r="B43" s="3" t="s">
        <v>74</v>
      </c>
      <c r="C43" s="6" t="s">
        <v>75</v>
      </c>
      <c r="D43" s="7" t="s">
        <v>52</v>
      </c>
      <c r="E43" s="8" t="s">
        <v>31</v>
      </c>
      <c r="F43" s="30">
        <f>SUMIF('[1]South '!$B$1:$B$28,"Abrar Altaf Menon",'[1]South '!$D$1:$D$28)</f>
        <v>2</v>
      </c>
      <c r="G43" s="31">
        <f>SUMIF('[2]Opportunity Pipeline'!$F:$F, "Abrar Memon",'[2]Opportunity Pipeline'!$O:$O)/10^7</f>
        <v>4.1457089000000003E-2</v>
      </c>
      <c r="H43" s="32">
        <f t="shared" ref="H43:H46" si="57">IFERROR(G43/F43,"-")</f>
        <v>2.0728544500000001E-2</v>
      </c>
      <c r="I43" s="30">
        <f>SUMIF('[1]South '!$B$1:$B$28,"Abrar Altaf Menon",'[1]South '!$E$1:$E$28)</f>
        <v>2</v>
      </c>
      <c r="J43" s="31">
        <f>SUMIF('[3]Opportunity Pipeline '!$F:$F,"Abrar Memon",'[3]Opportunity Pipeline '!$O:$O)/10^7</f>
        <v>0.25979999999999998</v>
      </c>
      <c r="K43" s="32">
        <f t="shared" ref="K43:K46" si="58">IFERROR(J43/I43,"-")</f>
        <v>0.12989999999999999</v>
      </c>
      <c r="L43" s="33">
        <f>'[27]Abrar TARGET LETTER - 26-27'!$D$9/10^7</f>
        <v>4</v>
      </c>
      <c r="M43" s="31">
        <f t="shared" ref="M43:M46" si="59">SUM(G43,J43)</f>
        <v>0.30125708899999998</v>
      </c>
      <c r="N43" s="32">
        <f t="shared" ref="N43:N46" si="60">IFERROR(M43/L43,"-")</f>
        <v>7.5314272249999994E-2</v>
      </c>
      <c r="O43" s="27">
        <f>'[27]Abrar TARGET LETTER - 26-27'!$D$10/10^7</f>
        <v>4</v>
      </c>
      <c r="P43" s="27" t="s">
        <v>32</v>
      </c>
      <c r="Q43" s="32" t="str">
        <f t="shared" ref="Q43:Q46" si="61">IFERROR(P43/O43,"-")</f>
        <v>-</v>
      </c>
      <c r="R43" s="33">
        <f t="shared" ref="R43:R46" si="62">SUM(L43,O43)</f>
        <v>8</v>
      </c>
      <c r="S43" s="33">
        <f t="shared" ref="S43:S46" si="63">SUM(M43,P43)</f>
        <v>0.30125708899999998</v>
      </c>
      <c r="T43" s="32">
        <f t="shared" ref="T43:T46" si="64">IFERROR(S43/R43,"-")</f>
        <v>3.7657136124999997E-2</v>
      </c>
      <c r="U43" s="27">
        <f>COUNTIF('[2]Opportunity Pipeline'!$F:$F,"Abrar Memon")+ COUNTIF('[3]Opportunity Pipeline '!$F:$F,"Abrar Memon")</f>
        <v>8</v>
      </c>
    </row>
    <row r="44" spans="1:26">
      <c r="A44">
        <v>2</v>
      </c>
      <c r="B44" s="3" t="s">
        <v>76</v>
      </c>
      <c r="C44" s="6" t="s">
        <v>75</v>
      </c>
      <c r="D44" s="7" t="s">
        <v>52</v>
      </c>
      <c r="E44" s="8" t="s">
        <v>31</v>
      </c>
      <c r="F44" s="30">
        <f>SUMIF('[1]South '!$B$1:$B$28,"Sagar TR",'[1]South '!$D$1:$D$28)</f>
        <v>2.5</v>
      </c>
      <c r="G44" s="31">
        <f>SUMIF('[2]Opportunity Pipeline'!$F:$F, "Sagar TR",'[2]Opportunity Pipeline'!$O:$O)/10^7</f>
        <v>1.1067547</v>
      </c>
      <c r="H44" s="32">
        <f t="shared" si="57"/>
        <v>0.44270187999999999</v>
      </c>
      <c r="I44" s="30">
        <f>SUMIF('[1]South '!$B$1:$B$28,"Sagar TR",'[1]South '!$E$1:$E$28)</f>
        <v>2.5</v>
      </c>
      <c r="J44" s="31">
        <f>SUMIF('[3]Opportunity Pipeline '!$F:$F,"Sagar TR",'[3]Opportunity Pipeline '!$O:$O)/10^7</f>
        <v>0.4995349</v>
      </c>
      <c r="K44" s="32">
        <f t="shared" si="58"/>
        <v>0.19981396000000001</v>
      </c>
      <c r="L44" s="33">
        <f>'[28]Sagar- TARGET LETTER - 26-27'!$D$9/10^7</f>
        <v>5</v>
      </c>
      <c r="M44" s="31">
        <f t="shared" si="59"/>
        <v>1.6062896</v>
      </c>
      <c r="N44" s="32">
        <f t="shared" si="60"/>
        <v>0.32125791999999997</v>
      </c>
      <c r="O44" s="27">
        <f>'[28]Sagar- TARGET LETTER - 26-27'!$D$10/10^7</f>
        <v>5</v>
      </c>
      <c r="P44" s="27" t="s">
        <v>32</v>
      </c>
      <c r="Q44" s="32" t="str">
        <f t="shared" si="61"/>
        <v>-</v>
      </c>
      <c r="R44" s="33">
        <f t="shared" si="62"/>
        <v>10</v>
      </c>
      <c r="S44" s="33">
        <f t="shared" si="63"/>
        <v>1.6062896</v>
      </c>
      <c r="T44" s="32">
        <f t="shared" si="64"/>
        <v>0.16062895999999999</v>
      </c>
      <c r="U44" s="27">
        <f>COUNTIF('[2]Opportunity Pipeline'!$F:$F,"Sagar TR")+ COUNTIF('[3]Opportunity Pipeline '!$F:$F,"Sagar TR")</f>
        <v>41</v>
      </c>
    </row>
    <row r="45" spans="1:26">
      <c r="A45">
        <v>3</v>
      </c>
      <c r="B45" s="3" t="s">
        <v>77</v>
      </c>
      <c r="C45" s="6" t="s">
        <v>75</v>
      </c>
      <c r="D45" s="7" t="s">
        <v>52</v>
      </c>
      <c r="E45" s="8" t="s">
        <v>31</v>
      </c>
      <c r="F45" s="30">
        <f>SUMIF('[1]South '!$B$1:$B$28,"Shahbaz Khan",'[1]South '!$D$1:$D$28)</f>
        <v>3</v>
      </c>
      <c r="G45" s="31">
        <f>SUMIF('[2]Opportunity Pipeline'!$F:$F, "Shahbaz Khan",'[2]Opportunity Pipeline'!$O:$O)/10^7</f>
        <v>3.8053235999999999</v>
      </c>
      <c r="H45" s="32">
        <f t="shared" si="57"/>
        <v>1.2684412</v>
      </c>
      <c r="I45" s="30">
        <f>SUMIF('[1]South '!$B$1:$B$28,"Shahbaz Khan",'[1]South '!$E$1:$E$28)</f>
        <v>3</v>
      </c>
      <c r="J45" s="31">
        <f>SUMIF('[3]Opportunity Pipeline '!$F:$F,"Shahbaz Khan",'[3]Opportunity Pipeline '!$O:$O)/10^7</f>
        <v>0</v>
      </c>
      <c r="K45" s="32">
        <f t="shared" si="58"/>
        <v>0</v>
      </c>
      <c r="L45" s="33">
        <f>'[29]Shahbaz - TARGET LETTER - 26-27'!$D$9/10^7</f>
        <v>6</v>
      </c>
      <c r="M45" s="31">
        <f t="shared" si="59"/>
        <v>3.8053235999999999</v>
      </c>
      <c r="N45" s="32">
        <f t="shared" si="60"/>
        <v>0.63422060000000002</v>
      </c>
      <c r="O45" s="27">
        <f>'[29]Shahbaz - TARGET LETTER - 26-27'!$D$10/10^7</f>
        <v>6</v>
      </c>
      <c r="P45" s="27" t="s">
        <v>32</v>
      </c>
      <c r="Q45" s="32" t="str">
        <f t="shared" si="61"/>
        <v>-</v>
      </c>
      <c r="R45" s="33">
        <f t="shared" si="62"/>
        <v>12</v>
      </c>
      <c r="S45" s="33">
        <f t="shared" si="63"/>
        <v>3.8053235999999999</v>
      </c>
      <c r="T45" s="32">
        <f t="shared" si="64"/>
        <v>0.31711030000000001</v>
      </c>
      <c r="U45" s="27">
        <f>COUNTIF('[2]Opportunity Pipeline'!$F:$F,"Shahbaz Khan")+ COUNTIF('[3]Opportunity Pipeline '!$F:$F,"Shahbaz Khan")</f>
        <v>12</v>
      </c>
    </row>
    <row r="46" spans="1:26">
      <c r="A46">
        <v>4</v>
      </c>
      <c r="B46" s="3" t="s">
        <v>78</v>
      </c>
      <c r="C46" s="6" t="s">
        <v>75</v>
      </c>
      <c r="D46" s="7" t="s">
        <v>52</v>
      </c>
      <c r="E46" s="8" t="s">
        <v>31</v>
      </c>
      <c r="F46" s="30">
        <f>SUMIF('[1]South '!$B$1:$B$28,"Shaikh Kadar",'[1]South '!$D$1:$D$28)</f>
        <v>3</v>
      </c>
      <c r="G46" s="31">
        <f>SUMIF('[2]Opportunity Pipeline'!$F:$F, "Shaik Khadhar",'[2]Opportunity Pipeline'!$O:$O)/10^7</f>
        <v>5.3360915000000002</v>
      </c>
      <c r="H46" s="32">
        <f t="shared" si="57"/>
        <v>1.7786971666666667</v>
      </c>
      <c r="I46" s="30">
        <f>SUMIF('[1]South '!$B$1:$B$28,"Shaikh Kada",'[1]South '!$E$1:$E$28)</f>
        <v>0</v>
      </c>
      <c r="J46" s="31">
        <f>SUMIF('[3]Opportunity Pipeline '!$F:$F,"Shaik Khadhar",'[3]Opportunity Pipeline '!$O:$O)/10^7</f>
        <v>0</v>
      </c>
      <c r="K46" s="32" t="str">
        <f t="shared" si="58"/>
        <v>-</v>
      </c>
      <c r="L46" s="33">
        <f>'[30]Khadar-  TARGET LETTER - 26-27'!$D$9/10^7</f>
        <v>7</v>
      </c>
      <c r="M46" s="31">
        <f t="shared" si="59"/>
        <v>5.3360915000000002</v>
      </c>
      <c r="N46" s="32">
        <f t="shared" si="60"/>
        <v>0.76229878571428578</v>
      </c>
      <c r="O46" s="27">
        <f>'[30]Khadar-  TARGET LETTER - 26-27'!$D$10/10^7</f>
        <v>8</v>
      </c>
      <c r="P46" s="27" t="s">
        <v>32</v>
      </c>
      <c r="Q46" s="32" t="str">
        <f t="shared" si="61"/>
        <v>-</v>
      </c>
      <c r="R46" s="33">
        <f t="shared" si="62"/>
        <v>15</v>
      </c>
      <c r="S46" s="33">
        <f t="shared" si="63"/>
        <v>5.3360915000000002</v>
      </c>
      <c r="T46" s="32">
        <f t="shared" si="64"/>
        <v>0.35573943333333335</v>
      </c>
      <c r="U46" s="27">
        <f>COUNTIF('[2]Opportunity Pipeline'!$F:$F,"Shaik Khadhar")+ COUNTIF('[3]Opportunity Pipeline '!$F:$F,"Shaik Khadhar")</f>
        <v>3</v>
      </c>
    </row>
    <row r="47" spans="1:26" s="44" customFormat="1">
      <c r="B47" s="5" t="s">
        <v>79</v>
      </c>
      <c r="F47" s="45">
        <f>SUM(F41:F46)</f>
        <v>10.5</v>
      </c>
      <c r="G47" s="45">
        <f t="shared" ref="G47" si="65">SUM(G41:G46)</f>
        <v>10.289626889000001</v>
      </c>
      <c r="H47" s="46">
        <f>G47/F47</f>
        <v>0.97996446561904771</v>
      </c>
      <c r="I47" s="45">
        <f t="shared" ref="I47" si="66">SUM(I41:I46)</f>
        <v>7.5</v>
      </c>
      <c r="J47" s="45">
        <f t="shared" ref="J47" si="67">SUM(J41:J46)</f>
        <v>0.75933490000000003</v>
      </c>
      <c r="K47" s="46">
        <f>J47/I47</f>
        <v>0.10124465333333334</v>
      </c>
      <c r="L47" s="45">
        <f t="shared" ref="L47" si="68">SUM(L41:L46)</f>
        <v>22</v>
      </c>
      <c r="M47" s="45">
        <f t="shared" ref="M47" si="69">SUM(M41:M46)</f>
        <v>11.048961789</v>
      </c>
      <c r="N47" s="46">
        <f>M47/L47</f>
        <v>0.50222553586363639</v>
      </c>
      <c r="O47" s="45">
        <f t="shared" ref="O47" si="70">SUM(O41:O46)</f>
        <v>23</v>
      </c>
      <c r="P47" s="45">
        <f t="shared" ref="P47" si="71">SUM(P41:P46)</f>
        <v>0</v>
      </c>
      <c r="Q47" s="46">
        <f>P47/O47</f>
        <v>0</v>
      </c>
      <c r="R47" s="45">
        <f t="shared" ref="R47" si="72">SUM(R41:R46)</f>
        <v>45</v>
      </c>
      <c r="S47" s="45">
        <f t="shared" ref="S47" si="73">SUM(S41:S46)</f>
        <v>11.048961789</v>
      </c>
      <c r="T47" s="46">
        <f>S47/R47</f>
        <v>0.24553248419999998</v>
      </c>
      <c r="U47" s="47">
        <f t="shared" ref="U47" si="74">SUM(U41:U46)</f>
        <v>64</v>
      </c>
    </row>
    <row r="48" spans="1:26" ht="15" thickBot="1"/>
    <row r="49" spans="1:26" ht="15" thickBot="1">
      <c r="A49" s="62" t="s">
        <v>80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>
      <c r="A50">
        <v>1</v>
      </c>
      <c r="B50" s="3" t="s">
        <v>81</v>
      </c>
      <c r="C50" s="6" t="s">
        <v>82</v>
      </c>
      <c r="D50" s="7" t="s">
        <v>52</v>
      </c>
      <c r="E50" s="8" t="s">
        <v>83</v>
      </c>
      <c r="F50" s="30">
        <f>SUMIF('[1]GeoX '!$A$1:$A$28,"Hrushikesh Bagade",'[1]GeoX '!$H$1:$H$28)</f>
        <v>0.4</v>
      </c>
      <c r="G50" s="31">
        <f>SUMIF('[2]Opportunity Pipeline'!$F:$F, "Hrushikesh Bagade",'[2]Opportunity Pipeline'!$O:$O)/10^7</f>
        <v>3.8126083999999998</v>
      </c>
      <c r="H50" s="32">
        <f t="shared" ref="H50:H51" si="75">IFERROR(G50/F50,"-")</f>
        <v>9.5315209999999997</v>
      </c>
      <c r="I50" s="30">
        <f>SUMIF('[1]GeoX '!$A$1:$A$28,"Hrushikesh Bagade",'[1]GeoX '!$I$1:$I$28)</f>
        <v>0.65</v>
      </c>
      <c r="J50" s="31">
        <f>SUMIF('[3]Opportunity Pipeline '!$F:$F,"Hrushikesh Bagade",'[3]Opportunity Pipeline '!$O:$O)/10^7</f>
        <v>1.6948999999999999E-2</v>
      </c>
      <c r="K50" s="32">
        <f t="shared" ref="K50" si="76">IFERROR(J50/I50,"-")</f>
        <v>2.6075384615384611E-2</v>
      </c>
      <c r="L50" s="33">
        <f>'[31]Hrushikesh TARGET LETTER 26-27'!$D$9/10^7</f>
        <v>1.05</v>
      </c>
      <c r="M50" s="31">
        <f t="shared" ref="M50" si="77">SUM(G50,J50)</f>
        <v>3.8295573999999997</v>
      </c>
      <c r="N50" s="32">
        <f t="shared" ref="N50" si="78">IFERROR(M50/L50,"-")</f>
        <v>3.6471975238095236</v>
      </c>
      <c r="O50" s="27">
        <f>'[31]Hrushikesh TARGET LETTER 26-27'!$D$10/10^7</f>
        <v>1.35</v>
      </c>
      <c r="P50" s="27" t="s">
        <v>32</v>
      </c>
      <c r="Q50" s="32" t="s">
        <v>32</v>
      </c>
      <c r="R50" s="33">
        <f t="shared" ref="R50" si="79">SUM(L50,O50)</f>
        <v>2.4000000000000004</v>
      </c>
      <c r="S50" s="33">
        <f t="shared" ref="S50" si="80">SUM(M50,P50)</f>
        <v>3.8295573999999997</v>
      </c>
      <c r="T50" s="32">
        <f t="shared" ref="T50" si="81">IFERROR(S50/R50,"-")</f>
        <v>1.5956489166666663</v>
      </c>
      <c r="U50" s="27">
        <f>COUNTIF('[2]Opportunity Pipeline'!$F:$F,"Hrushikesh Bagade")+ COUNTIF('[3]Opportunity Pipeline '!$F:$F,"Hrushikesh Bagade")</f>
        <v>54</v>
      </c>
    </row>
    <row r="51" spans="1:26" s="44" customFormat="1">
      <c r="B51" s="5" t="s">
        <v>84</v>
      </c>
      <c r="F51" s="45">
        <f>SUM(F50)</f>
        <v>0.4</v>
      </c>
      <c r="G51" s="45">
        <f>SUM(G50)</f>
        <v>3.8126083999999998</v>
      </c>
      <c r="H51" s="46">
        <f t="shared" si="75"/>
        <v>9.5315209999999997</v>
      </c>
      <c r="I51" s="45">
        <f>SUM(I50)</f>
        <v>0.65</v>
      </c>
      <c r="J51" s="45">
        <f>SUM(J50)</f>
        <v>1.6948999999999999E-2</v>
      </c>
      <c r="K51" s="46">
        <f>J51/I51</f>
        <v>2.6075384615384611E-2</v>
      </c>
      <c r="L51" s="45">
        <f>SUM(L50)</f>
        <v>1.05</v>
      </c>
      <c r="M51" s="45">
        <f>SUM(M50)</f>
        <v>3.8295573999999997</v>
      </c>
      <c r="N51" s="46">
        <f>M51/L51</f>
        <v>3.6471975238095236</v>
      </c>
      <c r="O51" s="45">
        <f>SUM(O50)</f>
        <v>1.35</v>
      </c>
      <c r="P51" s="45">
        <f>SUM(P50)</f>
        <v>0</v>
      </c>
      <c r="Q51" s="46">
        <f>P51/O51</f>
        <v>0</v>
      </c>
      <c r="R51" s="45">
        <f>SUM(R50)</f>
        <v>2.4000000000000004</v>
      </c>
      <c r="S51" s="45">
        <f>SUM(S50)</f>
        <v>3.8295573999999997</v>
      </c>
      <c r="T51" s="46">
        <f>S51/R51</f>
        <v>1.5956489166666663</v>
      </c>
      <c r="U51" s="47">
        <f>SUM(U50)</f>
        <v>54</v>
      </c>
    </row>
    <row r="53" spans="1:26" s="43" customFormat="1">
      <c r="A53" s="61" t="s">
        <v>85</v>
      </c>
      <c r="B53" s="61"/>
      <c r="C53" s="61"/>
      <c r="D53" s="61"/>
      <c r="E53" s="61"/>
      <c r="F53" s="40">
        <f>SUM(F10,F19,F26,F40,F47)</f>
        <v>196.72499999999997</v>
      </c>
      <c r="G53" s="40">
        <f>SUM(G10,G19,G26,G40,G47)</f>
        <v>93.521468488000011</v>
      </c>
      <c r="H53" s="41">
        <f t="shared" ref="H53" si="82">IFERROR(G53/F53,"-")</f>
        <v>0.47539188454949816</v>
      </c>
      <c r="I53" s="40">
        <f>SUM(I10,I19,I26,I40,I47)</f>
        <v>320.32499999999999</v>
      </c>
      <c r="J53" s="40">
        <f>SUM(J10,J19,J26,J40,J47)</f>
        <v>123.69758069000001</v>
      </c>
      <c r="K53" s="41">
        <f t="shared" ref="K53" si="83">IFERROR(J53/I53,"-")</f>
        <v>0.38616274312026855</v>
      </c>
      <c r="L53" s="40">
        <f>SUM(L10,L19,L26,L40,L47)</f>
        <v>498</v>
      </c>
      <c r="M53" s="40">
        <f>SUM(M10,M19,M26,M40,M47)</f>
        <v>217.21904917800001</v>
      </c>
      <c r="N53" s="41">
        <f t="shared" ref="N53" si="84">IFERROR(M53/L53,"-")</f>
        <v>0.43618282967469879</v>
      </c>
      <c r="O53" s="40">
        <f>SUM(O10,O19,O26,O40,O47)</f>
        <v>615.5</v>
      </c>
      <c r="P53" s="40">
        <f>SUM(P10,P19,P26,P40,P47)</f>
        <v>0</v>
      </c>
      <c r="Q53" s="41">
        <f t="shared" ref="Q53" si="85">IFERROR(P53/O53,"-")</f>
        <v>0</v>
      </c>
      <c r="R53" s="40">
        <f>SUM(R10,R19,R26,R40,R47)</f>
        <v>1113.5</v>
      </c>
      <c r="S53" s="40">
        <f>SUM(S10,S19,S26,S40,S47)</f>
        <v>217.21904917800001</v>
      </c>
      <c r="T53" s="41">
        <f t="shared" ref="T53" si="86">IFERROR(S53/R53,"-")</f>
        <v>0.1950777271468343</v>
      </c>
      <c r="U53" s="42">
        <f>SUM(U10,U19,U26,U40,U47)</f>
        <v>307</v>
      </c>
    </row>
  </sheetData>
  <mergeCells count="8">
    <mergeCell ref="A53:E53"/>
    <mergeCell ref="A49:Z49"/>
    <mergeCell ref="A1:Z1"/>
    <mergeCell ref="A3:Z3"/>
    <mergeCell ref="A12:Z12"/>
    <mergeCell ref="A21:Z21"/>
    <mergeCell ref="A28:Z28"/>
    <mergeCell ref="A42:Z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10"/>
  <sheetViews>
    <sheetView workbookViewId="0">
      <selection activeCell="A2" sqref="A2"/>
    </sheetView>
  </sheetViews>
  <sheetFormatPr defaultRowHeight="14.45"/>
  <cols>
    <col min="2" max="2" width="19.7109375" bestFit="1" customWidth="1"/>
    <col min="7" max="7" width="11" bestFit="1" customWidth="1"/>
  </cols>
  <sheetData>
    <row r="1" spans="1:21" ht="27.75" customHeight="1">
      <c r="A1" s="60" t="s">
        <v>86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 ht="36" customHeight="1">
      <c r="A2" s="55" t="s">
        <v>1</v>
      </c>
      <c r="B2" s="55" t="s">
        <v>2</v>
      </c>
      <c r="C2" s="55" t="s">
        <v>3</v>
      </c>
      <c r="D2" s="55" t="s">
        <v>4</v>
      </c>
      <c r="E2" s="55" t="s">
        <v>5</v>
      </c>
      <c r="F2" s="55" t="s">
        <v>6</v>
      </c>
      <c r="G2" s="55" t="s">
        <v>7</v>
      </c>
      <c r="H2" s="55" t="s">
        <v>8</v>
      </c>
      <c r="I2" s="55" t="s">
        <v>9</v>
      </c>
      <c r="J2" s="55" t="s">
        <v>10</v>
      </c>
      <c r="K2" s="55" t="s">
        <v>11</v>
      </c>
      <c r="L2" s="55" t="s">
        <v>12</v>
      </c>
      <c r="M2" s="55" t="s">
        <v>13</v>
      </c>
      <c r="N2" s="55" t="s">
        <v>14</v>
      </c>
      <c r="O2" s="55" t="s">
        <v>15</v>
      </c>
      <c r="P2" s="55" t="s">
        <v>16</v>
      </c>
      <c r="Q2" s="55" t="s">
        <v>17</v>
      </c>
      <c r="R2" s="55" t="s">
        <v>18</v>
      </c>
      <c r="S2" s="55" t="s">
        <v>19</v>
      </c>
      <c r="T2" s="55" t="s">
        <v>20</v>
      </c>
      <c r="U2" s="55" t="s">
        <v>21</v>
      </c>
    </row>
    <row r="3" spans="1:21">
      <c r="A3" s="54">
        <v>1</v>
      </c>
      <c r="B3" s="54" t="s">
        <v>87</v>
      </c>
      <c r="C3" s="56" t="s">
        <v>88</v>
      </c>
      <c r="D3" s="56" t="s">
        <v>30</v>
      </c>
      <c r="E3" s="56" t="s">
        <v>89</v>
      </c>
      <c r="F3" s="54"/>
      <c r="G3" s="57">
        <f>SUMIF('[2]Opportunity Pipeline'!$F:$F,"Ajay Patodia",'[2]Opportunity Pipeline'!$O:$O)/10^7</f>
        <v>9.4460405699999974</v>
      </c>
      <c r="H3" s="54"/>
      <c r="I3" s="54"/>
      <c r="J3" s="57">
        <f>SUMIF('[3]Opportunity Pipeline '!$F:$F,"Ajay Patodia",'[3]Opportunity Pipeline '!$O:$O)/10^7</f>
        <v>0.49984980000000001</v>
      </c>
      <c r="K3" s="54"/>
      <c r="L3" s="57">
        <f>(SUMIF('[2]Opportunity Pipeline'!$F:$F,"Ajay Patodia",'[2]Opportunity Pipeline'!$O:$O)+SUMIF('[3]Opportunity Pipeline '!$F:$F,"Ajay Patodia",'[3]Opportunity Pipeline '!$O:$O))/10^7</f>
        <v>9.9458903699999972</v>
      </c>
      <c r="M3" s="54"/>
      <c r="N3" s="54"/>
      <c r="O3" s="54"/>
      <c r="P3" s="54"/>
      <c r="Q3" s="54"/>
      <c r="R3" s="54"/>
      <c r="S3" s="57">
        <f>SUM(L3,P3)</f>
        <v>9.9458903699999972</v>
      </c>
      <c r="T3" s="54"/>
      <c r="U3" s="59">
        <f>COUNTIF('[2]Opportunity Pipeline'!$F:$F,"Ajay Patodia")+ COUNTIF('[3]Opportunity Pipeline '!$F:$F,"Ajay Patodia")</f>
        <v>29</v>
      </c>
    </row>
    <row r="4" spans="1:21">
      <c r="A4" s="54">
        <v>2</v>
      </c>
      <c r="B4" s="54" t="s">
        <v>90</v>
      </c>
      <c r="C4" s="56" t="s">
        <v>42</v>
      </c>
      <c r="D4" s="56" t="s">
        <v>30</v>
      </c>
      <c r="E4" s="56" t="s">
        <v>91</v>
      </c>
      <c r="F4" s="54"/>
      <c r="G4" s="57">
        <f>SUMIF('[2]Opportunity Pipeline'!$F:$F,"Dipti  Karpe",'[2]Opportunity Pipeline'!$O:$O)/10^7</f>
        <v>0</v>
      </c>
      <c r="H4" s="54"/>
      <c r="I4" s="54"/>
      <c r="J4" s="57">
        <f>SUMIF('[3]Opportunity Pipeline '!$F:$F,"Dipti Karpe",'[3]Opportunity Pipeline '!$O:$O)/10^7</f>
        <v>0</v>
      </c>
      <c r="K4" s="54"/>
      <c r="L4" s="57">
        <f>(SUMIF('[2]Opportunity Pipeline'!$F:$F,"Dipti Karpe",'[2]Opportunity Pipeline'!$O:$O)+SUMIF('[3]Opportunity Pipeline '!$F:$F,"Dipti Karpe",'[3]Opportunity Pipeline '!$O:$O))/10^7</f>
        <v>0</v>
      </c>
      <c r="M4" s="54"/>
      <c r="N4" s="54"/>
      <c r="O4" s="54"/>
      <c r="P4" s="54"/>
      <c r="Q4" s="54"/>
      <c r="R4" s="54"/>
      <c r="S4" s="57">
        <f t="shared" ref="S4:S10" si="0">SUM(L4,P4)</f>
        <v>0</v>
      </c>
      <c r="T4" s="54"/>
      <c r="U4" s="59">
        <f>COUNTIF('[2]Opportunity Pipeline'!$F:$F,"Dipti Karpe")+ COUNTIF('[3]Opportunity Pipeline '!$F:$F,"Dipti Karpe")</f>
        <v>0</v>
      </c>
    </row>
    <row r="5" spans="1:21">
      <c r="A5" s="54">
        <v>3</v>
      </c>
      <c r="B5" s="54" t="s">
        <v>92</v>
      </c>
      <c r="C5" s="56" t="s">
        <v>29</v>
      </c>
      <c r="D5" s="56" t="s">
        <v>30</v>
      </c>
      <c r="E5" s="56" t="s">
        <v>91</v>
      </c>
      <c r="F5" s="54"/>
      <c r="G5" s="57">
        <f>SUMIF('[2]Opportunity Pipeline'!$F:$F,"Ishwari Kadam",'[2]Opportunity Pipeline'!$O:$O)/10^7</f>
        <v>6.26694</v>
      </c>
      <c r="H5" s="54"/>
      <c r="I5" s="54"/>
      <c r="J5" s="57">
        <f>SUMIF('[3]Opportunity Pipeline '!$F:$F,"Ishwari Kadam",'[3]Opportunity Pipeline '!$O:$O)/10^7</f>
        <v>0</v>
      </c>
      <c r="K5" s="54"/>
      <c r="L5" s="57">
        <f>(SUMIF('[2]Opportunity Pipeline'!$F:$F,"Ishwari Kadam",'[2]Opportunity Pipeline'!$O:$O)+SUMIF('[3]Opportunity Pipeline '!$F:$F,"Ishwari Kadam",'[3]Opportunity Pipeline '!$O:$O))/10^7</f>
        <v>6.26694</v>
      </c>
      <c r="M5" s="54"/>
      <c r="N5" s="54"/>
      <c r="O5" s="54"/>
      <c r="P5" s="54"/>
      <c r="Q5" s="54"/>
      <c r="R5" s="54"/>
      <c r="S5" s="57">
        <f t="shared" si="0"/>
        <v>6.26694</v>
      </c>
      <c r="T5" s="54"/>
      <c r="U5" s="59">
        <f>COUNTIF('[2]Opportunity Pipeline'!$F:$F,"Ishwari Kadam")+ COUNTIF('[3]Opportunity Pipeline '!$F:$F,"Ishwari Kadam")</f>
        <v>4</v>
      </c>
    </row>
    <row r="6" spans="1:21">
      <c r="A6" s="54">
        <v>4</v>
      </c>
      <c r="B6" s="54" t="s">
        <v>93</v>
      </c>
      <c r="C6" s="56" t="s">
        <v>51</v>
      </c>
      <c r="D6" s="56" t="s">
        <v>30</v>
      </c>
      <c r="E6" s="56" t="s">
        <v>89</v>
      </c>
      <c r="F6" s="54"/>
      <c r="G6" s="57">
        <f>SUMIF('[2]Opportunity Pipeline'!$F:$F,"Vineet Gadia",'[2]Opportunity Pipeline'!$O:$O)/10^7</f>
        <v>0</v>
      </c>
      <c r="H6" s="54"/>
      <c r="I6" s="54"/>
      <c r="J6" s="57">
        <f>SUMIF('[3]Opportunity Pipeline '!$F:$F,"Vineet Gadia",'[3]Opportunity Pipeline '!$O:$O)/10^7</f>
        <v>0</v>
      </c>
      <c r="K6" s="54"/>
      <c r="L6" s="57">
        <f>(SUMIF('[2]Opportunity Pipeline'!$F:$F,"Vineet Gadia",'[2]Opportunity Pipeline'!$O:$O)+SUMIF('[3]Opportunity Pipeline '!$F:$F,"Vineet Gadia",'[3]Opportunity Pipeline '!$O:$O))/10^7</f>
        <v>0</v>
      </c>
      <c r="M6" s="54"/>
      <c r="N6" s="54"/>
      <c r="O6" s="54"/>
      <c r="P6" s="54"/>
      <c r="Q6" s="54"/>
      <c r="R6" s="54"/>
      <c r="S6" s="57">
        <f t="shared" si="0"/>
        <v>0</v>
      </c>
      <c r="T6" s="54"/>
      <c r="U6" s="59">
        <f>COUNTIF('[2]Opportunity Pipeline'!$F:$F,"Vineet Gadia")+ COUNTIF('[3]Opportunity Pipeline '!$F:$F,"Vineet Gadia")</f>
        <v>0</v>
      </c>
    </row>
    <row r="7" spans="1:21">
      <c r="A7" s="54">
        <v>5</v>
      </c>
      <c r="B7" s="54" t="s">
        <v>94</v>
      </c>
      <c r="C7" s="56" t="s">
        <v>82</v>
      </c>
      <c r="D7" s="56" t="s">
        <v>30</v>
      </c>
      <c r="E7" s="56" t="s">
        <v>89</v>
      </c>
      <c r="F7" s="54"/>
      <c r="G7" s="57">
        <f>SUMIF('[2]Opportunity Pipeline'!$F:$F,"Sanjeev Kohli",'[2]Opportunity Pipeline'!$O:$O)/10^7</f>
        <v>2.19665</v>
      </c>
      <c r="H7" s="54"/>
      <c r="I7" s="54"/>
      <c r="J7" s="57">
        <f>SUMIF('[3]Opportunity Pipeline '!$F:$F,"Sanjeev Kohli",'[3]Opportunity Pipeline '!$O:$O)/10^7</f>
        <v>0</v>
      </c>
      <c r="K7" s="54"/>
      <c r="L7" s="57">
        <f>(SUMIF('[2]Opportunity Pipeline'!$F:$F,"Sanjeev Kohli",'[2]Opportunity Pipeline'!$O:$O)+SUMIF('[3]Opportunity Pipeline '!$F:$F,"Sanjeev Kohli",'[3]Opportunity Pipeline '!$O:$O))/10^7</f>
        <v>2.19665</v>
      </c>
      <c r="M7" s="54"/>
      <c r="N7" s="54"/>
      <c r="O7" s="54"/>
      <c r="P7" s="54"/>
      <c r="Q7" s="54"/>
      <c r="R7" s="54"/>
      <c r="S7" s="57">
        <f t="shared" si="0"/>
        <v>2.19665</v>
      </c>
      <c r="T7" s="54"/>
      <c r="U7" s="59">
        <f>COUNTIF('[2]Opportunity Pipeline'!$F:$F,"Sanjeev Kohli")+ COUNTIF('[3]Opportunity Pipeline '!$F:$F,"Sanjeev Kohli")</f>
        <v>1</v>
      </c>
    </row>
    <row r="8" spans="1:21">
      <c r="A8" s="54">
        <v>6</v>
      </c>
      <c r="B8" s="54" t="s">
        <v>95</v>
      </c>
      <c r="C8" s="56" t="s">
        <v>59</v>
      </c>
      <c r="D8" s="56" t="s">
        <v>30</v>
      </c>
      <c r="E8" s="56" t="s">
        <v>89</v>
      </c>
      <c r="F8" s="54"/>
      <c r="G8" s="57">
        <f>SUMIF('[2]Opportunity Pipeline'!$F:$F,"Yogesh Bhatia",'[2]Opportunity Pipeline'!$O:$O)/10^7</f>
        <v>0</v>
      </c>
      <c r="H8" s="54"/>
      <c r="I8" s="54"/>
      <c r="J8" s="57">
        <f>SUMIF('[3]Opportunity Pipeline '!$F:$F,"Yogesh Bhatia",'[3]Opportunity Pipeline '!$O:$O)/10^7</f>
        <v>0</v>
      </c>
      <c r="K8" s="54"/>
      <c r="L8" s="57">
        <f>(SUMIF('[2]Opportunity Pipeline'!$F:$F,"Yogesh Bhatia",'[2]Opportunity Pipeline'!$O:$O)+SUMIF('[3]Opportunity Pipeline '!$F:$F,"Yogesh Bhatia",'[3]Opportunity Pipeline '!$O:$O))/10^7</f>
        <v>0</v>
      </c>
      <c r="M8" s="54"/>
      <c r="N8" s="54"/>
      <c r="O8" s="54"/>
      <c r="P8" s="54"/>
      <c r="Q8" s="54"/>
      <c r="R8" s="54"/>
      <c r="S8" s="57">
        <f t="shared" si="0"/>
        <v>0</v>
      </c>
      <c r="T8" s="54"/>
      <c r="U8" s="59">
        <f>COUNTIF('[2]Opportunity Pipeline'!$F:$F,"Yogesh Bhatia")+ COUNTIF('[3]Opportunity Pipeline '!$F:$F,"Yogesh Bhatia")</f>
        <v>0</v>
      </c>
    </row>
    <row r="9" spans="1:21">
      <c r="A9" s="54">
        <v>7</v>
      </c>
      <c r="B9" s="54" t="s">
        <v>96</v>
      </c>
      <c r="C9" s="56" t="s">
        <v>97</v>
      </c>
      <c r="D9" s="56" t="s">
        <v>30</v>
      </c>
      <c r="E9" s="56" t="s">
        <v>89</v>
      </c>
      <c r="F9" s="54"/>
      <c r="G9" s="57">
        <f>SUMIF('[2]Opportunity Pipeline'!$F:$F,"Jitesh Rajput",'[2]Opportunity Pipeline'!$O:$O)/10^7</f>
        <v>1.5479999999999999E-3</v>
      </c>
      <c r="H9" s="54"/>
      <c r="I9" s="54"/>
      <c r="J9" s="57">
        <f>SUMIF('[3]Opportunity Pipeline '!$F:$F,"Jitesh Rajput",'[3]Opportunity Pipeline '!$O:$O)/10^7</f>
        <v>0</v>
      </c>
      <c r="K9" s="54"/>
      <c r="L9" s="58">
        <f>(SUMIF('[2]Opportunity Pipeline'!$F:$F,"Jitesh Rajput",'[2]Opportunity Pipeline'!$O:$O)+SUMIF('[3]Opportunity Pipeline '!$F:$F,"Jitesh Rajput",'[3]Opportunity Pipeline '!$O:$O))/10^7</f>
        <v>1.5479999999999999E-3</v>
      </c>
      <c r="M9" s="54"/>
      <c r="N9" s="54"/>
      <c r="O9" s="54"/>
      <c r="P9" s="54"/>
      <c r="Q9" s="54"/>
      <c r="R9" s="54"/>
      <c r="S9" s="57">
        <f t="shared" si="0"/>
        <v>1.5479999999999999E-3</v>
      </c>
      <c r="T9" s="54"/>
      <c r="U9" s="59">
        <f>COUNTIF('[2]Opportunity Pipeline'!$F:$F,"Jitesh Rajput")+ COUNTIF('[3]Opportunity Pipeline '!$F:$F,"Jitesh Rajput")</f>
        <v>3</v>
      </c>
    </row>
    <row r="10" spans="1:21">
      <c r="A10" s="54">
        <v>8</v>
      </c>
      <c r="B10" s="54" t="s">
        <v>98</v>
      </c>
      <c r="C10" s="56" t="s">
        <v>99</v>
      </c>
      <c r="D10" s="56" t="s">
        <v>30</v>
      </c>
      <c r="E10" s="56" t="s">
        <v>89</v>
      </c>
      <c r="F10" s="54"/>
      <c r="G10" s="57">
        <f>SUMIF('[2]Opportunity Pipeline'!$F:$F,"Rocky Braganza",'[2]Opportunity Pipeline'!$O:$O)/10^7</f>
        <v>0</v>
      </c>
      <c r="H10" s="54"/>
      <c r="I10" s="54"/>
      <c r="J10" s="57">
        <f>SUMIF('[3]Opportunity Pipeline '!$F:$F,"Rocky Braganza",'[3]Opportunity Pipeline '!$O:$O)/10^7</f>
        <v>0</v>
      </c>
      <c r="K10" s="54"/>
      <c r="L10" s="57">
        <f>(SUMIF('[2]Opportunity Pipeline'!$F:$F,"Rocky Braganza",'[2]Opportunity Pipeline'!$O:$O)+SUMIF('[3]Opportunity Pipeline '!$F:$F,"Rocky Braganza",'[3]Opportunity Pipeline '!$O:$O))/10^7</f>
        <v>0</v>
      </c>
      <c r="M10" s="54"/>
      <c r="N10" s="54"/>
      <c r="O10" s="54"/>
      <c r="P10" s="54"/>
      <c r="Q10" s="54"/>
      <c r="R10" s="54"/>
      <c r="S10" s="57">
        <f t="shared" si="0"/>
        <v>0</v>
      </c>
      <c r="T10" s="54"/>
      <c r="U10" s="59">
        <f>COUNTIF('[2]Opportunity Pipeline'!$F:$F,"Rocky Braganza")+ COUNTIF('[3]Opportunity Pipeline '!$F:$F,"Rocky Braganza")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I11"/>
  <sheetViews>
    <sheetView topLeftCell="L1" workbookViewId="0">
      <selection activeCell="A2" sqref="A1:XFD3"/>
    </sheetView>
  </sheetViews>
  <sheetFormatPr defaultRowHeight="14.45"/>
  <cols>
    <col min="1" max="1" width="41.7109375" customWidth="1"/>
    <col min="2" max="2" width="8.85546875" customWidth="1"/>
  </cols>
  <sheetData>
    <row r="1" spans="1:35" ht="27.75" customHeight="1">
      <c r="A1" s="9" t="s">
        <v>100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2"/>
      <c r="W1" s="2"/>
      <c r="X1" s="2"/>
      <c r="Y1" s="2"/>
      <c r="Z1" s="2"/>
      <c r="AA1" s="2"/>
      <c r="AB1" s="10"/>
      <c r="AC1" s="9"/>
      <c r="AD1" s="9"/>
      <c r="AE1" s="9"/>
      <c r="AF1" s="9"/>
      <c r="AG1" s="9"/>
      <c r="AH1" s="9"/>
      <c r="AI1" s="9"/>
    </row>
    <row r="2" spans="1:35" ht="19.5" customHeight="1">
      <c r="A2" s="2" t="s">
        <v>101</v>
      </c>
      <c r="B2" s="2" t="s">
        <v>3</v>
      </c>
      <c r="C2" s="70" t="s">
        <v>102</v>
      </c>
      <c r="D2" s="70"/>
      <c r="E2" s="70"/>
      <c r="F2" s="67" t="s">
        <v>103</v>
      </c>
      <c r="G2" s="68"/>
      <c r="H2" s="69"/>
      <c r="I2" s="70" t="s">
        <v>104</v>
      </c>
      <c r="J2" s="70"/>
      <c r="K2" s="70"/>
      <c r="L2" s="67" t="s">
        <v>105</v>
      </c>
      <c r="M2" s="68"/>
      <c r="N2" s="69"/>
      <c r="O2" s="64" t="s">
        <v>106</v>
      </c>
      <c r="P2" s="65"/>
      <c r="Q2" s="66"/>
      <c r="R2" s="67" t="s">
        <v>107</v>
      </c>
      <c r="S2" s="68"/>
      <c r="T2" s="69"/>
      <c r="U2" s="2" t="s">
        <v>108</v>
      </c>
      <c r="V2" s="64" t="s">
        <v>109</v>
      </c>
      <c r="W2" s="65"/>
      <c r="X2" s="66"/>
      <c r="Y2" s="67" t="s">
        <v>110</v>
      </c>
      <c r="Z2" s="68"/>
      <c r="AA2" s="69"/>
      <c r="AB2" s="2" t="s">
        <v>111</v>
      </c>
      <c r="AC2" s="70" t="s">
        <v>112</v>
      </c>
      <c r="AD2" s="70"/>
      <c r="AE2" s="70"/>
      <c r="AF2" s="71" t="s">
        <v>113</v>
      </c>
      <c r="AG2" s="71"/>
      <c r="AH2" s="71"/>
      <c r="AI2" s="2" t="s">
        <v>114</v>
      </c>
    </row>
    <row r="3" spans="1:35" ht="19.5" customHeight="1">
      <c r="A3" s="2" t="s">
        <v>115</v>
      </c>
      <c r="B3" s="2" t="s">
        <v>116</v>
      </c>
      <c r="C3" s="11" t="s">
        <v>117</v>
      </c>
      <c r="D3" s="11" t="s">
        <v>118</v>
      </c>
      <c r="E3" s="11" t="s">
        <v>119</v>
      </c>
      <c r="F3" s="12" t="s">
        <v>117</v>
      </c>
      <c r="G3" s="12" t="s">
        <v>118</v>
      </c>
      <c r="H3" s="12" t="s">
        <v>119</v>
      </c>
      <c r="I3" s="11" t="s">
        <v>117</v>
      </c>
      <c r="J3" s="11" t="s">
        <v>118</v>
      </c>
      <c r="K3" s="11" t="s">
        <v>119</v>
      </c>
      <c r="L3" s="12" t="s">
        <v>117</v>
      </c>
      <c r="M3" s="12" t="s">
        <v>118</v>
      </c>
      <c r="N3" s="12" t="s">
        <v>119</v>
      </c>
      <c r="O3" s="11" t="s">
        <v>117</v>
      </c>
      <c r="P3" s="11" t="s">
        <v>118</v>
      </c>
      <c r="Q3" s="11" t="s">
        <v>119</v>
      </c>
      <c r="R3" s="12" t="s">
        <v>117</v>
      </c>
      <c r="S3" s="12" t="s">
        <v>118</v>
      </c>
      <c r="T3" s="12" t="s">
        <v>119</v>
      </c>
      <c r="U3" s="2" t="s">
        <v>120</v>
      </c>
      <c r="V3" s="11" t="s">
        <v>117</v>
      </c>
      <c r="W3" s="11" t="s">
        <v>118</v>
      </c>
      <c r="X3" s="11" t="s">
        <v>119</v>
      </c>
      <c r="Y3" s="12" t="s">
        <v>117</v>
      </c>
      <c r="Z3" s="12" t="s">
        <v>118</v>
      </c>
      <c r="AA3" s="12" t="s">
        <v>119</v>
      </c>
      <c r="AB3" s="2" t="s">
        <v>120</v>
      </c>
      <c r="AC3" s="11" t="s">
        <v>117</v>
      </c>
      <c r="AD3" s="11" t="s">
        <v>118</v>
      </c>
      <c r="AE3" s="11" t="s">
        <v>119</v>
      </c>
      <c r="AF3" s="12" t="s">
        <v>117</v>
      </c>
      <c r="AG3" s="12" t="s">
        <v>118</v>
      </c>
      <c r="AH3" s="12" t="s">
        <v>119</v>
      </c>
      <c r="AI3" s="2" t="s">
        <v>120</v>
      </c>
    </row>
    <row r="4" spans="1:35">
      <c r="A4" s="72" t="s">
        <v>121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</row>
    <row r="5" spans="1:35">
      <c r="A5" s="3" t="s">
        <v>122</v>
      </c>
      <c r="B5" s="6" t="s">
        <v>29</v>
      </c>
      <c r="C5" s="29">
        <f>'V1 · Individual'!F10</f>
        <v>108.175</v>
      </c>
      <c r="D5" s="29">
        <f>'V1 · Individual'!G10</f>
        <v>36.917492693</v>
      </c>
      <c r="E5" s="26">
        <f>IFERROR(D5/C5,"-")</f>
        <v>0.34127564310607811</v>
      </c>
      <c r="F5" s="27" t="s">
        <v>32</v>
      </c>
      <c r="G5" s="27" t="s">
        <v>32</v>
      </c>
      <c r="H5" s="27" t="s">
        <v>32</v>
      </c>
      <c r="I5" s="29">
        <f>'V1 · Individual'!I10</f>
        <v>194.17499999999998</v>
      </c>
      <c r="J5" s="29">
        <f>'V1 · Individual'!J10</f>
        <v>15.365604012999999</v>
      </c>
      <c r="K5" s="27" t="s">
        <v>32</v>
      </c>
      <c r="L5" s="27" t="s">
        <v>32</v>
      </c>
      <c r="M5" s="27" t="s">
        <v>32</v>
      </c>
      <c r="N5" s="27" t="s">
        <v>32</v>
      </c>
      <c r="O5" s="29">
        <f>'V1 · Individual'!L10</f>
        <v>307.35000000000002</v>
      </c>
      <c r="P5" s="29">
        <f>'V1 · Individual'!M10</f>
        <v>52.283096705999995</v>
      </c>
      <c r="Q5" s="26">
        <f t="shared" ref="Q5:Q9" si="0">IFERROR(P5/O5,"-")</f>
        <v>0.17010931090287942</v>
      </c>
      <c r="R5" s="27" t="s">
        <v>32</v>
      </c>
      <c r="S5" s="27" t="s">
        <v>32</v>
      </c>
      <c r="T5" s="27" t="s">
        <v>32</v>
      </c>
      <c r="U5" s="48">
        <f>'V1 · Individual'!U10</f>
        <v>102</v>
      </c>
      <c r="V5" s="29">
        <f>'V1 · Individual'!O10</f>
        <v>352.65</v>
      </c>
      <c r="W5" s="27" t="s">
        <v>32</v>
      </c>
      <c r="X5" s="27" t="s">
        <v>32</v>
      </c>
      <c r="Y5" s="27" t="s">
        <v>32</v>
      </c>
      <c r="Z5" s="27" t="s">
        <v>32</v>
      </c>
      <c r="AA5" s="27" t="s">
        <v>32</v>
      </c>
      <c r="AB5" s="27" t="s">
        <v>32</v>
      </c>
      <c r="AC5" s="29">
        <f>'V1 · Individual'!R10</f>
        <v>660</v>
      </c>
      <c r="AD5" s="29">
        <f>'V1 · Individual'!S10</f>
        <v>52.283096705999995</v>
      </c>
      <c r="AE5" s="26">
        <f>AD5/AC5</f>
        <v>7.9216813190909077E-2</v>
      </c>
      <c r="AF5" s="27" t="s">
        <v>32</v>
      </c>
      <c r="AG5" s="27" t="s">
        <v>32</v>
      </c>
      <c r="AH5" s="27" t="s">
        <v>32</v>
      </c>
      <c r="AI5" s="48">
        <f>SUM(U5,AB5)</f>
        <v>102</v>
      </c>
    </row>
    <row r="6" spans="1:35">
      <c r="A6" s="3" t="s">
        <v>123</v>
      </c>
      <c r="B6" s="6" t="s">
        <v>42</v>
      </c>
      <c r="C6" s="29">
        <f>'V1 · Individual'!F19</f>
        <v>54.849999999999994</v>
      </c>
      <c r="D6" s="29">
        <f>'V1 · Individual'!G19</f>
        <v>15.396570527999998</v>
      </c>
      <c r="E6" s="26">
        <f t="shared" ref="E6:E9" si="1">IFERROR(D6/C6,"-")</f>
        <v>0.28070320014585232</v>
      </c>
      <c r="F6" s="27" t="s">
        <v>32</v>
      </c>
      <c r="G6" s="27" t="s">
        <v>32</v>
      </c>
      <c r="H6" s="27" t="s">
        <v>32</v>
      </c>
      <c r="I6" s="29">
        <f>'V1 · Individual'!I19</f>
        <v>84.149999999999991</v>
      </c>
      <c r="J6" s="29">
        <f>'V1 · Individual'!J19</f>
        <v>103.765402577</v>
      </c>
      <c r="K6" s="27" t="s">
        <v>32</v>
      </c>
      <c r="L6" s="27" t="s">
        <v>32</v>
      </c>
      <c r="M6" s="27" t="s">
        <v>32</v>
      </c>
      <c r="N6" s="27" t="s">
        <v>32</v>
      </c>
      <c r="O6" s="29">
        <f>'V1 · Individual'!L19</f>
        <v>107.75</v>
      </c>
      <c r="P6" s="29">
        <f>'V1 · Individual'!M19</f>
        <v>119.16197310499999</v>
      </c>
      <c r="Q6" s="26">
        <f t="shared" si="0"/>
        <v>1.1059115833410671</v>
      </c>
      <c r="R6" s="27" t="s">
        <v>32</v>
      </c>
      <c r="S6" s="27" t="s">
        <v>32</v>
      </c>
      <c r="T6" s="27" t="s">
        <v>32</v>
      </c>
      <c r="U6" s="48">
        <f>'V1 · Individual'!U19</f>
        <v>38</v>
      </c>
      <c r="V6" s="29">
        <f>'V1 · Individual'!O19</f>
        <v>138.25</v>
      </c>
      <c r="W6" s="27" t="s">
        <v>32</v>
      </c>
      <c r="X6" s="27" t="s">
        <v>32</v>
      </c>
      <c r="Y6" s="27" t="s">
        <v>32</v>
      </c>
      <c r="Z6" s="27" t="s">
        <v>32</v>
      </c>
      <c r="AA6" s="27" t="s">
        <v>32</v>
      </c>
      <c r="AB6" s="27" t="s">
        <v>32</v>
      </c>
      <c r="AC6" s="29">
        <f>'V1 · Individual'!R19</f>
        <v>246</v>
      </c>
      <c r="AD6" s="29">
        <f>'V1 · Individual'!S19</f>
        <v>119.16197310499999</v>
      </c>
      <c r="AE6" s="26">
        <f t="shared" ref="AE6:AE9" si="2">AD6/AC6</f>
        <v>0.4843982646544715</v>
      </c>
      <c r="AF6" s="27" t="s">
        <v>32</v>
      </c>
      <c r="AG6" s="27" t="s">
        <v>32</v>
      </c>
      <c r="AH6" s="27" t="s">
        <v>32</v>
      </c>
      <c r="AI6" s="48">
        <f t="shared" ref="AI6:AI10" si="3">SUM(U6,AB6)</f>
        <v>38</v>
      </c>
    </row>
    <row r="7" spans="1:35">
      <c r="A7" s="3" t="s">
        <v>124</v>
      </c>
      <c r="B7" s="6" t="s">
        <v>51</v>
      </c>
      <c r="C7" s="29">
        <f>'V1 · Individual'!F26</f>
        <v>18.5</v>
      </c>
      <c r="D7" s="29">
        <f>'V1 · Individual'!G26</f>
        <v>15.803395760000001</v>
      </c>
      <c r="E7" s="26">
        <f t="shared" si="1"/>
        <v>0.85423760864864873</v>
      </c>
      <c r="F7" s="27" t="s">
        <v>32</v>
      </c>
      <c r="G7" s="27" t="s">
        <v>32</v>
      </c>
      <c r="H7" s="27" t="s">
        <v>32</v>
      </c>
      <c r="I7" s="29">
        <f>'V1 · Individual'!I26</f>
        <v>29.5</v>
      </c>
      <c r="J7" s="29">
        <f>'V1 · Individual'!J26</f>
        <v>2.9</v>
      </c>
      <c r="K7" s="27" t="s">
        <v>32</v>
      </c>
      <c r="L7" s="27" t="s">
        <v>32</v>
      </c>
      <c r="M7" s="27" t="s">
        <v>32</v>
      </c>
      <c r="N7" s="27" t="s">
        <v>32</v>
      </c>
      <c r="O7" s="29">
        <f>'V1 · Individual'!L26</f>
        <v>48</v>
      </c>
      <c r="P7" s="29">
        <f>'V1 · Individual'!M26</f>
        <v>18.703395759999999</v>
      </c>
      <c r="Q7" s="26">
        <f t="shared" si="0"/>
        <v>0.38965407833333332</v>
      </c>
      <c r="R7" s="27" t="s">
        <v>32</v>
      </c>
      <c r="S7" s="27" t="s">
        <v>32</v>
      </c>
      <c r="T7" s="27" t="s">
        <v>32</v>
      </c>
      <c r="U7" s="48">
        <f>'V1 · Individual'!U26</f>
        <v>47</v>
      </c>
      <c r="V7" s="29">
        <f>'V1 · Individual'!O26</f>
        <v>79.5</v>
      </c>
      <c r="W7" s="27" t="s">
        <v>32</v>
      </c>
      <c r="X7" s="27" t="s">
        <v>32</v>
      </c>
      <c r="Y7" s="27" t="s">
        <v>32</v>
      </c>
      <c r="Z7" s="27" t="s">
        <v>32</v>
      </c>
      <c r="AA7" s="27" t="s">
        <v>32</v>
      </c>
      <c r="AB7" s="27" t="s">
        <v>32</v>
      </c>
      <c r="AC7" s="29">
        <f>'V1 · Individual'!R26</f>
        <v>127.5</v>
      </c>
      <c r="AD7" s="29">
        <f>'V1 · Individual'!S26</f>
        <v>18.703395759999999</v>
      </c>
      <c r="AE7" s="26">
        <f t="shared" si="2"/>
        <v>0.14669330007843137</v>
      </c>
      <c r="AF7" s="27" t="s">
        <v>32</v>
      </c>
      <c r="AG7" s="27" t="s">
        <v>32</v>
      </c>
      <c r="AH7" s="27" t="s">
        <v>32</v>
      </c>
      <c r="AI7" s="48">
        <f t="shared" si="3"/>
        <v>47</v>
      </c>
    </row>
    <row r="8" spans="1:35">
      <c r="A8" s="3" t="s">
        <v>125</v>
      </c>
      <c r="B8" s="6" t="s">
        <v>59</v>
      </c>
      <c r="C8" s="29">
        <f>'V1 · Individual'!F40</f>
        <v>4.6999999999999993</v>
      </c>
      <c r="D8" s="29">
        <f>'V1 · Individual'!G40</f>
        <v>15.114382618</v>
      </c>
      <c r="E8" s="26">
        <f t="shared" si="1"/>
        <v>3.2158260889361707</v>
      </c>
      <c r="F8" s="27" t="s">
        <v>32</v>
      </c>
      <c r="G8" s="27" t="s">
        <v>32</v>
      </c>
      <c r="H8" s="27" t="s">
        <v>32</v>
      </c>
      <c r="I8" s="29">
        <f>'V1 · Individual'!I40</f>
        <v>5</v>
      </c>
      <c r="J8" s="29">
        <f>'V1 · Individual'!J40</f>
        <v>0.90723920000000002</v>
      </c>
      <c r="K8" s="27" t="s">
        <v>32</v>
      </c>
      <c r="L8" s="27" t="s">
        <v>32</v>
      </c>
      <c r="M8" s="27" t="s">
        <v>32</v>
      </c>
      <c r="N8" s="27" t="s">
        <v>32</v>
      </c>
      <c r="O8" s="29">
        <f>'V1 · Individual'!L40</f>
        <v>12.899999999999999</v>
      </c>
      <c r="P8" s="29">
        <f>'V1 · Individual'!M40</f>
        <v>16.021621818</v>
      </c>
      <c r="Q8" s="26">
        <f t="shared" si="0"/>
        <v>1.2419861874418605</v>
      </c>
      <c r="R8" s="27" t="s">
        <v>32</v>
      </c>
      <c r="S8" s="27" t="s">
        <v>32</v>
      </c>
      <c r="T8" s="27" t="s">
        <v>32</v>
      </c>
      <c r="U8" s="48">
        <f>'V1 · Individual'!U40</f>
        <v>56</v>
      </c>
      <c r="V8" s="29">
        <f>'V1 · Individual'!O40</f>
        <v>22.099999999999998</v>
      </c>
      <c r="W8" s="27" t="s">
        <v>32</v>
      </c>
      <c r="X8" s="27" t="s">
        <v>32</v>
      </c>
      <c r="Y8" s="27" t="s">
        <v>32</v>
      </c>
      <c r="Z8" s="27" t="s">
        <v>32</v>
      </c>
      <c r="AA8" s="27" t="s">
        <v>32</v>
      </c>
      <c r="AB8" s="27" t="s">
        <v>32</v>
      </c>
      <c r="AC8" s="29">
        <f>'V1 · Individual'!R40</f>
        <v>35</v>
      </c>
      <c r="AD8" s="29">
        <f>'V1 · Individual'!S40</f>
        <v>16.021621818</v>
      </c>
      <c r="AE8" s="26">
        <f t="shared" si="2"/>
        <v>0.45776062337142859</v>
      </c>
      <c r="AF8" s="27" t="s">
        <v>32</v>
      </c>
      <c r="AG8" s="27" t="s">
        <v>32</v>
      </c>
      <c r="AH8" s="27" t="s">
        <v>32</v>
      </c>
      <c r="AI8" s="48">
        <f t="shared" si="3"/>
        <v>56</v>
      </c>
    </row>
    <row r="9" spans="1:35">
      <c r="A9" s="3" t="s">
        <v>126</v>
      </c>
      <c r="B9" s="6" t="s">
        <v>75</v>
      </c>
      <c r="C9" s="29">
        <f>'V1 · Individual'!F47</f>
        <v>10.5</v>
      </c>
      <c r="D9" s="29">
        <f>'V1 · Individual'!G47</f>
        <v>10.289626889000001</v>
      </c>
      <c r="E9" s="26">
        <f t="shared" si="1"/>
        <v>0.97996446561904771</v>
      </c>
      <c r="F9" s="27" t="s">
        <v>32</v>
      </c>
      <c r="G9" s="27" t="s">
        <v>32</v>
      </c>
      <c r="H9" s="27" t="s">
        <v>32</v>
      </c>
      <c r="I9" s="29">
        <f>'V1 · Individual'!I47</f>
        <v>7.5</v>
      </c>
      <c r="J9" s="29">
        <f>'V1 · Individual'!J47</f>
        <v>0.75933490000000003</v>
      </c>
      <c r="K9" s="27" t="s">
        <v>32</v>
      </c>
      <c r="L9" s="27" t="s">
        <v>32</v>
      </c>
      <c r="M9" s="27" t="s">
        <v>32</v>
      </c>
      <c r="N9" s="27" t="s">
        <v>32</v>
      </c>
      <c r="O9" s="29">
        <f>'V1 · Individual'!L47</f>
        <v>22</v>
      </c>
      <c r="P9" s="29">
        <f>'V1 · Individual'!M47</f>
        <v>11.048961789</v>
      </c>
      <c r="Q9" s="26">
        <f t="shared" si="0"/>
        <v>0.50222553586363639</v>
      </c>
      <c r="R9" s="27" t="s">
        <v>32</v>
      </c>
      <c r="S9" s="27" t="s">
        <v>32</v>
      </c>
      <c r="T9" s="27" t="s">
        <v>32</v>
      </c>
      <c r="U9" s="48">
        <f>'V1 · Individual'!U47</f>
        <v>64</v>
      </c>
      <c r="V9" s="29">
        <f>'V1 · Individual'!O47</f>
        <v>23</v>
      </c>
      <c r="W9" s="27" t="s">
        <v>32</v>
      </c>
      <c r="X9" s="27" t="s">
        <v>32</v>
      </c>
      <c r="Y9" s="27" t="s">
        <v>32</v>
      </c>
      <c r="Z9" s="27" t="s">
        <v>32</v>
      </c>
      <c r="AA9" s="27" t="s">
        <v>32</v>
      </c>
      <c r="AB9" s="27" t="s">
        <v>32</v>
      </c>
      <c r="AC9" s="29">
        <f>'V1 · Individual'!R47</f>
        <v>45</v>
      </c>
      <c r="AD9" s="29">
        <f>'V1 · Individual'!S47</f>
        <v>11.048961789</v>
      </c>
      <c r="AE9" s="26">
        <f t="shared" si="2"/>
        <v>0.24553248419999998</v>
      </c>
      <c r="AF9" s="27" t="s">
        <v>32</v>
      </c>
      <c r="AG9" s="27" t="s">
        <v>32</v>
      </c>
      <c r="AH9" s="27" t="s">
        <v>32</v>
      </c>
      <c r="AI9" s="48">
        <f t="shared" si="3"/>
        <v>64</v>
      </c>
    </row>
    <row r="10" spans="1:35">
      <c r="A10" s="13" t="s">
        <v>127</v>
      </c>
      <c r="B10" s="14" t="s">
        <v>128</v>
      </c>
      <c r="C10" s="27" t="s">
        <v>32</v>
      </c>
      <c r="D10" s="27" t="s">
        <v>32</v>
      </c>
      <c r="E10" s="27" t="s">
        <v>32</v>
      </c>
      <c r="F10" s="29">
        <f>'V1 · Individual'!F51</f>
        <v>0.4</v>
      </c>
      <c r="G10" s="29">
        <f>'V1 · Individual'!G51</f>
        <v>3.8126083999999998</v>
      </c>
      <c r="H10" s="26">
        <f>IFERROR(G10/F10,"-")</f>
        <v>9.5315209999999997</v>
      </c>
      <c r="I10" s="27" t="s">
        <v>32</v>
      </c>
      <c r="J10" s="27" t="s">
        <v>32</v>
      </c>
      <c r="K10" s="27" t="s">
        <v>32</v>
      </c>
      <c r="L10" s="29">
        <f>'V1 · Individual'!I51</f>
        <v>0.65</v>
      </c>
      <c r="M10" s="29">
        <f>'V1 · Individual'!J51</f>
        <v>1.6948999999999999E-2</v>
      </c>
      <c r="N10" s="32">
        <f>M10/L10</f>
        <v>2.6075384615384611E-2</v>
      </c>
      <c r="O10" s="27" t="s">
        <v>32</v>
      </c>
      <c r="P10" s="27" t="s">
        <v>32</v>
      </c>
      <c r="Q10" s="27" t="s">
        <v>32</v>
      </c>
      <c r="R10" s="29">
        <f>'V1 · Individual'!L51</f>
        <v>1.05</v>
      </c>
      <c r="S10" s="29">
        <f>'V1 · Individual'!M51</f>
        <v>3.8295573999999997</v>
      </c>
      <c r="T10" s="32">
        <f>S10/R10</f>
        <v>3.6471975238095236</v>
      </c>
      <c r="U10" s="48">
        <f>'V1 · Individual'!U51</f>
        <v>54</v>
      </c>
      <c r="V10" s="27" t="s">
        <v>32</v>
      </c>
      <c r="W10" s="27" t="s">
        <v>32</v>
      </c>
      <c r="X10" s="27" t="s">
        <v>32</v>
      </c>
      <c r="Y10" s="29">
        <f>'V1 · Individual'!O51</f>
        <v>1.35</v>
      </c>
      <c r="Z10" s="27" t="s">
        <v>32</v>
      </c>
      <c r="AA10" s="27" t="s">
        <v>32</v>
      </c>
      <c r="AB10" s="27" t="s">
        <v>32</v>
      </c>
      <c r="AC10" s="27" t="s">
        <v>32</v>
      </c>
      <c r="AD10" s="27" t="s">
        <v>32</v>
      </c>
      <c r="AE10" s="32" t="str">
        <f>IFERROR(AD10/AC10,"-")</f>
        <v>-</v>
      </c>
      <c r="AF10" s="29">
        <f>'V1 · Individual'!R51</f>
        <v>2.4000000000000004</v>
      </c>
      <c r="AG10" s="29">
        <f>'V1 · Individual'!S51</f>
        <v>3.8295573999999997</v>
      </c>
      <c r="AH10" s="26">
        <f>'V1 · Individual'!T51</f>
        <v>1.5956489166666663</v>
      </c>
      <c r="AI10" s="48">
        <f t="shared" si="3"/>
        <v>54</v>
      </c>
    </row>
    <row r="11" spans="1:35" s="50" customFormat="1">
      <c r="A11" s="52" t="s">
        <v>129</v>
      </c>
      <c r="C11" s="40">
        <f>SUM(C5:C10)</f>
        <v>196.72499999999997</v>
      </c>
      <c r="D11" s="40">
        <f t="shared" ref="D11:AI11" si="4">SUM(D5:D10)</f>
        <v>93.521468488000011</v>
      </c>
      <c r="E11" s="53">
        <f>D11/C11</f>
        <v>0.47539188454949816</v>
      </c>
      <c r="F11" s="40">
        <f t="shared" si="4"/>
        <v>0.4</v>
      </c>
      <c r="G11" s="40">
        <f t="shared" si="4"/>
        <v>3.8126083999999998</v>
      </c>
      <c r="H11" s="53">
        <f>G11/F11</f>
        <v>9.5315209999999997</v>
      </c>
      <c r="I11" s="40">
        <f t="shared" si="4"/>
        <v>320.32499999999999</v>
      </c>
      <c r="J11" s="40">
        <f t="shared" si="4"/>
        <v>123.69758069000001</v>
      </c>
      <c r="K11" s="53">
        <f t="shared" si="4"/>
        <v>0</v>
      </c>
      <c r="L11" s="40">
        <f t="shared" si="4"/>
        <v>0.65</v>
      </c>
      <c r="M11" s="40">
        <f t="shared" si="4"/>
        <v>1.6948999999999999E-2</v>
      </c>
      <c r="N11" s="53">
        <f t="shared" si="4"/>
        <v>2.6075384615384611E-2</v>
      </c>
      <c r="O11" s="40">
        <f t="shared" si="4"/>
        <v>498</v>
      </c>
      <c r="P11" s="40">
        <f t="shared" si="4"/>
        <v>217.21904917800001</v>
      </c>
      <c r="Q11" s="53">
        <f>P11/O11</f>
        <v>0.43618282967469879</v>
      </c>
      <c r="R11" s="40">
        <f t="shared" si="4"/>
        <v>1.05</v>
      </c>
      <c r="S11" s="40">
        <f t="shared" si="4"/>
        <v>3.8295573999999997</v>
      </c>
      <c r="T11" s="53">
        <f t="shared" si="4"/>
        <v>3.6471975238095236</v>
      </c>
      <c r="U11" s="40">
        <f t="shared" si="4"/>
        <v>361</v>
      </c>
      <c r="V11" s="40">
        <f t="shared" si="4"/>
        <v>615.5</v>
      </c>
      <c r="W11" s="40">
        <f t="shared" si="4"/>
        <v>0</v>
      </c>
      <c r="X11" s="53">
        <f t="shared" si="4"/>
        <v>0</v>
      </c>
      <c r="Y11" s="40">
        <f t="shared" si="4"/>
        <v>1.35</v>
      </c>
      <c r="Z11" s="40">
        <f t="shared" si="4"/>
        <v>0</v>
      </c>
      <c r="AA11" s="53">
        <f t="shared" si="4"/>
        <v>0</v>
      </c>
      <c r="AB11" s="40">
        <f t="shared" si="4"/>
        <v>0</v>
      </c>
      <c r="AC11" s="40">
        <f t="shared" si="4"/>
        <v>1113.5</v>
      </c>
      <c r="AD11" s="40">
        <f t="shared" si="4"/>
        <v>217.21904917800001</v>
      </c>
      <c r="AE11" s="53">
        <f t="shared" si="4"/>
        <v>1.4136014854952406</v>
      </c>
      <c r="AF11" s="40">
        <f t="shared" si="4"/>
        <v>2.4000000000000004</v>
      </c>
      <c r="AG11" s="40">
        <f t="shared" si="4"/>
        <v>3.8295573999999997</v>
      </c>
      <c r="AH11" s="53">
        <f t="shared" si="4"/>
        <v>1.5956489166666663</v>
      </c>
      <c r="AI11" s="42">
        <f t="shared" si="4"/>
        <v>361</v>
      </c>
    </row>
  </sheetData>
  <mergeCells count="11">
    <mergeCell ref="V2:X2"/>
    <mergeCell ref="Y2:AA2"/>
    <mergeCell ref="AC2:AE2"/>
    <mergeCell ref="AF2:AH2"/>
    <mergeCell ref="A4:AI4"/>
    <mergeCell ref="C2:E2"/>
    <mergeCell ref="F2:H2"/>
    <mergeCell ref="I2:K2"/>
    <mergeCell ref="L2:N2"/>
    <mergeCell ref="O2:Q2"/>
    <mergeCell ref="R2:T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L9" sqref="L9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Pipeline'!$K:$K,"Data Centre",'[2]Opportunity Pipeline'!$Z:$Z,"S1")/10^7</f>
        <v>13.039549279000001</v>
      </c>
      <c r="G3" t="str">
        <f>IFERROR(F3/E3,"-")</f>
        <v>-</v>
      </c>
      <c r="H3" t="s">
        <v>32</v>
      </c>
      <c r="I3" s="25">
        <f>SUMIFS('[3]Opportunity Pipeline '!$O:$O,'[3]Opportunity Pipeline '!$K:$K,"Data Centre",'[3]Opportunity Pipeline '!$Z:$Z,"S1")/10^7</f>
        <v>0.10915401299999999</v>
      </c>
      <c r="J3" t="str">
        <f>IFERROR(I3/H3,"-")</f>
        <v>-</v>
      </c>
      <c r="K3" t="s">
        <v>32</v>
      </c>
      <c r="L3" s="25">
        <f>SUM(F3,I3)</f>
        <v>13.148703292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455</v>
      </c>
      <c r="R3" s="25">
        <f>SUM(L3,O3)</f>
        <v>13.148703292</v>
      </c>
      <c r="S3" s="25">
        <f>IFERROR(R3/Q3,"-")</f>
        <v>2.8898248993406594E-2</v>
      </c>
      <c r="T3">
        <f>COUNTIFS('[2]Opportunity Pipeline'!$K:$K,"Data Centre",'[2]Opportunity Pipeline'!$Z:$Z,"S1")+COUNTIFS('[3]Opportunity Pipeline '!$K:$K,"Data Centre",'[3]Opportunity Pipeline '!$Z:$Z,"S1")</f>
        <v>12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SUMIFS('[2]Opportunity Pipeline'!$O:$O,'[2]Opportunity Pipeline'!$K:$K,"Data Centre",'[2]Opportunity Pipeline'!$Z:$Z,"S2")/10^7</f>
        <v>5.8072067000000001</v>
      </c>
      <c r="G4" t="str">
        <f t="shared" ref="G4:G9" si="0">IFERROR(F4/E4,"-")</f>
        <v>-</v>
      </c>
      <c r="H4" t="s">
        <v>32</v>
      </c>
      <c r="I4" s="25">
        <f>SUMIFS('[3]Opportunity Pipeline '!$O:$O,'[3]Opportunity Pipeline '!$K:$K,"Data Centre",'[3]Opportunity Pipeline '!$Z:$Z,"S2")/10^7</f>
        <v>98.600499999999997</v>
      </c>
      <c r="J4" t="str">
        <f t="shared" ref="J4:J9" si="1">IFERROR(I4/H4,"-")</f>
        <v>-</v>
      </c>
      <c r="K4" t="s">
        <v>32</v>
      </c>
      <c r="L4" s="25">
        <f t="shared" ref="L4:L8" si="2">SUM(F4,I4)</f>
        <v>104.40770669999999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225</v>
      </c>
      <c r="R4" s="25">
        <f t="shared" ref="R4:R8" si="4">SUM(L4,O4)</f>
        <v>104.40770669999999</v>
      </c>
      <c r="S4" s="25">
        <f>IFERROR(R4/Q4,"-")</f>
        <v>0.46403425199999998</v>
      </c>
      <c r="T4">
        <f>COUNTIFS('[2]Opportunity Pipeline'!$K:$K,"Data Centre",'[2]Opportunity Pipeline'!$Z:$Z,"S2")+COUNTIFS('[3]Opportunity Pipeline '!$K:$K,"Data Centre",'[3]Opportunity Pipeline '!$Z:$Z,"S2")</f>
        <v>7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SUMIFS('[2]Opportunity Pipeline'!$O:$O,'[2]Opportunity Pipeline'!$K:$K,"Data Centre",'[2]Opportunity Pipeline'!$Z:$Z,"CB")/10^7</f>
        <v>8.1258047999999992</v>
      </c>
      <c r="G5" t="str">
        <f t="shared" si="0"/>
        <v>-</v>
      </c>
      <c r="H5" t="s">
        <v>32</v>
      </c>
      <c r="I5" s="25">
        <f>SUMIFS('[3]Opportunity Pipeline '!$O:$O,'[3]Opportunity Pipeline '!$K:$K,"Data Centre",'[3]Opportunity Pipeline '!$Z:$Z,"CB")/10^7</f>
        <v>1.45</v>
      </c>
      <c r="J5" t="str">
        <f t="shared" si="1"/>
        <v>-</v>
      </c>
      <c r="K5" t="s">
        <v>32</v>
      </c>
      <c r="L5" s="25">
        <f t="shared" si="2"/>
        <v>9.5758047999999985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40</v>
      </c>
      <c r="R5" s="25">
        <f t="shared" si="4"/>
        <v>9.5758047999999985</v>
      </c>
      <c r="S5" s="25">
        <f t="shared" ref="S5:S8" si="5">IFERROR(R5/Q5,"-")</f>
        <v>0.23939511999999996</v>
      </c>
      <c r="T5">
        <f>COUNTIFS('[2]Opportunity Pipeline'!$K:$K,"Data Centre",'[2]Opportunity Pipeline'!$Z:$Z,"CB")+COUNTIFS('[3]Opportunity Pipeline '!$K:$K,"Data Centre",'[3]Opportunity Pipeline '!$Z:$Z,"CB")</f>
        <v>4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SUMIFS('[2]Opportunity Pipeline'!$O:$O,'[2]Opportunity Pipeline'!$K:$K,"Data Centre",'[2]Opportunity Pipeline'!$Z:$Z,"GB")/10^7</f>
        <v>0.24379999999999999</v>
      </c>
      <c r="G6" t="str">
        <f t="shared" si="0"/>
        <v>-</v>
      </c>
      <c r="H6" t="s">
        <v>32</v>
      </c>
      <c r="I6" s="25">
        <f>SUMIFS('[3]Opportunity Pipeline '!$O:$O,'[3]Opportunity Pipeline '!$K:$K,"Data Centre",'[3]Opportunity Pipeline '!$Z:$Z,"GB")/10^7</f>
        <v>0</v>
      </c>
      <c r="J6" t="str">
        <f t="shared" si="1"/>
        <v>-</v>
      </c>
      <c r="K6" t="s">
        <v>32</v>
      </c>
      <c r="L6" s="25">
        <f t="shared" si="2"/>
        <v>0.24379999999999999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11</v>
      </c>
      <c r="R6" s="25">
        <f t="shared" si="4"/>
        <v>0.24379999999999999</v>
      </c>
      <c r="S6" s="25">
        <f t="shared" si="5"/>
        <v>2.2163636363636361E-2</v>
      </c>
      <c r="T6">
        <f>COUNTIFS('[2]Opportunity Pipeline'!$K:$K,"Data Centre",'[2]Opportunity Pipeline'!$Z:$Z,"GB")+COUNTIFS('[3]Opportunity Pipeline '!$K:$K,"Data Centre",'[3]Opportunity Pipeline '!$Z:$Z,"GB")</f>
        <v>2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SUMIFS('[2]Opportunity Pipeline'!$O:$O,'[2]Opportunity Pipeline'!$K:$K,"Data Centre",'[2]Opportunity Pipeline'!$Z:$Z,"South")/10^7</f>
        <v>5.5533859999999997</v>
      </c>
      <c r="G7" t="str">
        <f t="shared" si="0"/>
        <v>-</v>
      </c>
      <c r="H7" t="s">
        <v>32</v>
      </c>
      <c r="I7" s="25">
        <f>SUMIFS('[3]Opportunity Pipeline '!$O:$O,'[3]Opportunity Pipeline '!$K:$K,"Data Centre",'[3]Opportunity Pipeline '!$Z:$Z,"South")/10^7</f>
        <v>0.44506000000000001</v>
      </c>
      <c r="J7" t="str">
        <f t="shared" si="1"/>
        <v>-</v>
      </c>
      <c r="K7" t="s">
        <v>32</v>
      </c>
      <c r="L7" s="25">
        <f t="shared" si="2"/>
        <v>5.9984459999999995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14</v>
      </c>
      <c r="R7" s="25">
        <f t="shared" si="4"/>
        <v>5.9984459999999995</v>
      </c>
      <c r="S7" s="25">
        <f t="shared" si="5"/>
        <v>0.42846042857142852</v>
      </c>
      <c r="T7">
        <f>COUNTIFS('[2]Opportunity Pipeline'!$K:$K,"Data Centre",'[2]Opportunity Pipeline'!$Z:$Z,"South")+COUNTIFS('[3]Opportunity Pipeline '!$K:$K,"Data Centre",'[3]Opportunity Pipeline '!$Z:$Z,"South")</f>
        <v>9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SUMIFS('[2]Opportunity Pipeline'!$O:$O,'[2]Opportunity Pipeline'!$K:$K,"Data Centre",'[2]Opportunity Pipeline'!$Z:$Z,"GeoX")/10^7</f>
        <v>0</v>
      </c>
      <c r="G8" t="str">
        <f t="shared" si="0"/>
        <v>-</v>
      </c>
      <c r="H8" t="s">
        <v>32</v>
      </c>
      <c r="I8" s="25">
        <f>SUMIFS('[3]Opportunity Pipeline '!$O:$O,'[3]Opportunity Pipeline '!$K:$K,"Data Centre",'[3]Opportunity Pipeline '!$Z:$Z,"GeoX")/10^7</f>
        <v>0</v>
      </c>
      <c r="J8" t="str">
        <f t="shared" si="1"/>
        <v>-</v>
      </c>
      <c r="K8" t="s">
        <v>32</v>
      </c>
      <c r="L8" s="25">
        <f t="shared" si="2"/>
        <v>0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10</v>
      </c>
      <c r="R8" s="25">
        <f t="shared" si="4"/>
        <v>0</v>
      </c>
      <c r="S8" s="25">
        <f t="shared" si="5"/>
        <v>0</v>
      </c>
      <c r="T8">
        <f>COUNTIFS('[2]Opportunity Pipeline'!$K:$K,"Data Centre",'[2]Opportunity Pipeline'!$Z:$Z,"GeoX")+COUNTIFS('[3]Opportunity Pipeline '!$K:$K,"Data Centre",'[3]Opportunity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32.769746779000002</v>
      </c>
      <c r="G9" s="50" t="str">
        <f t="shared" si="0"/>
        <v>-</v>
      </c>
      <c r="H9" s="50" t="s">
        <v>32</v>
      </c>
      <c r="I9" s="51">
        <f>SUM(I3:I8)</f>
        <v>100.60471401299999</v>
      </c>
      <c r="J9" s="50" t="str">
        <f t="shared" si="1"/>
        <v>-</v>
      </c>
      <c r="K9" s="50" t="s">
        <v>32</v>
      </c>
      <c r="L9" s="51">
        <f>SUM(L3:L8)</f>
        <v>133.37446079199998</v>
      </c>
      <c r="M9" s="50" t="str">
        <f t="shared" si="3"/>
        <v>-</v>
      </c>
      <c r="N9" s="50" t="s">
        <v>32</v>
      </c>
      <c r="O9" s="50" t="s">
        <v>32</v>
      </c>
      <c r="P9" s="50" t="s">
        <v>32</v>
      </c>
      <c r="Q9" s="50">
        <f>SUM(Q3:Q8)</f>
        <v>755</v>
      </c>
      <c r="R9" s="51">
        <f>SUM(R3:R8)</f>
        <v>133.37446079199998</v>
      </c>
      <c r="S9" s="51">
        <f>IFERROR(R9/Q9,"-")</f>
        <v>0.17665491495629138</v>
      </c>
      <c r="T9" s="50">
        <f>SUM(T3:T8)</f>
        <v>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L9" sqref="L9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Pipeline'!$K:$K,"Cyber Security &amp; Networking",'[2]Opportunity Pipeline'!$Z:$Z,"S1")/10^7</f>
        <v>11.430924178</v>
      </c>
      <c r="G3" t="str">
        <f>IFERROR(F3/E3,"-")</f>
        <v>-</v>
      </c>
      <c r="H3" t="s">
        <v>32</v>
      </c>
      <c r="I3" s="25">
        <f>SUMIFS('[3]Opportunity Pipeline '!$O:$O,'[3]Opportunity Pipeline '!$K:$K,"Cyber Security &amp; Networking",'[3]Opportunity Pipeline '!$Z:$Z,"S1")/10^7</f>
        <v>1.69</v>
      </c>
      <c r="J3" t="str">
        <f>IFERROR(I3/H3,"-")</f>
        <v>-</v>
      </c>
      <c r="K3" t="s">
        <v>32</v>
      </c>
      <c r="L3" s="25">
        <f>SUM(F3,I3)</f>
        <v>13.120924177999999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90</v>
      </c>
      <c r="R3" s="25">
        <f>SUM(L3,O3)</f>
        <v>13.120924177999999</v>
      </c>
      <c r="S3" s="25">
        <f>IFERROR(R3/Q3,"-")</f>
        <v>0.14578804642222221</v>
      </c>
      <c r="T3">
        <f>COUNTIFS('[2]Opportunity Pipeline'!$K:$K,"Cyber Security &amp; Networking",'[2]Opportunity Pipeline'!$Z:$Z,"S1")+COUNTIFS('[3]Opportunity Pipeline '!$K:$K,"Cyber Security &amp; Networking",'[3]Opportunity Pipeline '!$Z:$Z,"S1")</f>
        <v>17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SUMIFS('[2]Opportunity Pipeline'!$O:$O,'[2]Opportunity Pipeline'!$K:$K,"Cyber Security &amp; Networking",'[2]Opportunity Pipeline'!$Z:$Z,"S2")/10^7</f>
        <v>1.0755916220000001</v>
      </c>
      <c r="G4" t="str">
        <f t="shared" ref="G4:G9" si="0">IFERROR(F4/E4,"-")</f>
        <v>-</v>
      </c>
      <c r="H4" t="s">
        <v>32</v>
      </c>
      <c r="I4" s="25">
        <f>SUMIFS('[3]Opportunity Pipeline '!$O:$O,'[3]Opportunity Pipeline '!$K:$K,"Cyber Security &amp; Networking",'[3]Opportunity Pipeline '!$Z:$Z,"S2")/10^7</f>
        <v>5.3516899999999999E-2</v>
      </c>
      <c r="J4" t="str">
        <f t="shared" ref="J4:J9" si="1">IFERROR(I4/H4,"-")</f>
        <v>-</v>
      </c>
      <c r="K4" t="s">
        <v>32</v>
      </c>
      <c r="L4" s="25">
        <f t="shared" ref="L4:L8" si="2">SUM(F4,I4)</f>
        <v>1.1291085220000001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30</v>
      </c>
      <c r="R4" s="25">
        <f t="shared" ref="R4:R8" si="4">SUM(L4,O4)</f>
        <v>1.1291085220000001</v>
      </c>
      <c r="S4" s="25">
        <f>IFERROR(R4/Q4,"-")</f>
        <v>3.7636950733333334E-2</v>
      </c>
      <c r="T4">
        <f>COUNTIFS('[2]Opportunity Pipeline'!$K:$K,"Cyber Security &amp; Networking",'[2]Opportunity Pipeline'!$Z:$Z,"S2")+COUNTIFS('[3]Opportunity Pipeline '!$K:$K,"Cyber Security &amp; Networking",'[3]Opportunity Pipeline '!$Z:$Z,"S2")</f>
        <v>10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SUMIFS('[2]Opportunity Pipeline'!$O:$O,'[2]Opportunity Pipeline'!$K:$K,"Cyber Security &amp; Networking",'[2]Opportunity Pipeline'!$Z:$Z,"CB")/10^7</f>
        <v>5.8855196000000003</v>
      </c>
      <c r="G5" t="str">
        <f t="shared" si="0"/>
        <v>-</v>
      </c>
      <c r="H5" t="s">
        <v>32</v>
      </c>
      <c r="I5" s="25">
        <f>SUMIFS('[3]Opportunity Pipeline '!$O:$O,'[3]Opportunity Pipeline '!$K:$K,"Cyber Security &amp; Networking",'[3]Opportunity Pipeline '!$Z:$Z,"CB")/10^7</f>
        <v>9.1999999999999998E-3</v>
      </c>
      <c r="J5" t="str">
        <f t="shared" si="1"/>
        <v>-</v>
      </c>
      <c r="K5" t="s">
        <v>32</v>
      </c>
      <c r="L5" s="25">
        <f t="shared" si="2"/>
        <v>5.8947196000000002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24</v>
      </c>
      <c r="R5" s="25">
        <f t="shared" si="4"/>
        <v>5.8947196000000002</v>
      </c>
      <c r="S5" s="25">
        <f t="shared" ref="S5:S8" si="5">IFERROR(R5/Q5,"-")</f>
        <v>0.24561331666666666</v>
      </c>
      <c r="T5">
        <f>COUNTIFS('[2]Opportunity Pipeline'!$K:$K,"Cyber Security &amp; Networking",'[2]Opportunity Pipeline'!$Z:$Z,"CB")+COUNTIFS('[3]Opportunity Pipeline '!$K:$K,"Cyber Security &amp; Networking",'[3]Opportunity Pipeline '!$Z:$Z,"CB")</f>
        <v>7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SUMIFS('[2]Opportunity Pipeline'!$O:$O,'[2]Opportunity Pipeline'!$K:$K,"Cyber Security &amp; Networking",'[2]Opportunity Pipeline'!$Z:$Z,"GB")/10^7</f>
        <v>5.6325778609999997</v>
      </c>
      <c r="G6" t="str">
        <f t="shared" si="0"/>
        <v>-</v>
      </c>
      <c r="H6" t="s">
        <v>32</v>
      </c>
      <c r="I6" s="25">
        <f>SUMIFS('[3]Opportunity Pipeline '!$O:$O,'[3]Opportunity Pipeline '!$K:$K,"Cyber Security &amp; Networking",'[3]Opportunity Pipeline '!$Z:$Z,"GB")/10^7</f>
        <v>0.86</v>
      </c>
      <c r="J6" t="str">
        <f t="shared" si="1"/>
        <v>-</v>
      </c>
      <c r="K6" t="s">
        <v>32</v>
      </c>
      <c r="L6" s="25">
        <f t="shared" si="2"/>
        <v>6.492577861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20</v>
      </c>
      <c r="R6" s="25">
        <f t="shared" si="4"/>
        <v>6.492577861</v>
      </c>
      <c r="S6" s="25">
        <f t="shared" si="5"/>
        <v>0.32462889304999998</v>
      </c>
      <c r="T6">
        <f>COUNTIFS('[2]Opportunity Pipeline'!$K:$K,"Cyber Security &amp; Networking",'[2]Opportunity Pipeline'!$Z:$Z,"GB")+COUNTIFS('[3]Opportunity Pipeline '!$K:$K,"Cyber Security &amp; Networking",'[3]Opportunity Pipeline '!$Z:$Z,"GB")</f>
        <v>21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SUMIFS('[2]Opportunity Pipeline'!$O:$O,'[2]Opportunity Pipeline'!$K:$K,"Cyber Security &amp; Networking",'[2]Opportunity Pipeline'!$Z:$Z,"South")/10^7</f>
        <v>0.54564550000000001</v>
      </c>
      <c r="G7" t="str">
        <f t="shared" si="0"/>
        <v>-</v>
      </c>
      <c r="H7" t="s">
        <v>32</v>
      </c>
      <c r="I7" s="25">
        <f>SUMIFS('[3]Opportunity Pipeline '!$O:$O,'[3]Opportunity Pipeline '!$K:$K,"Cyber Security &amp; Networking",'[3]Opportunity Pipeline '!$Z:$Z,"South")/10^7</f>
        <v>3.7349000000000002E-3</v>
      </c>
      <c r="J7" t="str">
        <f t="shared" si="1"/>
        <v>-</v>
      </c>
      <c r="K7" t="s">
        <v>32</v>
      </c>
      <c r="L7" s="25">
        <f t="shared" si="2"/>
        <v>0.54938039999999999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</v>
      </c>
      <c r="R7" s="25">
        <f t="shared" si="4"/>
        <v>0.54938039999999999</v>
      </c>
      <c r="S7" s="25">
        <f t="shared" si="5"/>
        <v>0.54938039999999999</v>
      </c>
      <c r="T7">
        <f>COUNTIFS('[2]Opportunity Pipeline'!$K:$K,"Cyber Security &amp; Networking",'[2]Opportunity Pipeline'!$Z:$Z,"South")+COUNTIFS('[3]Opportunity Pipeline '!$K:$K,"Cyber Security &amp; Networking",'[3]Opportunity Pipeline '!$Z:$Z,"South")</f>
        <v>17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SUMIFS('[2]Opportunity Pipeline'!$O:$O,'[2]Opportunity Pipeline'!$K:$K,"Cyber Security &amp; Networking",'[2]Opportunity Pipeline'!$Z:$Z,"GeoX")/10^7</f>
        <v>0</v>
      </c>
      <c r="G8" t="str">
        <f t="shared" si="0"/>
        <v>-</v>
      </c>
      <c r="H8" t="s">
        <v>32</v>
      </c>
      <c r="I8" s="25">
        <f>SUMIFS('[3]Opportunity Pipeline '!$O:$O,'[3]Opportunity Pipeline '!$K:$K,"Cyber Security &amp; Networking",'[3]Opportunity Pipeline '!$Z:$Z,"GeoX")/10^7</f>
        <v>0</v>
      </c>
      <c r="J8" t="str">
        <f t="shared" si="1"/>
        <v>-</v>
      </c>
      <c r="K8" t="s">
        <v>32</v>
      </c>
      <c r="L8" s="25">
        <f t="shared" si="2"/>
        <v>0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20</v>
      </c>
      <c r="R8" s="25">
        <f t="shared" si="4"/>
        <v>0</v>
      </c>
      <c r="S8" s="25">
        <f t="shared" si="5"/>
        <v>0</v>
      </c>
      <c r="T8">
        <f>COUNTIFS('[2]Opportunity Pipeline'!$K:$K,"Cyber Security &amp; Networking",'[2]Opportunity Pipeline'!$Z:$Z,"GeoX")+COUNTIFS('[3]Opportunity Pipeline '!$K:$K,"Cyber Security &amp; Networking",'[3]Opportunity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24.570258760999998</v>
      </c>
      <c r="G9" s="50" t="str">
        <f t="shared" si="0"/>
        <v>-</v>
      </c>
      <c r="H9" s="50" t="s">
        <v>32</v>
      </c>
      <c r="I9" s="51">
        <f>SUM(I3:I8)</f>
        <v>2.6164518000000001</v>
      </c>
      <c r="J9" s="50" t="str">
        <f t="shared" si="1"/>
        <v>-</v>
      </c>
      <c r="K9" s="50" t="s">
        <v>32</v>
      </c>
      <c r="L9" s="51">
        <f>SUM(L3:L8)</f>
        <v>27.186710561000002</v>
      </c>
      <c r="M9" s="50" t="str">
        <f t="shared" si="3"/>
        <v>-</v>
      </c>
      <c r="N9" s="50" t="s">
        <v>32</v>
      </c>
      <c r="O9" s="50" t="s">
        <v>32</v>
      </c>
      <c r="P9" s="50" t="s">
        <v>32</v>
      </c>
      <c r="Q9" s="50">
        <f>SUM(Q3:Q8)</f>
        <v>185</v>
      </c>
      <c r="R9" s="51">
        <f>SUM(R3:R8)</f>
        <v>27.186710561000002</v>
      </c>
      <c r="S9" s="51">
        <f>IFERROR(R9/Q9,"-")</f>
        <v>0.14695519222162162</v>
      </c>
      <c r="T9" s="50">
        <f>SUM(T3:T8)</f>
        <v>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topLeftCell="D1" workbookViewId="0">
      <selection activeCell="H12" sqref="H12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Pipeline'!$K:$K,"Professional Services",'[2]Opportunity Pipeline'!$Z:$Z,"S1")/10^7</f>
        <v>1.5529837</v>
      </c>
      <c r="G3" t="s">
        <v>32</v>
      </c>
      <c r="H3" t="s">
        <v>32</v>
      </c>
      <c r="I3" s="25">
        <f>SUMIFS('[3]Opportunity Pipeline '!$O:$O,'[3]Opportunity Pipeline '!$K:$K,"Professional Services",'[3]Opportunity Pipeline '!$Z:$Z,"S1")/10^7</f>
        <v>0</v>
      </c>
      <c r="J3" t="s">
        <v>32</v>
      </c>
      <c r="K3" t="s">
        <v>32</v>
      </c>
      <c r="L3" s="25">
        <f>SUM(F3,I3)</f>
        <v>1.5529837</v>
      </c>
      <c r="M3" t="s">
        <v>32</v>
      </c>
      <c r="N3" t="s">
        <v>32</v>
      </c>
      <c r="O3" t="s">
        <v>32</v>
      </c>
      <c r="P3" t="s">
        <v>32</v>
      </c>
      <c r="Q3">
        <v>2</v>
      </c>
      <c r="R3" s="25">
        <f>SUM(L3,O3)</f>
        <v>1.5529837</v>
      </c>
      <c r="S3" s="25">
        <f>IFERROR(R3/Q3,"-")</f>
        <v>0.77649184999999998</v>
      </c>
      <c r="T3">
        <f>COUNTIFS('[2]Opportunity Pipeline'!$K:$K,"Professional Services",'[2]Opportunity Pipeline'!$Z:$Z,"S1")+COUNTIFS('[3]Opportunity Pipeline '!$K:$K,"Professional Services",'[3]Opportunity Pipeline '!$Z:$Z,"S1")</f>
        <v>6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SUMIFS('[2]Opportunity Pipeline'!$O:$O,'[2]Opportunity Pipeline'!$K:$K,"Professional Services",'[2]Opportunity Pipeline'!$Z:$Z,"S2")/10^7</f>
        <v>7.1041840000000001</v>
      </c>
      <c r="G4" t="s">
        <v>32</v>
      </c>
      <c r="H4" t="s">
        <v>32</v>
      </c>
      <c r="I4" s="25">
        <f>SUMIFS('[3]Opportunity Pipeline '!$O:$O,'[3]Opportunity Pipeline '!$K:$K,"Professional Services",'[3]Opportunity Pipeline '!$Z:$Z,"S2")/10^7</f>
        <v>0</v>
      </c>
      <c r="J4" t="s">
        <v>32</v>
      </c>
      <c r="K4" t="s">
        <v>32</v>
      </c>
      <c r="L4" s="25">
        <f t="shared" ref="L4:L8" si="0">SUM(F4,I4)</f>
        <v>7.1041840000000001</v>
      </c>
      <c r="M4" t="s">
        <v>32</v>
      </c>
      <c r="N4" t="s">
        <v>32</v>
      </c>
      <c r="O4" t="s">
        <v>32</v>
      </c>
      <c r="P4" t="s">
        <v>32</v>
      </c>
      <c r="Q4">
        <v>3</v>
      </c>
      <c r="R4" s="25">
        <f t="shared" ref="R4:R8" si="1">SUM(L4,O4)</f>
        <v>7.1041840000000001</v>
      </c>
      <c r="S4" s="25">
        <f>IFERROR(R4/Q4,"-")</f>
        <v>2.3680613333333334</v>
      </c>
      <c r="T4">
        <f>COUNTIFS('[2]Opportunity Pipeline'!$K:$K,"Professional Services",'[2]Opportunity Pipeline'!$Z:$Z,"S2")+COUNTIFS('[3]Opportunity Pipeline '!$K:$K,"Professional Services",'[3]Opportunity Pipeline '!$Z:$Z,"S2")</f>
        <v>2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SUMIFS('[2]Opportunity Pipeline'!$O:$O,'[2]Opportunity Pipeline'!$K:$K,"Professional Services",'[2]Opportunity Pipeline'!$Z:$Z,"CB")/10^7</f>
        <v>0</v>
      </c>
      <c r="G5" t="s">
        <v>32</v>
      </c>
      <c r="H5" t="s">
        <v>32</v>
      </c>
      <c r="I5" s="25">
        <f>SUMIFS('[3]Opportunity Pipeline '!$O:$O,'[3]Opportunity Pipeline '!$K:$K,"Professional Services",'[3]Opportunity Pipeline '!$Z:$Z,"CB")/10^7</f>
        <v>0</v>
      </c>
      <c r="J5" t="s">
        <v>32</v>
      </c>
      <c r="K5" t="s">
        <v>32</v>
      </c>
      <c r="L5" s="25">
        <f t="shared" si="0"/>
        <v>0</v>
      </c>
      <c r="M5" t="s">
        <v>32</v>
      </c>
      <c r="N5" t="s">
        <v>32</v>
      </c>
      <c r="O5" t="s">
        <v>32</v>
      </c>
      <c r="P5" t="s">
        <v>32</v>
      </c>
      <c r="Q5">
        <v>10</v>
      </c>
      <c r="R5" s="25">
        <f t="shared" si="1"/>
        <v>0</v>
      </c>
      <c r="S5" s="25">
        <f t="shared" ref="S5:S8" si="2">IFERROR(R5/Q5,"-")</f>
        <v>0</v>
      </c>
      <c r="T5">
        <f>COUNTIFS('[2]Opportunity Pipeline'!$K:$K,"Professional Services",'[2]Opportunity Pipeline'!$Z:$Z,"CB")+COUNTIFS('[3]Opportunity Pipeline '!$K:$K,"Professional Services",'[3]Opportunity Pipeline '!$Z:$Z,"CB")</f>
        <v>0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SUMIFS('[2]Opportunity Pipeline'!$O:$O,'[2]Opportunity Pipeline'!$K:$K,"Professional Services",'[2]Opportunity Pipeline'!$Z:$Z,"GB")/10^7</f>
        <v>0.28294595699999997</v>
      </c>
      <c r="G6" t="s">
        <v>32</v>
      </c>
      <c r="H6" t="s">
        <v>32</v>
      </c>
      <c r="I6" s="25">
        <f>SUMIFS('[3]Opportunity Pipeline '!$O:$O,'[3]Opportunity Pipeline '!$K:$K,"Professional Services",'[3]Opportunity Pipeline '!$Z:$Z,"GB")/10^7</f>
        <v>5.3099999999999996E-3</v>
      </c>
      <c r="J6" t="s">
        <v>32</v>
      </c>
      <c r="K6" t="s">
        <v>32</v>
      </c>
      <c r="L6" s="25">
        <f t="shared" si="0"/>
        <v>0.28825595699999995</v>
      </c>
      <c r="M6" t="s">
        <v>32</v>
      </c>
      <c r="N6" t="s">
        <v>32</v>
      </c>
      <c r="O6" t="s">
        <v>32</v>
      </c>
      <c r="P6" t="s">
        <v>32</v>
      </c>
      <c r="Q6">
        <v>5</v>
      </c>
      <c r="R6" s="25">
        <f t="shared" si="1"/>
        <v>0.28825595699999995</v>
      </c>
      <c r="S6" s="25">
        <f t="shared" si="2"/>
        <v>5.7651191399999989E-2</v>
      </c>
      <c r="T6">
        <f>COUNTIFS('[2]Opportunity Pipeline'!$K:$K,"Professional Services",'[2]Opportunity Pipeline'!$Z:$Z,"GB")+COUNTIFS('[3]Opportunity Pipeline '!$K:$K,"Professional Services",'[3]Opportunity Pipeline '!$Z:$Z,"GB")</f>
        <v>9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SUMIFS('[2]Opportunity Pipeline'!$O:$O,'[2]Opportunity Pipeline'!$K:$K,"Professional Services",'[2]Opportunity Pipeline'!$Z:$Z,"South")/10^7</f>
        <v>0</v>
      </c>
      <c r="G7" t="s">
        <v>32</v>
      </c>
      <c r="H7" t="s">
        <v>32</v>
      </c>
      <c r="I7" s="25">
        <f>SUMIFS('[3]Opportunity Pipeline '!$O:$O,'[3]Opportunity Pipeline '!$K:$K,"Professional Services",'[3]Opportunity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</v>
      </c>
      <c r="R7" s="25">
        <f t="shared" si="1"/>
        <v>0</v>
      </c>
      <c r="S7" s="25">
        <f t="shared" si="2"/>
        <v>0</v>
      </c>
      <c r="T7">
        <f>COUNTIFS('[2]Opportunity Pipeline'!$K:$K,"Professional Services",'[2]Opportunity Pipeline'!$Z:$Z,"South")+COUNTIFS('[3]Opportunity Pipeline '!$K:$K,"Professional Services",'[3]Opportunity Pipeline '!$Z:$Z,"South")</f>
        <v>0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SUMIFS('[2]Opportunity Pipeline'!$O:$O,'[2]Opportunity Pipeline'!$K:$K,"Professional Services",'[2]Opportunity Pipeline'!$Z:$Z,"GeoX")/10^7</f>
        <v>0</v>
      </c>
      <c r="G8" t="s">
        <v>32</v>
      </c>
      <c r="H8" t="s">
        <v>32</v>
      </c>
      <c r="I8" s="25">
        <f>SUMIFS('[3]Opportunity Pipeline '!$O:$O,'[3]Opportunity Pipeline '!$K:$K,"Professional Services",'[3]Opportunity Pipeline '!$Z:$Z,"GeoX")/10^7</f>
        <v>1.6948999999999999E-2</v>
      </c>
      <c r="J8" t="s">
        <v>32</v>
      </c>
      <c r="K8" t="s">
        <v>32</v>
      </c>
      <c r="L8" s="25">
        <f t="shared" si="0"/>
        <v>1.6948999999999999E-2</v>
      </c>
      <c r="M8" t="s">
        <v>32</v>
      </c>
      <c r="N8" t="s">
        <v>32</v>
      </c>
      <c r="O8" t="s">
        <v>32</v>
      </c>
      <c r="P8" t="s">
        <v>32</v>
      </c>
      <c r="Q8">
        <v>5</v>
      </c>
      <c r="R8" s="25">
        <f t="shared" si="1"/>
        <v>1.6948999999999999E-2</v>
      </c>
      <c r="S8" s="25">
        <f t="shared" si="2"/>
        <v>3.3897999999999997E-3</v>
      </c>
      <c r="T8">
        <f>COUNTIFS('[2]Opportunity Pipeline'!$K:$K,"Professional Services",'[2]Opportunity Pipeline'!$Z:$Z,"GeoX")+COUNTIFS('[3]Opportunity Pipeline '!$K:$K,"Professional Services",'[3]Opportunity Pipeline '!$Z:$Z,"Geox")</f>
        <v>1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8.9401136570000013</v>
      </c>
      <c r="G9" s="50" t="s">
        <v>32</v>
      </c>
      <c r="H9" s="50" t="s">
        <v>32</v>
      </c>
      <c r="I9" s="51">
        <f>SUM(I3:I8)</f>
        <v>2.2258999999999998E-2</v>
      </c>
      <c r="J9" s="50" t="s">
        <v>32</v>
      </c>
      <c r="K9" s="50" t="s">
        <v>32</v>
      </c>
      <c r="L9" s="51">
        <f>SUM(L3:L8)</f>
        <v>8.9623726570000013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26</v>
      </c>
      <c r="R9" s="51">
        <f>SUM(R3:R8)</f>
        <v>8.9623726570000013</v>
      </c>
      <c r="S9" s="51">
        <f>IFERROR(R9/Q9,"-")</f>
        <v>0.34470664065384621</v>
      </c>
      <c r="T9" s="50">
        <f>SUM(T3:T8)</f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I3" sqref="I3:I8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Pipeline'!$K:$K,"CSG (EndPoint)",'[2]Opportunity Pipeline'!$Z:$Z,"S1")/10^7</f>
        <v>10.894035536000001</v>
      </c>
      <c r="G3" t="s">
        <v>32</v>
      </c>
      <c r="H3" t="s">
        <v>32</v>
      </c>
      <c r="I3" s="25">
        <f>SUMIFS('[3]Opportunity Pipeline '!$O:$O,'[3]Opportunity Pipeline '!$K:$K,"CSG (EndPoint)",'[3]Opportunity Pipeline '!$Z:$Z,"S1")/10^7</f>
        <v>3.6200000000000003E-2</v>
      </c>
      <c r="J3" t="s">
        <v>32</v>
      </c>
      <c r="K3" t="s">
        <v>32</v>
      </c>
      <c r="L3" s="25">
        <f>SUM(F3,I3)</f>
        <v>10.930235536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10.930235536</v>
      </c>
      <c r="S3" s="25">
        <f>IFERROR(R3/Q3,"-")</f>
        <v>0.29541177124324325</v>
      </c>
      <c r="T3">
        <f>COUNTIFS('[2]Opportunity Pipeline'!$K:$K,"CSG (Endpoint)",'[2]Opportunity Pipeline'!$Z:$Z,"S1")+COUNTIFS('[3]Opportunity Pipeline '!$K:$K,"CSG (Endpoint)",'[3]Opportunity Pipeline '!$Z:$Z,"S1")</f>
        <v>60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SUMIFS('[2]Opportunity Pipeline'!$O:$O,'[2]Opportunity Pipeline'!$K:$K,"CSG (EndPoint)",'[2]Opportunity Pipeline'!$Z:$Z,"S2")/10^7</f>
        <v>0.29772340000000003</v>
      </c>
      <c r="G4" t="s">
        <v>32</v>
      </c>
      <c r="H4" t="s">
        <v>32</v>
      </c>
      <c r="I4" s="25">
        <f>SUMIFS('[3]Opportunity Pipeline '!$O:$O,'[3]Opportunity Pipeline '!$K:$K,"CSG (EndPoint)",'[3]Opportunity Pipeline '!$Z:$Z,"S2")/10^7</f>
        <v>1.1268800000000001</v>
      </c>
      <c r="J4" t="s">
        <v>32</v>
      </c>
      <c r="K4" t="s">
        <v>32</v>
      </c>
      <c r="L4" s="25">
        <f t="shared" ref="L4:L8" si="0">SUM(F4,I4)</f>
        <v>1.4246034000000001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1.4246034000000001</v>
      </c>
      <c r="S4" s="25">
        <f>IFERROR(R4/Q4,"-")</f>
        <v>3.3919128571428571E-2</v>
      </c>
      <c r="T4">
        <f>COUNTIFS('[2]Opportunity Pipeline'!$K:$K,"CSG (Endpoint)",'[2]Opportunity Pipeline'!$Z:$Z,"S2")+COUNTIFS('[3]Opportunity Pipeline '!$K:$K,"CSG (Endpoint)",'[3]Opportunity Pipeline '!$Z:$Z,"S2")</f>
        <v>9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SUMIFS('[2]Opportunity Pipeline'!$O:$O,'[2]Opportunity Pipeline'!$K:$K,"CSG (EndPoint)",'[2]Opportunity Pipeline'!$Z:$Z,"CB")/10^7</f>
        <v>0.24002599999999999</v>
      </c>
      <c r="G5" t="s">
        <v>32</v>
      </c>
      <c r="H5" t="s">
        <v>32</v>
      </c>
      <c r="I5" s="25">
        <f>SUMIFS('[3]Opportunity Pipeline '!$O:$O,'[3]Opportunity Pipeline '!$K:$K,"CSG (EndPoint)",'[3]Opportunity Pipeline '!$Z:$Z,"CB")/10^7</f>
        <v>2.2399999999999998E-3</v>
      </c>
      <c r="J5" t="s">
        <v>32</v>
      </c>
      <c r="K5" t="s">
        <v>32</v>
      </c>
      <c r="L5" s="25">
        <f t="shared" si="0"/>
        <v>0.24226599999999998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0.24226599999999998</v>
      </c>
      <c r="S5" s="25">
        <f t="shared" ref="S5:S8" si="2">IFERROR(R5/Q5,"-")</f>
        <v>8.0755333333333325E-3</v>
      </c>
      <c r="T5">
        <f>COUNTIFS('[2]Opportunity Pipeline'!$K:$K,"CSG (Endpoint)",'[2]Opportunity Pipeline'!$Z:$Z,"CB")+COUNTIFS('[3]Opportunity Pipeline '!$K:$K,"CSG (Endpoint)",'[3]Opportunity Pipeline '!$Z:$Z,"CB")</f>
        <v>13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SUMIFS('[2]Opportunity Pipeline'!$O:$O,'[2]Opportunity Pipeline'!$K:$K,"CSG (EndPoint)",'[2]Opportunity Pipeline'!$Z:$Z,"GB")/10^7</f>
        <v>7.8676617000000002</v>
      </c>
      <c r="G6" t="s">
        <v>32</v>
      </c>
      <c r="H6" t="s">
        <v>32</v>
      </c>
      <c r="I6" s="25">
        <f>SUMIFS('[3]Opportunity Pipeline '!$O:$O,'[3]Opportunity Pipeline '!$K:$K,"CSG (EndPoint)",'[3]Opportunity Pipeline '!$Z:$Z,"GB")/10^7</f>
        <v>4.19292E-2</v>
      </c>
      <c r="J6" t="s">
        <v>32</v>
      </c>
      <c r="K6" t="s">
        <v>32</v>
      </c>
      <c r="L6" s="25">
        <f t="shared" si="0"/>
        <v>7.9095909000000004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7.9095909000000004</v>
      </c>
      <c r="S6" s="25" t="str">
        <f t="shared" si="2"/>
        <v>-</v>
      </c>
      <c r="T6">
        <f>COUNTIFS('[2]Opportunity Pipeline'!$K:$K,"CSG (Endpoint)",'[2]Opportunity Pipeline'!$Z:$Z,"GB")+COUNTIFS('[3]Opportunity Pipeline '!$K:$K,"CSG (Endpoint)",'[3]Opportunity Pipeline '!$Z:$Z,"GB")</f>
        <v>22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SUMIFS('[2]Opportunity Pipeline'!$O:$O,'[2]Opportunity Pipeline'!$K:$K,"CSG (EndPoint)",'[2]Opportunity Pipeline'!$Z:$Z,"South")/10^7</f>
        <v>4.1905953890000003</v>
      </c>
      <c r="G7" t="s">
        <v>32</v>
      </c>
      <c r="H7" t="s">
        <v>32</v>
      </c>
      <c r="I7" s="25">
        <f>SUMIFS('[3]Opportunity Pipeline '!$O:$O,'[3]Opportunity Pipeline '!$K:$K,"CSG (EndPoint)",'[3]Opportunity Pipeline '!$Z:$Z,"South")/10^7</f>
        <v>0.29604000000000003</v>
      </c>
      <c r="J7" t="s">
        <v>32</v>
      </c>
      <c r="K7" t="s">
        <v>32</v>
      </c>
      <c r="L7" s="25">
        <f t="shared" si="0"/>
        <v>4.4866353889999999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4.4866353889999999</v>
      </c>
      <c r="S7" s="25">
        <f t="shared" si="2"/>
        <v>0.24925752161111112</v>
      </c>
      <c r="T7">
        <f>COUNTIFS('[2]Opportunity Pipeline'!$K:$K,"CSG (Endpoint)",'[2]Opportunity Pipeline'!$Z:$Z,"South")+COUNTIFS('[3]Opportunity Pipeline '!$K:$K,"CSG (Endpoint)",'[3]Opportunity Pipeline '!$Z:$Z,"South")</f>
        <v>37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SUMIFS('[2]Opportunity Pipeline'!$O:$O,'[2]Opportunity Pipeline'!$K:$K,"CSG (EndPoint)",'[2]Opportunity Pipeline'!$Z:$Z,"GeoX")/10^7</f>
        <v>0</v>
      </c>
      <c r="G8" t="s">
        <v>32</v>
      </c>
      <c r="H8" t="s">
        <v>32</v>
      </c>
      <c r="I8" s="25">
        <f>SUMIFS('[3]Opportunity Pipeline '!$O:$O,'[3]Opportunity Pipeline '!$K:$K,"CSG (EndPoint)",'[3]Opportunity Pipeline '!$Z:$Z,"GeoX")/10^7</f>
        <v>0</v>
      </c>
      <c r="J8" t="s">
        <v>32</v>
      </c>
      <c r="K8" t="s">
        <v>32</v>
      </c>
      <c r="L8" s="25">
        <f t="shared" si="0"/>
        <v>0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</v>
      </c>
      <c r="S8" s="25">
        <f t="shared" si="2"/>
        <v>0</v>
      </c>
      <c r="T8">
        <f>COUNTIFS('[2]Opportunity Pipeline'!$K:$K,"CSG (Endpoint)",'[2]Opportunity Pipeline'!$Z:$Z,"GeoX")+COUNTIFS('[3]Opportunity Pipeline '!$K:$K,"CSG (Endpoint)",'[3]Opportunity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23.490042025000001</v>
      </c>
      <c r="G9" s="50" t="s">
        <v>32</v>
      </c>
      <c r="H9" s="50" t="s">
        <v>32</v>
      </c>
      <c r="I9" s="50" t="s">
        <v>32</v>
      </c>
      <c r="J9" s="50" t="s">
        <v>32</v>
      </c>
      <c r="K9" s="50" t="s">
        <v>32</v>
      </c>
      <c r="L9" s="51">
        <f>SUM(L3:L8)</f>
        <v>24.993331225000002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135</v>
      </c>
      <c r="R9" s="51">
        <f>SUM(R3:R8)</f>
        <v>24.993331225000002</v>
      </c>
      <c r="S9" s="51">
        <f>IFERROR(R9/Q9,"-")</f>
        <v>0.18513578685185186</v>
      </c>
      <c r="T9" s="50">
        <f>SUM(T3:T8)</f>
        <v>141</v>
      </c>
    </row>
    <row r="10" spans="1:25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zoomScale="85" zoomScaleNormal="85" workbookViewId="0">
      <selection activeCell="L13" sqref="L13"/>
    </sheetView>
  </sheetViews>
  <sheetFormatPr defaultRowHeight="14.45"/>
  <sheetData>
    <row r="1" spans="1:20" ht="27.75" customHeight="1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Pipeline'!$K:$K,"Cloud",'[2]Opportunity Pipeline'!$Z:$Z,"S1")/10^7</f>
        <v>0</v>
      </c>
      <c r="G3" t="s">
        <v>32</v>
      </c>
      <c r="H3" t="s">
        <v>32</v>
      </c>
      <c r="I3" s="25">
        <f>SUMIFS('[3]Opportunity Pipeline '!$O:$O,'[3]Opportunity Pipeline '!$K:$K,"Cloud",'[3]Opportunity Pipeline '!$Z:$Z,"S1")/10^7</f>
        <v>0</v>
      </c>
      <c r="J3" t="s">
        <v>32</v>
      </c>
      <c r="K3" t="s">
        <v>32</v>
      </c>
      <c r="L3" s="25">
        <f>SUM(F3,I3)</f>
        <v>0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0</v>
      </c>
      <c r="S3" s="25">
        <f>IFERROR(R3/Q3,"-")</f>
        <v>0</v>
      </c>
      <c r="T3">
        <f>COUNTIFS('[2]Opportunity Pipeline'!$K:$K,"Cloud",'[2]Opportunity Pipeline'!$Z:$Z,"S1")+COUNTIFS('[3]Opportunity Pipeline '!$K:$K,"Cloud",'[3]Opportunity Pipeline '!$Z:$Z,"S1")</f>
        <v>0</v>
      </c>
    </row>
    <row r="4" spans="1:20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SUMIFS('[2]Opportunity Pipeline'!$O:$O,'[2]Opportunity Pipeline'!$K:$K,"Cloud",'[2]Opportunity Pipeline'!$Z:$Z,"S2")/10^7</f>
        <v>0</v>
      </c>
      <c r="G4" t="s">
        <v>32</v>
      </c>
      <c r="H4" t="s">
        <v>32</v>
      </c>
      <c r="I4" s="25">
        <f>SUMIFS('[3]Opportunity Pipeline '!$O:$O,'[3]Opportunity Pipeline '!$K:$K,"Cloud",'[3]Opportunity Pipeline '!$Z:$Z,"S2")/10^7</f>
        <v>0</v>
      </c>
      <c r="J4" t="s">
        <v>32</v>
      </c>
      <c r="K4" t="s">
        <v>32</v>
      </c>
      <c r="L4" s="25">
        <f t="shared" ref="L4:L8" si="0">SUM(F4,I4)</f>
        <v>0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0</v>
      </c>
      <c r="S4" s="25">
        <f>IFERROR(R4/Q4,"-")</f>
        <v>0</v>
      </c>
      <c r="T4">
        <f>COUNTIFS('[2]Opportunity Pipeline'!$K:$K,"Cloud",'[2]Opportunity Pipeline'!$Z:$Z,"S2")+COUNTIFS('[3]Opportunity Pipeline '!$K:$K,"Cloud",'[3]Opportunity Pipeline '!$Z:$Z,"S2")</f>
        <v>0</v>
      </c>
    </row>
    <row r="5" spans="1:20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SUMIFS('[2]Opportunity Pipeline'!$O:$O,'[2]Opportunity Pipeline'!$K:$K,"Cloud",'[2]Opportunity Pipeline'!$Z:$Z,"CB")/10^7</f>
        <v>1.5520453599999999</v>
      </c>
      <c r="G5" t="s">
        <v>32</v>
      </c>
      <c r="H5" t="s">
        <v>32</v>
      </c>
      <c r="I5" s="25">
        <f>SUMIFS('[3]Opportunity Pipeline '!$O:$O,'[3]Opportunity Pipeline '!$K:$K,"Cloud",'[3]Opportunity Pipeline '!$Z:$Z,"CB")/10^7</f>
        <v>0</v>
      </c>
      <c r="J5" t="s">
        <v>32</v>
      </c>
      <c r="K5" t="s">
        <v>32</v>
      </c>
      <c r="L5" s="25">
        <f t="shared" si="0"/>
        <v>1.5520453599999999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1.5520453599999999</v>
      </c>
      <c r="S5" s="25">
        <f t="shared" ref="S5:S8" si="2">IFERROR(R5/Q5,"-")</f>
        <v>5.1734845333333328E-2</v>
      </c>
      <c r="T5">
        <f>COUNTIFS('[2]Opportunity Pipeline'!$K:$K,"Cloud",'[2]Opportunity Pipeline'!$Z:$Z,"CB")+COUNTIFS('[3]Opportunity Pipeline '!$K:$K,"Cloud",'[3]Opportunity Pipeline '!$Z:$Z,"CB")</f>
        <v>20</v>
      </c>
    </row>
    <row r="6" spans="1:20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SUMIFS('[2]Opportunity Pipeline'!$O:$O,'[2]Opportunity Pipeline'!$K:$K,"Cloud",'[2]Opportunity Pipeline'!$Z:$Z,"GB")/10^7</f>
        <v>1.0873971</v>
      </c>
      <c r="G6" t="s">
        <v>32</v>
      </c>
      <c r="H6" t="s">
        <v>32</v>
      </c>
      <c r="I6" s="25">
        <f>SUMIFS('[3]Opportunity Pipeline '!$O:$O,'[3]Opportunity Pipeline '!$K:$K,"Cloud",'[3]Opportunity Pipeline '!$Z:$Z,"GB")/10^7</f>
        <v>0</v>
      </c>
      <c r="J6" t="s">
        <v>32</v>
      </c>
      <c r="K6" t="s">
        <v>32</v>
      </c>
      <c r="L6" s="25">
        <f t="shared" si="0"/>
        <v>1.0873971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1.0873971</v>
      </c>
      <c r="S6" s="25" t="str">
        <f t="shared" si="2"/>
        <v>-</v>
      </c>
      <c r="T6">
        <f>COUNTIFS('[2]Opportunity Pipeline'!$K:$K,"Cloud",'[2]Opportunity Pipeline'!$Z:$Z,"GB")+COUNTIFS('[3]Opportunity Pipeline '!$K:$K,"Cloud",'[3]Opportunity Pipeline '!$Z:$Z,"GB")</f>
        <v>2</v>
      </c>
    </row>
    <row r="7" spans="1:20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SUMIFS('[2]Opportunity Pipeline'!$O:$O,'[2]Opportunity Pipeline'!$K:$K,"Cloud",'[2]Opportunity Pipeline'!$Z:$Z,"South")/10^7</f>
        <v>0</v>
      </c>
      <c r="G7" t="s">
        <v>32</v>
      </c>
      <c r="H7" t="s">
        <v>32</v>
      </c>
      <c r="I7" s="25">
        <f>SUMIFS('[3]Opportunity Pipeline '!$O:$O,'[3]Opportunity Pipeline '!$K:$K,"Cloud",'[3]Opportunity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0</v>
      </c>
      <c r="S7" s="25">
        <f t="shared" si="2"/>
        <v>0</v>
      </c>
      <c r="T7">
        <f>COUNTIFS('[2]Opportunity Pipeline'!$K:$K,"Cloud",'[2]Opportunity Pipeline'!$Z:$Z,"South")+COUNTIFS('[3]Opportunity Pipeline '!$K:$K,"Cloud",'[3]Opportunity Pipeline '!$Z:$Z,"South")</f>
        <v>0</v>
      </c>
    </row>
    <row r="8" spans="1:20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SUMIFS('[2]Opportunity Pipeline'!$O:$O,'[2]Opportunity Pipeline'!$K:$K,"Cloud",'[2]Opportunity Pipeline'!$Z:$Z,"GeoX")/10^7</f>
        <v>0</v>
      </c>
      <c r="G8" t="s">
        <v>32</v>
      </c>
      <c r="H8" t="s">
        <v>32</v>
      </c>
      <c r="I8" s="25">
        <f>SUMIFS('[3]Opportunity Pipeline '!$O:$O,'[3]Opportunity Pipeline '!$K:$K,"Cloud",'[3]Opportunity Pipeline '!$Z:$Z,"GeoX")/10^7</f>
        <v>0</v>
      </c>
      <c r="J8" t="s">
        <v>32</v>
      </c>
      <c r="K8" t="s">
        <v>32</v>
      </c>
      <c r="L8" s="25">
        <f t="shared" si="0"/>
        <v>0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</v>
      </c>
      <c r="S8" s="25">
        <f t="shared" si="2"/>
        <v>0</v>
      </c>
      <c r="T8">
        <f>COUNTIFS('[2]Opportunity Pipeline'!$K:$K,"Cloud",'[2]Opportunity Pipeline'!$Z:$Z,"GeoX")+COUNTIFS('[3]Opportunity Pipeline '!$K:$K,"Cloud",'[3]Opportunity Pipeline '!$Z:$Z,"Geox")</f>
        <v>0</v>
      </c>
    </row>
    <row r="9" spans="1:20">
      <c r="A9" s="49"/>
      <c r="B9" s="49" t="s">
        <v>135</v>
      </c>
      <c r="C9" s="49"/>
      <c r="D9" s="49"/>
      <c r="E9" s="50" t="s">
        <v>32</v>
      </c>
      <c r="F9" s="51">
        <f>SUM(F3:F8)</f>
        <v>2.6394424599999997</v>
      </c>
      <c r="G9" s="50" t="s">
        <v>32</v>
      </c>
      <c r="H9" s="50" t="s">
        <v>32</v>
      </c>
      <c r="I9" s="50" t="s">
        <v>32</v>
      </c>
      <c r="J9" s="50" t="s">
        <v>32</v>
      </c>
      <c r="K9" s="50" t="s">
        <v>32</v>
      </c>
      <c r="L9" s="51">
        <f>SUM(L3:L8)</f>
        <v>2.6394424599999997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135</v>
      </c>
      <c r="R9" s="51">
        <f>SUM(R3:R8)</f>
        <v>2.6394424599999997</v>
      </c>
      <c r="S9" s="51">
        <f>IFERROR(R9/Q9,"-")</f>
        <v>1.9551425629629627E-2</v>
      </c>
      <c r="T9" s="50">
        <f>SUM(T3:T8)</f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/>
  <cp:revision/>
  <dcterms:created xsi:type="dcterms:W3CDTF">2026-07-08T10:45:51Z</dcterms:created>
  <dcterms:modified xsi:type="dcterms:W3CDTF">2026-07-20T10:59:05Z</dcterms:modified>
  <cp:category/>
  <cp:contentStatus/>
</cp:coreProperties>
</file>