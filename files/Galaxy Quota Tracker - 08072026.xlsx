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techpayai-my.sharepoint.com/personal/shiv_kumar_techpay_ai/Documents/Documents/Office Related/Galaxy Target Letter/"/>
    </mc:Choice>
  </mc:AlternateContent>
  <xr:revisionPtr revIDLastSave="660" documentId="8_{124E6DA4-E83A-4E31-8CD3-97FA1DC77213}" xr6:coauthVersionLast="47" xr6:coauthVersionMax="47" xr10:uidLastSave="{1248543D-7617-4327-B15A-9503F1EBEEC2}"/>
  <bookViews>
    <workbookView xWindow="-108" yWindow="-108" windowWidth="23256" windowHeight="12576" firstSheet="1" activeTab="1" xr2:uid="{140E8931-5A85-4BAF-81DF-D10C51DDC455}"/>
  </bookViews>
  <sheets>
    <sheet name="V1 · Individual" sheetId="1" r:id="rId1"/>
    <sheet name="V2 · Leadership " sheetId="9" r:id="rId2"/>
    <sheet name="V3 · RTM Division level" sheetId="2" r:id="rId3"/>
    <sheet name="V5 · DCG" sheetId="4" r:id="rId4"/>
    <sheet name="V6 · CSN" sheetId="5" r:id="rId5"/>
    <sheet name="V7 · PS" sheetId="6" r:id="rId6"/>
    <sheet name="V8 · CSG" sheetId="7" r:id="rId7"/>
    <sheet name="V9 · Cloud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F4" i="1"/>
  <c r="T8" i="8"/>
  <c r="F8" i="8"/>
  <c r="T7" i="8"/>
  <c r="F7" i="8"/>
  <c r="T6" i="8"/>
  <c r="F6" i="8"/>
  <c r="T5" i="8"/>
  <c r="F5" i="8"/>
  <c r="L5" i="8" s="1"/>
  <c r="R5" i="8" s="1"/>
  <c r="S5" i="8" s="1"/>
  <c r="T4" i="8"/>
  <c r="F4" i="8"/>
  <c r="T3" i="8"/>
  <c r="L4" i="8"/>
  <c r="R4" i="8" s="1"/>
  <c r="S4" i="8" s="1"/>
  <c r="F3" i="8"/>
  <c r="Q9" i="8"/>
  <c r="L8" i="8"/>
  <c r="R8" i="8" s="1"/>
  <c r="S8" i="8" s="1"/>
  <c r="L7" i="8"/>
  <c r="R7" i="8" s="1"/>
  <c r="S7" i="8" s="1"/>
  <c r="L6" i="8"/>
  <c r="R6" i="8" s="1"/>
  <c r="S6" i="8" s="1"/>
  <c r="R3" i="5"/>
  <c r="S3" i="5" s="1"/>
  <c r="T3" i="5"/>
  <c r="T9" i="5" s="1"/>
  <c r="R4" i="5"/>
  <c r="S4" i="5" s="1"/>
  <c r="T4" i="5"/>
  <c r="R5" i="5"/>
  <c r="S5" i="5" s="1"/>
  <c r="T5" i="5"/>
  <c r="R6" i="5"/>
  <c r="S6" i="5" s="1"/>
  <c r="T6" i="5"/>
  <c r="R7" i="5"/>
  <c r="S7" i="5"/>
  <c r="T7" i="5"/>
  <c r="R8" i="5"/>
  <c r="S8" i="5" s="1"/>
  <c r="T8" i="5"/>
  <c r="Q9" i="5"/>
  <c r="R3" i="6"/>
  <c r="S3" i="6" s="1"/>
  <c r="T3" i="6"/>
  <c r="T9" i="6" s="1"/>
  <c r="R4" i="6"/>
  <c r="S4" i="6" s="1"/>
  <c r="T4" i="6"/>
  <c r="R5" i="6"/>
  <c r="S5" i="6" s="1"/>
  <c r="T5" i="6"/>
  <c r="R6" i="6"/>
  <c r="S6" i="6"/>
  <c r="T6" i="6"/>
  <c r="R7" i="6"/>
  <c r="S7" i="6"/>
  <c r="T7" i="6"/>
  <c r="R8" i="6"/>
  <c r="S8" i="6" s="1"/>
  <c r="T8" i="6"/>
  <c r="Q9" i="6"/>
  <c r="R9" i="6"/>
  <c r="S9" i="6" s="1"/>
  <c r="R3" i="7"/>
  <c r="S3" i="7" s="1"/>
  <c r="T3" i="7"/>
  <c r="T9" i="7" s="1"/>
  <c r="R4" i="7"/>
  <c r="S4" i="7" s="1"/>
  <c r="T4" i="7"/>
  <c r="R5" i="7"/>
  <c r="S5" i="7" s="1"/>
  <c r="T5" i="7"/>
  <c r="R6" i="7"/>
  <c r="S6" i="7" s="1"/>
  <c r="T6" i="7"/>
  <c r="R7" i="7"/>
  <c r="S7" i="7" s="1"/>
  <c r="T7" i="7"/>
  <c r="R8" i="7"/>
  <c r="S8" i="7" s="1"/>
  <c r="T8" i="7"/>
  <c r="Q9" i="7"/>
  <c r="F8" i="7"/>
  <c r="L8" i="7" s="1"/>
  <c r="F7" i="7"/>
  <c r="L7" i="7" s="1"/>
  <c r="L6" i="7"/>
  <c r="F6" i="7"/>
  <c r="L5" i="7"/>
  <c r="F5" i="7"/>
  <c r="F4" i="7"/>
  <c r="L4" i="7" s="1"/>
  <c r="F3" i="7"/>
  <c r="F9" i="7" s="1"/>
  <c r="F8" i="6"/>
  <c r="L8" i="6" s="1"/>
  <c r="F7" i="6"/>
  <c r="L7" i="6" s="1"/>
  <c r="L6" i="6"/>
  <c r="F6" i="6"/>
  <c r="F5" i="6"/>
  <c r="L5" i="6" s="1"/>
  <c r="F4" i="6"/>
  <c r="L4" i="6" s="1"/>
  <c r="F3" i="6"/>
  <c r="F9" i="6" s="1"/>
  <c r="J9" i="5"/>
  <c r="L8" i="5"/>
  <c r="M8" i="5" s="1"/>
  <c r="J8" i="5"/>
  <c r="F8" i="5"/>
  <c r="G8" i="5" s="1"/>
  <c r="L7" i="5"/>
  <c r="J7" i="5"/>
  <c r="F7" i="5"/>
  <c r="G7" i="5" s="1"/>
  <c r="L6" i="5"/>
  <c r="M6" i="5" s="1"/>
  <c r="J6" i="5"/>
  <c r="F6" i="5"/>
  <c r="G6" i="5" s="1"/>
  <c r="L5" i="5"/>
  <c r="J5" i="5"/>
  <c r="F5" i="5"/>
  <c r="G5" i="5" s="1"/>
  <c r="L4" i="5"/>
  <c r="J4" i="5"/>
  <c r="F4" i="5"/>
  <c r="G4" i="5" s="1"/>
  <c r="L3" i="5"/>
  <c r="L9" i="5" s="1"/>
  <c r="M9" i="5" s="1"/>
  <c r="J3" i="5"/>
  <c r="F3" i="5"/>
  <c r="F9" i="5" s="1"/>
  <c r="G9" i="5" s="1"/>
  <c r="Q9" i="4"/>
  <c r="J9" i="4"/>
  <c r="T8" i="4"/>
  <c r="R8" i="4"/>
  <c r="S8" i="4" s="1"/>
  <c r="L8" i="4"/>
  <c r="M8" i="4" s="1"/>
  <c r="J8" i="4"/>
  <c r="G8" i="4"/>
  <c r="F8" i="4"/>
  <c r="T7" i="4"/>
  <c r="L7" i="4"/>
  <c r="M7" i="4" s="1"/>
  <c r="J7" i="4"/>
  <c r="G7" i="4"/>
  <c r="F7" i="4"/>
  <c r="T6" i="4"/>
  <c r="L6" i="4"/>
  <c r="M6" i="4" s="1"/>
  <c r="J6" i="4"/>
  <c r="G6" i="4"/>
  <c r="F6" i="4"/>
  <c r="T5" i="4"/>
  <c r="L5" i="4"/>
  <c r="M5" i="4" s="1"/>
  <c r="J5" i="4"/>
  <c r="G5" i="4"/>
  <c r="F5" i="4"/>
  <c r="T4" i="4"/>
  <c r="L4" i="4"/>
  <c r="M4" i="4" s="1"/>
  <c r="J4" i="4"/>
  <c r="G4" i="4"/>
  <c r="F4" i="4"/>
  <c r="T3" i="4"/>
  <c r="T9" i="4" s="1"/>
  <c r="L3" i="4"/>
  <c r="M3" i="4" s="1"/>
  <c r="J3" i="4"/>
  <c r="G3" i="4"/>
  <c r="F3" i="4"/>
  <c r="F9" i="4" s="1"/>
  <c r="G9" i="4" s="1"/>
  <c r="AI10" i="2"/>
  <c r="AG10" i="2"/>
  <c r="AG11" i="2" s="1"/>
  <c r="AH10" i="2"/>
  <c r="AH11" i="2" s="1"/>
  <c r="AF10" i="2"/>
  <c r="AF11" i="2" s="1"/>
  <c r="S10" i="2"/>
  <c r="M10" i="2"/>
  <c r="M11" i="2" s="1"/>
  <c r="Y10" i="2"/>
  <c r="Y11" i="2" s="1"/>
  <c r="R10" i="2"/>
  <c r="R11" i="2" s="1"/>
  <c r="L10" i="2"/>
  <c r="L11" i="2" s="1"/>
  <c r="U50" i="1"/>
  <c r="S50" i="1"/>
  <c r="R50" i="1"/>
  <c r="P50" i="1"/>
  <c r="O50" i="1"/>
  <c r="M50" i="1"/>
  <c r="L50" i="1"/>
  <c r="J50" i="1"/>
  <c r="I50" i="1"/>
  <c r="G50" i="1"/>
  <c r="F50" i="1"/>
  <c r="AE10" i="2"/>
  <c r="AD9" i="2"/>
  <c r="AE9" i="2" s="1"/>
  <c r="AD8" i="2"/>
  <c r="AD7" i="2"/>
  <c r="AD6" i="2"/>
  <c r="AD5" i="2"/>
  <c r="AD11" i="2" s="1"/>
  <c r="AC9" i="2"/>
  <c r="AC8" i="2"/>
  <c r="AC7" i="2"/>
  <c r="AC6" i="2"/>
  <c r="AC11" i="2" s="1"/>
  <c r="AC5" i="2"/>
  <c r="V9" i="2"/>
  <c r="V8" i="2"/>
  <c r="V7" i="2"/>
  <c r="V6" i="2"/>
  <c r="V5" i="2"/>
  <c r="J11" i="2"/>
  <c r="K11" i="2"/>
  <c r="S11" i="2"/>
  <c r="W11" i="2"/>
  <c r="X11" i="2"/>
  <c r="Z11" i="2"/>
  <c r="AA11" i="2"/>
  <c r="AB11" i="2"/>
  <c r="U9" i="2"/>
  <c r="AI9" i="2" s="1"/>
  <c r="U8" i="2"/>
  <c r="AI8" i="2" s="1"/>
  <c r="U7" i="2"/>
  <c r="AI7" i="2" s="1"/>
  <c r="U6" i="2"/>
  <c r="U5" i="2"/>
  <c r="AI5" i="2" s="1"/>
  <c r="P9" i="2"/>
  <c r="P8" i="2"/>
  <c r="P7" i="2"/>
  <c r="P6" i="2"/>
  <c r="Q6" i="2" s="1"/>
  <c r="P5" i="2"/>
  <c r="O9" i="2"/>
  <c r="Q9" i="2" s="1"/>
  <c r="O8" i="2"/>
  <c r="O7" i="2"/>
  <c r="O6" i="2"/>
  <c r="O5" i="2"/>
  <c r="Q5" i="2" s="1"/>
  <c r="I9" i="2"/>
  <c r="I8" i="2"/>
  <c r="I7" i="2"/>
  <c r="I6" i="2"/>
  <c r="I5" i="2"/>
  <c r="G10" i="2"/>
  <c r="G11" i="2" s="1"/>
  <c r="F10" i="2"/>
  <c r="D9" i="2"/>
  <c r="C9" i="2"/>
  <c r="D8" i="2"/>
  <c r="C8" i="2"/>
  <c r="E8" i="2" s="1"/>
  <c r="D7" i="2"/>
  <c r="C7" i="2"/>
  <c r="D6" i="2"/>
  <c r="C6" i="2"/>
  <c r="T52" i="1"/>
  <c r="Q52" i="1"/>
  <c r="N52" i="1"/>
  <c r="K52" i="1"/>
  <c r="H50" i="1"/>
  <c r="I52" i="1"/>
  <c r="J52" i="1"/>
  <c r="L52" i="1"/>
  <c r="M52" i="1"/>
  <c r="O52" i="1"/>
  <c r="P52" i="1"/>
  <c r="R52" i="1"/>
  <c r="S52" i="1"/>
  <c r="U52" i="1"/>
  <c r="T9" i="8" l="1"/>
  <c r="F9" i="8"/>
  <c r="L3" i="8"/>
  <c r="AE7" i="2"/>
  <c r="Q8" i="2"/>
  <c r="Q7" i="2"/>
  <c r="E7" i="2"/>
  <c r="E9" i="2"/>
  <c r="AE6" i="2"/>
  <c r="N10" i="2"/>
  <c r="N11" i="2" s="1"/>
  <c r="I11" i="2"/>
  <c r="U11" i="2"/>
  <c r="E6" i="2"/>
  <c r="P11" i="2"/>
  <c r="AE8" i="2"/>
  <c r="T10" i="2"/>
  <c r="T11" i="2" s="1"/>
  <c r="O11" i="2"/>
  <c r="AE5" i="2"/>
  <c r="AI6" i="2"/>
  <c r="AI11" i="2" s="1"/>
  <c r="R9" i="5"/>
  <c r="S9" i="5" s="1"/>
  <c r="R9" i="7"/>
  <c r="S9" i="7" s="1"/>
  <c r="L3" i="7"/>
  <c r="L3" i="6"/>
  <c r="M4" i="5"/>
  <c r="M3" i="5"/>
  <c r="M5" i="5"/>
  <c r="M7" i="5"/>
  <c r="G3" i="5"/>
  <c r="R3" i="4"/>
  <c r="R4" i="4"/>
  <c r="S4" i="4" s="1"/>
  <c r="R5" i="4"/>
  <c r="S5" i="4" s="1"/>
  <c r="R6" i="4"/>
  <c r="S6" i="4" s="1"/>
  <c r="R7" i="4"/>
  <c r="S7" i="4" s="1"/>
  <c r="L9" i="4"/>
  <c r="M9" i="4" s="1"/>
  <c r="H10" i="2"/>
  <c r="F11" i="2"/>
  <c r="H11" i="2" s="1"/>
  <c r="V11" i="2"/>
  <c r="L9" i="8" l="1"/>
  <c r="R3" i="8"/>
  <c r="AE11" i="2"/>
  <c r="Q11" i="2"/>
  <c r="L9" i="7"/>
  <c r="L9" i="6"/>
  <c r="R9" i="4"/>
  <c r="S9" i="4" s="1"/>
  <c r="S3" i="4"/>
  <c r="S3" i="8" l="1"/>
  <c r="R9" i="8"/>
  <c r="S9" i="8" s="1"/>
  <c r="U49" i="1" l="1"/>
  <c r="O49" i="1"/>
  <c r="L49" i="1"/>
  <c r="R49" i="1" s="1"/>
  <c r="M49" i="1" l="1"/>
  <c r="S49" i="1" s="1"/>
  <c r="T49" i="1" s="1"/>
  <c r="G49" i="1"/>
  <c r="P46" i="1"/>
  <c r="J46" i="1"/>
  <c r="U45" i="1"/>
  <c r="U44" i="1"/>
  <c r="U43" i="1"/>
  <c r="U46" i="1" s="1"/>
  <c r="U42" i="1"/>
  <c r="O44" i="1"/>
  <c r="Q44" i="1" s="1"/>
  <c r="L44" i="1"/>
  <c r="N49" i="1" l="1"/>
  <c r="R44" i="1"/>
  <c r="O43" i="1"/>
  <c r="Q43" i="1" s="1"/>
  <c r="L43" i="1"/>
  <c r="R43" i="1" l="1"/>
  <c r="O45" i="1"/>
  <c r="L45" i="1"/>
  <c r="R45" i="1" l="1"/>
  <c r="Q45" i="1"/>
  <c r="L42" i="1"/>
  <c r="O42" i="1"/>
  <c r="Q42" i="1" l="1"/>
  <c r="O46" i="1"/>
  <c r="R42" i="1"/>
  <c r="N42" i="1"/>
  <c r="L46" i="1"/>
  <c r="M45" i="1"/>
  <c r="M44" i="1"/>
  <c r="M43" i="1"/>
  <c r="M42" i="1"/>
  <c r="G45" i="1"/>
  <c r="G44" i="1"/>
  <c r="G43" i="1"/>
  <c r="G42" i="1"/>
  <c r="P39" i="1"/>
  <c r="J39" i="1"/>
  <c r="U38" i="1"/>
  <c r="U37" i="1"/>
  <c r="U36" i="1"/>
  <c r="U35" i="1"/>
  <c r="U34" i="1"/>
  <c r="U33" i="1"/>
  <c r="U39" i="1" s="1"/>
  <c r="U32" i="1"/>
  <c r="U31" i="1"/>
  <c r="U30" i="1"/>
  <c r="U29" i="1"/>
  <c r="S33" i="1"/>
  <c r="S37" i="1"/>
  <c r="M38" i="1"/>
  <c r="M37" i="1"/>
  <c r="M36" i="1"/>
  <c r="S36" i="1" s="1"/>
  <c r="M35" i="1"/>
  <c r="S35" i="1" s="1"/>
  <c r="M34" i="1"/>
  <c r="S34" i="1" s="1"/>
  <c r="M33" i="1"/>
  <c r="M39" i="1" s="1"/>
  <c r="M32" i="1"/>
  <c r="S32" i="1" s="1"/>
  <c r="M31" i="1"/>
  <c r="S31" i="1" s="1"/>
  <c r="M30" i="1"/>
  <c r="S30" i="1" s="1"/>
  <c r="M29" i="1"/>
  <c r="S29" i="1" s="1"/>
  <c r="O32" i="1"/>
  <c r="Q32" i="1" s="1"/>
  <c r="L32" i="1"/>
  <c r="N32" i="1" s="1"/>
  <c r="O35" i="1"/>
  <c r="Q35" i="1" s="1"/>
  <c r="L35" i="1"/>
  <c r="S38" i="1" l="1"/>
  <c r="S45" i="1"/>
  <c r="T45" i="1" s="1"/>
  <c r="N45" i="1"/>
  <c r="N35" i="1"/>
  <c r="R32" i="1"/>
  <c r="T32" i="1" s="1"/>
  <c r="G46" i="1"/>
  <c r="M46" i="1"/>
  <c r="S42" i="1"/>
  <c r="S44" i="1"/>
  <c r="T44" i="1" s="1"/>
  <c r="N44" i="1"/>
  <c r="S39" i="1"/>
  <c r="S43" i="1"/>
  <c r="T43" i="1" s="1"/>
  <c r="N43" i="1"/>
  <c r="R35" i="1"/>
  <c r="T35" i="1" s="1"/>
  <c r="R46" i="1"/>
  <c r="T42" i="1"/>
  <c r="Q46" i="1"/>
  <c r="Q50" i="1"/>
  <c r="N50" i="1"/>
  <c r="O38" i="1"/>
  <c r="Q38" i="1" s="1"/>
  <c r="L38" i="1"/>
  <c r="N46" i="1" l="1"/>
  <c r="R38" i="1"/>
  <c r="T38" i="1" s="1"/>
  <c r="S46" i="1"/>
  <c r="N38" i="1"/>
  <c r="T50" i="1"/>
  <c r="I38" i="1"/>
  <c r="K38" i="1" s="1"/>
  <c r="F38" i="1"/>
  <c r="G38" i="1"/>
  <c r="T46" i="1" l="1"/>
  <c r="H38" i="1"/>
  <c r="O37" i="1"/>
  <c r="Q37" i="1" s="1"/>
  <c r="L37" i="1"/>
  <c r="R37" i="1" l="1"/>
  <c r="T37" i="1" s="1"/>
  <c r="N37" i="1"/>
  <c r="O30" i="1"/>
  <c r="Q30" i="1" s="1"/>
  <c r="L30" i="1"/>
  <c r="R30" i="1" l="1"/>
  <c r="T30" i="1" s="1"/>
  <c r="N30" i="1"/>
  <c r="O34" i="1"/>
  <c r="Q34" i="1" s="1"/>
  <c r="L34" i="1"/>
  <c r="R34" i="1" l="1"/>
  <c r="T34" i="1" s="1"/>
  <c r="N34" i="1"/>
  <c r="O36" i="1"/>
  <c r="Q36" i="1" s="1"/>
  <c r="L36" i="1"/>
  <c r="N36" i="1" l="1"/>
  <c r="R36" i="1"/>
  <c r="T36" i="1" s="1"/>
  <c r="O31" i="1"/>
  <c r="Q31" i="1" s="1"/>
  <c r="L31" i="1"/>
  <c r="O33" i="1"/>
  <c r="L33" i="1"/>
  <c r="N31" i="1" l="1"/>
  <c r="R31" i="1"/>
  <c r="T31" i="1" s="1"/>
  <c r="R33" i="1"/>
  <c r="L39" i="1"/>
  <c r="N39" i="1" s="1"/>
  <c r="N33" i="1"/>
  <c r="Q33" i="1"/>
  <c r="O39" i="1"/>
  <c r="Q39" i="1" s="1"/>
  <c r="O29" i="1"/>
  <c r="Q29" i="1" s="1"/>
  <c r="L29" i="1"/>
  <c r="R39" i="1" l="1"/>
  <c r="T39" i="1" s="1"/>
  <c r="T33" i="1"/>
  <c r="R29" i="1"/>
  <c r="T29" i="1" s="1"/>
  <c r="N29" i="1"/>
  <c r="K35" i="1"/>
  <c r="K30" i="1"/>
  <c r="G37" i="1"/>
  <c r="G36" i="1"/>
  <c r="G35" i="1"/>
  <c r="H35" i="1" s="1"/>
  <c r="G34" i="1"/>
  <c r="G33" i="1"/>
  <c r="G32" i="1"/>
  <c r="G31" i="1"/>
  <c r="H31" i="1" s="1"/>
  <c r="G30" i="1"/>
  <c r="H30" i="1" s="1"/>
  <c r="G29" i="1"/>
  <c r="I49" i="1"/>
  <c r="K49" i="1" s="1"/>
  <c r="F49" i="1"/>
  <c r="H49" i="1" s="1"/>
  <c r="I45" i="1"/>
  <c r="K45" i="1" s="1"/>
  <c r="I44" i="1"/>
  <c r="K44" i="1" s="1"/>
  <c r="I43" i="1"/>
  <c r="K43" i="1" s="1"/>
  <c r="I42" i="1"/>
  <c r="F44" i="1"/>
  <c r="H44" i="1" s="1"/>
  <c r="F45" i="1"/>
  <c r="H45" i="1" s="1"/>
  <c r="F43" i="1"/>
  <c r="H43" i="1" s="1"/>
  <c r="F42" i="1"/>
  <c r="I37" i="1"/>
  <c r="K37" i="1" s="1"/>
  <c r="I29" i="1"/>
  <c r="K29" i="1" s="1"/>
  <c r="I36" i="1"/>
  <c r="K36" i="1" s="1"/>
  <c r="I32" i="1"/>
  <c r="K32" i="1" s="1"/>
  <c r="I31" i="1"/>
  <c r="K31" i="1" s="1"/>
  <c r="I34" i="1"/>
  <c r="K34" i="1" s="1"/>
  <c r="I33" i="1"/>
  <c r="F31" i="1"/>
  <c r="F37" i="1"/>
  <c r="F29" i="1"/>
  <c r="F36" i="1"/>
  <c r="F32" i="1"/>
  <c r="F34" i="1"/>
  <c r="F33" i="1"/>
  <c r="P26" i="1"/>
  <c r="J26" i="1"/>
  <c r="U25" i="1"/>
  <c r="U24" i="1"/>
  <c r="U23" i="1"/>
  <c r="U22" i="1"/>
  <c r="U26" i="1" s="1"/>
  <c r="M25" i="1"/>
  <c r="S25" i="1" s="1"/>
  <c r="M24" i="1"/>
  <c r="S24" i="1" s="1"/>
  <c r="M23" i="1"/>
  <c r="S23" i="1" s="1"/>
  <c r="M22" i="1"/>
  <c r="S22" i="1" s="1"/>
  <c r="O25" i="1"/>
  <c r="Q25" i="1" s="1"/>
  <c r="L25" i="1"/>
  <c r="R25" i="1" s="1"/>
  <c r="H36" i="1" l="1"/>
  <c r="F39" i="1"/>
  <c r="H29" i="1"/>
  <c r="H33" i="1"/>
  <c r="G39" i="1"/>
  <c r="H39" i="1" s="1"/>
  <c r="H37" i="1"/>
  <c r="F46" i="1"/>
  <c r="H42" i="1"/>
  <c r="I46" i="1"/>
  <c r="K42" i="1"/>
  <c r="K33" i="1"/>
  <c r="I39" i="1"/>
  <c r="K39" i="1" s="1"/>
  <c r="H32" i="1"/>
  <c r="H34" i="1"/>
  <c r="T25" i="1"/>
  <c r="S26" i="1"/>
  <c r="N25" i="1"/>
  <c r="M26" i="1"/>
  <c r="O24" i="1"/>
  <c r="Q24" i="1" s="1"/>
  <c r="L24" i="1"/>
  <c r="R24" i="1" s="1"/>
  <c r="T24" i="1" s="1"/>
  <c r="H46" i="1" l="1"/>
  <c r="K50" i="1"/>
  <c r="K46" i="1"/>
  <c r="N24" i="1"/>
  <c r="O23" i="1"/>
  <c r="Q23" i="1" s="1"/>
  <c r="L23" i="1"/>
  <c r="R23" i="1" l="1"/>
  <c r="T23" i="1" s="1"/>
  <c r="N23" i="1"/>
  <c r="O22" i="1"/>
  <c r="L22" i="1"/>
  <c r="R22" i="1" l="1"/>
  <c r="L26" i="1"/>
  <c r="N26" i="1" s="1"/>
  <c r="N22" i="1"/>
  <c r="O26" i="1"/>
  <c r="Q26" i="1" s="1"/>
  <c r="Q22" i="1"/>
  <c r="K25" i="1"/>
  <c r="K23" i="1"/>
  <c r="I24" i="1"/>
  <c r="K24" i="1" s="1"/>
  <c r="I23" i="1"/>
  <c r="I22" i="1"/>
  <c r="G25" i="1"/>
  <c r="H25" i="1" s="1"/>
  <c r="H22" i="1"/>
  <c r="G24" i="1"/>
  <c r="G23" i="1"/>
  <c r="G22" i="1"/>
  <c r="F24" i="1"/>
  <c r="F23" i="1"/>
  <c r="F22" i="1"/>
  <c r="P19" i="1"/>
  <c r="J19" i="1"/>
  <c r="U18" i="1"/>
  <c r="U17" i="1"/>
  <c r="U16" i="1"/>
  <c r="U15" i="1"/>
  <c r="U14" i="1"/>
  <c r="U13" i="1"/>
  <c r="M18" i="1"/>
  <c r="S18" i="1" s="1"/>
  <c r="M17" i="1"/>
  <c r="S17" i="1" s="1"/>
  <c r="M16" i="1"/>
  <c r="S16" i="1" s="1"/>
  <c r="M15" i="1"/>
  <c r="S15" i="1" s="1"/>
  <c r="M14" i="1"/>
  <c r="S14" i="1" s="1"/>
  <c r="M13" i="1"/>
  <c r="S13" i="1" s="1"/>
  <c r="O15" i="1"/>
  <c r="Q15" i="1" s="1"/>
  <c r="L15" i="1"/>
  <c r="N15" i="1" s="1"/>
  <c r="U19" i="1" l="1"/>
  <c r="H23" i="1"/>
  <c r="I26" i="1"/>
  <c r="K26" i="1" s="1"/>
  <c r="H24" i="1"/>
  <c r="R15" i="1"/>
  <c r="T15" i="1" s="1"/>
  <c r="G26" i="1"/>
  <c r="M19" i="1"/>
  <c r="F26" i="1"/>
  <c r="K22" i="1"/>
  <c r="R26" i="1"/>
  <c r="T26" i="1" s="1"/>
  <c r="T22" i="1"/>
  <c r="S19" i="1"/>
  <c r="O14" i="1"/>
  <c r="Q14" i="1" s="1"/>
  <c r="H26" i="1" l="1"/>
  <c r="O13" i="1"/>
  <c r="Q13" i="1" l="1"/>
  <c r="L14" i="1"/>
  <c r="R14" i="1" l="1"/>
  <c r="T14" i="1" s="1"/>
  <c r="N14" i="1"/>
  <c r="L13" i="1"/>
  <c r="R13" i="1" l="1"/>
  <c r="N13" i="1"/>
  <c r="G18" i="1"/>
  <c r="G17" i="1"/>
  <c r="G16" i="1"/>
  <c r="H16" i="1" s="1"/>
  <c r="G15" i="1"/>
  <c r="H15" i="1" s="1"/>
  <c r="G14" i="1"/>
  <c r="G13" i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I14" i="1"/>
  <c r="K14" i="1" s="1"/>
  <c r="I13" i="1"/>
  <c r="K13" i="1" s="1"/>
  <c r="F18" i="1"/>
  <c r="F17" i="1"/>
  <c r="F16" i="1"/>
  <c r="F15" i="1"/>
  <c r="F14" i="1"/>
  <c r="F13" i="1"/>
  <c r="F19" i="1" l="1"/>
  <c r="G19" i="1"/>
  <c r="H17" i="1"/>
  <c r="H14" i="1"/>
  <c r="H18" i="1"/>
  <c r="N16" i="1"/>
  <c r="O16" i="1" s="1"/>
  <c r="L19" i="1"/>
  <c r="N19" i="1" s="1"/>
  <c r="H19" i="1"/>
  <c r="I19" i="1"/>
  <c r="K19" i="1" s="1"/>
  <c r="H13" i="1"/>
  <c r="N18" i="1"/>
  <c r="O18" i="1" s="1"/>
  <c r="Q18" i="1" s="1"/>
  <c r="T13" i="1"/>
  <c r="N17" i="1"/>
  <c r="O17" i="1" s="1"/>
  <c r="Q17" i="1" s="1"/>
  <c r="J10" i="1"/>
  <c r="P10" i="1"/>
  <c r="U9" i="1"/>
  <c r="U8" i="1"/>
  <c r="U7" i="1"/>
  <c r="U6" i="1"/>
  <c r="U5" i="1"/>
  <c r="U4" i="1"/>
  <c r="M9" i="1"/>
  <c r="S9" i="1" s="1"/>
  <c r="M8" i="1"/>
  <c r="S8" i="1" s="1"/>
  <c r="M6" i="1"/>
  <c r="S6" i="1" s="1"/>
  <c r="M5" i="1"/>
  <c r="S5" i="1" s="1"/>
  <c r="M4" i="1"/>
  <c r="O9" i="1"/>
  <c r="Q9" i="1" s="1"/>
  <c r="L9" i="1"/>
  <c r="U10" i="1" l="1"/>
  <c r="R9" i="1"/>
  <c r="T9" i="1"/>
  <c r="N9" i="1"/>
  <c r="R17" i="1"/>
  <c r="T17" i="1" s="1"/>
  <c r="R18" i="1"/>
  <c r="T18" i="1" s="1"/>
  <c r="Q16" i="1"/>
  <c r="O19" i="1"/>
  <c r="Q19" i="1" s="1"/>
  <c r="M7" i="1"/>
  <c r="S7" i="1" s="1"/>
  <c r="S4" i="1"/>
  <c r="R16" i="1"/>
  <c r="O8" i="1"/>
  <c r="Q8" i="1" s="1"/>
  <c r="L8" i="1"/>
  <c r="T16" i="1" l="1"/>
  <c r="R19" i="1"/>
  <c r="T19" i="1" s="1"/>
  <c r="M10" i="1"/>
  <c r="S10" i="1"/>
  <c r="R8" i="1"/>
  <c r="T8" i="1" s="1"/>
  <c r="N8" i="1"/>
  <c r="O7" i="1"/>
  <c r="Q7" i="1" s="1"/>
  <c r="L7" i="1"/>
  <c r="N7" i="1" l="1"/>
  <c r="R7" i="1"/>
  <c r="T7" i="1" s="1"/>
  <c r="O6" i="1"/>
  <c r="Q6" i="1" s="1"/>
  <c r="L6" i="1"/>
  <c r="R6" i="1" l="1"/>
  <c r="T6" i="1" s="1"/>
  <c r="N6" i="1"/>
  <c r="O5" i="1"/>
  <c r="Q5" i="1" s="1"/>
  <c r="L5" i="1"/>
  <c r="R5" i="1" l="1"/>
  <c r="T5" i="1" s="1"/>
  <c r="N5" i="1"/>
  <c r="O4" i="1"/>
  <c r="L4" i="1"/>
  <c r="L10" i="1" l="1"/>
  <c r="N10" i="1" s="1"/>
  <c r="R4" i="1"/>
  <c r="N4" i="1"/>
  <c r="Q4" i="1"/>
  <c r="O10" i="1"/>
  <c r="Q10" i="1" s="1"/>
  <c r="I9" i="1"/>
  <c r="K9" i="1" s="1"/>
  <c r="I8" i="1"/>
  <c r="I6" i="1"/>
  <c r="K6" i="1" s="1"/>
  <c r="I5" i="1"/>
  <c r="K5" i="1" s="1"/>
  <c r="I4" i="1"/>
  <c r="K4" i="1" s="1"/>
  <c r="F9" i="1"/>
  <c r="F8" i="1"/>
  <c r="F6" i="1"/>
  <c r="F5" i="1"/>
  <c r="H4" i="1"/>
  <c r="G9" i="1"/>
  <c r="G8" i="1"/>
  <c r="G7" i="1" s="1"/>
  <c r="G6" i="1"/>
  <c r="H6" i="1" s="1"/>
  <c r="G5" i="1"/>
  <c r="H5" i="1" l="1"/>
  <c r="H9" i="1"/>
  <c r="G10" i="1"/>
  <c r="H8" i="1"/>
  <c r="F7" i="1"/>
  <c r="F10" i="1" s="1"/>
  <c r="I7" i="1"/>
  <c r="K8" i="1"/>
  <c r="R10" i="1"/>
  <c r="T10" i="1" s="1"/>
  <c r="T4" i="1"/>
  <c r="H7" i="1"/>
  <c r="D5" i="2" l="1"/>
  <c r="D11" i="2" s="1"/>
  <c r="G52" i="1"/>
  <c r="C5" i="2"/>
  <c r="F52" i="1"/>
  <c r="H52" i="1" s="1"/>
  <c r="H10" i="1"/>
  <c r="I10" i="1"/>
  <c r="K10" i="1" s="1"/>
  <c r="K7" i="1"/>
  <c r="C11" i="2" l="1"/>
  <c r="E11" i="2" s="1"/>
  <c r="E5" i="2"/>
</calcChain>
</file>

<file path=xl/sharedStrings.xml><?xml version="1.0" encoding="utf-8"?>
<sst xmlns="http://schemas.openxmlformats.org/spreadsheetml/2006/main" count="1001" uniqueCount="140">
  <si>
    <t>VIEW 1 — INDIVIDUAL CONTRIBUTION   |   Booking (Revenue)   |   H1 &amp; Annual</t>
  </si>
  <si>
    <t>#</t>
  </si>
  <si>
    <t>Employee Name</t>
  </si>
  <si>
    <t>Division</t>
  </si>
  <si>
    <t>FY</t>
  </si>
  <si>
    <t>Type / Notes</t>
  </si>
  <si>
    <t>Q1 Quota
(₹ Cr)</t>
  </si>
  <si>
    <t>Q1 Actuals
(₹ Cr)</t>
  </si>
  <si>
    <t>Attainment %
(Q1)</t>
  </si>
  <si>
    <t>Q2 Quota
(₹ Cr)</t>
  </si>
  <si>
    <t>Q2 Actuals
(₹ Cr)</t>
  </si>
  <si>
    <t>Attainment %
(Q2)</t>
  </si>
  <si>
    <t>H1 Quota
(₹ Cr)</t>
  </si>
  <si>
    <t>H1 Actuals
(₹ Cr)</t>
  </si>
  <si>
    <t>Attainment %
(H1)</t>
  </si>
  <si>
    <t>H2 Quota
(₹ Cr)</t>
  </si>
  <si>
    <t>H2 Actuals
(₹ Cr)</t>
  </si>
  <si>
    <t>Attainment %
(H2)</t>
  </si>
  <si>
    <t>Annual Quota
(₹ Cr)</t>
  </si>
  <si>
    <t>Annual Actuals
(₹ Cr)</t>
  </si>
  <si>
    <t>Attainment %
(Annual)</t>
  </si>
  <si>
    <t># Deals
(Total)</t>
  </si>
  <si>
    <t>Led-By Deals
(count)</t>
  </si>
  <si>
    <t>Led-By Rev
(₹ Cr)</t>
  </si>
  <si>
    <t>Contributed
Deals (count)</t>
  </si>
  <si>
    <t>Contributed
Rev (₹ Cr)</t>
  </si>
  <si>
    <t>Rank
(Div.)</t>
  </si>
  <si>
    <t xml:space="preserve">  S1 Division</t>
  </si>
  <si>
    <t>Tasneem K</t>
  </si>
  <si>
    <t>S1</t>
  </si>
  <si>
    <t>FY 25-26</t>
  </si>
  <si>
    <t>IC</t>
  </si>
  <si>
    <t>-</t>
  </si>
  <si>
    <t>Riya Bhatt</t>
  </si>
  <si>
    <t>Pratik Kadam</t>
  </si>
  <si>
    <t>Prashant Ddugu</t>
  </si>
  <si>
    <t>TL</t>
  </si>
  <si>
    <t>Chirag Palande</t>
  </si>
  <si>
    <t>Richa Tiwari</t>
  </si>
  <si>
    <t>IC Subtotal — S1</t>
  </si>
  <si>
    <t xml:space="preserve">  S2 Division</t>
  </si>
  <si>
    <t>Rohit Deshmukh</t>
  </si>
  <si>
    <t>S2</t>
  </si>
  <si>
    <t>Chetna Sharma</t>
  </si>
  <si>
    <t>Sankeerth Bhargav</t>
  </si>
  <si>
    <t>TBH (Varsha)</t>
  </si>
  <si>
    <t>TBH (Arpit)</t>
  </si>
  <si>
    <t>TBH (Dennis)</t>
  </si>
  <si>
    <t>IC Subtotal — S2</t>
  </si>
  <si>
    <t xml:space="preserve">  CB Division</t>
  </si>
  <si>
    <t>Prachi Mayekar</t>
  </si>
  <si>
    <t>CB</t>
  </si>
  <si>
    <t>FY 26-27</t>
  </si>
  <si>
    <t>Shilpa Kavde</t>
  </si>
  <si>
    <t>Vidula Chawan</t>
  </si>
  <si>
    <t>Jimesh Shah</t>
  </si>
  <si>
    <t>IC Subtotal — CB</t>
  </si>
  <si>
    <t xml:space="preserve">  GB Division</t>
  </si>
  <si>
    <t>Ashish Singh</t>
  </si>
  <si>
    <t>GB</t>
  </si>
  <si>
    <t>IC, Cloud</t>
  </si>
  <si>
    <t>Rima Kamalakar Ingle</t>
  </si>
  <si>
    <t>Ayushman Singh</t>
  </si>
  <si>
    <t>IC, Cyber security</t>
  </si>
  <si>
    <t>Shubhangi Srinivasan</t>
  </si>
  <si>
    <t>Atharva Karpe</t>
  </si>
  <si>
    <t>Jay Rushi</t>
  </si>
  <si>
    <t>Sana Rashid Bhatkar</t>
  </si>
  <si>
    <t>Bhumi Karelia</t>
  </si>
  <si>
    <t>Rizwana Khan</t>
  </si>
  <si>
    <t>Suvesh Malakar</t>
  </si>
  <si>
    <t>IC Subtotal — GB</t>
  </si>
  <si>
    <t xml:space="preserve">  South Division</t>
  </si>
  <si>
    <t>Abrar Memon</t>
  </si>
  <si>
    <t>South</t>
  </si>
  <si>
    <t>Sagar TR</t>
  </si>
  <si>
    <t>Shahbaz Khan</t>
  </si>
  <si>
    <t>Shaik Khadhar</t>
  </si>
  <si>
    <t>IC Subtotal — South</t>
  </si>
  <si>
    <t>Geo Expansion</t>
  </si>
  <si>
    <t>Hrushikesh Bagade</t>
  </si>
  <si>
    <t>GeoX</t>
  </si>
  <si>
    <t>Bottomline</t>
  </si>
  <si>
    <t>IC Subtotal — Geo X</t>
  </si>
  <si>
    <t>GRAND TOTAL — All IC (Revenue, excl. GeoX BL)</t>
  </si>
  <si>
    <t>VIEW 2 | LEADER'S CONTRIBUTION   |   Booking (Revenue)   |   H1 &amp; Annual</t>
  </si>
  <si>
    <t>Ajay Patodia</t>
  </si>
  <si>
    <t>DCG</t>
  </si>
  <si>
    <t>Head</t>
  </si>
  <si>
    <t>Dipti  Karpe</t>
  </si>
  <si>
    <t>AVP</t>
  </si>
  <si>
    <t>Ishwari Santosh Kadam</t>
  </si>
  <si>
    <t>Vineet Gadia</t>
  </si>
  <si>
    <t>Sanjeev Kohli</t>
  </si>
  <si>
    <t>GEO X</t>
  </si>
  <si>
    <t>Yogesh Bhatia</t>
  </si>
  <si>
    <t>Jitesh Rajput</t>
  </si>
  <si>
    <t>CLOUD</t>
  </si>
  <si>
    <t>Rocky Braganza</t>
  </si>
  <si>
    <t xml:space="preserve">CSN </t>
  </si>
  <si>
    <t>VIEW 2 — SUMMARY OUTLOOK   |   BU Roll-up   |   Revenue + Bottomline (BL)   |   H1 &amp; Annual</t>
  </si>
  <si>
    <t>Level / Name</t>
  </si>
  <si>
    <t>Q1 — Revenue (₹ Cr)</t>
  </si>
  <si>
    <t>Q1 — Bottomline (₹ Cr)</t>
  </si>
  <si>
    <t>Q2 — Revenue (₹ Cr)</t>
  </si>
  <si>
    <t>Q2 — Bottomline (₹ Cr)</t>
  </si>
  <si>
    <t>H1 — Revenue (₹ Cr)</t>
  </si>
  <si>
    <t>H1 — Bottomline (₹ Cr)</t>
  </si>
  <si>
    <t>H1 # Deals</t>
  </si>
  <si>
    <t>H2 — Revenue (₹ Cr)</t>
  </si>
  <si>
    <t>H2 — Bottomline (₹ Cr)</t>
  </si>
  <si>
    <t>H2 # Deals</t>
  </si>
  <si>
    <t>Annual — Revenue (₹ Cr)</t>
  </si>
  <si>
    <t>Annual — Bottomline (₹ Cr)</t>
  </si>
  <si>
    <t>Ann # Deals</t>
  </si>
  <si>
    <t>Level</t>
  </si>
  <si>
    <t>Div.</t>
  </si>
  <si>
    <t>Quota</t>
  </si>
  <si>
    <t>Actuals</t>
  </si>
  <si>
    <t>Att%</t>
  </si>
  <si>
    <t>Count</t>
  </si>
  <si>
    <t xml:space="preserve"> RTM Division Level</t>
  </si>
  <si>
    <t>S1 Division Total</t>
  </si>
  <si>
    <t>S2 Division Total</t>
  </si>
  <si>
    <t>CB Division Total</t>
  </si>
  <si>
    <t>GB Division Total</t>
  </si>
  <si>
    <t>South Division Total</t>
  </si>
  <si>
    <t>Geo Expansion Division</t>
  </si>
  <si>
    <t>Geo X</t>
  </si>
  <si>
    <t>COMPANY TOTAL (Revenue IC, excl. GeoX BL)</t>
  </si>
  <si>
    <t>VIEW 5 — RTM CONTRIBUTION | DCG  |   Booking (Revenue)   |   H1 &amp; Annual</t>
  </si>
  <si>
    <t>RTM Name</t>
  </si>
  <si>
    <t>Attainment
 %
(Q1)</t>
  </si>
  <si>
    <t>Attainment 
%
(Q2)</t>
  </si>
  <si>
    <t>GeoX Division Total</t>
  </si>
  <si>
    <t>RTM Total</t>
  </si>
  <si>
    <t>VIEW 6 — RTM CONTRIBUTION | CSN  |   Booking (Revenue)   |   H1 &amp; Annual</t>
  </si>
  <si>
    <t>VIEW 7 — RTM CONTRIBUTION | PS  |   Booking (Revenue)   |   H1 &amp; Annual</t>
  </si>
  <si>
    <t>VIEW 8 — RTM CONTRIBUTION | CSG  |   Booking (Revenue)   |   H1 &amp; Annual</t>
  </si>
  <si>
    <t>VIEW 9 — RTM CONTRIBUTION | CLOUD  |   Booking (Revenue)   |   H1 &amp;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</si>
</sst>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0"/>
      <color rgb="FF2E5FA3"/>
      <name val="Arial"/>
      <family val="2"/>
    </font>
    <font>
      <i/>
      <sz val="10"/>
      <color rgb="FF5A6272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b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1D787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2F4F7"/>
      </patternFill>
    </fill>
    <fill>
      <patternFill patternType="solid">
        <fgColor rgb="FF1D7874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8ECF1"/>
      </patternFill>
    </fill>
    <fill>
      <patternFill patternType="solid">
        <fgColor theme="3" tint="9.9978637043366805E-2"/>
        <bgColor rgb="FF333333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rgb="FFF2F4F7"/>
      </patternFill>
    </fill>
    <fill>
      <patternFill patternType="solid">
        <fgColor theme="3" tint="9.9978637043366805E-2"/>
        <bgColor rgb="FFD4EDEA"/>
      </patternFill>
    </fill>
  </fills>
  <borders count="17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>
      <left style="thin">
        <color rgb="FFCBD0D8"/>
      </left>
      <right style="thin">
        <color rgb="FFCBD0D8"/>
      </right>
      <top style="thin">
        <color rgb="FFCBD0D8"/>
      </top>
      <bottom style="thin">
        <color rgb="FFCBD0D8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2E5FA3"/>
      </left>
      <right/>
      <top style="thin">
        <color rgb="FF1D7874"/>
      </top>
      <bottom style="thin">
        <color rgb="FF1D7874"/>
      </bottom>
      <diagonal/>
    </border>
    <border>
      <left/>
      <right/>
      <top style="thin">
        <color rgb="FF1D7874"/>
      </top>
      <bottom style="thin">
        <color rgb="FF1D7874"/>
      </bottom>
      <diagonal/>
    </border>
    <border>
      <left/>
      <right style="thin">
        <color rgb="FF1F3864"/>
      </right>
      <top style="thin">
        <color rgb="FF1D7874"/>
      </top>
      <bottom style="thin">
        <color rgb="FF1D7874"/>
      </bottom>
      <diagonal/>
    </border>
    <border>
      <left style="thin">
        <color rgb="FF2E5FA3"/>
      </left>
      <right/>
      <top style="thin">
        <color rgb="FF2E5FA3"/>
      </top>
      <bottom style="thin">
        <color rgb="FF2E5FA3"/>
      </bottom>
      <diagonal/>
    </border>
    <border>
      <left/>
      <right/>
      <top style="thin">
        <color rgb="FF2E5FA3"/>
      </top>
      <bottom style="thin">
        <color rgb="FF2E5FA3"/>
      </bottom>
      <diagonal/>
    </border>
    <border>
      <left/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1D7874"/>
      </left>
      <right style="thin">
        <color rgb="FF1D7874"/>
      </right>
      <top style="thin">
        <color rgb="FF1D7874"/>
      </top>
      <bottom style="thin">
        <color rgb="FF1D7874"/>
      </bottom>
      <diagonal/>
    </border>
    <border>
      <left style="medium">
        <color rgb="FFB8860B"/>
      </left>
      <right/>
      <top/>
      <bottom/>
      <diagonal/>
    </border>
    <border>
      <left style="thin">
        <color rgb="FFCBD0D8"/>
      </left>
      <right style="thin">
        <color rgb="FFCBD0D8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0" fillId="8" borderId="0" xfId="0" applyFill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4" fontId="0" fillId="0" borderId="0" xfId="0" applyNumberFormat="1"/>
    <xf numFmtId="4" fontId="9" fillId="0" borderId="3" xfId="0" applyNumberFormat="1" applyFont="1" applyBorder="1" applyAlignment="1">
      <alignment horizontal="right" vertical="center"/>
    </xf>
    <xf numFmtId="4" fontId="13" fillId="0" borderId="3" xfId="0" applyNumberFormat="1" applyFont="1" applyBorder="1" applyAlignment="1">
      <alignment horizontal="right" vertical="center"/>
    </xf>
    <xf numFmtId="9" fontId="0" fillId="0" borderId="0" xfId="1" applyFont="1" applyAlignment="1">
      <alignment horizontal="right"/>
    </xf>
    <xf numFmtId="4" fontId="0" fillId="0" borderId="0" xfId="0" applyNumberFormat="1" applyAlignment="1">
      <alignment horizontal="right"/>
    </xf>
    <xf numFmtId="4" fontId="9" fillId="9" borderId="3" xfId="0" applyNumberFormat="1" applyFont="1" applyFill="1" applyBorder="1" applyAlignment="1">
      <alignment horizontal="right" vertical="center"/>
    </xf>
    <xf numFmtId="4" fontId="13" fillId="8" borderId="3" xfId="0" applyNumberFormat="1" applyFont="1" applyFill="1" applyBorder="1" applyAlignment="1">
      <alignment horizontal="right" vertical="center"/>
    </xf>
    <xf numFmtId="9" fontId="0" fillId="8" borderId="0" xfId="1" applyFont="1" applyFill="1" applyAlignment="1">
      <alignment horizontal="right"/>
    </xf>
    <xf numFmtId="4" fontId="0" fillId="8" borderId="0" xfId="0" applyNumberFormat="1" applyFill="1" applyAlignment="1">
      <alignment horizontal="right"/>
    </xf>
    <xf numFmtId="9" fontId="0" fillId="0" borderId="0" xfId="1" applyFont="1" applyFill="1" applyAlignment="1">
      <alignment horizontal="right"/>
    </xf>
    <xf numFmtId="4" fontId="9" fillId="8" borderId="3" xfId="0" applyNumberFormat="1" applyFont="1" applyFill="1" applyBorder="1" applyAlignment="1">
      <alignment horizontal="right" vertical="center"/>
    </xf>
    <xf numFmtId="4" fontId="11" fillId="11" borderId="0" xfId="0" applyNumberFormat="1" applyFont="1" applyFill="1"/>
    <xf numFmtId="9" fontId="11" fillId="11" borderId="0" xfId="1" applyFont="1" applyFill="1" applyAlignment="1">
      <alignment horizontal="right"/>
    </xf>
    <xf numFmtId="3" fontId="11" fillId="11" borderId="0" xfId="0" applyNumberFormat="1" applyFont="1" applyFill="1"/>
    <xf numFmtId="0" fontId="12" fillId="0" borderId="0" xfId="0" applyFont="1"/>
    <xf numFmtId="0" fontId="12" fillId="4" borderId="0" xfId="0" applyFont="1" applyFill="1"/>
    <xf numFmtId="4" fontId="12" fillId="4" borderId="0" xfId="0" applyNumberFormat="1" applyFont="1" applyFill="1" applyAlignment="1">
      <alignment horizontal="right"/>
    </xf>
    <xf numFmtId="9" fontId="12" fillId="4" borderId="0" xfId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14" fillId="12" borderId="3" xfId="0" applyFont="1" applyFill="1" applyBorder="1" applyAlignment="1">
      <alignment horizontal="left" vertical="center"/>
    </xf>
    <xf numFmtId="0" fontId="11" fillId="11" borderId="0" xfId="0" applyFont="1" applyFill="1"/>
    <xf numFmtId="2" fontId="11" fillId="11" borderId="0" xfId="0" applyNumberFormat="1" applyFont="1" applyFill="1"/>
    <xf numFmtId="0" fontId="14" fillId="13" borderId="3" xfId="0" applyFont="1" applyFill="1" applyBorder="1" applyAlignment="1">
      <alignment horizontal="left" vertical="center"/>
    </xf>
    <xf numFmtId="9" fontId="11" fillId="11" borderId="0" xfId="1" applyFont="1" applyFill="1"/>
    <xf numFmtId="0" fontId="1" fillId="2" borderId="0" xfId="0" applyFont="1" applyFill="1" applyAlignment="1">
      <alignment horizontal="left" vertical="center"/>
    </xf>
    <xf numFmtId="0" fontId="14" fillId="10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Opportunity%20Pipeline%20Q1.xlsx" TargetMode="External"/><Relationship Id="rId1" Type="http://schemas.openxmlformats.org/officeDocument/2006/relationships/externalLinkPath" Target="Opportunity%20Pipeline%20Q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Business%20Plan%20Final%20Ver%201.6.xlsx" TargetMode="External"/><Relationship Id="rId1" Type="http://schemas.openxmlformats.org/officeDocument/2006/relationships/externalLinkPath" Target="Business%20Plan%20Final%20Ver%201.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Tasneem%20-%20Target%20Letter%20-%20FY%2026-27%20(H1%20%20H2)%20ver%201.1-%20Final..xlsx" TargetMode="External"/><Relationship Id="rId1" Type="http://schemas.openxmlformats.org/officeDocument/2006/relationships/externalLinkPath" Target="Strategic%20-%201/Tasneem%20-%20Target%20Letter%20-%20FY%2026-27%20(H1%20%20H2)%20ver%201.1-%20Final.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YA%20-%20Target%20Letter%20-%20FY%2026-27%20(H1%20%20H2)%20ver%201.1-%20Final..xlsx" TargetMode="External"/><Relationship Id="rId1" Type="http://schemas.openxmlformats.org/officeDocument/2006/relationships/externalLinkPath" Target="Strategic%20-%201/RIYA%20-%20Target%20Letter%20-%20FY%2026-27%20(H1%20%20H2)%20ver%201.1-%20Final.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tik-%20Target%20Letter%20-%20FY%2026-27%20(H1%20%20H2)%20ver%201.1-%20Final..xlsx" TargetMode="External"/><Relationship Id="rId1" Type="http://schemas.openxmlformats.org/officeDocument/2006/relationships/externalLinkPath" Target="Strategic%20-%201/Pratik-%20Target%20Letter%20-%20FY%2026-27%20(H1%20%20H2)%20ver%201.1-%20Final.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shant%20-%20Target%20Letter%20-%20FY%2026-27%20(H1%20%20H2)%20ver%201.1-%20Final.xlsx" TargetMode="External"/><Relationship Id="rId1" Type="http://schemas.openxmlformats.org/officeDocument/2006/relationships/externalLinkPath" Target="Strategic%20-%201/Prashant%20-%20Target%20Letter%20-%20FY%2026-27%20(H1%20%20H2)%20ver%201.1-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Chirag-%20Target%20Letter%20-%20FY%2026-27%20(H1%20%20H2)%20ver%201.1-%20Final.xlsx" TargetMode="External"/><Relationship Id="rId1" Type="http://schemas.openxmlformats.org/officeDocument/2006/relationships/externalLinkPath" Target="Strategic%20-%201/Chirag-%20Target%20Letter%20-%20FY%2026-27%20(H1%20%20H2)%20ver%201.1-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CHA%20-%20Target%20Letter%20-%20FY%2026-27%20(H1%20%20H2)%20ver%201.1-%20Final..xlsx" TargetMode="External"/><Relationship Id="rId1" Type="http://schemas.openxmlformats.org/officeDocument/2006/relationships/externalLinkPath" Target="Strategic%20-%201/RICHA%20-%20Target%20Letter%20-%20FY%2026-27%20(H1%20%20H2)%20ver%201.1-%20Final.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Rohit-%20Target%20Letter%20-%20FY%2026-27%20(H1%20%20H2)%20ver%201.1-%20Final..xlsx" TargetMode="External"/><Relationship Id="rId1" Type="http://schemas.openxmlformats.org/officeDocument/2006/relationships/externalLinkPath" Target="Strategic%202/Rohit-%20Target%20Letter%20-%20FY%2026-27%20(H1%20%20H2)%20ver%201.1-%20Final.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Chetna-%20Target%20Letter%20-%20FY%2026-27%20(H1%20%20H2)%20ver%201.1-%20Final..xlsx" TargetMode="External"/><Relationship Id="rId1" Type="http://schemas.openxmlformats.org/officeDocument/2006/relationships/externalLinkPath" Target="Strategic%202/Chetna-%20Target%20Letter%20-%20FY%2026-27%20(H1%20%20H2)%20ver%201.1-%20Final.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Sankeerth-%20Target%20Letter%20-%20FY%2026-27%20(H1%20%20H2)%20ver%201.1-%20Final..xlsx" TargetMode="External"/><Relationship Id="rId1" Type="http://schemas.openxmlformats.org/officeDocument/2006/relationships/externalLinkPath" Target="Strategic%202/Sankeerth-%20Target%20Letter%20-%20FY%2026-27%20(H1%20%20H2)%20ver%201.1-%20Final.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Prachi-%20Commercial%20-%20Target%20Letter%20-%20FY%2026-27%20(H1%20%20H2)%20ver%202%20final.xlsx" TargetMode="External"/><Relationship Id="rId1" Type="http://schemas.openxmlformats.org/officeDocument/2006/relationships/externalLinkPath" Target="Commercial/Prachi-%20Commercial%20-%20Target%20Letter%20-%20FY%2026-27%20(H1%20%20H2)%20ver%202%20fina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Shilpa-%20Commercial%20-Target%20Letter%20-%20FY%2026-27%20(H1%20%20H2)%20ver%202-%20Final.xlsx" TargetMode="External"/><Relationship Id="rId1" Type="http://schemas.openxmlformats.org/officeDocument/2006/relationships/externalLinkPath" Target="Commercial/Shilpa-%20Commercial%20-Target%20Letter%20-%20FY%2026-27%20(H1%20%20H2)%20ver%202-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Vidula%20-%20Commercial%20-Target%20Letter%20-%20FY%2026-27%20(H1%20%20H2)%20ver%202-%20Final.xlsx" TargetMode="External"/><Relationship Id="rId1" Type="http://schemas.openxmlformats.org/officeDocument/2006/relationships/externalLinkPath" Target="Commercial/Vidula%20-%20Commercial%20-Target%20Letter%20-%20FY%2026-27%20(H1%20%20H2)%20ver%202-%20Fina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Jimesh%20-%20Commercial%20-%20Target%20Letter%20-%20FY%2026-27%20(H1%20%20H2)%20ver%202%20Final.xlsx" TargetMode="External"/><Relationship Id="rId1" Type="http://schemas.openxmlformats.org/officeDocument/2006/relationships/externalLinkPath" Target="Commercial/Jimesh%20-%20Commercial%20-%20Target%20Letter%20-%20FY%2026-27%20(H1%20%20H2)%20ver%202%20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shish%20Singh-%20Growth-%20Target%20Letter%20-%20FY%2026-27%20(H1%20%20H2)%20ver%202%20final.xlsx" TargetMode="External"/><Relationship Id="rId1" Type="http://schemas.openxmlformats.org/officeDocument/2006/relationships/externalLinkPath" Target="Growth%20Business/Ashish%20Singh-%20Growth-%20Target%20Letter%20-%20FY%2026-27%20(H1%20%20H2)%20ver%202%20fina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ma%20Ingle-%20Growth-%20Target%20Letter%20-%20FY%2026-27%20(H1%20%20H2)%20ver%202%20final.xlsx" TargetMode="External"/><Relationship Id="rId1" Type="http://schemas.openxmlformats.org/officeDocument/2006/relationships/externalLinkPath" Target="Growth%20Business/Rima%20Ingle-%20Growth-%20Target%20Letter%20-%20FY%2026-27%20(H1%20%20H2)%20ver%202%20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yushman%20-%20Growth-%20Target%20Letter%20-%20FY%2026-27%20(H1%20%20H2)%20ver%202%20final.xlsx" TargetMode="External"/><Relationship Id="rId1" Type="http://schemas.openxmlformats.org/officeDocument/2006/relationships/externalLinkPath" Target="Growth%20Business/Ayushman%20-%20Growth-%20Target%20Letter%20-%20FY%2026-27%20(H1%20%20H2)%20ver%202%20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dharshini_b_techpay_ai/Documents/Galaxy%20Target%20Letter/Growth%20Business/Shubhangi%20Srinivasan%20-%20Growth-%20Target%20Letter%20-%20FY%2026-27%20(H1%20%20H2)%20ver%202%20final.xlsx" TargetMode="External"/><Relationship Id="rId1" Type="http://schemas.microsoft.com/office/2019/04/relationships/externalLinkLongPath" Target="Growth%20Business/Shubhangi%20Srinivasan%20-%20Growth-%20Target%20Letter%20-%20FY%2026-27%20(H1%20%20H2)%20ver%202%20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tharva%20Karpe%20-%20Growth-%20Target%20Letter%20-%20FY%2026-27%20(H1%20%20H2)%20ver%202%20final.xlsx" TargetMode="External"/><Relationship Id="rId1" Type="http://schemas.openxmlformats.org/officeDocument/2006/relationships/externalLinkPath" Target="Growth%20Business/Atharva%20Karpe%20-%20Growth-%20Target%20Letter%20-%20FY%2026-27%20(H1%20%20H2)%20ver%202%20f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Jay%20Rushi-%20Growth-%20Target%20Letter%20-%20FY%2026-27%20(H1%20%20H2)%20ver%202%20final.xlsx" TargetMode="External"/><Relationship Id="rId1" Type="http://schemas.openxmlformats.org/officeDocument/2006/relationships/externalLinkPath" Target="Growth%20Business/Jay%20Rushi-%20Growth-%20Target%20Letter%20-%20FY%2026-27%20(H1%20%20H2)%20ver%202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ana%20Bhatkar-%20Growth-%20Target%20Letter%20-%20FY%2026-27%20(H1%20%20H2)%20ver%202%20final.xlsx" TargetMode="External"/><Relationship Id="rId1" Type="http://schemas.openxmlformats.org/officeDocument/2006/relationships/externalLinkPath" Target="Growth%20Business/Sana%20Bhatkar-%20Growth-%20Target%20Letter%20-%20FY%2026-27%20(H1%20%20H2)%20ver%202%20fina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Bhumi%20Karelia-%20Growth-%20Target%20Letter%20-%20FY%2026-27%20(H1%20%20H2)%20ver%202%20final.xlsx" TargetMode="External"/><Relationship Id="rId1" Type="http://schemas.openxmlformats.org/officeDocument/2006/relationships/externalLinkPath" Target="Growth%20Business/Bhumi%20Karelia-%20Growth-%20Target%20Letter%20-%20FY%2026-27%20(H1%20%20H2)%20ver%202%20fin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zwana%20Khan-%20Growth-%20Target%20Letter%20-%20FY%2026-27%20(H1%20%20H2)%20ver%202%20final.xlsx" TargetMode="External"/><Relationship Id="rId1" Type="http://schemas.openxmlformats.org/officeDocument/2006/relationships/externalLinkPath" Target="Growth%20Business/Rizwana%20Khan-%20Growth-%20Target%20Letter%20-%20FY%2026-27%20(H1%20%20H2)%20ver%202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uvesh%20Malkar-%20Growth-%20Target%20Letter%20-%20FY%2026-27%20(H1%20%20H2)%20ver%202%20final.xlsx" TargetMode="External"/><Relationship Id="rId1" Type="http://schemas.openxmlformats.org/officeDocument/2006/relationships/externalLinkPath" Target="Growth%20Business/Suvesh%20Malkar-%20Growth-%20Target%20Letter%20-%20FY%2026-27%20(H1%20%20H2)%20ver%202%20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Abrar%20Menon-%20South-Target%20Letter%20-%20FY%2026-27%20(H1%20%20H2)%20ver%202-%20Final.xlsx" TargetMode="External"/><Relationship Id="rId1" Type="http://schemas.openxmlformats.org/officeDocument/2006/relationships/externalLinkPath" Target="DCG-%20South%20Sales/Abrar%20Menon-%20South-Target%20Letter%20-%20FY%2026-27%20(H1%20%20H2)%20ver%202-%20Final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agar%20TR-%20South-Target%20Letter%20-%20FY%2026-27%20(H1%20%20H2)%20ver%202-%20Final.xlsx" TargetMode="External"/><Relationship Id="rId1" Type="http://schemas.openxmlformats.org/officeDocument/2006/relationships/externalLinkPath" Target="DCG-%20South%20Sales/Sagar%20TR-%20South-Target%20Letter%20-%20FY%2026-27%20(H1%20%20H2)%20ver%202-%20Final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hahbaz%20Khan-%20South-Target%20Letter%20-%20FY%2026-27%20(H1%20%20H2)%20ver%202-%20Final.xlsx" TargetMode="External"/><Relationship Id="rId1" Type="http://schemas.openxmlformats.org/officeDocument/2006/relationships/externalLinkPath" Target="DCG-%20South%20Sales/Shahbaz%20Khan-%20South-Target%20Letter%20-%20FY%2026-27%20(H1%20%20H2)%20ver%202-%20Final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%20A%20Khadhar%20Basha-%20South-Target%20Letter%20-%20FY%2026-27%20(H1%20%20H2)%20ver%202-%20Final.xlsx" TargetMode="External"/><Relationship Id="rId1" Type="http://schemas.openxmlformats.org/officeDocument/2006/relationships/externalLinkPath" Target="DCG-%20South%20Sales/S%20A%20Khadhar%20Basha-%20South-Target%20Letter%20-%20FY%2026-27%20(H1%20%20H2)%20ver%202-%20Final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EO%20Expansion/Hrushikesh%20-GEO-%20Target%20Letter%20-%20FY%2026-27%20(H1%20%20H2)%20ver%201%20-%20Final.xlsx" TargetMode="External"/><Relationship Id="rId1" Type="http://schemas.openxmlformats.org/officeDocument/2006/relationships/externalLinkPath" Target="GEO%20Expansion/Hrushikesh%20-GEO-%20Target%20Letter%20-%20FY%2026-27%20(H1%20%20H2)%20ver%201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Sheet1"/>
      <sheetName val="Opportunity Pipeline"/>
    </sheetNames>
    <sheetDataSet>
      <sheetData sheetId="0" refreshError="1"/>
      <sheetData sheetId="1" refreshError="1"/>
      <sheetData sheetId="2">
        <row r="1">
          <cell r="F1" t="str">
            <v>Opportunity Led By</v>
          </cell>
          <cell r="K1" t="str">
            <v>Category</v>
          </cell>
          <cell r="O1" t="str">
            <v>Amount</v>
          </cell>
          <cell r="Z1" t="str">
            <v>Division</v>
          </cell>
        </row>
        <row r="2">
          <cell r="F2" t="str">
            <v>Abrar Memon</v>
          </cell>
          <cell r="K2" t="str">
            <v>CSG (EndPoint)</v>
          </cell>
          <cell r="O2">
            <v>16380</v>
          </cell>
          <cell r="Z2" t="str">
            <v>South</v>
          </cell>
        </row>
        <row r="3">
          <cell r="F3" t="str">
            <v>Abrar Memon</v>
          </cell>
          <cell r="K3" t="str">
            <v>CSG (EndPoint)</v>
          </cell>
          <cell r="O3">
            <v>4100</v>
          </cell>
          <cell r="Z3" t="str">
            <v>South</v>
          </cell>
        </row>
        <row r="4">
          <cell r="F4" t="str">
            <v>Abrar Memon</v>
          </cell>
          <cell r="K4" t="str">
            <v>CSG (EndPoint)</v>
          </cell>
          <cell r="O4">
            <v>263090.89</v>
          </cell>
          <cell r="Z4" t="str">
            <v>South</v>
          </cell>
        </row>
        <row r="5">
          <cell r="F5" t="str">
            <v>Ajay Patodia</v>
          </cell>
          <cell r="K5" t="str">
            <v>Data Centre</v>
          </cell>
          <cell r="O5">
            <v>27839236</v>
          </cell>
          <cell r="Z5" t="str">
            <v>Bottomline</v>
          </cell>
        </row>
        <row r="6">
          <cell r="F6" t="str">
            <v>Ajay Patodia</v>
          </cell>
          <cell r="K6" t="str">
            <v>Data Centre</v>
          </cell>
          <cell r="O6">
            <v>1555020</v>
          </cell>
          <cell r="Z6" t="str">
            <v>Bottomline</v>
          </cell>
        </row>
        <row r="7">
          <cell r="F7" t="str">
            <v>Ajay Patodia</v>
          </cell>
          <cell r="K7" t="str">
            <v>Data Centre</v>
          </cell>
          <cell r="O7">
            <v>450000</v>
          </cell>
          <cell r="Z7" t="str">
            <v>Bottomline</v>
          </cell>
        </row>
        <row r="8">
          <cell r="F8" t="str">
            <v>Ajay Patodia</v>
          </cell>
          <cell r="K8" t="str">
            <v>Data Centre</v>
          </cell>
          <cell r="O8">
            <v>3592913.74</v>
          </cell>
          <cell r="Z8" t="str">
            <v>Bottomline</v>
          </cell>
        </row>
        <row r="9">
          <cell r="F9" t="str">
            <v>Ajay Patodia</v>
          </cell>
          <cell r="K9" t="str">
            <v>Data Centre</v>
          </cell>
          <cell r="O9">
            <v>40741531.43</v>
          </cell>
          <cell r="Z9" t="str">
            <v>Bottomline</v>
          </cell>
        </row>
        <row r="10">
          <cell r="F10" t="str">
            <v>Ajay Patodia</v>
          </cell>
          <cell r="K10" t="str">
            <v>Data Centre</v>
          </cell>
          <cell r="O10">
            <v>76000</v>
          </cell>
          <cell r="Z10" t="str">
            <v>Bottomline</v>
          </cell>
        </row>
        <row r="11">
          <cell r="F11" t="str">
            <v>Ajay Patodia</v>
          </cell>
          <cell r="K11" t="str">
            <v>Data Centre</v>
          </cell>
          <cell r="O11">
            <v>1272406.6599999999</v>
          </cell>
          <cell r="Z11" t="str">
            <v>Bottomline</v>
          </cell>
        </row>
        <row r="12">
          <cell r="F12" t="str">
            <v>Ajay Patodia</v>
          </cell>
          <cell r="K12" t="str">
            <v>Data Centre</v>
          </cell>
          <cell r="O12">
            <v>446200</v>
          </cell>
          <cell r="Z12" t="str">
            <v>Bottomline</v>
          </cell>
        </row>
        <row r="13">
          <cell r="F13" t="str">
            <v>Ajay Patodia</v>
          </cell>
          <cell r="K13" t="str">
            <v>Data Centre</v>
          </cell>
          <cell r="O13">
            <v>374193.55</v>
          </cell>
          <cell r="Z13" t="str">
            <v>Bottomline</v>
          </cell>
        </row>
        <row r="14">
          <cell r="F14" t="str">
            <v>Ajay Patodia</v>
          </cell>
          <cell r="K14" t="str">
            <v>Data Centre</v>
          </cell>
          <cell r="O14">
            <v>678597.96</v>
          </cell>
          <cell r="Z14" t="str">
            <v>Bottomline</v>
          </cell>
        </row>
        <row r="15">
          <cell r="F15" t="str">
            <v>Ajay Patodia</v>
          </cell>
          <cell r="K15" t="str">
            <v>Data Centre</v>
          </cell>
          <cell r="O15">
            <v>113278.2</v>
          </cell>
          <cell r="Z15" t="str">
            <v>Bottomline</v>
          </cell>
        </row>
        <row r="16">
          <cell r="F16" t="str">
            <v>Ajay Patodia</v>
          </cell>
          <cell r="K16" t="str">
            <v>Data Centre</v>
          </cell>
          <cell r="O16">
            <v>259894.56</v>
          </cell>
          <cell r="Z16" t="str">
            <v>Bottomline</v>
          </cell>
        </row>
        <row r="17">
          <cell r="F17" t="str">
            <v>Ajay Patodia</v>
          </cell>
          <cell r="K17" t="str">
            <v>Data Centre</v>
          </cell>
          <cell r="O17">
            <v>920221.56</v>
          </cell>
          <cell r="Z17" t="str">
            <v>Bottomline</v>
          </cell>
        </row>
        <row r="18">
          <cell r="F18" t="str">
            <v>Ajay Patodia</v>
          </cell>
          <cell r="K18" t="str">
            <v>Data Centre</v>
          </cell>
          <cell r="O18">
            <v>1026669.24</v>
          </cell>
          <cell r="Z18" t="str">
            <v>Bottomline</v>
          </cell>
        </row>
        <row r="19">
          <cell r="F19" t="str">
            <v>Ajay Patodia</v>
          </cell>
          <cell r="K19" t="str">
            <v>Data Centre</v>
          </cell>
          <cell r="O19">
            <v>161595.72</v>
          </cell>
          <cell r="Z19" t="str">
            <v>Bottomline</v>
          </cell>
        </row>
        <row r="20">
          <cell r="F20" t="str">
            <v>Ajay Patodia</v>
          </cell>
          <cell r="K20" t="str">
            <v>Data Centre</v>
          </cell>
          <cell r="O20">
            <v>1514239.56</v>
          </cell>
          <cell r="Z20" t="str">
            <v>Bottomline</v>
          </cell>
        </row>
        <row r="21">
          <cell r="F21" t="str">
            <v>Ajay Patodia</v>
          </cell>
          <cell r="K21" t="str">
            <v>Data Centre</v>
          </cell>
          <cell r="O21">
            <v>259894.56</v>
          </cell>
          <cell r="Z21" t="str">
            <v>Bottomline</v>
          </cell>
        </row>
        <row r="22">
          <cell r="F22" t="str">
            <v>Ajay Patodia</v>
          </cell>
          <cell r="K22" t="str">
            <v>Data Centre</v>
          </cell>
          <cell r="O22">
            <v>259894.56</v>
          </cell>
          <cell r="Z22" t="str">
            <v>Bottomline</v>
          </cell>
        </row>
        <row r="23">
          <cell r="F23" t="str">
            <v>Ajay Patodia</v>
          </cell>
          <cell r="K23" t="str">
            <v>Data Centre</v>
          </cell>
          <cell r="O23">
            <v>321296.15999999997</v>
          </cell>
          <cell r="Z23" t="str">
            <v>Bottomline</v>
          </cell>
        </row>
        <row r="24">
          <cell r="F24" t="str">
            <v>Ajay Patodia</v>
          </cell>
          <cell r="K24" t="str">
            <v>Data Centre</v>
          </cell>
          <cell r="O24">
            <v>165424.44</v>
          </cell>
          <cell r="Z24" t="str">
            <v>Bottomline</v>
          </cell>
        </row>
        <row r="25">
          <cell r="F25" t="str">
            <v>Ajay Patodia</v>
          </cell>
          <cell r="K25" t="str">
            <v>Data Centre</v>
          </cell>
          <cell r="O25">
            <v>165424.44</v>
          </cell>
          <cell r="Z25" t="str">
            <v>Bottomline</v>
          </cell>
        </row>
        <row r="26">
          <cell r="F26" t="str">
            <v>Ajay Patodia</v>
          </cell>
          <cell r="K26" t="str">
            <v>Data Centre</v>
          </cell>
          <cell r="O26">
            <v>1715328.96</v>
          </cell>
          <cell r="Z26" t="str">
            <v>Bottomline</v>
          </cell>
        </row>
        <row r="27">
          <cell r="F27" t="str">
            <v>Ajay Patodia</v>
          </cell>
          <cell r="K27" t="str">
            <v>Data Centre</v>
          </cell>
          <cell r="O27">
            <v>977213.64</v>
          </cell>
          <cell r="Z27" t="str">
            <v>Bottomline</v>
          </cell>
        </row>
        <row r="28">
          <cell r="F28" t="str">
            <v>Ajay Patodia</v>
          </cell>
          <cell r="K28" t="str">
            <v>Data Centre</v>
          </cell>
          <cell r="O28">
            <v>5280824.88</v>
          </cell>
          <cell r="Z28" t="str">
            <v>Bottomline</v>
          </cell>
        </row>
        <row r="29">
          <cell r="F29" t="str">
            <v>Ajay Patodia</v>
          </cell>
          <cell r="K29" t="str">
            <v>Data Centre</v>
          </cell>
          <cell r="O29">
            <v>1629069.48</v>
          </cell>
          <cell r="Z29" t="str">
            <v>Bottomline</v>
          </cell>
        </row>
        <row r="30">
          <cell r="F30" t="str">
            <v>Ajay Patodia</v>
          </cell>
          <cell r="K30" t="str">
            <v>Data Centre</v>
          </cell>
          <cell r="O30">
            <v>1271186.44</v>
          </cell>
          <cell r="Z30" t="str">
            <v>Bottomline</v>
          </cell>
        </row>
        <row r="31">
          <cell r="F31" t="str">
            <v>Ajay Patodia</v>
          </cell>
          <cell r="K31" t="str">
            <v>Data Centre</v>
          </cell>
          <cell r="O31">
            <v>464100</v>
          </cell>
          <cell r="Z31" t="str">
            <v>Bottomline</v>
          </cell>
        </row>
        <row r="32">
          <cell r="F32" t="str">
            <v>Ajay Patodia</v>
          </cell>
          <cell r="K32" t="str">
            <v>Data Centre</v>
          </cell>
          <cell r="O32">
            <v>928749.96</v>
          </cell>
          <cell r="Z32" t="str">
            <v>Bottomline</v>
          </cell>
        </row>
        <row r="33">
          <cell r="F33" t="str">
            <v>Abrar Memon</v>
          </cell>
          <cell r="K33" t="str">
            <v>Data Centre</v>
          </cell>
          <cell r="O33">
            <v>86000</v>
          </cell>
          <cell r="Z33" t="str">
            <v>South</v>
          </cell>
        </row>
        <row r="34">
          <cell r="F34" t="str">
            <v>Chetna Sharma</v>
          </cell>
          <cell r="K34" t="str">
            <v>Data Centre</v>
          </cell>
          <cell r="O34">
            <v>5738727</v>
          </cell>
          <cell r="Z34" t="str">
            <v>S2</v>
          </cell>
        </row>
        <row r="35">
          <cell r="F35" t="str">
            <v>Chetna Sharma</v>
          </cell>
          <cell r="K35" t="str">
            <v>Data Centre</v>
          </cell>
          <cell r="O35">
            <v>13333340</v>
          </cell>
          <cell r="Z35" t="str">
            <v>S2</v>
          </cell>
        </row>
        <row r="36">
          <cell r="F36" t="str">
            <v>Chetna Sharma</v>
          </cell>
          <cell r="K36" t="str">
            <v>Data Centre</v>
          </cell>
          <cell r="O36">
            <v>27000000</v>
          </cell>
          <cell r="Z36" t="str">
            <v>S2</v>
          </cell>
        </row>
        <row r="37">
          <cell r="F37" t="str">
            <v>Chirag Palande</v>
          </cell>
          <cell r="K37" t="str">
            <v>Data Centre</v>
          </cell>
          <cell r="O37">
            <v>475574</v>
          </cell>
          <cell r="Z37" t="str">
            <v>S1</v>
          </cell>
        </row>
        <row r="38">
          <cell r="F38" t="str">
            <v>Darshana Patil</v>
          </cell>
          <cell r="K38" t="str">
            <v>Data Centre</v>
          </cell>
          <cell r="O38">
            <v>60566168</v>
          </cell>
          <cell r="Z38" t="str">
            <v>NA</v>
          </cell>
        </row>
        <row r="39">
          <cell r="F39" t="str">
            <v>Darshana Patil</v>
          </cell>
          <cell r="K39" t="str">
            <v>Data Centre</v>
          </cell>
          <cell r="O39">
            <v>523947.04</v>
          </cell>
          <cell r="Z39" t="str">
            <v>NA</v>
          </cell>
        </row>
        <row r="40">
          <cell r="F40" t="str">
            <v>Darshana Patil</v>
          </cell>
          <cell r="K40" t="str">
            <v>Data Centre</v>
          </cell>
          <cell r="O40">
            <v>306000</v>
          </cell>
          <cell r="Z40" t="str">
            <v>NA</v>
          </cell>
        </row>
        <row r="41">
          <cell r="F41" t="str">
            <v>Ishwari Kadam</v>
          </cell>
          <cell r="K41" t="str">
            <v>Data Centre</v>
          </cell>
          <cell r="O41">
            <v>59491500</v>
          </cell>
          <cell r="Z41" t="str">
            <v>AVP - S1</v>
          </cell>
        </row>
        <row r="42">
          <cell r="F42" t="str">
            <v>Ishwari Kadam</v>
          </cell>
          <cell r="K42" t="str">
            <v>Data Centre</v>
          </cell>
          <cell r="O42">
            <v>1506000</v>
          </cell>
          <cell r="Z42" t="str">
            <v>AVP - S1</v>
          </cell>
        </row>
        <row r="43">
          <cell r="F43" t="str">
            <v>Ishwari Kadam</v>
          </cell>
          <cell r="K43" t="str">
            <v>Data Centre</v>
          </cell>
          <cell r="O43">
            <v>55500</v>
          </cell>
          <cell r="Z43" t="str">
            <v>AVP - S1</v>
          </cell>
        </row>
        <row r="44">
          <cell r="F44" t="str">
            <v>Ishwari Kadam</v>
          </cell>
          <cell r="K44" t="str">
            <v>Data Centre</v>
          </cell>
          <cell r="O44">
            <v>1616400</v>
          </cell>
          <cell r="Z44" t="str">
            <v>AVP - S1</v>
          </cell>
        </row>
        <row r="45">
          <cell r="F45" t="str">
            <v>Prachi Mayekar</v>
          </cell>
          <cell r="K45" t="str">
            <v>Data Centre</v>
          </cell>
          <cell r="O45">
            <v>1890000</v>
          </cell>
          <cell r="Z45" t="str">
            <v>CB</v>
          </cell>
        </row>
        <row r="46">
          <cell r="F46" t="str">
            <v>Prachi Mayekar</v>
          </cell>
          <cell r="K46" t="str">
            <v>Data Centre</v>
          </cell>
          <cell r="O46">
            <v>78738048</v>
          </cell>
          <cell r="Z46" t="str">
            <v>CB</v>
          </cell>
        </row>
        <row r="47">
          <cell r="F47" t="str">
            <v>Prachi Mayekar</v>
          </cell>
          <cell r="K47" t="str">
            <v>Data Centre</v>
          </cell>
          <cell r="O47">
            <v>630000</v>
          </cell>
          <cell r="Z47" t="str">
            <v>CB</v>
          </cell>
        </row>
        <row r="48">
          <cell r="F48" t="str">
            <v>Richa Tiwari</v>
          </cell>
          <cell r="K48" t="str">
            <v>Data Centre</v>
          </cell>
          <cell r="O48">
            <v>670400</v>
          </cell>
          <cell r="Z48" t="str">
            <v>S1</v>
          </cell>
        </row>
        <row r="49">
          <cell r="F49" t="str">
            <v>Richa Tiwari</v>
          </cell>
          <cell r="K49" t="str">
            <v>Data Centre</v>
          </cell>
          <cell r="O49">
            <v>158000</v>
          </cell>
          <cell r="Z49" t="str">
            <v>S1</v>
          </cell>
        </row>
        <row r="50">
          <cell r="F50" t="str">
            <v>Richa Tiwari</v>
          </cell>
          <cell r="K50" t="str">
            <v>Data Centre</v>
          </cell>
          <cell r="O50">
            <v>609000</v>
          </cell>
          <cell r="Z50" t="str">
            <v>S1</v>
          </cell>
        </row>
        <row r="51">
          <cell r="F51" t="str">
            <v>Richa Tiwari</v>
          </cell>
          <cell r="K51" t="str">
            <v>Data Centre</v>
          </cell>
          <cell r="O51">
            <v>350000</v>
          </cell>
          <cell r="Z51" t="str">
            <v>S1</v>
          </cell>
        </row>
        <row r="52">
          <cell r="F52" t="str">
            <v>Richa Tiwari</v>
          </cell>
          <cell r="K52" t="str">
            <v>Data Centre</v>
          </cell>
          <cell r="O52">
            <v>276000</v>
          </cell>
          <cell r="Z52" t="str">
            <v>S1</v>
          </cell>
        </row>
        <row r="53">
          <cell r="F53" t="str">
            <v>Richa Tiwari</v>
          </cell>
          <cell r="K53" t="str">
            <v>Data Centre</v>
          </cell>
          <cell r="O53">
            <v>12700000</v>
          </cell>
          <cell r="Z53" t="str">
            <v>S1</v>
          </cell>
        </row>
        <row r="54">
          <cell r="F54" t="str">
            <v>Riya Bhatt</v>
          </cell>
          <cell r="K54" t="str">
            <v>Data Centre</v>
          </cell>
          <cell r="O54">
            <v>1550000</v>
          </cell>
          <cell r="Z54" t="str">
            <v>S1</v>
          </cell>
        </row>
        <row r="55">
          <cell r="F55" t="str">
            <v>Rohit Deshmukh</v>
          </cell>
          <cell r="K55" t="str">
            <v>Data Centre</v>
          </cell>
          <cell r="O55">
            <v>12000000</v>
          </cell>
          <cell r="Z55" t="str">
            <v>S2</v>
          </cell>
        </row>
        <row r="56">
          <cell r="F56" t="str">
            <v>Sagar TR</v>
          </cell>
          <cell r="K56" t="str">
            <v>Data Centre</v>
          </cell>
          <cell r="O56">
            <v>590000</v>
          </cell>
          <cell r="Z56" t="str">
            <v>South</v>
          </cell>
        </row>
        <row r="57">
          <cell r="F57" t="str">
            <v>Shahbaz Khan</v>
          </cell>
          <cell r="K57" t="str">
            <v>Data Centre</v>
          </cell>
          <cell r="O57">
            <v>30776945</v>
          </cell>
          <cell r="Z57" t="str">
            <v>South</v>
          </cell>
        </row>
        <row r="58">
          <cell r="F58" t="str">
            <v>Shahbaz Khan</v>
          </cell>
          <cell r="K58" t="str">
            <v>Data Centre</v>
          </cell>
          <cell r="O58">
            <v>1200000</v>
          </cell>
          <cell r="Z58" t="str">
            <v>South</v>
          </cell>
        </row>
        <row r="59">
          <cell r="F59" t="str">
            <v>Shaik Khadhar</v>
          </cell>
          <cell r="K59" t="str">
            <v>Data Centre</v>
          </cell>
          <cell r="O59">
            <v>22880915</v>
          </cell>
          <cell r="Z59" t="str">
            <v>South</v>
          </cell>
        </row>
        <row r="60">
          <cell r="F60" t="str">
            <v>Tasneem K</v>
          </cell>
          <cell r="K60" t="str">
            <v>Data Centre</v>
          </cell>
          <cell r="O60">
            <v>95900000</v>
          </cell>
          <cell r="Z60" t="str">
            <v>S1</v>
          </cell>
        </row>
        <row r="61">
          <cell r="F61" t="str">
            <v>Tasneem K</v>
          </cell>
          <cell r="K61" t="str">
            <v>Data Centre</v>
          </cell>
          <cell r="O61">
            <v>234518.79</v>
          </cell>
          <cell r="Z61" t="str">
            <v>S1</v>
          </cell>
        </row>
        <row r="62">
          <cell r="F62" t="str">
            <v>Tasneem K</v>
          </cell>
          <cell r="K62" t="str">
            <v>Data Centre</v>
          </cell>
          <cell r="O62">
            <v>17472000</v>
          </cell>
          <cell r="Z62" t="str">
            <v>S1</v>
          </cell>
        </row>
        <row r="63">
          <cell r="F63" t="str">
            <v>Varsha Ray</v>
          </cell>
          <cell r="K63" t="str">
            <v>Data Centre</v>
          </cell>
          <cell r="O63">
            <v>2264289.73</v>
          </cell>
          <cell r="Z63" t="str">
            <v>NA</v>
          </cell>
        </row>
        <row r="64">
          <cell r="F64" t="str">
            <v>Atharva Karpe</v>
          </cell>
          <cell r="K64" t="str">
            <v>Data Centre</v>
          </cell>
          <cell r="O64">
            <v>2210000</v>
          </cell>
          <cell r="Z64" t="str">
            <v>GB</v>
          </cell>
        </row>
        <row r="65">
          <cell r="F65" t="str">
            <v>Jay Rushi</v>
          </cell>
          <cell r="K65" t="str">
            <v>CSG (EndPoint)</v>
          </cell>
          <cell r="O65">
            <v>3125000</v>
          </cell>
          <cell r="Z65" t="str">
            <v>GB</v>
          </cell>
        </row>
        <row r="66">
          <cell r="F66" t="str">
            <v>Jay Rushi</v>
          </cell>
          <cell r="K66" t="str">
            <v>Data Centre</v>
          </cell>
          <cell r="O66">
            <v>228000</v>
          </cell>
          <cell r="Z66" t="str">
            <v>GB</v>
          </cell>
        </row>
        <row r="67">
          <cell r="F67" t="str">
            <v>Shahbaz Khan</v>
          </cell>
          <cell r="K67" t="str">
            <v>CSG (EndPoint)</v>
          </cell>
          <cell r="O67">
            <v>1093500</v>
          </cell>
          <cell r="Z67" t="str">
            <v>South</v>
          </cell>
        </row>
        <row r="68">
          <cell r="F68" t="str">
            <v>Shahbaz Khan</v>
          </cell>
          <cell r="K68" t="str">
            <v>CSG (EndPoint)</v>
          </cell>
          <cell r="O68">
            <v>713568</v>
          </cell>
          <cell r="Z68" t="str">
            <v>South</v>
          </cell>
        </row>
        <row r="69">
          <cell r="F69" t="str">
            <v>Chetna Sharma</v>
          </cell>
          <cell r="K69" t="str">
            <v>CSG (EndPoint)</v>
          </cell>
          <cell r="O69">
            <v>72034</v>
          </cell>
          <cell r="Z69" t="str">
            <v>S2</v>
          </cell>
        </row>
        <row r="70">
          <cell r="F70" t="str">
            <v>Darshana Patil</v>
          </cell>
          <cell r="K70" t="str">
            <v>CSG (EndPoint)</v>
          </cell>
          <cell r="O70">
            <v>5500</v>
          </cell>
          <cell r="Z70" t="str">
            <v>NA</v>
          </cell>
        </row>
        <row r="71">
          <cell r="F71" t="str">
            <v>Darshana Patil</v>
          </cell>
          <cell r="K71" t="str">
            <v>CSG (EndPoint)</v>
          </cell>
          <cell r="O71">
            <v>28500</v>
          </cell>
          <cell r="Z71" t="str">
            <v>NA</v>
          </cell>
        </row>
        <row r="72">
          <cell r="F72" t="str">
            <v>Darshana Patil</v>
          </cell>
          <cell r="K72" t="str">
            <v>CSG (EndPoint)</v>
          </cell>
          <cell r="O72">
            <v>135000</v>
          </cell>
          <cell r="Z72" t="str">
            <v>NA</v>
          </cell>
        </row>
        <row r="73">
          <cell r="F73" t="str">
            <v>Darshana Patil</v>
          </cell>
          <cell r="K73" t="str">
            <v>CSG (EndPoint)</v>
          </cell>
          <cell r="O73">
            <v>3500</v>
          </cell>
          <cell r="Z73" t="str">
            <v>NA</v>
          </cell>
        </row>
        <row r="74">
          <cell r="F74" t="str">
            <v>Darshana Patil</v>
          </cell>
          <cell r="K74" t="str">
            <v>CSG (EndPoint)</v>
          </cell>
          <cell r="O74">
            <v>108000</v>
          </cell>
          <cell r="Z74" t="str">
            <v>NA</v>
          </cell>
        </row>
        <row r="75">
          <cell r="F75" t="str">
            <v>Darshana Patil</v>
          </cell>
          <cell r="K75" t="str">
            <v>CSG (EndPoint)</v>
          </cell>
          <cell r="O75">
            <v>3500</v>
          </cell>
          <cell r="Z75" t="str">
            <v>NA</v>
          </cell>
        </row>
        <row r="76">
          <cell r="F76" t="str">
            <v>Darshana Patil</v>
          </cell>
          <cell r="K76" t="str">
            <v>CSG (EndPoint)</v>
          </cell>
          <cell r="O76">
            <v>22500</v>
          </cell>
          <cell r="Z76" t="str">
            <v>NA</v>
          </cell>
        </row>
        <row r="77">
          <cell r="F77" t="str">
            <v>Darshana Patil</v>
          </cell>
          <cell r="K77" t="str">
            <v>CSG (EndPoint)</v>
          </cell>
          <cell r="O77">
            <v>22500</v>
          </cell>
          <cell r="Z77" t="str">
            <v>NA</v>
          </cell>
        </row>
        <row r="78">
          <cell r="F78" t="str">
            <v>Darshana Patil</v>
          </cell>
          <cell r="K78" t="str">
            <v>CSG (EndPoint)</v>
          </cell>
          <cell r="O78">
            <v>22500</v>
          </cell>
          <cell r="Z78" t="str">
            <v>NA</v>
          </cell>
        </row>
        <row r="79">
          <cell r="F79" t="str">
            <v>Hrushikesh Bagade</v>
          </cell>
          <cell r="K79" t="str">
            <v>CSG (EndPoint)</v>
          </cell>
          <cell r="O79">
            <v>510249</v>
          </cell>
          <cell r="Z79" t="str">
            <v>Geo X</v>
          </cell>
        </row>
        <row r="80">
          <cell r="F80" t="str">
            <v>Hrushikesh Bagade</v>
          </cell>
          <cell r="K80" t="str">
            <v>CSG (EndPoint)</v>
          </cell>
          <cell r="O80">
            <v>1974336</v>
          </cell>
          <cell r="Z80" t="str">
            <v>Geo X</v>
          </cell>
        </row>
        <row r="81">
          <cell r="F81" t="str">
            <v>Hrushikesh Bagade</v>
          </cell>
          <cell r="K81" t="str">
            <v>CSG (EndPoint)</v>
          </cell>
          <cell r="O81">
            <v>1974336</v>
          </cell>
          <cell r="Z81" t="str">
            <v>Geo X</v>
          </cell>
        </row>
        <row r="82">
          <cell r="F82" t="str">
            <v>Hrushikesh Bagade</v>
          </cell>
          <cell r="K82" t="str">
            <v>CSG (EndPoint)</v>
          </cell>
          <cell r="O82">
            <v>166860</v>
          </cell>
          <cell r="Z82" t="str">
            <v>Geo X</v>
          </cell>
        </row>
        <row r="83">
          <cell r="F83" t="str">
            <v>Ashish Singh</v>
          </cell>
          <cell r="K83" t="str">
            <v>Cloud</v>
          </cell>
          <cell r="O83">
            <v>5800000</v>
          </cell>
          <cell r="Z83" t="str">
            <v>GB</v>
          </cell>
        </row>
        <row r="84">
          <cell r="F84" t="str">
            <v>Ashish Singh</v>
          </cell>
          <cell r="K84" t="str">
            <v>Cloud</v>
          </cell>
          <cell r="O84">
            <v>5073971</v>
          </cell>
          <cell r="Z84" t="str">
            <v>GB</v>
          </cell>
        </row>
        <row r="85">
          <cell r="F85" t="str">
            <v>Ashish Singh</v>
          </cell>
          <cell r="K85" t="str">
            <v>Professional Services</v>
          </cell>
          <cell r="O85">
            <v>291810</v>
          </cell>
          <cell r="Z85" t="str">
            <v>GB</v>
          </cell>
        </row>
        <row r="86">
          <cell r="F86" t="str">
            <v>Ashish Singh</v>
          </cell>
          <cell r="K86" t="str">
            <v>Professional Services</v>
          </cell>
          <cell r="O86">
            <v>315000</v>
          </cell>
          <cell r="Z86" t="str">
            <v>GB</v>
          </cell>
        </row>
        <row r="87">
          <cell r="F87" t="str">
            <v>Ashish Singh</v>
          </cell>
          <cell r="K87" t="str">
            <v>Professional Services</v>
          </cell>
          <cell r="O87">
            <v>3150</v>
          </cell>
          <cell r="Z87" t="str">
            <v>GB</v>
          </cell>
        </row>
        <row r="88">
          <cell r="F88" t="str">
            <v>Ashish Singh</v>
          </cell>
          <cell r="K88" t="str">
            <v>Professional Services</v>
          </cell>
          <cell r="O88">
            <v>1486080</v>
          </cell>
          <cell r="Z88" t="str">
            <v>GB</v>
          </cell>
        </row>
        <row r="89">
          <cell r="F89" t="str">
            <v>Ashish Singh</v>
          </cell>
          <cell r="K89" t="str">
            <v>Professional Services</v>
          </cell>
          <cell r="O89">
            <v>51975</v>
          </cell>
          <cell r="Z89" t="str">
            <v>GB</v>
          </cell>
        </row>
        <row r="90">
          <cell r="F90" t="str">
            <v>Ashish Singh</v>
          </cell>
          <cell r="K90" t="str">
            <v>Professional Services</v>
          </cell>
          <cell r="O90">
            <v>360000</v>
          </cell>
          <cell r="Z90" t="str">
            <v>GB</v>
          </cell>
        </row>
        <row r="91">
          <cell r="F91" t="str">
            <v>Ashish Singh</v>
          </cell>
          <cell r="K91" t="str">
            <v>Professional Services</v>
          </cell>
          <cell r="O91">
            <v>76444.570000000007</v>
          </cell>
          <cell r="Z91" t="str">
            <v>GB</v>
          </cell>
        </row>
        <row r="92">
          <cell r="F92" t="str">
            <v>Chetna Sharma</v>
          </cell>
          <cell r="K92" t="str">
            <v>Professional Services</v>
          </cell>
          <cell r="O92">
            <v>1600000</v>
          </cell>
          <cell r="Z92" t="str">
            <v>S2</v>
          </cell>
        </row>
        <row r="93">
          <cell r="F93" t="str">
            <v>Chetna Sharma</v>
          </cell>
          <cell r="K93" t="str">
            <v>Professional Services</v>
          </cell>
          <cell r="O93">
            <v>69441840</v>
          </cell>
          <cell r="Z93" t="str">
            <v>S2</v>
          </cell>
        </row>
        <row r="94">
          <cell r="F94" t="str">
            <v>Hrushikesh Bagade</v>
          </cell>
          <cell r="K94" t="str">
            <v>Cloud</v>
          </cell>
          <cell r="O94">
            <v>1186225</v>
          </cell>
          <cell r="Z94" t="str">
            <v>Geo X</v>
          </cell>
        </row>
        <row r="95">
          <cell r="F95" t="str">
            <v>Hrushikesh Bagade</v>
          </cell>
          <cell r="K95" t="str">
            <v>Professional Services</v>
          </cell>
          <cell r="O95">
            <v>2289230</v>
          </cell>
          <cell r="Z95" t="str">
            <v>Geo X</v>
          </cell>
        </row>
        <row r="96">
          <cell r="F96" t="str">
            <v>Hrushikesh Bagade</v>
          </cell>
          <cell r="K96" t="str">
            <v>Professional Services</v>
          </cell>
          <cell r="O96">
            <v>929979</v>
          </cell>
          <cell r="Z96" t="str">
            <v>Geo X</v>
          </cell>
        </row>
        <row r="97">
          <cell r="F97" t="str">
            <v>Hrushikesh Bagade</v>
          </cell>
          <cell r="K97" t="str">
            <v>Professional Services</v>
          </cell>
          <cell r="O97">
            <v>929979</v>
          </cell>
          <cell r="Z97" t="str">
            <v>Geo X</v>
          </cell>
        </row>
        <row r="98">
          <cell r="F98" t="str">
            <v>Hrushikesh Bagade</v>
          </cell>
          <cell r="K98" t="str">
            <v>Professional Services</v>
          </cell>
          <cell r="O98">
            <v>929970</v>
          </cell>
          <cell r="Z98" t="str">
            <v>Geo X</v>
          </cell>
        </row>
        <row r="99">
          <cell r="F99" t="str">
            <v>Pratik Kadam</v>
          </cell>
          <cell r="K99" t="str">
            <v>Professional Services</v>
          </cell>
          <cell r="O99">
            <v>1319841</v>
          </cell>
          <cell r="Z99" t="str">
            <v>S1</v>
          </cell>
        </row>
        <row r="100">
          <cell r="F100" t="str">
            <v>Richa Tiwari</v>
          </cell>
          <cell r="K100" t="str">
            <v>Professional Services</v>
          </cell>
          <cell r="O100">
            <v>1300000</v>
          </cell>
          <cell r="Z100" t="str">
            <v>S1</v>
          </cell>
        </row>
        <row r="101">
          <cell r="F101" t="str">
            <v>Richa Tiwari</v>
          </cell>
          <cell r="K101" t="str">
            <v>Professional Services</v>
          </cell>
          <cell r="O101">
            <v>1260000</v>
          </cell>
          <cell r="Z101" t="str">
            <v>S1</v>
          </cell>
        </row>
        <row r="102">
          <cell r="F102" t="str">
            <v>Richa Tiwari</v>
          </cell>
          <cell r="K102" t="str">
            <v>Professional Services</v>
          </cell>
          <cell r="O102">
            <v>50000</v>
          </cell>
          <cell r="Z102" t="str">
            <v>S1</v>
          </cell>
        </row>
        <row r="103">
          <cell r="F103" t="str">
            <v>Shilpa Kavde</v>
          </cell>
          <cell r="K103" t="str">
            <v>Cloud</v>
          </cell>
          <cell r="O103">
            <v>3278719.5</v>
          </cell>
          <cell r="Z103" t="str">
            <v>CB</v>
          </cell>
        </row>
        <row r="104">
          <cell r="F104" t="str">
            <v>Shilpa Kavde</v>
          </cell>
          <cell r="K104" t="str">
            <v>Cloud</v>
          </cell>
          <cell r="O104">
            <v>1902647.6</v>
          </cell>
          <cell r="Z104" t="str">
            <v>CB</v>
          </cell>
        </row>
        <row r="105">
          <cell r="F105" t="str">
            <v>Shilpa Kavde</v>
          </cell>
          <cell r="K105" t="str">
            <v>Cloud</v>
          </cell>
          <cell r="O105">
            <v>594203.80000000005</v>
          </cell>
          <cell r="Z105" t="str">
            <v>CB</v>
          </cell>
        </row>
        <row r="106">
          <cell r="F106" t="str">
            <v>Shilpa Kavde</v>
          </cell>
          <cell r="K106" t="str">
            <v>Cloud</v>
          </cell>
          <cell r="O106">
            <v>131648.9</v>
          </cell>
          <cell r="Z106" t="str">
            <v>CB</v>
          </cell>
        </row>
        <row r="107">
          <cell r="F107" t="str">
            <v>Shilpa Kavde</v>
          </cell>
          <cell r="K107" t="str">
            <v>Cloud</v>
          </cell>
          <cell r="O107">
            <v>151994.1</v>
          </cell>
          <cell r="Z107" t="str">
            <v>CB</v>
          </cell>
        </row>
        <row r="108">
          <cell r="F108" t="str">
            <v>Shilpa Kavde</v>
          </cell>
          <cell r="K108" t="str">
            <v>Cloud</v>
          </cell>
          <cell r="O108">
            <v>136249</v>
          </cell>
          <cell r="Z108" t="str">
            <v>CB</v>
          </cell>
        </row>
        <row r="109">
          <cell r="F109" t="str">
            <v>Shilpa Kavde</v>
          </cell>
          <cell r="K109" t="str">
            <v>Cloud</v>
          </cell>
          <cell r="O109">
            <v>911920</v>
          </cell>
          <cell r="Z109" t="str">
            <v>CB</v>
          </cell>
        </row>
        <row r="110">
          <cell r="F110" t="str">
            <v>Shilpa Kavde</v>
          </cell>
          <cell r="K110" t="str">
            <v>Cloud</v>
          </cell>
          <cell r="O110">
            <v>686566.7</v>
          </cell>
          <cell r="Z110" t="str">
            <v>CB</v>
          </cell>
        </row>
        <row r="111">
          <cell r="F111" t="str">
            <v>Shilpa Kavde</v>
          </cell>
          <cell r="K111" t="str">
            <v>Cloud</v>
          </cell>
          <cell r="O111">
            <v>39242.199999999997</v>
          </cell>
          <cell r="Z111" t="str">
            <v>CB</v>
          </cell>
        </row>
        <row r="112">
          <cell r="F112" t="str">
            <v>Shilpa Kavde</v>
          </cell>
          <cell r="K112" t="str">
            <v>Cloud</v>
          </cell>
          <cell r="O112">
            <v>2272068.6</v>
          </cell>
          <cell r="Z112" t="str">
            <v>CB</v>
          </cell>
        </row>
        <row r="113">
          <cell r="F113" t="str">
            <v>Shilpa Kavde</v>
          </cell>
          <cell r="K113" t="str">
            <v>Cloud</v>
          </cell>
          <cell r="O113">
            <v>194280.6</v>
          </cell>
          <cell r="Z113" t="str">
            <v>CB</v>
          </cell>
        </row>
        <row r="114">
          <cell r="F114" t="str">
            <v>Shilpa Kavde</v>
          </cell>
          <cell r="K114" t="str">
            <v>Cloud</v>
          </cell>
          <cell r="O114">
            <v>1214303.1000000001</v>
          </cell>
          <cell r="Z114" t="str">
            <v>CB</v>
          </cell>
        </row>
        <row r="115">
          <cell r="F115" t="str">
            <v>Shilpa Kavde</v>
          </cell>
          <cell r="K115" t="str">
            <v>Cloud</v>
          </cell>
          <cell r="O115">
            <v>602618.19999999995</v>
          </cell>
          <cell r="Z115" t="str">
            <v>CB</v>
          </cell>
        </row>
        <row r="116">
          <cell r="F116" t="str">
            <v>Shilpa Kavde</v>
          </cell>
          <cell r="K116" t="str">
            <v>Cloud</v>
          </cell>
          <cell r="O116">
            <v>671806.9</v>
          </cell>
          <cell r="Z116" t="str">
            <v>CB</v>
          </cell>
        </row>
        <row r="117">
          <cell r="F117" t="str">
            <v>Shilpa Kavde</v>
          </cell>
          <cell r="K117" t="str">
            <v>Cloud</v>
          </cell>
          <cell r="O117">
            <v>1205515.7</v>
          </cell>
          <cell r="Z117" t="str">
            <v>CB</v>
          </cell>
        </row>
        <row r="118">
          <cell r="F118" t="str">
            <v>Shilpa Kavde</v>
          </cell>
          <cell r="K118" t="str">
            <v>Cloud</v>
          </cell>
          <cell r="O118">
            <v>664902.9</v>
          </cell>
          <cell r="Z118" t="str">
            <v>CB</v>
          </cell>
        </row>
        <row r="119">
          <cell r="F119" t="str">
            <v>Shilpa Kavde</v>
          </cell>
          <cell r="K119" t="str">
            <v>Cloud</v>
          </cell>
          <cell r="O119">
            <v>730855.3</v>
          </cell>
          <cell r="Z119" t="str">
            <v>CB</v>
          </cell>
        </row>
        <row r="120">
          <cell r="F120" t="str">
            <v>Shilpa Kavde</v>
          </cell>
          <cell r="K120" t="str">
            <v>Cloud</v>
          </cell>
          <cell r="O120">
            <v>46908.9</v>
          </cell>
          <cell r="Z120" t="str">
            <v>CB</v>
          </cell>
        </row>
        <row r="121">
          <cell r="F121" t="str">
            <v>Shilpa Kavde</v>
          </cell>
          <cell r="K121" t="str">
            <v>Cloud</v>
          </cell>
          <cell r="O121">
            <v>60927.7</v>
          </cell>
          <cell r="Z121" t="str">
            <v>CB</v>
          </cell>
        </row>
        <row r="122">
          <cell r="F122" t="str">
            <v>Shilpa Kavde</v>
          </cell>
          <cell r="K122" t="str">
            <v>Cloud</v>
          </cell>
          <cell r="O122">
            <v>23073.9</v>
          </cell>
          <cell r="Z122" t="str">
            <v>CB</v>
          </cell>
        </row>
        <row r="123">
          <cell r="F123" t="str">
            <v>Tasneem K</v>
          </cell>
          <cell r="K123" t="str">
            <v>Professional Services</v>
          </cell>
          <cell r="O123">
            <v>5800000</v>
          </cell>
          <cell r="Z123" t="str">
            <v>S1</v>
          </cell>
        </row>
        <row r="124">
          <cell r="F124" t="str">
            <v>Tasneem K</v>
          </cell>
          <cell r="K124" t="str">
            <v>Professional Services</v>
          </cell>
          <cell r="O124">
            <v>5799996</v>
          </cell>
          <cell r="Z124" t="str">
            <v>S1</v>
          </cell>
        </row>
        <row r="125">
          <cell r="F125" t="str">
            <v>Varsha Ray</v>
          </cell>
          <cell r="K125" t="str">
            <v>Professional Services</v>
          </cell>
          <cell r="O125">
            <v>300000</v>
          </cell>
          <cell r="Z125" t="str">
            <v>NA</v>
          </cell>
        </row>
        <row r="126">
          <cell r="F126" t="str">
            <v>Atharva Karpe</v>
          </cell>
          <cell r="K126" t="str">
            <v>Professional Services</v>
          </cell>
          <cell r="O126">
            <v>245000</v>
          </cell>
          <cell r="Z126" t="str">
            <v>GB</v>
          </cell>
        </row>
        <row r="127">
          <cell r="F127" t="str">
            <v>Prachi Mayekar</v>
          </cell>
          <cell r="K127" t="str">
            <v>CSG (EndPoint)</v>
          </cell>
          <cell r="O127">
            <v>138300</v>
          </cell>
          <cell r="Z127" t="str">
            <v>CB</v>
          </cell>
        </row>
        <row r="128">
          <cell r="F128" t="str">
            <v>Prachi Mayekar</v>
          </cell>
          <cell r="K128" t="str">
            <v>CSG (EndPoint)</v>
          </cell>
          <cell r="O128">
            <v>3500</v>
          </cell>
          <cell r="Z128" t="str">
            <v>CB</v>
          </cell>
        </row>
        <row r="129">
          <cell r="F129" t="str">
            <v>Prachi Mayekar</v>
          </cell>
          <cell r="K129" t="str">
            <v>CSG (EndPoint)</v>
          </cell>
          <cell r="O129">
            <v>3800</v>
          </cell>
          <cell r="Z129" t="str">
            <v>CB</v>
          </cell>
        </row>
        <row r="130">
          <cell r="F130" t="str">
            <v>Prachi Mayekar</v>
          </cell>
          <cell r="K130" t="str">
            <v>CSG (EndPoint)</v>
          </cell>
          <cell r="O130">
            <v>72000</v>
          </cell>
          <cell r="Z130" t="str">
            <v>CB</v>
          </cell>
        </row>
        <row r="131">
          <cell r="F131" t="str">
            <v>Richa Tiwari</v>
          </cell>
          <cell r="K131" t="str">
            <v>CSG (EndPoint)</v>
          </cell>
          <cell r="O131">
            <v>13172000</v>
          </cell>
          <cell r="Z131" t="str">
            <v>S1</v>
          </cell>
        </row>
        <row r="132">
          <cell r="F132" t="str">
            <v>Richa Tiwari</v>
          </cell>
          <cell r="K132" t="str">
            <v>CSG (EndPoint)</v>
          </cell>
          <cell r="O132">
            <v>1141000</v>
          </cell>
          <cell r="Z132" t="str">
            <v>S1</v>
          </cell>
        </row>
        <row r="133">
          <cell r="F133" t="str">
            <v>Pratik Kadam</v>
          </cell>
          <cell r="K133" t="str">
            <v>CSG (EndPoint)</v>
          </cell>
          <cell r="O133">
            <v>6300000</v>
          </cell>
          <cell r="Z133" t="str">
            <v>S1</v>
          </cell>
        </row>
        <row r="134">
          <cell r="F134" t="str">
            <v>Pratik Kadam</v>
          </cell>
          <cell r="K134" t="str">
            <v>CSG (EndPoint)</v>
          </cell>
          <cell r="O134">
            <v>362142</v>
          </cell>
          <cell r="Z134" t="str">
            <v>S1</v>
          </cell>
        </row>
        <row r="135">
          <cell r="F135" t="str">
            <v>Pratik Kadam</v>
          </cell>
          <cell r="K135" t="str">
            <v>CSG (EndPoint)</v>
          </cell>
          <cell r="O135">
            <v>168000</v>
          </cell>
          <cell r="Z135" t="str">
            <v>S1</v>
          </cell>
        </row>
        <row r="136">
          <cell r="F136" t="str">
            <v>Pratik Kadam</v>
          </cell>
          <cell r="K136" t="str">
            <v>CSG (EndPoint)</v>
          </cell>
          <cell r="O136">
            <v>192000</v>
          </cell>
          <cell r="Z136" t="str">
            <v>S1</v>
          </cell>
        </row>
        <row r="137">
          <cell r="F137" t="str">
            <v>Pratik Kadam</v>
          </cell>
          <cell r="K137" t="str">
            <v>CSG (EndPoint)</v>
          </cell>
          <cell r="O137">
            <v>192000</v>
          </cell>
          <cell r="Z137" t="str">
            <v>S1</v>
          </cell>
        </row>
        <row r="138">
          <cell r="F138" t="str">
            <v>Pratik Kadam</v>
          </cell>
          <cell r="K138" t="str">
            <v>CSG (EndPoint)</v>
          </cell>
          <cell r="O138">
            <v>192000</v>
          </cell>
          <cell r="Z138" t="str">
            <v>S1</v>
          </cell>
        </row>
        <row r="139">
          <cell r="F139" t="str">
            <v>Pratik Kadam</v>
          </cell>
          <cell r="K139" t="str">
            <v>CSG (EndPoint)</v>
          </cell>
          <cell r="O139">
            <v>192000</v>
          </cell>
          <cell r="Z139" t="str">
            <v>S1</v>
          </cell>
        </row>
        <row r="140">
          <cell r="F140" t="str">
            <v>Pratik Kadam</v>
          </cell>
          <cell r="K140" t="str">
            <v>CSG (EndPoint)</v>
          </cell>
          <cell r="O140">
            <v>192000</v>
          </cell>
          <cell r="Z140" t="str">
            <v>S1</v>
          </cell>
        </row>
        <row r="141">
          <cell r="F141" t="str">
            <v>Pratik Kadam</v>
          </cell>
          <cell r="K141" t="str">
            <v>CSG (EndPoint)</v>
          </cell>
          <cell r="O141">
            <v>120000</v>
          </cell>
          <cell r="Z141" t="str">
            <v>S1</v>
          </cell>
        </row>
        <row r="142">
          <cell r="F142" t="str">
            <v>Pratik Kadam</v>
          </cell>
          <cell r="K142" t="str">
            <v>CSG (EndPoint)</v>
          </cell>
          <cell r="O142">
            <v>177000</v>
          </cell>
          <cell r="Z142" t="str">
            <v>S1</v>
          </cell>
        </row>
        <row r="143">
          <cell r="F143" t="str">
            <v>Pratik Kadam</v>
          </cell>
          <cell r="K143" t="str">
            <v>CSG (EndPoint)</v>
          </cell>
          <cell r="O143">
            <v>192000</v>
          </cell>
          <cell r="Z143" t="str">
            <v>S1</v>
          </cell>
        </row>
        <row r="144">
          <cell r="F144" t="str">
            <v>Pratik Kadam</v>
          </cell>
          <cell r="K144" t="str">
            <v>CSG (EndPoint)</v>
          </cell>
          <cell r="O144">
            <v>192000</v>
          </cell>
          <cell r="Z144" t="str">
            <v>S1</v>
          </cell>
        </row>
        <row r="145">
          <cell r="F145" t="str">
            <v>Pratik Kadam</v>
          </cell>
          <cell r="K145" t="str">
            <v>CSG (EndPoint)</v>
          </cell>
          <cell r="O145">
            <v>192000</v>
          </cell>
          <cell r="Z145" t="str">
            <v>S1</v>
          </cell>
        </row>
        <row r="146">
          <cell r="F146" t="str">
            <v>Pratik Kadam</v>
          </cell>
          <cell r="K146" t="str">
            <v>CSG (EndPoint)</v>
          </cell>
          <cell r="O146">
            <v>192000</v>
          </cell>
          <cell r="Z146" t="str">
            <v>S1</v>
          </cell>
        </row>
        <row r="147">
          <cell r="F147" t="str">
            <v>Pratik Kadam</v>
          </cell>
          <cell r="K147" t="str">
            <v>CSG (EndPoint)</v>
          </cell>
          <cell r="O147">
            <v>192000</v>
          </cell>
          <cell r="Z147" t="str">
            <v>S1</v>
          </cell>
        </row>
        <row r="148">
          <cell r="F148" t="str">
            <v>Pratik Kadam</v>
          </cell>
          <cell r="K148" t="str">
            <v>CSG (EndPoint)</v>
          </cell>
          <cell r="O148">
            <v>144000</v>
          </cell>
          <cell r="Z148" t="str">
            <v>S1</v>
          </cell>
        </row>
        <row r="149">
          <cell r="F149" t="str">
            <v>Pratik Kadam</v>
          </cell>
          <cell r="K149" t="str">
            <v>CSG (EndPoint)</v>
          </cell>
          <cell r="O149">
            <v>144000</v>
          </cell>
          <cell r="Z149" t="str">
            <v>S1</v>
          </cell>
        </row>
        <row r="150">
          <cell r="F150" t="str">
            <v>Pratik Kadam</v>
          </cell>
          <cell r="K150" t="str">
            <v>CSG (EndPoint)</v>
          </cell>
          <cell r="O150">
            <v>96000</v>
          </cell>
          <cell r="Z150" t="str">
            <v>S1</v>
          </cell>
        </row>
        <row r="151">
          <cell r="F151" t="str">
            <v>Pratik Kadam</v>
          </cell>
          <cell r="K151" t="str">
            <v>CSG (EndPoint)</v>
          </cell>
          <cell r="O151">
            <v>96000</v>
          </cell>
          <cell r="Z151" t="str">
            <v>S1</v>
          </cell>
        </row>
        <row r="152">
          <cell r="F152" t="str">
            <v>Pratik Kadam</v>
          </cell>
          <cell r="K152" t="str">
            <v>CSG (EndPoint)</v>
          </cell>
          <cell r="O152">
            <v>96000</v>
          </cell>
          <cell r="Z152" t="str">
            <v>S1</v>
          </cell>
        </row>
        <row r="153">
          <cell r="F153" t="str">
            <v>Pratik Kadam</v>
          </cell>
          <cell r="K153" t="str">
            <v>CSG (EndPoint)</v>
          </cell>
          <cell r="O153">
            <v>192000</v>
          </cell>
          <cell r="Z153" t="str">
            <v>S1</v>
          </cell>
        </row>
        <row r="154">
          <cell r="F154" t="str">
            <v>Pratik Kadam</v>
          </cell>
          <cell r="K154" t="str">
            <v>CSG (EndPoint)</v>
          </cell>
          <cell r="O154">
            <v>192000</v>
          </cell>
          <cell r="Z154" t="str">
            <v>S1</v>
          </cell>
        </row>
        <row r="155">
          <cell r="F155" t="str">
            <v>Pratik Kadam</v>
          </cell>
          <cell r="K155" t="str">
            <v>CSG (EndPoint)</v>
          </cell>
          <cell r="O155">
            <v>192000</v>
          </cell>
          <cell r="Z155" t="str">
            <v>S1</v>
          </cell>
        </row>
        <row r="156">
          <cell r="F156" t="str">
            <v>Pratik Kadam</v>
          </cell>
          <cell r="K156" t="str">
            <v>CSG (EndPoint)</v>
          </cell>
          <cell r="O156">
            <v>96000</v>
          </cell>
          <cell r="Z156" t="str">
            <v>S1</v>
          </cell>
        </row>
        <row r="157">
          <cell r="F157" t="str">
            <v>Pratik Kadam</v>
          </cell>
          <cell r="K157" t="str">
            <v>CSG (EndPoint)</v>
          </cell>
          <cell r="O157">
            <v>120000</v>
          </cell>
          <cell r="Z157" t="str">
            <v>S1</v>
          </cell>
        </row>
        <row r="158">
          <cell r="F158" t="str">
            <v>Pratik Kadam</v>
          </cell>
          <cell r="K158" t="str">
            <v>CSG (EndPoint)</v>
          </cell>
          <cell r="O158">
            <v>192000</v>
          </cell>
          <cell r="Z158" t="str">
            <v>S1</v>
          </cell>
        </row>
        <row r="159">
          <cell r="F159" t="str">
            <v>Pratik Kadam</v>
          </cell>
          <cell r="K159" t="str">
            <v>CSG (EndPoint)</v>
          </cell>
          <cell r="O159">
            <v>192000</v>
          </cell>
          <cell r="Z159" t="str">
            <v>S1</v>
          </cell>
        </row>
        <row r="160">
          <cell r="F160" t="str">
            <v>Pratik Kadam</v>
          </cell>
          <cell r="K160" t="str">
            <v>CSG (EndPoint)</v>
          </cell>
          <cell r="O160">
            <v>192000</v>
          </cell>
          <cell r="Z160" t="str">
            <v>S1</v>
          </cell>
        </row>
        <row r="161">
          <cell r="F161" t="str">
            <v>Pratik Kadam</v>
          </cell>
          <cell r="K161" t="str">
            <v>CSG (EndPoint)</v>
          </cell>
          <cell r="O161">
            <v>192000</v>
          </cell>
          <cell r="Z161" t="str">
            <v>S1</v>
          </cell>
        </row>
        <row r="162">
          <cell r="F162" t="str">
            <v>Pratik Kadam</v>
          </cell>
          <cell r="K162" t="str">
            <v>CSG (EndPoint)</v>
          </cell>
          <cell r="O162">
            <v>192000</v>
          </cell>
          <cell r="Z162" t="str">
            <v>S1</v>
          </cell>
        </row>
        <row r="163">
          <cell r="F163" t="str">
            <v>Pratik Kadam</v>
          </cell>
          <cell r="K163" t="str">
            <v>CSG (EndPoint)</v>
          </cell>
          <cell r="O163">
            <v>11440.67</v>
          </cell>
          <cell r="Z163" t="str">
            <v>S1</v>
          </cell>
        </row>
        <row r="164">
          <cell r="F164" t="str">
            <v>Pratik Kadam</v>
          </cell>
          <cell r="K164" t="str">
            <v>CSG (EndPoint)</v>
          </cell>
          <cell r="O164">
            <v>3813</v>
          </cell>
          <cell r="Z164" t="str">
            <v>S1</v>
          </cell>
        </row>
        <row r="165">
          <cell r="F165" t="str">
            <v>Pratik Kadam</v>
          </cell>
          <cell r="K165" t="str">
            <v>CSG (EndPoint)</v>
          </cell>
          <cell r="O165">
            <v>192000</v>
          </cell>
          <cell r="Z165" t="str">
            <v>S1</v>
          </cell>
        </row>
        <row r="166">
          <cell r="F166" t="str">
            <v>Pratik Kadam</v>
          </cell>
          <cell r="K166" t="str">
            <v>CSG (EndPoint)</v>
          </cell>
          <cell r="O166">
            <v>155932</v>
          </cell>
          <cell r="Z166" t="str">
            <v>S1</v>
          </cell>
        </row>
        <row r="167">
          <cell r="F167" t="str">
            <v>Pratik Kadam</v>
          </cell>
          <cell r="K167" t="str">
            <v>CSG (EndPoint)</v>
          </cell>
          <cell r="O167">
            <v>192000</v>
          </cell>
          <cell r="Z167" t="str">
            <v>S1</v>
          </cell>
        </row>
        <row r="168">
          <cell r="F168" t="str">
            <v>Pratik Kadam</v>
          </cell>
          <cell r="K168" t="str">
            <v>CSG (EndPoint)</v>
          </cell>
          <cell r="O168">
            <v>79500</v>
          </cell>
          <cell r="Z168" t="str">
            <v>S1</v>
          </cell>
        </row>
        <row r="169">
          <cell r="F169" t="str">
            <v>Richa Tiwari</v>
          </cell>
          <cell r="K169" t="str">
            <v>CSG (EndPoint)</v>
          </cell>
          <cell r="O169">
            <v>238000</v>
          </cell>
          <cell r="Z169" t="str">
            <v>S1</v>
          </cell>
        </row>
        <row r="170">
          <cell r="F170" t="str">
            <v>Richa Tiwari</v>
          </cell>
          <cell r="K170" t="str">
            <v>CSG (EndPoint)</v>
          </cell>
          <cell r="O170">
            <v>12926</v>
          </cell>
          <cell r="Z170" t="str">
            <v>S1</v>
          </cell>
        </row>
        <row r="171">
          <cell r="F171" t="str">
            <v>Richa Tiwari</v>
          </cell>
          <cell r="K171" t="str">
            <v>CSG (EndPoint)</v>
          </cell>
          <cell r="O171">
            <v>1089000</v>
          </cell>
          <cell r="Z171" t="str">
            <v>S1</v>
          </cell>
        </row>
        <row r="172">
          <cell r="F172" t="str">
            <v>Richa Tiwari</v>
          </cell>
          <cell r="K172" t="str">
            <v>CSG (EndPoint)</v>
          </cell>
          <cell r="O172">
            <v>3570000</v>
          </cell>
          <cell r="Z172" t="str">
            <v>S1</v>
          </cell>
        </row>
        <row r="173">
          <cell r="F173" t="str">
            <v>Richa Tiwari</v>
          </cell>
          <cell r="K173" t="str">
            <v>CSG (EndPoint)</v>
          </cell>
          <cell r="O173">
            <v>181050</v>
          </cell>
          <cell r="Z173" t="str">
            <v>S1</v>
          </cell>
        </row>
        <row r="174">
          <cell r="F174" t="str">
            <v>Richa Tiwari</v>
          </cell>
          <cell r="K174" t="str">
            <v>CSG (EndPoint)</v>
          </cell>
          <cell r="O174">
            <v>419500</v>
          </cell>
          <cell r="Z174" t="str">
            <v>S1</v>
          </cell>
        </row>
        <row r="175">
          <cell r="F175" t="str">
            <v>Richa Tiwari</v>
          </cell>
          <cell r="K175" t="str">
            <v>CSG (EndPoint)</v>
          </cell>
          <cell r="O175">
            <v>11067000</v>
          </cell>
          <cell r="Z175" t="str">
            <v>S1</v>
          </cell>
        </row>
        <row r="176">
          <cell r="F176" t="str">
            <v>Richa Tiwari</v>
          </cell>
          <cell r="K176" t="str">
            <v>CSG (EndPoint)</v>
          </cell>
          <cell r="O176">
            <v>238000</v>
          </cell>
          <cell r="Z176" t="str">
            <v>S1</v>
          </cell>
        </row>
        <row r="177">
          <cell r="F177" t="str">
            <v>Richa Tiwari</v>
          </cell>
          <cell r="K177" t="str">
            <v>CSG (EndPoint)</v>
          </cell>
          <cell r="O177">
            <v>2380000</v>
          </cell>
          <cell r="Z177" t="str">
            <v>S1</v>
          </cell>
        </row>
        <row r="178">
          <cell r="F178" t="str">
            <v>Richa Tiwari</v>
          </cell>
          <cell r="K178" t="str">
            <v>CSG (EndPoint)</v>
          </cell>
          <cell r="O178">
            <v>201150</v>
          </cell>
          <cell r="Z178" t="str">
            <v>S1</v>
          </cell>
        </row>
        <row r="179">
          <cell r="F179" t="str">
            <v>Richa Tiwari</v>
          </cell>
          <cell r="K179" t="str">
            <v>CSG (EndPoint)</v>
          </cell>
          <cell r="O179">
            <v>5843000</v>
          </cell>
          <cell r="Z179" t="str">
            <v>S1</v>
          </cell>
        </row>
        <row r="180">
          <cell r="F180" t="str">
            <v>Richa Tiwari</v>
          </cell>
          <cell r="K180" t="str">
            <v>CSG (EndPoint)</v>
          </cell>
          <cell r="O180">
            <v>958000</v>
          </cell>
          <cell r="Z180" t="str">
            <v>S1</v>
          </cell>
        </row>
        <row r="181">
          <cell r="F181" t="str">
            <v>Richa Tiwari</v>
          </cell>
          <cell r="K181" t="str">
            <v>CSG (EndPoint)</v>
          </cell>
          <cell r="O181">
            <v>11886500</v>
          </cell>
          <cell r="Z181" t="str">
            <v>S1</v>
          </cell>
        </row>
        <row r="182">
          <cell r="F182" t="str">
            <v>Richa Tiwari</v>
          </cell>
          <cell r="K182" t="str">
            <v>CSG (EndPoint)</v>
          </cell>
          <cell r="O182">
            <v>1133500</v>
          </cell>
          <cell r="Z182" t="str">
            <v>S1</v>
          </cell>
        </row>
        <row r="183">
          <cell r="F183" t="str">
            <v>Richa Tiwari</v>
          </cell>
          <cell r="K183" t="str">
            <v>CSG (EndPoint)</v>
          </cell>
          <cell r="O183">
            <v>119000</v>
          </cell>
          <cell r="Z183" t="str">
            <v>S1</v>
          </cell>
        </row>
        <row r="184">
          <cell r="F184" t="str">
            <v>Richa Tiwari</v>
          </cell>
          <cell r="K184" t="str">
            <v>CSG (EndPoint)</v>
          </cell>
          <cell r="O184">
            <v>238000</v>
          </cell>
          <cell r="Z184" t="str">
            <v>S1</v>
          </cell>
        </row>
        <row r="185">
          <cell r="F185" t="str">
            <v>Richa Tiwari</v>
          </cell>
          <cell r="K185" t="str">
            <v>CSG (EndPoint)</v>
          </cell>
          <cell r="O185">
            <v>119000</v>
          </cell>
          <cell r="Z185" t="str">
            <v>S1</v>
          </cell>
        </row>
        <row r="186">
          <cell r="F186" t="str">
            <v>Richa Tiwari</v>
          </cell>
          <cell r="K186" t="str">
            <v>CSG (EndPoint)</v>
          </cell>
          <cell r="O186">
            <v>119000</v>
          </cell>
          <cell r="Z186" t="str">
            <v>S1</v>
          </cell>
        </row>
        <row r="187">
          <cell r="F187" t="str">
            <v>Richa Tiwari</v>
          </cell>
          <cell r="K187" t="str">
            <v>CSG (EndPoint)</v>
          </cell>
          <cell r="O187">
            <v>42130000</v>
          </cell>
          <cell r="Z187" t="str">
            <v>S1</v>
          </cell>
        </row>
        <row r="188">
          <cell r="F188" t="str">
            <v>Abrar Memon</v>
          </cell>
          <cell r="K188" t="str">
            <v>Cyber Security &amp; Networking</v>
          </cell>
          <cell r="O188">
            <v>21350</v>
          </cell>
          <cell r="Z188" t="str">
            <v>South</v>
          </cell>
        </row>
        <row r="189">
          <cell r="F189" t="str">
            <v>Abrar Memon</v>
          </cell>
          <cell r="K189" t="str">
            <v>Cyber Security &amp; Networking</v>
          </cell>
          <cell r="O189">
            <v>23650</v>
          </cell>
          <cell r="Z189" t="str">
            <v>South</v>
          </cell>
        </row>
        <row r="190">
          <cell r="F190" t="str">
            <v>Ayushman Singh</v>
          </cell>
          <cell r="K190" t="str">
            <v>Cyber Security &amp; Networking</v>
          </cell>
          <cell r="O190">
            <v>73129</v>
          </cell>
          <cell r="Z190" t="str">
            <v>GB</v>
          </cell>
        </row>
        <row r="191">
          <cell r="F191" t="str">
            <v>Chetna Sharma</v>
          </cell>
          <cell r="K191" t="str">
            <v>Cyber Security &amp; Networking</v>
          </cell>
          <cell r="O191">
            <v>524744.72</v>
          </cell>
          <cell r="Z191" t="str">
            <v>S2</v>
          </cell>
        </row>
        <row r="192">
          <cell r="F192" t="str">
            <v>Darshana Patil</v>
          </cell>
          <cell r="K192" t="str">
            <v>Cyber Security &amp; Networking</v>
          </cell>
          <cell r="O192">
            <v>229000</v>
          </cell>
          <cell r="Z192" t="str">
            <v>NA</v>
          </cell>
        </row>
        <row r="193">
          <cell r="F193" t="str">
            <v>Darshana Patil</v>
          </cell>
          <cell r="K193" t="str">
            <v>Cyber Security &amp; Networking</v>
          </cell>
          <cell r="O193">
            <v>99000</v>
          </cell>
          <cell r="Z193" t="str">
            <v>NA</v>
          </cell>
        </row>
        <row r="194">
          <cell r="F194" t="str">
            <v>Chirag Palande</v>
          </cell>
          <cell r="K194" t="str">
            <v>Cyber Security &amp; Networking</v>
          </cell>
          <cell r="O194">
            <v>532500</v>
          </cell>
          <cell r="Z194" t="str">
            <v>S1</v>
          </cell>
        </row>
        <row r="195">
          <cell r="F195" t="str">
            <v>Chirag Palande</v>
          </cell>
          <cell r="K195" t="str">
            <v>Cyber Security &amp; Networking</v>
          </cell>
          <cell r="O195">
            <v>278600</v>
          </cell>
          <cell r="Z195" t="str">
            <v>S1</v>
          </cell>
        </row>
        <row r="196">
          <cell r="F196" t="str">
            <v>Tasneem K</v>
          </cell>
          <cell r="K196" t="str">
            <v>Cyber Security &amp; Networking</v>
          </cell>
          <cell r="O196">
            <v>999360</v>
          </cell>
          <cell r="Z196" t="str">
            <v>S1</v>
          </cell>
        </row>
        <row r="197">
          <cell r="F197" t="str">
            <v>Varsha Ray</v>
          </cell>
          <cell r="K197" t="str">
            <v>Cyber Security &amp; Networking</v>
          </cell>
          <cell r="O197">
            <v>800000</v>
          </cell>
          <cell r="Z197" t="str">
            <v>NA</v>
          </cell>
        </row>
        <row r="198">
          <cell r="F198" t="str">
            <v>Varsha Ray</v>
          </cell>
          <cell r="K198" t="str">
            <v>Cyber Security &amp; Networking</v>
          </cell>
          <cell r="O198">
            <v>7190400</v>
          </cell>
          <cell r="Z198" t="str">
            <v>NA</v>
          </cell>
        </row>
        <row r="199">
          <cell r="F199" t="str">
            <v>Arpit Srivastava</v>
          </cell>
          <cell r="K199" t="str">
            <v>Cyber Security &amp; Networking</v>
          </cell>
          <cell r="O199">
            <v>26160</v>
          </cell>
          <cell r="Z199" t="str">
            <v>NA</v>
          </cell>
        </row>
        <row r="200">
          <cell r="F200" t="str">
            <v>Arpit Srivastava</v>
          </cell>
          <cell r="K200" t="str">
            <v>Cyber Security &amp; Networking</v>
          </cell>
          <cell r="O200">
            <v>537798.32999999996</v>
          </cell>
          <cell r="Z200" t="str">
            <v>NA</v>
          </cell>
        </row>
        <row r="201">
          <cell r="F201" t="str">
            <v>Richa Tiwari</v>
          </cell>
          <cell r="K201" t="str">
            <v>Cyber Security &amp; Networking</v>
          </cell>
          <cell r="O201">
            <v>4000000</v>
          </cell>
          <cell r="Z201" t="str">
            <v>S1</v>
          </cell>
        </row>
        <row r="202">
          <cell r="F202" t="str">
            <v>Richa Tiwari</v>
          </cell>
          <cell r="K202" t="str">
            <v>Cyber Security &amp; Networking</v>
          </cell>
          <cell r="O202">
            <v>10947764.92</v>
          </cell>
          <cell r="Z202" t="str">
            <v>S1</v>
          </cell>
        </row>
        <row r="203">
          <cell r="F203" t="str">
            <v>Richa Tiwari</v>
          </cell>
          <cell r="K203" t="str">
            <v>Cyber Security &amp; Networking</v>
          </cell>
          <cell r="O203">
            <v>345000</v>
          </cell>
          <cell r="Z203" t="str">
            <v>S1</v>
          </cell>
        </row>
        <row r="204">
          <cell r="F204" t="str">
            <v>Richa Tiwari</v>
          </cell>
          <cell r="K204" t="str">
            <v>Cyber Security &amp; Networking</v>
          </cell>
          <cell r="O204">
            <v>25392000</v>
          </cell>
          <cell r="Z204" t="str">
            <v>S1</v>
          </cell>
        </row>
        <row r="205">
          <cell r="F205" t="str">
            <v>Richa Tiwari</v>
          </cell>
          <cell r="K205" t="str">
            <v>Cyber Security &amp; Networking</v>
          </cell>
          <cell r="O205">
            <v>7480583.8600000003</v>
          </cell>
          <cell r="Z205" t="str">
            <v>S1</v>
          </cell>
        </row>
        <row r="206">
          <cell r="F206" t="str">
            <v>Richa Tiwari</v>
          </cell>
          <cell r="K206" t="str">
            <v>Cyber Security &amp; Networking</v>
          </cell>
          <cell r="O206">
            <v>3466333</v>
          </cell>
          <cell r="Z206" t="str">
            <v>S1</v>
          </cell>
        </row>
        <row r="207">
          <cell r="F207" t="str">
            <v>Richa Tiwari</v>
          </cell>
          <cell r="K207" t="str">
            <v>Cyber Security &amp; Networking</v>
          </cell>
          <cell r="O207">
            <v>8000000</v>
          </cell>
          <cell r="Z207" t="str">
            <v>S1</v>
          </cell>
        </row>
        <row r="208">
          <cell r="F208" t="str">
            <v>Richa Tiwari</v>
          </cell>
          <cell r="K208" t="str">
            <v>Cyber Security &amp; Networking</v>
          </cell>
          <cell r="O208">
            <v>295000</v>
          </cell>
          <cell r="Z208" t="str">
            <v>S1</v>
          </cell>
        </row>
        <row r="209">
          <cell r="F209" t="str">
            <v>Richa Tiwari</v>
          </cell>
          <cell r="K209" t="str">
            <v>Cyber Security &amp; Networking</v>
          </cell>
          <cell r="O209">
            <v>8440000</v>
          </cell>
          <cell r="Z209" t="str">
            <v>S1</v>
          </cell>
        </row>
        <row r="210">
          <cell r="F210" t="str">
            <v>Rohit Deshmukh</v>
          </cell>
          <cell r="K210" t="str">
            <v>Cyber Security &amp; Networking</v>
          </cell>
          <cell r="O210">
            <v>729877.5</v>
          </cell>
          <cell r="Z210" t="str">
            <v>S2</v>
          </cell>
        </row>
        <row r="211">
          <cell r="F211" t="str">
            <v>Rohit Deshmukh</v>
          </cell>
          <cell r="K211" t="str">
            <v>Cyber Security &amp; Networking</v>
          </cell>
          <cell r="O211">
            <v>8000</v>
          </cell>
          <cell r="Z211" t="str">
            <v>S2</v>
          </cell>
        </row>
        <row r="212">
          <cell r="F212" t="str">
            <v>Rohit Deshmukh</v>
          </cell>
          <cell r="K212" t="str">
            <v>Cyber Security &amp; Networking</v>
          </cell>
          <cell r="O212">
            <v>7508225</v>
          </cell>
          <cell r="Z212" t="str">
            <v>S2</v>
          </cell>
        </row>
        <row r="213">
          <cell r="F213" t="str">
            <v>Rohit Deshmukh</v>
          </cell>
          <cell r="K213" t="str">
            <v>Cyber Security &amp; Networking</v>
          </cell>
          <cell r="O213">
            <v>825000</v>
          </cell>
          <cell r="Z213" t="str">
            <v>S2</v>
          </cell>
        </row>
        <row r="214">
          <cell r="F214" t="str">
            <v>Rohit Deshmukh</v>
          </cell>
          <cell r="K214" t="str">
            <v>Cyber Security &amp; Networking</v>
          </cell>
          <cell r="O214">
            <v>797750</v>
          </cell>
          <cell r="Z214" t="str">
            <v>S2</v>
          </cell>
        </row>
        <row r="215">
          <cell r="F215" t="str">
            <v>Rohit Deshmukh</v>
          </cell>
          <cell r="K215" t="str">
            <v>Cyber Security &amp; Networking</v>
          </cell>
          <cell r="O215">
            <v>198465</v>
          </cell>
          <cell r="Z215" t="str">
            <v>S2</v>
          </cell>
        </row>
        <row r="216">
          <cell r="F216" t="str">
            <v>Rohit Deshmukh</v>
          </cell>
          <cell r="K216" t="str">
            <v>Cyber Security &amp; Networking</v>
          </cell>
          <cell r="O216">
            <v>163854</v>
          </cell>
          <cell r="Z216" t="str">
            <v>S2</v>
          </cell>
        </row>
        <row r="217">
          <cell r="F217" t="str">
            <v>Hrushikesh Bagade</v>
          </cell>
          <cell r="K217" t="str">
            <v>Cyber Security &amp; Networking</v>
          </cell>
          <cell r="O217">
            <v>287600</v>
          </cell>
          <cell r="Z217" t="str">
            <v>Geo X</v>
          </cell>
        </row>
        <row r="218">
          <cell r="F218" t="str">
            <v>Hrushikesh Bagade</v>
          </cell>
          <cell r="K218" t="str">
            <v>Cyber Security &amp; Networking</v>
          </cell>
          <cell r="O218">
            <v>269272</v>
          </cell>
          <cell r="Z218" t="str">
            <v>Geo X</v>
          </cell>
        </row>
        <row r="219">
          <cell r="F219" t="str">
            <v>Hrushikesh Bagade</v>
          </cell>
          <cell r="K219" t="str">
            <v>Cyber Security &amp; Networking</v>
          </cell>
          <cell r="O219">
            <v>2566178</v>
          </cell>
          <cell r="Z219" t="str">
            <v>Geo X</v>
          </cell>
        </row>
        <row r="220">
          <cell r="F220" t="str">
            <v>Hrushikesh Bagade</v>
          </cell>
          <cell r="K220" t="str">
            <v>Cyber Security &amp; Networking</v>
          </cell>
          <cell r="O220">
            <v>1331348</v>
          </cell>
          <cell r="Z220" t="str">
            <v>Geo X</v>
          </cell>
        </row>
        <row r="221">
          <cell r="F221" t="str">
            <v>Hrushikesh Bagade</v>
          </cell>
          <cell r="K221" t="str">
            <v>Cyber Security &amp; Networking</v>
          </cell>
          <cell r="O221">
            <v>9325000</v>
          </cell>
          <cell r="Z221" t="str">
            <v>Geo X</v>
          </cell>
        </row>
        <row r="222">
          <cell r="F222" t="str">
            <v>Hrushikesh Bagade</v>
          </cell>
          <cell r="K222" t="str">
            <v>Cyber Security &amp; Networking</v>
          </cell>
          <cell r="O222">
            <v>1032784</v>
          </cell>
          <cell r="Z222" t="str">
            <v>Geo X</v>
          </cell>
        </row>
        <row r="223">
          <cell r="F223" t="str">
            <v>Ayushman Singh</v>
          </cell>
          <cell r="K223" t="str">
            <v>Cyber Security &amp; Networking</v>
          </cell>
          <cell r="O223">
            <v>168960</v>
          </cell>
          <cell r="Z223" t="str">
            <v>GB</v>
          </cell>
        </row>
        <row r="224">
          <cell r="F224" t="str">
            <v>Ayushman Singh</v>
          </cell>
          <cell r="K224" t="str">
            <v>Cyber Security &amp; Networking</v>
          </cell>
          <cell r="O224">
            <v>572000</v>
          </cell>
          <cell r="Z224" t="str">
            <v>GB</v>
          </cell>
        </row>
        <row r="225">
          <cell r="F225" t="str">
            <v>Hrushikesh Bagade</v>
          </cell>
          <cell r="K225" t="str">
            <v>Cyber Security &amp; Networking</v>
          </cell>
          <cell r="O225">
            <v>3029670</v>
          </cell>
          <cell r="Z225" t="str">
            <v>Geo X</v>
          </cell>
        </row>
        <row r="226">
          <cell r="F226" t="str">
            <v>Jimesh Shah</v>
          </cell>
          <cell r="K226" t="str">
            <v>Cyber Security &amp; Networking</v>
          </cell>
          <cell r="O226">
            <v>195272</v>
          </cell>
          <cell r="Z226" t="str">
            <v>TL - CB</v>
          </cell>
        </row>
        <row r="227">
          <cell r="F227" t="str">
            <v>Prachi Mayekar</v>
          </cell>
          <cell r="K227" t="str">
            <v>Cyber Security &amp; Networking</v>
          </cell>
          <cell r="O227">
            <v>43400000</v>
          </cell>
          <cell r="Z227" t="str">
            <v>CB</v>
          </cell>
        </row>
        <row r="228">
          <cell r="F228" t="str">
            <v>Prachi Mayekar</v>
          </cell>
          <cell r="K228" t="str">
            <v>Cyber Security &amp; Networking</v>
          </cell>
          <cell r="O228">
            <v>2546045</v>
          </cell>
          <cell r="Z228" t="str">
            <v>CB</v>
          </cell>
        </row>
        <row r="229">
          <cell r="F229" t="str">
            <v>Prachi Mayekar</v>
          </cell>
          <cell r="K229" t="str">
            <v>Cyber Security &amp; Networking</v>
          </cell>
          <cell r="O229">
            <v>1555151</v>
          </cell>
          <cell r="Z229" t="str">
            <v>CB</v>
          </cell>
        </row>
        <row r="230">
          <cell r="F230" t="str">
            <v>Sanjeev Kohli</v>
          </cell>
          <cell r="K230" t="str">
            <v>Cyber Security &amp; Networking</v>
          </cell>
          <cell r="O230">
            <v>21966500</v>
          </cell>
          <cell r="Z230" t="str">
            <v>BU - Geo Expansion</v>
          </cell>
        </row>
        <row r="231">
          <cell r="F231" t="str">
            <v>Shubhangi Srinivasan</v>
          </cell>
          <cell r="K231" t="str">
            <v>Cyber Security &amp; Networking</v>
          </cell>
          <cell r="O231">
            <v>210216.41</v>
          </cell>
          <cell r="Z231" t="str">
            <v>GB</v>
          </cell>
        </row>
        <row r="232">
          <cell r="F232" t="str">
            <v>Shubhangi Srinivasan</v>
          </cell>
          <cell r="K232" t="str">
            <v>Cyber Security &amp; Networking</v>
          </cell>
          <cell r="O232">
            <v>7200000</v>
          </cell>
          <cell r="Z232" t="str">
            <v>GB</v>
          </cell>
        </row>
        <row r="233">
          <cell r="F233" t="str">
            <v>Richa Tiwari</v>
          </cell>
          <cell r="K233" t="str">
            <v>Cyber Security &amp; Networking</v>
          </cell>
          <cell r="O233">
            <v>6750000</v>
          </cell>
          <cell r="Z233" t="str">
            <v>S1</v>
          </cell>
        </row>
        <row r="234">
          <cell r="F234" t="str">
            <v>Richa Tiwari</v>
          </cell>
          <cell r="K234" t="str">
            <v>Cyber Security &amp; Networking</v>
          </cell>
          <cell r="O234">
            <v>134100</v>
          </cell>
          <cell r="Z234" t="str">
            <v>S1</v>
          </cell>
        </row>
        <row r="235">
          <cell r="F235" t="str">
            <v>Riya Bhatt</v>
          </cell>
          <cell r="K235" t="str">
            <v>Cyber Security &amp; Networking</v>
          </cell>
          <cell r="O235">
            <v>4248000</v>
          </cell>
          <cell r="Z235" t="str">
            <v>S1</v>
          </cell>
        </row>
        <row r="236">
          <cell r="F236" t="str">
            <v>Sagar TR</v>
          </cell>
          <cell r="K236" t="str">
            <v>Cyber Security &amp; Networking</v>
          </cell>
          <cell r="O236">
            <v>230359</v>
          </cell>
          <cell r="Z236" t="str">
            <v>South</v>
          </cell>
        </row>
        <row r="237">
          <cell r="F237" t="str">
            <v>Sagar TR</v>
          </cell>
          <cell r="K237" t="str">
            <v>Cyber Security &amp; Networking</v>
          </cell>
          <cell r="O237">
            <v>80955</v>
          </cell>
          <cell r="Z237" t="str">
            <v>South</v>
          </cell>
        </row>
        <row r="238">
          <cell r="F238" t="str">
            <v>Sagar TR</v>
          </cell>
          <cell r="K238" t="str">
            <v>Cyber Security &amp; Networking</v>
          </cell>
          <cell r="O238">
            <v>29635</v>
          </cell>
          <cell r="Z238" t="str">
            <v>South</v>
          </cell>
        </row>
        <row r="239">
          <cell r="F239" t="str">
            <v>Sagar TR</v>
          </cell>
          <cell r="K239" t="str">
            <v>Cyber Security &amp; Networking</v>
          </cell>
          <cell r="O239">
            <v>839290</v>
          </cell>
          <cell r="Z239" t="str">
            <v>South</v>
          </cell>
        </row>
        <row r="240">
          <cell r="F240" t="str">
            <v>Sagar TR</v>
          </cell>
          <cell r="K240" t="str">
            <v>Cyber Security &amp; Networking</v>
          </cell>
          <cell r="O240">
            <v>11130</v>
          </cell>
          <cell r="Z240" t="str">
            <v>South</v>
          </cell>
        </row>
        <row r="241">
          <cell r="F241" t="str">
            <v>Sagar TR</v>
          </cell>
          <cell r="K241" t="str">
            <v>Cyber Security &amp; Networking</v>
          </cell>
          <cell r="O241">
            <v>32000</v>
          </cell>
          <cell r="Z241" t="str">
            <v>South</v>
          </cell>
        </row>
        <row r="242">
          <cell r="F242" t="str">
            <v>Sagar TR</v>
          </cell>
          <cell r="K242" t="str">
            <v>Cyber Security &amp; Networking</v>
          </cell>
          <cell r="O242">
            <v>31000</v>
          </cell>
          <cell r="Z242" t="str">
            <v>South</v>
          </cell>
        </row>
        <row r="243">
          <cell r="F243" t="str">
            <v>Sagar TR</v>
          </cell>
          <cell r="K243" t="str">
            <v>Cyber Security &amp; Networking</v>
          </cell>
          <cell r="O243">
            <v>162000</v>
          </cell>
          <cell r="Z243" t="str">
            <v>South</v>
          </cell>
        </row>
        <row r="244">
          <cell r="F244" t="str">
            <v>Sagar TR</v>
          </cell>
          <cell r="K244" t="str">
            <v>Cyber Security &amp; Networking</v>
          </cell>
          <cell r="O244">
            <v>147150</v>
          </cell>
          <cell r="Z244" t="str">
            <v>South</v>
          </cell>
        </row>
        <row r="245">
          <cell r="F245" t="str">
            <v>Shilpa Kavde</v>
          </cell>
          <cell r="K245" t="str">
            <v>Cyber Security &amp; Networking</v>
          </cell>
          <cell r="O245">
            <v>800000</v>
          </cell>
          <cell r="Z245" t="str">
            <v>CB</v>
          </cell>
        </row>
        <row r="246">
          <cell r="F246" t="str">
            <v>Shilpa Kavde</v>
          </cell>
          <cell r="K246" t="str">
            <v>Cyber Security &amp; Networking</v>
          </cell>
          <cell r="O246">
            <v>10537500</v>
          </cell>
          <cell r="Z246" t="str">
            <v>CB</v>
          </cell>
        </row>
        <row r="247">
          <cell r="F247" t="str">
            <v>Shilpa Kavde</v>
          </cell>
          <cell r="K247" t="str">
            <v>Cyber Security &amp; Networking</v>
          </cell>
          <cell r="O247">
            <v>16500</v>
          </cell>
          <cell r="Z247" t="str">
            <v>CB</v>
          </cell>
        </row>
        <row r="248">
          <cell r="F248" t="str">
            <v>Shubhangi Srinivasan</v>
          </cell>
          <cell r="K248" t="str">
            <v>Cyber Security &amp; Networking</v>
          </cell>
          <cell r="O248">
            <v>659812.5</v>
          </cell>
          <cell r="Z248" t="str">
            <v>GB</v>
          </cell>
        </row>
        <row r="249">
          <cell r="F249" t="str">
            <v>Shubhangi Srinivasan</v>
          </cell>
          <cell r="K249" t="str">
            <v>Cyber Security &amp; Networking</v>
          </cell>
          <cell r="O249">
            <v>840000</v>
          </cell>
          <cell r="Z249" t="str">
            <v>GB</v>
          </cell>
        </row>
        <row r="250">
          <cell r="F250" t="str">
            <v>Shubhangi Srinivasan</v>
          </cell>
          <cell r="K250" t="str">
            <v>Cyber Security &amp; Networking</v>
          </cell>
          <cell r="O250">
            <v>659812.5</v>
          </cell>
          <cell r="Z250" t="str">
            <v>GB</v>
          </cell>
        </row>
        <row r="251">
          <cell r="F251" t="str">
            <v>Shubhangi Srinivasan</v>
          </cell>
          <cell r="K251" t="str">
            <v>Cyber Security &amp; Networking</v>
          </cell>
          <cell r="O251">
            <v>501000</v>
          </cell>
          <cell r="Z251" t="str">
            <v>GB</v>
          </cell>
        </row>
        <row r="252">
          <cell r="F252" t="str">
            <v>Shubhangi Srinivasan</v>
          </cell>
          <cell r="K252" t="str">
            <v>Cyber Security &amp; Networking</v>
          </cell>
          <cell r="O252">
            <v>286651</v>
          </cell>
          <cell r="Z252" t="str">
            <v>GB</v>
          </cell>
        </row>
        <row r="253">
          <cell r="F253" t="str">
            <v>Shubhangi Srinivasan</v>
          </cell>
          <cell r="K253" t="str">
            <v>Cyber Security &amp; Networking</v>
          </cell>
          <cell r="O253">
            <v>9750</v>
          </cell>
          <cell r="Z253" t="str">
            <v>GB</v>
          </cell>
        </row>
        <row r="254">
          <cell r="F254" t="str">
            <v>Shubhangi Srinivasan</v>
          </cell>
          <cell r="K254" t="str">
            <v>Cyber Security &amp; Networking</v>
          </cell>
          <cell r="O254">
            <v>371520</v>
          </cell>
          <cell r="Z254" t="str">
            <v>GB</v>
          </cell>
        </row>
        <row r="255">
          <cell r="F255" t="str">
            <v>Shubhangi Srinivasan</v>
          </cell>
          <cell r="K255" t="str">
            <v>Cyber Security &amp; Networking</v>
          </cell>
          <cell r="O255">
            <v>600000</v>
          </cell>
          <cell r="Z255" t="str">
            <v>GB</v>
          </cell>
        </row>
        <row r="256">
          <cell r="F256" t="str">
            <v>Shubhangi Srinivasan</v>
          </cell>
          <cell r="K256" t="str">
            <v>Cyber Security &amp; Networking</v>
          </cell>
          <cell r="O256">
            <v>20617402</v>
          </cell>
          <cell r="Z256" t="str">
            <v>GB</v>
          </cell>
        </row>
        <row r="257">
          <cell r="F257" t="str">
            <v>Shubhangi Srinivasan</v>
          </cell>
          <cell r="K257" t="str">
            <v>Cyber Security &amp; Networking</v>
          </cell>
          <cell r="O257">
            <v>2611609.2000000002</v>
          </cell>
          <cell r="Z257" t="str">
            <v>GB</v>
          </cell>
        </row>
        <row r="258">
          <cell r="F258" t="str">
            <v>Shubhangi Srinivasan</v>
          </cell>
          <cell r="K258" t="str">
            <v>Cyber Security &amp; Networking</v>
          </cell>
          <cell r="O258">
            <v>20617402</v>
          </cell>
          <cell r="Z258" t="str">
            <v>GB</v>
          </cell>
        </row>
        <row r="259">
          <cell r="F259" t="str">
            <v>Tasneem K</v>
          </cell>
          <cell r="K259" t="str">
            <v>Cyber Security &amp; Networking</v>
          </cell>
          <cell r="O259">
            <v>33000000</v>
          </cell>
          <cell r="Z259" t="str">
            <v>S1</v>
          </cell>
        </row>
        <row r="260">
          <cell r="F260" t="str">
            <v>Jay Rushi</v>
          </cell>
          <cell r="K260" t="str">
            <v>Cyber Security &amp; Networking</v>
          </cell>
          <cell r="O260">
            <v>150000</v>
          </cell>
          <cell r="Z260" t="str">
            <v>GB</v>
          </cell>
        </row>
        <row r="261">
          <cell r="F261" t="str">
            <v>Jay Rushi</v>
          </cell>
          <cell r="K261" t="str">
            <v>Cyber Security &amp; Networking</v>
          </cell>
          <cell r="O261">
            <v>127119</v>
          </cell>
          <cell r="Z261" t="str">
            <v>GB</v>
          </cell>
        </row>
        <row r="262">
          <cell r="F262" t="str">
            <v>Jay Rushi</v>
          </cell>
          <cell r="K262" t="str">
            <v>Cyber Security &amp; Networking</v>
          </cell>
          <cell r="O262">
            <v>11000</v>
          </cell>
          <cell r="Z262" t="str">
            <v>GB</v>
          </cell>
        </row>
        <row r="263">
          <cell r="F263" t="str">
            <v>Jay Rushi</v>
          </cell>
          <cell r="K263" t="str">
            <v>Cyber Security &amp; Networking</v>
          </cell>
          <cell r="O263">
            <v>38395</v>
          </cell>
          <cell r="Z263" t="str">
            <v>GB</v>
          </cell>
        </row>
        <row r="264">
          <cell r="F264" t="str">
            <v>Yusufali Petiwala</v>
          </cell>
          <cell r="K264" t="str">
            <v>Cyber Security &amp; Networking</v>
          </cell>
          <cell r="O264">
            <v>5000000</v>
          </cell>
          <cell r="Z264" t="str">
            <v>Self</v>
          </cell>
        </row>
        <row r="265">
          <cell r="F265" t="str">
            <v>Rohit Deshmukh</v>
          </cell>
          <cell r="K265" t="str">
            <v>CSG (EndPoint)</v>
          </cell>
          <cell r="O265">
            <v>740000</v>
          </cell>
          <cell r="Z265" t="str">
            <v>S2</v>
          </cell>
        </row>
        <row r="266">
          <cell r="F266" t="str">
            <v>Sagar TR</v>
          </cell>
          <cell r="K266" t="str">
            <v>CSG (EndPoint)</v>
          </cell>
          <cell r="O266">
            <v>30800</v>
          </cell>
          <cell r="Z266" t="str">
            <v>South</v>
          </cell>
        </row>
        <row r="267">
          <cell r="F267" t="str">
            <v>Sagar TR</v>
          </cell>
          <cell r="K267" t="str">
            <v>CSG (EndPoint)</v>
          </cell>
          <cell r="O267">
            <v>128200</v>
          </cell>
          <cell r="Z267" t="str">
            <v>South</v>
          </cell>
        </row>
        <row r="268">
          <cell r="F268" t="str">
            <v>Sagar TR</v>
          </cell>
          <cell r="K268" t="str">
            <v>CSG (EndPoint)</v>
          </cell>
          <cell r="O268">
            <v>147500</v>
          </cell>
          <cell r="Z268" t="str">
            <v>South</v>
          </cell>
        </row>
        <row r="269">
          <cell r="F269" t="str">
            <v>Sagar TR</v>
          </cell>
          <cell r="K269" t="str">
            <v>CSG (EndPoint)</v>
          </cell>
          <cell r="O269">
            <v>128200</v>
          </cell>
          <cell r="Z269" t="str">
            <v>South</v>
          </cell>
        </row>
        <row r="270">
          <cell r="F270" t="str">
            <v>Sagar TR</v>
          </cell>
          <cell r="K270" t="str">
            <v>CSG (EndPoint)</v>
          </cell>
          <cell r="O270">
            <v>6950</v>
          </cell>
          <cell r="Z270" t="str">
            <v>South</v>
          </cell>
        </row>
        <row r="271">
          <cell r="F271" t="str">
            <v>Sagar TR</v>
          </cell>
          <cell r="K271" t="str">
            <v>CSG (EndPoint)</v>
          </cell>
          <cell r="O271">
            <v>1717500</v>
          </cell>
          <cell r="Z271" t="str">
            <v>South</v>
          </cell>
        </row>
        <row r="272">
          <cell r="F272" t="str">
            <v>Sagar TR</v>
          </cell>
          <cell r="K272" t="str">
            <v>CSG (EndPoint)</v>
          </cell>
          <cell r="O272">
            <v>1717500</v>
          </cell>
          <cell r="Z272" t="str">
            <v>South</v>
          </cell>
        </row>
        <row r="273">
          <cell r="F273" t="str">
            <v>Sagar TR</v>
          </cell>
          <cell r="K273" t="str">
            <v>CSG (EndPoint)</v>
          </cell>
          <cell r="O273">
            <v>70000</v>
          </cell>
          <cell r="Z273" t="str">
            <v>South</v>
          </cell>
        </row>
        <row r="274">
          <cell r="F274" t="str">
            <v>Sagar TR</v>
          </cell>
          <cell r="K274" t="str">
            <v>CSG (EndPoint)</v>
          </cell>
          <cell r="O274">
            <v>230000</v>
          </cell>
          <cell r="Z274" t="str">
            <v>South</v>
          </cell>
        </row>
        <row r="275">
          <cell r="F275" t="str">
            <v>Sagar TR</v>
          </cell>
          <cell r="K275" t="str">
            <v>CSG (EndPoint)</v>
          </cell>
          <cell r="O275">
            <v>317678</v>
          </cell>
          <cell r="Z275" t="str">
            <v>South</v>
          </cell>
        </row>
        <row r="276">
          <cell r="F276" t="str">
            <v>Sagar TR</v>
          </cell>
          <cell r="K276" t="str">
            <v>CSG (EndPoint)</v>
          </cell>
          <cell r="O276">
            <v>101350</v>
          </cell>
          <cell r="Z276" t="str">
            <v>South</v>
          </cell>
        </row>
        <row r="277">
          <cell r="F277" t="str">
            <v>Sagar TR</v>
          </cell>
          <cell r="K277" t="str">
            <v>CSG (EndPoint)</v>
          </cell>
          <cell r="O277">
            <v>336000</v>
          </cell>
          <cell r="Z277" t="str">
            <v>South</v>
          </cell>
        </row>
        <row r="278">
          <cell r="F278" t="str">
            <v>Sagar TR</v>
          </cell>
          <cell r="K278" t="str">
            <v>CSG (EndPoint)</v>
          </cell>
          <cell r="O278">
            <v>84000</v>
          </cell>
          <cell r="Z278" t="str">
            <v>South</v>
          </cell>
        </row>
        <row r="279">
          <cell r="F279" t="str">
            <v>Sagar TR</v>
          </cell>
          <cell r="K279" t="str">
            <v>CSG (EndPoint)</v>
          </cell>
          <cell r="O279">
            <v>46000</v>
          </cell>
          <cell r="Z279" t="str">
            <v>South</v>
          </cell>
        </row>
        <row r="280">
          <cell r="F280" t="str">
            <v>Sagar TR</v>
          </cell>
          <cell r="K280" t="str">
            <v>CSG (EndPoint)</v>
          </cell>
          <cell r="O280">
            <v>36000</v>
          </cell>
          <cell r="Z280" t="str">
            <v>South</v>
          </cell>
        </row>
        <row r="281">
          <cell r="F281" t="str">
            <v>Sagar TR</v>
          </cell>
          <cell r="K281" t="str">
            <v>CSG (EndPoint)</v>
          </cell>
          <cell r="O281">
            <v>36000</v>
          </cell>
          <cell r="Z281" t="str">
            <v>South</v>
          </cell>
        </row>
        <row r="282">
          <cell r="F282" t="str">
            <v>Sagar TR</v>
          </cell>
          <cell r="K282" t="str">
            <v>CSG (EndPoint)</v>
          </cell>
          <cell r="O282">
            <v>321000</v>
          </cell>
          <cell r="Z282" t="str">
            <v>South</v>
          </cell>
        </row>
        <row r="283">
          <cell r="F283" t="str">
            <v>Sagar TR</v>
          </cell>
          <cell r="K283" t="str">
            <v>CSG (EndPoint)</v>
          </cell>
          <cell r="O283">
            <v>2112000</v>
          </cell>
          <cell r="Z283" t="str">
            <v>South</v>
          </cell>
        </row>
        <row r="284">
          <cell r="F284" t="str">
            <v>Sagar TR</v>
          </cell>
          <cell r="K284" t="str">
            <v>CSG (EndPoint)</v>
          </cell>
          <cell r="O284">
            <v>111300</v>
          </cell>
          <cell r="Z284" t="str">
            <v>South</v>
          </cell>
        </row>
        <row r="285">
          <cell r="F285" t="str">
            <v>Sagar TR</v>
          </cell>
          <cell r="K285" t="str">
            <v>CSG (EndPoint)</v>
          </cell>
          <cell r="O285">
            <v>30000</v>
          </cell>
          <cell r="Z285" t="str">
            <v>South</v>
          </cell>
        </row>
        <row r="286">
          <cell r="F286" t="str">
            <v>Sagar TR</v>
          </cell>
          <cell r="K286" t="str">
            <v>CSG (EndPoint)</v>
          </cell>
          <cell r="O286">
            <v>118800</v>
          </cell>
          <cell r="Z286" t="str">
            <v>South</v>
          </cell>
        </row>
        <row r="287">
          <cell r="F287" t="str">
            <v>Sagar TR</v>
          </cell>
          <cell r="K287" t="str">
            <v>CSG (EndPoint)</v>
          </cell>
          <cell r="O287">
            <v>744000</v>
          </cell>
          <cell r="Z287" t="str">
            <v>South</v>
          </cell>
        </row>
        <row r="288">
          <cell r="F288" t="str">
            <v>Sagar TR</v>
          </cell>
          <cell r="K288" t="str">
            <v>CSG (EndPoint)</v>
          </cell>
          <cell r="O288">
            <v>250000</v>
          </cell>
          <cell r="Z288" t="str">
            <v>South</v>
          </cell>
        </row>
        <row r="289">
          <cell r="F289" t="str">
            <v>Sagar TR</v>
          </cell>
          <cell r="K289" t="str">
            <v>CSG (EndPoint)</v>
          </cell>
          <cell r="O289">
            <v>93250</v>
          </cell>
          <cell r="Z289" t="str">
            <v>South</v>
          </cell>
        </row>
        <row r="290">
          <cell r="F290" t="str">
            <v>Jitesh Rajput</v>
          </cell>
          <cell r="K290" t="str">
            <v>Professional Services</v>
          </cell>
          <cell r="O290">
            <v>5250</v>
          </cell>
          <cell r="Z290" t="str">
            <v xml:space="preserve">BU - Cloud </v>
          </cell>
        </row>
        <row r="291">
          <cell r="F291" t="str">
            <v>Jitesh Rajput</v>
          </cell>
          <cell r="K291" t="str">
            <v>Professional Services</v>
          </cell>
          <cell r="O291">
            <v>5400</v>
          </cell>
          <cell r="Z291" t="str">
            <v xml:space="preserve">BU - Cloud </v>
          </cell>
        </row>
        <row r="292">
          <cell r="F292" t="str">
            <v>Jitesh Rajput</v>
          </cell>
          <cell r="K292" t="str">
            <v>Professional Services</v>
          </cell>
          <cell r="O292">
            <v>4830</v>
          </cell>
          <cell r="Z292" t="str">
            <v xml:space="preserve">BU - Cloud </v>
          </cell>
        </row>
        <row r="293">
          <cell r="F293" t="str">
            <v>Jimesh Shah</v>
          </cell>
          <cell r="K293" t="str">
            <v>Cloud</v>
          </cell>
          <cell r="O293">
            <v>32000</v>
          </cell>
          <cell r="Z293" t="str">
            <v>TL - CB</v>
          </cell>
        </row>
        <row r="294">
          <cell r="F294" t="str">
            <v>Hrushikesh Bagade</v>
          </cell>
          <cell r="K294" t="str">
            <v>CSG (EndPoint)</v>
          </cell>
          <cell r="O294">
            <v>846144</v>
          </cell>
          <cell r="Z294" t="str">
            <v>Geo X</v>
          </cell>
        </row>
        <row r="295">
          <cell r="F295" t="str">
            <v>Hrushikesh Bagade</v>
          </cell>
          <cell r="K295" t="str">
            <v>CSG (EndPoint)</v>
          </cell>
          <cell r="O295">
            <v>846144</v>
          </cell>
          <cell r="Z295" t="str">
            <v>Geo X</v>
          </cell>
        </row>
        <row r="296">
          <cell r="F296" t="str">
            <v>Hrushikesh Bagade</v>
          </cell>
          <cell r="K296" t="str">
            <v>CSG (EndPoint)</v>
          </cell>
          <cell r="O296">
            <v>634608</v>
          </cell>
          <cell r="Z296" t="str">
            <v>Geo X</v>
          </cell>
        </row>
        <row r="297">
          <cell r="F297" t="str">
            <v>Hrushikesh Bagade</v>
          </cell>
          <cell r="K297" t="str">
            <v>CSG (EndPoint)</v>
          </cell>
          <cell r="O297">
            <v>282048</v>
          </cell>
          <cell r="Z297" t="str">
            <v>Geo X</v>
          </cell>
        </row>
        <row r="298">
          <cell r="F298" t="str">
            <v>Hrushikesh Bagade</v>
          </cell>
          <cell r="K298" t="str">
            <v>CSG (EndPoint)</v>
          </cell>
          <cell r="O298">
            <v>211536</v>
          </cell>
          <cell r="Z298" t="str">
            <v>Geo X</v>
          </cell>
        </row>
        <row r="299">
          <cell r="F299" t="str">
            <v>Hrushikesh Bagade</v>
          </cell>
          <cell r="K299" t="str">
            <v>CSG (EndPoint)</v>
          </cell>
          <cell r="O299">
            <v>70512</v>
          </cell>
          <cell r="Z299" t="str">
            <v>Geo X</v>
          </cell>
        </row>
        <row r="300">
          <cell r="F300" t="str">
            <v>Hrushikesh Bagade</v>
          </cell>
          <cell r="K300" t="str">
            <v>CSG (EndPoint)</v>
          </cell>
          <cell r="O300">
            <v>282048</v>
          </cell>
          <cell r="Z300" t="str">
            <v>Geo X</v>
          </cell>
        </row>
        <row r="301">
          <cell r="F301" t="str">
            <v>Hrushikesh Bagade</v>
          </cell>
          <cell r="K301" t="str">
            <v>CSG (EndPoint)</v>
          </cell>
          <cell r="O301">
            <v>141024</v>
          </cell>
          <cell r="Z301" t="str">
            <v>Geo X</v>
          </cell>
        </row>
        <row r="302">
          <cell r="F302" t="str">
            <v>Hrushikesh Bagade</v>
          </cell>
          <cell r="K302" t="str">
            <v>CSG (EndPoint)</v>
          </cell>
          <cell r="O302">
            <v>70512</v>
          </cell>
          <cell r="Z302" t="str">
            <v>Geo X</v>
          </cell>
        </row>
        <row r="303">
          <cell r="F303" t="str">
            <v>Hrushikesh Bagade</v>
          </cell>
          <cell r="K303" t="str">
            <v>CSG (EndPoint)</v>
          </cell>
          <cell r="O303">
            <v>70512</v>
          </cell>
          <cell r="Z303" t="str">
            <v>Geo X</v>
          </cell>
        </row>
        <row r="304">
          <cell r="F304" t="str">
            <v>Hrushikesh Bagade</v>
          </cell>
          <cell r="K304" t="str">
            <v>CSG (EndPoint)</v>
          </cell>
          <cell r="O304">
            <v>141024</v>
          </cell>
          <cell r="Z304" t="str">
            <v>Geo X</v>
          </cell>
        </row>
        <row r="305">
          <cell r="F305" t="str">
            <v>Hrushikesh Bagade</v>
          </cell>
          <cell r="K305" t="str">
            <v>CSG (EndPoint)</v>
          </cell>
          <cell r="O305">
            <v>70512</v>
          </cell>
          <cell r="Z305" t="str">
            <v>Geo X</v>
          </cell>
        </row>
        <row r="306">
          <cell r="F306" t="str">
            <v>Hrushikesh Bagade</v>
          </cell>
          <cell r="K306" t="str">
            <v>CSG (EndPoint)</v>
          </cell>
          <cell r="O306">
            <v>141024</v>
          </cell>
          <cell r="Z306" t="str">
            <v>Geo X</v>
          </cell>
        </row>
        <row r="307">
          <cell r="F307" t="str">
            <v>Hrushikesh Bagade</v>
          </cell>
          <cell r="K307" t="str">
            <v>CSG (EndPoint)</v>
          </cell>
          <cell r="O307">
            <v>141024</v>
          </cell>
          <cell r="Z307" t="str">
            <v>Geo X</v>
          </cell>
        </row>
        <row r="308">
          <cell r="F308" t="str">
            <v>Hrushikesh Bagade</v>
          </cell>
          <cell r="K308" t="str">
            <v>CSG (EndPoint)</v>
          </cell>
          <cell r="O308">
            <v>211536</v>
          </cell>
          <cell r="Z308" t="str">
            <v>Geo X</v>
          </cell>
        </row>
        <row r="309">
          <cell r="F309" t="str">
            <v>Hrushikesh Bagade</v>
          </cell>
          <cell r="K309" t="str">
            <v>CSG (EndPoint)</v>
          </cell>
          <cell r="O309">
            <v>493584</v>
          </cell>
          <cell r="Z309" t="str">
            <v>Geo X</v>
          </cell>
        </row>
        <row r="310">
          <cell r="F310" t="str">
            <v>Hrushikesh Bagade</v>
          </cell>
          <cell r="K310" t="str">
            <v>CSG (EndPoint)</v>
          </cell>
          <cell r="O310">
            <v>141024</v>
          </cell>
          <cell r="Z310" t="str">
            <v>Geo X</v>
          </cell>
        </row>
        <row r="311">
          <cell r="F311" t="str">
            <v>Hrushikesh Bagade</v>
          </cell>
          <cell r="K311" t="str">
            <v>CSG (EndPoint)</v>
          </cell>
          <cell r="O311">
            <v>70512</v>
          </cell>
          <cell r="Z311" t="str">
            <v>Geo X</v>
          </cell>
        </row>
        <row r="312">
          <cell r="F312" t="str">
            <v>Hrushikesh Bagade</v>
          </cell>
          <cell r="K312" t="str">
            <v>CSG (EndPoint)</v>
          </cell>
          <cell r="O312">
            <v>352560</v>
          </cell>
          <cell r="Z312" t="str">
            <v>Geo X</v>
          </cell>
        </row>
        <row r="313">
          <cell r="F313" t="str">
            <v>Hrushikesh Bagade</v>
          </cell>
          <cell r="K313" t="str">
            <v>CSG (EndPoint)</v>
          </cell>
          <cell r="O313">
            <v>70512</v>
          </cell>
          <cell r="Z313" t="str">
            <v>Geo X</v>
          </cell>
        </row>
        <row r="314">
          <cell r="F314" t="str">
            <v>Hrushikesh Bagade</v>
          </cell>
          <cell r="K314" t="str">
            <v>CSG (EndPoint)</v>
          </cell>
          <cell r="O314">
            <v>70512</v>
          </cell>
          <cell r="Z314" t="str">
            <v>Geo X</v>
          </cell>
        </row>
        <row r="315">
          <cell r="F315" t="str">
            <v>Hrushikesh Bagade</v>
          </cell>
          <cell r="K315" t="str">
            <v>CSG (EndPoint)</v>
          </cell>
          <cell r="O315">
            <v>705120</v>
          </cell>
          <cell r="Z315" t="str">
            <v>Geo X</v>
          </cell>
        </row>
        <row r="316">
          <cell r="F316" t="str">
            <v>Hrushikesh Bagade</v>
          </cell>
          <cell r="K316" t="str">
            <v>CSG (EndPoint)</v>
          </cell>
          <cell r="O316">
            <v>141024</v>
          </cell>
          <cell r="Z316" t="str">
            <v>Geo X</v>
          </cell>
        </row>
        <row r="317">
          <cell r="F317" t="str">
            <v>Hrushikesh Bagade</v>
          </cell>
          <cell r="K317" t="str">
            <v>CSG (EndPoint)</v>
          </cell>
          <cell r="O317">
            <v>70512</v>
          </cell>
          <cell r="Z317" t="str">
            <v>Geo X</v>
          </cell>
        </row>
        <row r="318">
          <cell r="F318" t="str">
            <v>Hrushikesh Bagade</v>
          </cell>
          <cell r="K318" t="str">
            <v>CSG (EndPoint)</v>
          </cell>
          <cell r="O318">
            <v>217500</v>
          </cell>
          <cell r="Z318" t="str">
            <v>Geo X</v>
          </cell>
        </row>
        <row r="319">
          <cell r="F319" t="str">
            <v>Hrushikesh Bagade</v>
          </cell>
          <cell r="K319" t="str">
            <v>CSG (EndPoint)</v>
          </cell>
          <cell r="O319">
            <v>72500</v>
          </cell>
          <cell r="Z319" t="str">
            <v>Geo X</v>
          </cell>
        </row>
        <row r="320">
          <cell r="F320" t="str">
            <v>Hrushikesh Bagade</v>
          </cell>
          <cell r="K320" t="str">
            <v>CSG (EndPoint)</v>
          </cell>
          <cell r="O320">
            <v>145000</v>
          </cell>
          <cell r="Z320" t="str">
            <v>Geo X</v>
          </cell>
        </row>
        <row r="321">
          <cell r="F321" t="str">
            <v>Hrushikesh Bagade</v>
          </cell>
          <cell r="K321" t="str">
            <v>CSG (EndPoint)</v>
          </cell>
          <cell r="O321">
            <v>72500</v>
          </cell>
          <cell r="Z321" t="str">
            <v>Geo X</v>
          </cell>
        </row>
        <row r="322">
          <cell r="F322" t="str">
            <v>Hrushikesh Bagade</v>
          </cell>
          <cell r="K322" t="str">
            <v>CSG (EndPoint)</v>
          </cell>
          <cell r="O322">
            <v>652500</v>
          </cell>
          <cell r="Z322" t="str">
            <v>Geo X</v>
          </cell>
        </row>
        <row r="323">
          <cell r="F323" t="str">
            <v>Hrushikesh Bagade</v>
          </cell>
          <cell r="K323" t="str">
            <v>CSG (EndPoint)</v>
          </cell>
          <cell r="O323">
            <v>580000</v>
          </cell>
          <cell r="Z323" t="str">
            <v>Geo X</v>
          </cell>
        </row>
        <row r="324">
          <cell r="F324" t="str">
            <v>Hrushikesh Bagade</v>
          </cell>
          <cell r="K324" t="str">
            <v>CSG (EndPoint)</v>
          </cell>
          <cell r="O324">
            <v>72500</v>
          </cell>
          <cell r="Z324" t="str">
            <v>Geo X</v>
          </cell>
        </row>
        <row r="325">
          <cell r="F325" t="str">
            <v>Hrushikesh Bagade</v>
          </cell>
          <cell r="K325" t="str">
            <v>CSG (EndPoint)</v>
          </cell>
          <cell r="O325">
            <v>145000</v>
          </cell>
          <cell r="Z325" t="str">
            <v>Geo X</v>
          </cell>
        </row>
        <row r="326">
          <cell r="F326" t="str">
            <v>Hrushikesh Bagade</v>
          </cell>
          <cell r="K326" t="str">
            <v>CSG (EndPoint)</v>
          </cell>
          <cell r="O326">
            <v>725000</v>
          </cell>
          <cell r="Z326" t="str">
            <v>Geo X</v>
          </cell>
        </row>
        <row r="327">
          <cell r="F327" t="str">
            <v>Hrushikesh Bagade</v>
          </cell>
          <cell r="K327" t="str">
            <v>CSG (EndPoint)</v>
          </cell>
          <cell r="O327">
            <v>72500</v>
          </cell>
          <cell r="Z327" t="str">
            <v>Geo X</v>
          </cell>
        </row>
        <row r="328">
          <cell r="F328" t="str">
            <v>Hrushikesh Bagade</v>
          </cell>
          <cell r="K328" t="str">
            <v>CSG (EndPoint)</v>
          </cell>
          <cell r="O328">
            <v>72500</v>
          </cell>
          <cell r="Z328" t="str">
            <v>Geo X</v>
          </cell>
        </row>
        <row r="329">
          <cell r="F329" t="str">
            <v>Hrushikesh Bagade</v>
          </cell>
          <cell r="K329" t="str">
            <v>CSG (EndPoint)</v>
          </cell>
          <cell r="O329">
            <v>217500</v>
          </cell>
          <cell r="Z329" t="str">
            <v>Geo X</v>
          </cell>
        </row>
        <row r="330">
          <cell r="F330" t="str">
            <v>Hrushikesh Bagade</v>
          </cell>
          <cell r="K330" t="str">
            <v>CSG (EndPoint)</v>
          </cell>
          <cell r="O330">
            <v>72500</v>
          </cell>
          <cell r="Z330" t="str">
            <v>Geo X</v>
          </cell>
        </row>
        <row r="331">
          <cell r="F331" t="str">
            <v>Shilpa Kavde</v>
          </cell>
          <cell r="K331" t="str">
            <v>CSG (EndPoint)</v>
          </cell>
          <cell r="O331">
            <v>230000</v>
          </cell>
          <cell r="Z331" t="str">
            <v>CB</v>
          </cell>
        </row>
        <row r="332">
          <cell r="F332" t="str">
            <v>Shilpa Kavde</v>
          </cell>
          <cell r="K332" t="str">
            <v>CSG (EndPoint)</v>
          </cell>
          <cell r="O332">
            <v>6000</v>
          </cell>
          <cell r="Z332" t="str">
            <v>CB</v>
          </cell>
        </row>
        <row r="333">
          <cell r="F333" t="str">
            <v>Shilpa Kavde</v>
          </cell>
          <cell r="K333" t="str">
            <v>CSG (EndPoint)</v>
          </cell>
          <cell r="O333">
            <v>847460</v>
          </cell>
          <cell r="Z333" t="str">
            <v>CB</v>
          </cell>
        </row>
        <row r="334">
          <cell r="F334" t="str">
            <v>Shilpa Kavde</v>
          </cell>
          <cell r="K334" t="str">
            <v>CSG (EndPoint)</v>
          </cell>
          <cell r="O334">
            <v>830800</v>
          </cell>
          <cell r="Z334" t="str">
            <v>CB</v>
          </cell>
        </row>
        <row r="335">
          <cell r="F335" t="str">
            <v>Vidula Chawan</v>
          </cell>
          <cell r="K335" t="str">
            <v>CSG (EndPoint)</v>
          </cell>
          <cell r="O335">
            <v>7600</v>
          </cell>
          <cell r="Z335" t="str">
            <v>CB</v>
          </cell>
        </row>
        <row r="336">
          <cell r="F336" t="str">
            <v>Sankeerth Bhargav</v>
          </cell>
          <cell r="K336" t="str">
            <v>CSG (EndPoint)</v>
          </cell>
          <cell r="O336">
            <v>261350</v>
          </cell>
          <cell r="Z336" t="str">
            <v>S2</v>
          </cell>
        </row>
        <row r="337">
          <cell r="F337" t="str">
            <v>Sankeerth Bhargav</v>
          </cell>
          <cell r="K337" t="str">
            <v>CSG (EndPoint)</v>
          </cell>
          <cell r="O337">
            <v>355850</v>
          </cell>
          <cell r="Z337" t="str">
            <v>S2</v>
          </cell>
        </row>
        <row r="338">
          <cell r="F338" t="str">
            <v>Sankeerth Bhargav</v>
          </cell>
          <cell r="K338" t="str">
            <v>CSG (EndPoint)</v>
          </cell>
          <cell r="O338">
            <v>1548000</v>
          </cell>
          <cell r="Z338" t="str">
            <v>S2</v>
          </cell>
        </row>
        <row r="339">
          <cell r="F339" t="str">
            <v>Shahbaz Khan</v>
          </cell>
          <cell r="K339" t="str">
            <v>CSG (EndPoint)</v>
          </cell>
          <cell r="O339">
            <v>72542</v>
          </cell>
          <cell r="Z339" t="str">
            <v>South</v>
          </cell>
        </row>
        <row r="340">
          <cell r="F340" t="str">
            <v>Shahbaz Khan</v>
          </cell>
          <cell r="K340" t="str">
            <v>CSG (EndPoint)</v>
          </cell>
          <cell r="O340">
            <v>180250</v>
          </cell>
          <cell r="Z340" t="str">
            <v>South</v>
          </cell>
        </row>
        <row r="341">
          <cell r="F341" t="str">
            <v>Shahbaz Khan</v>
          </cell>
          <cell r="K341" t="str">
            <v>CSG (EndPoint)</v>
          </cell>
          <cell r="O341">
            <v>5180</v>
          </cell>
          <cell r="Z341" t="str">
            <v>South</v>
          </cell>
        </row>
        <row r="342">
          <cell r="F342" t="str">
            <v>Shahbaz Khan</v>
          </cell>
          <cell r="K342" t="str">
            <v>CSG (EndPoint)</v>
          </cell>
          <cell r="O342">
            <v>163315</v>
          </cell>
          <cell r="Z342" t="str">
            <v>South</v>
          </cell>
        </row>
        <row r="343">
          <cell r="F343" t="str">
            <v>Shahbaz Khan</v>
          </cell>
          <cell r="K343" t="str">
            <v>Cyber Security &amp; Networking</v>
          </cell>
          <cell r="O343">
            <v>961984</v>
          </cell>
          <cell r="Z343" t="str">
            <v>South</v>
          </cell>
        </row>
        <row r="344">
          <cell r="F344" t="str">
            <v>Shahbaz Khan</v>
          </cell>
          <cell r="K344" t="str">
            <v>Cyber Security &amp; Networking</v>
          </cell>
          <cell r="O344">
            <v>961984</v>
          </cell>
          <cell r="Z344" t="str">
            <v>South</v>
          </cell>
        </row>
        <row r="345">
          <cell r="F345" t="str">
            <v>Shahbaz Khan</v>
          </cell>
          <cell r="K345" t="str">
            <v>Cyber Security &amp; Networking</v>
          </cell>
          <cell r="O345">
            <v>961984</v>
          </cell>
          <cell r="Z345" t="str">
            <v>South</v>
          </cell>
        </row>
        <row r="346">
          <cell r="F346" t="str">
            <v>Shahbaz Khan</v>
          </cell>
          <cell r="K346" t="str">
            <v>Cyber Security &amp; Networking</v>
          </cell>
          <cell r="O346">
            <v>961984</v>
          </cell>
          <cell r="Z346" t="str">
            <v>South</v>
          </cell>
        </row>
        <row r="347">
          <cell r="F347" t="str">
            <v>Shaik Khadhar</v>
          </cell>
          <cell r="K347" t="str">
            <v>CSG (EndPoint)</v>
          </cell>
          <cell r="O347">
            <v>30480000</v>
          </cell>
          <cell r="Z347" t="str">
            <v>South</v>
          </cell>
        </row>
        <row r="348">
          <cell r="F348" t="str">
            <v>Shilpa Kavde</v>
          </cell>
          <cell r="K348" t="str">
            <v>CSG (EndPoint)</v>
          </cell>
          <cell r="O348">
            <v>230000</v>
          </cell>
          <cell r="Z348" t="str">
            <v>CB</v>
          </cell>
        </row>
        <row r="349">
          <cell r="F349" t="str">
            <v>Pratik Kadam</v>
          </cell>
          <cell r="K349" t="str">
            <v>CSG (EndPoint)</v>
          </cell>
          <cell r="O349">
            <v>674901.69</v>
          </cell>
          <cell r="Z349" t="str">
            <v>S1</v>
          </cell>
        </row>
        <row r="350">
          <cell r="F350" t="str">
            <v>Vidula Chawan</v>
          </cell>
          <cell r="K350" t="str">
            <v>CSG (EndPoint)</v>
          </cell>
          <cell r="O350">
            <v>22000</v>
          </cell>
          <cell r="Z350" t="str">
            <v>CB</v>
          </cell>
        </row>
        <row r="351">
          <cell r="F351" t="str">
            <v>Vidula Chawan</v>
          </cell>
          <cell r="K351" t="str">
            <v>CSG (EndPoint)</v>
          </cell>
          <cell r="O351">
            <v>8800</v>
          </cell>
          <cell r="Z351" t="str">
            <v>CB</v>
          </cell>
        </row>
        <row r="352">
          <cell r="F352" t="str">
            <v>Atharva Karpe</v>
          </cell>
          <cell r="K352" t="str">
            <v>CSG (EndPoint)</v>
          </cell>
          <cell r="O352">
            <v>25340000</v>
          </cell>
          <cell r="Z352" t="str">
            <v>GB</v>
          </cell>
        </row>
        <row r="353">
          <cell r="F353" t="str">
            <v>Atharva Karpe</v>
          </cell>
          <cell r="K353" t="str">
            <v>CSG (EndPoint)</v>
          </cell>
          <cell r="O353">
            <v>2484368</v>
          </cell>
          <cell r="Z353" t="str">
            <v>GB</v>
          </cell>
        </row>
        <row r="354">
          <cell r="F354" t="str">
            <v>Atharva Karpe</v>
          </cell>
          <cell r="K354" t="str">
            <v>CSG (EndPoint)</v>
          </cell>
          <cell r="O354">
            <v>66529</v>
          </cell>
          <cell r="Z354" t="str">
            <v>GB</v>
          </cell>
        </row>
        <row r="355">
          <cell r="F355" t="str">
            <v>Atharva Karpe</v>
          </cell>
          <cell r="K355" t="str">
            <v>CSG (EndPoint)</v>
          </cell>
          <cell r="O355">
            <v>169500</v>
          </cell>
          <cell r="Z355" t="str">
            <v>GB</v>
          </cell>
        </row>
        <row r="356">
          <cell r="F356" t="str">
            <v>Atharva Karpe</v>
          </cell>
          <cell r="K356" t="str">
            <v>CSG (EndPoint)</v>
          </cell>
          <cell r="O356">
            <v>225000</v>
          </cell>
          <cell r="Z356" t="str">
            <v>GB</v>
          </cell>
        </row>
        <row r="357">
          <cell r="F357" t="str">
            <v>Atharva Karpe</v>
          </cell>
          <cell r="K357" t="str">
            <v>CSG (EndPoint)</v>
          </cell>
          <cell r="O357">
            <v>5413000</v>
          </cell>
          <cell r="Z357" t="str">
            <v>GB</v>
          </cell>
        </row>
        <row r="358">
          <cell r="F358" t="str">
            <v>Atharva Karpe</v>
          </cell>
          <cell r="K358" t="str">
            <v>CSG (EndPoint)</v>
          </cell>
          <cell r="O358">
            <v>10095000</v>
          </cell>
          <cell r="Z358" t="str">
            <v>GB</v>
          </cell>
        </row>
        <row r="359">
          <cell r="F359" t="str">
            <v>Atharva Karpe</v>
          </cell>
          <cell r="K359" t="str">
            <v>CSG (EndPoint)</v>
          </cell>
          <cell r="O359">
            <v>87500</v>
          </cell>
          <cell r="Z359" t="str">
            <v>GB</v>
          </cell>
        </row>
        <row r="360">
          <cell r="F360" t="str">
            <v>Atharva Karpe</v>
          </cell>
          <cell r="K360" t="str">
            <v>CSG (EndPoint)</v>
          </cell>
          <cell r="O360">
            <v>60800</v>
          </cell>
          <cell r="Z360" t="str">
            <v>GB</v>
          </cell>
        </row>
        <row r="361">
          <cell r="F361" t="str">
            <v>Atharva Karpe</v>
          </cell>
          <cell r="K361" t="str">
            <v>CSG (EndPoint)</v>
          </cell>
          <cell r="O361">
            <v>18182000</v>
          </cell>
          <cell r="Z361" t="str">
            <v>GB</v>
          </cell>
        </row>
        <row r="362">
          <cell r="F362" t="str">
            <v>Ayushman Singh</v>
          </cell>
          <cell r="K362" t="str">
            <v>CSG (EndPoint)</v>
          </cell>
          <cell r="O362">
            <v>2206500</v>
          </cell>
          <cell r="Z362" t="str">
            <v>GB</v>
          </cell>
        </row>
        <row r="363">
          <cell r="F363" t="str">
            <v>Jay Rushi</v>
          </cell>
          <cell r="K363" t="str">
            <v>CSG (EndPoint)</v>
          </cell>
          <cell r="O363">
            <v>24350</v>
          </cell>
          <cell r="Z363" t="str">
            <v>GB</v>
          </cell>
        </row>
        <row r="364">
          <cell r="F364" t="str">
            <v>Jay Rushi</v>
          </cell>
          <cell r="K364" t="str">
            <v>CSG (EndPoint)</v>
          </cell>
          <cell r="O364">
            <v>91100</v>
          </cell>
          <cell r="Z364" t="str">
            <v>GB</v>
          </cell>
        </row>
        <row r="365">
          <cell r="F365" t="str">
            <v>Jay Rushi</v>
          </cell>
          <cell r="K365" t="str">
            <v>CSG (EndPoint)</v>
          </cell>
          <cell r="O365">
            <v>3200000</v>
          </cell>
          <cell r="Z365" t="str">
            <v>GB</v>
          </cell>
        </row>
        <row r="366">
          <cell r="F366" t="str">
            <v>Jay Rushi</v>
          </cell>
          <cell r="K366" t="str">
            <v>CSG (EndPoint)</v>
          </cell>
          <cell r="O366">
            <v>62250</v>
          </cell>
          <cell r="Z366" t="str">
            <v>GB</v>
          </cell>
        </row>
        <row r="367">
          <cell r="F367" t="str">
            <v>Jay Rushi</v>
          </cell>
          <cell r="K367" t="str">
            <v>CSG (EndPoint)</v>
          </cell>
          <cell r="O367">
            <v>43720</v>
          </cell>
          <cell r="Z367" t="str">
            <v>GB</v>
          </cell>
        </row>
        <row r="368">
          <cell r="F368" t="str">
            <v>Jay Rushi</v>
          </cell>
          <cell r="K368" t="str">
            <v>CSG (EndPoint)</v>
          </cell>
          <cell r="O368">
            <v>7800000</v>
          </cell>
          <cell r="Z368" t="str">
            <v>GB</v>
          </cell>
        </row>
        <row r="369">
          <cell r="F369" t="str">
            <v>Yusufali Petiwala</v>
          </cell>
          <cell r="K369" t="str">
            <v>CSG (EndPoint)</v>
          </cell>
          <cell r="O369">
            <v>549855.07999999996</v>
          </cell>
          <cell r="Z369" t="str">
            <v>Self</v>
          </cell>
        </row>
        <row r="370">
          <cell r="F370" t="str">
            <v>Yusufali Petiwala</v>
          </cell>
          <cell r="K370" t="str">
            <v>CSG (EndPoint)</v>
          </cell>
          <cell r="O370">
            <v>7850</v>
          </cell>
          <cell r="Z370" t="str">
            <v>Self</v>
          </cell>
        </row>
        <row r="371">
          <cell r="F371" t="str">
            <v>Yusufali Petiwala</v>
          </cell>
          <cell r="K371" t="str">
            <v>CSG (EndPoint)</v>
          </cell>
          <cell r="O371">
            <v>1826670</v>
          </cell>
          <cell r="Z371" t="str">
            <v>Self</v>
          </cell>
        </row>
        <row r="372">
          <cell r="F372" t="str">
            <v>Yusufali Petiwala</v>
          </cell>
          <cell r="K372" t="str">
            <v>CSG (EndPoint)</v>
          </cell>
          <cell r="O372">
            <v>19000</v>
          </cell>
          <cell r="Z372" t="str">
            <v>Self</v>
          </cell>
        </row>
        <row r="373">
          <cell r="F373" t="str">
            <v>Yusufali Petiwala</v>
          </cell>
          <cell r="K373" t="str">
            <v>CSG (EndPoint)</v>
          </cell>
          <cell r="O373">
            <v>124500</v>
          </cell>
          <cell r="Z373" t="str">
            <v>Self</v>
          </cell>
        </row>
        <row r="374">
          <cell r="F374" t="str">
            <v>Yusufali Petiwala</v>
          </cell>
          <cell r="K374" t="str">
            <v>CSG (EndPoint)</v>
          </cell>
          <cell r="O374">
            <v>100000</v>
          </cell>
          <cell r="Z374" t="str">
            <v>Self</v>
          </cell>
        </row>
        <row r="375">
          <cell r="F375" t="str">
            <v>Yusufali Petiwala</v>
          </cell>
          <cell r="K375" t="str">
            <v>CSG (EndPoint)</v>
          </cell>
          <cell r="O375">
            <v>316800</v>
          </cell>
          <cell r="Z375" t="str">
            <v>Self</v>
          </cell>
        </row>
        <row r="376">
          <cell r="F376" t="str">
            <v>Yusufali Petiwala</v>
          </cell>
          <cell r="K376" t="str">
            <v>CSG (EndPoint)</v>
          </cell>
          <cell r="O376">
            <v>220000</v>
          </cell>
          <cell r="Z376" t="str">
            <v>Self</v>
          </cell>
        </row>
        <row r="377">
          <cell r="F377" t="str">
            <v>Yusufali Petiwala</v>
          </cell>
          <cell r="K377" t="str">
            <v>CSG (EndPoint)</v>
          </cell>
          <cell r="O377">
            <v>1504800</v>
          </cell>
          <cell r="Z377" t="str">
            <v>Self</v>
          </cell>
        </row>
        <row r="378">
          <cell r="F378" t="str">
            <v>Yusufali Petiwala</v>
          </cell>
          <cell r="K378" t="str">
            <v>CSG (EndPoint)</v>
          </cell>
          <cell r="O378">
            <v>211200</v>
          </cell>
          <cell r="Z378" t="str">
            <v>Self</v>
          </cell>
        </row>
        <row r="379">
          <cell r="F379" t="str">
            <v>Yusufali Petiwala</v>
          </cell>
          <cell r="K379" t="str">
            <v>CSG (EndPoint)</v>
          </cell>
          <cell r="O379">
            <v>2800</v>
          </cell>
          <cell r="Z379" t="str">
            <v>Self</v>
          </cell>
        </row>
        <row r="380">
          <cell r="F380" t="str">
            <v>Yusufali Petiwala</v>
          </cell>
          <cell r="K380" t="str">
            <v>CSG (EndPoint)</v>
          </cell>
          <cell r="O380">
            <v>877000</v>
          </cell>
          <cell r="Z380" t="str">
            <v>Self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CG"/>
      <sheetName val="CS"/>
      <sheetName val="PS"/>
      <sheetName val="S1 "/>
      <sheetName val="S2 "/>
      <sheetName val="CB "/>
      <sheetName val="GB "/>
      <sheetName val="South "/>
      <sheetName val="GeoX "/>
      <sheetName val="Sales Plan T&amp;C"/>
      <sheetName val="Marketing"/>
      <sheetName val="DC Service Packs "/>
      <sheetName val="NW Service Packs"/>
      <sheetName val="CySec Service Pack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H6" t="str">
            <v>Quota Split  H1 (In Crs.)</v>
          </cell>
        </row>
        <row r="7">
          <cell r="H7" t="str">
            <v>Q1</v>
          </cell>
          <cell r="I7" t="str">
            <v>Q2</v>
          </cell>
        </row>
        <row r="8">
          <cell r="H8">
            <v>100</v>
          </cell>
          <cell r="I8">
            <v>112</v>
          </cell>
        </row>
        <row r="9">
          <cell r="H9">
            <v>5</v>
          </cell>
          <cell r="I9">
            <v>5.6000000000000005</v>
          </cell>
        </row>
        <row r="11">
          <cell r="H11" t="str">
            <v>Quota Split  H1 (In Crs.)</v>
          </cell>
        </row>
        <row r="12">
          <cell r="B12" t="str">
            <v>Acount Manager Name</v>
          </cell>
          <cell r="H12" t="str">
            <v>Q1</v>
          </cell>
          <cell r="I12" t="str">
            <v>Q2</v>
          </cell>
        </row>
        <row r="13">
          <cell r="B13" t="str">
            <v>Tasneem Khatri</v>
          </cell>
        </row>
        <row r="14">
          <cell r="B14" t="str">
            <v>Tasneem Khatri</v>
          </cell>
          <cell r="H14">
            <v>25</v>
          </cell>
          <cell r="I14">
            <v>64.5</v>
          </cell>
        </row>
        <row r="15">
          <cell r="B15" t="str">
            <v>Tasneem Khatri</v>
          </cell>
        </row>
        <row r="16">
          <cell r="B16" t="str">
            <v>Tasneem Khatri</v>
          </cell>
        </row>
        <row r="17">
          <cell r="B17" t="str">
            <v>Tasneem Khatri</v>
          </cell>
        </row>
        <row r="18">
          <cell r="B18" t="str">
            <v>Tasneem Khatri</v>
          </cell>
          <cell r="H18">
            <v>0.05</v>
          </cell>
          <cell r="I18">
            <v>0.75</v>
          </cell>
        </row>
        <row r="19">
          <cell r="B19" t="str">
            <v>Tasneem Khatri</v>
          </cell>
        </row>
        <row r="20">
          <cell r="B20" t="str">
            <v>Tasneem Khatri</v>
          </cell>
          <cell r="H20">
            <v>2.5000000000000001E-2</v>
          </cell>
          <cell r="I20">
            <v>2.5000000000000001E-2</v>
          </cell>
        </row>
        <row r="21">
          <cell r="B21" t="str">
            <v>Tasneem Khatri</v>
          </cell>
        </row>
        <row r="22">
          <cell r="B22" t="str">
            <v>Tasneem Khatri</v>
          </cell>
        </row>
        <row r="23">
          <cell r="B23" t="str">
            <v>Tasneem Khatri</v>
          </cell>
          <cell r="H23">
            <v>3.75</v>
          </cell>
          <cell r="I23">
            <v>3.75</v>
          </cell>
        </row>
        <row r="24">
          <cell r="B24" t="str">
            <v>Tasneem Khatri</v>
          </cell>
          <cell r="H24">
            <v>0</v>
          </cell>
          <cell r="I24">
            <v>5</v>
          </cell>
        </row>
        <row r="25">
          <cell r="B25" t="str">
            <v>Tasneem Khatri</v>
          </cell>
          <cell r="H25">
            <v>5</v>
          </cell>
          <cell r="I25">
            <v>5</v>
          </cell>
        </row>
        <row r="26">
          <cell r="B26" t="str">
            <v>Tasneem Khatri</v>
          </cell>
        </row>
        <row r="27">
          <cell r="B27" t="str">
            <v>Tasneem Khatri</v>
          </cell>
          <cell r="H27">
            <v>0</v>
          </cell>
          <cell r="I27">
            <v>2.5</v>
          </cell>
        </row>
        <row r="28">
          <cell r="B28" t="str">
            <v>Tasneem Khatri</v>
          </cell>
          <cell r="H28">
            <v>0</v>
          </cell>
          <cell r="I28">
            <v>6.5</v>
          </cell>
        </row>
        <row r="29">
          <cell r="B29" t="str">
            <v>Tasneem Khatri</v>
          </cell>
          <cell r="H29">
            <v>0</v>
          </cell>
          <cell r="I29">
            <v>1</v>
          </cell>
        </row>
        <row r="30">
          <cell r="B30" t="str">
            <v>Tasneem Khatri</v>
          </cell>
          <cell r="H30">
            <v>0</v>
          </cell>
          <cell r="I30">
            <v>2.5</v>
          </cell>
        </row>
        <row r="31">
          <cell r="B31" t="str">
            <v>Tasneem Khatri</v>
          </cell>
          <cell r="H31">
            <v>1.25</v>
          </cell>
          <cell r="I31">
            <v>1.25</v>
          </cell>
        </row>
        <row r="32">
          <cell r="B32" t="str">
            <v>Tasneem Khatri</v>
          </cell>
          <cell r="H32">
            <v>0</v>
          </cell>
          <cell r="I32">
            <v>2.5</v>
          </cell>
        </row>
        <row r="33">
          <cell r="B33" t="str">
            <v>Riya Roshyara</v>
          </cell>
          <cell r="H33">
            <v>0</v>
          </cell>
          <cell r="I33">
            <v>1</v>
          </cell>
        </row>
        <row r="34">
          <cell r="B34" t="str">
            <v>Riya Roshyara</v>
          </cell>
          <cell r="H34">
            <v>0</v>
          </cell>
          <cell r="I34">
            <v>0</v>
          </cell>
        </row>
        <row r="35">
          <cell r="B35" t="str">
            <v>Riya Roshyara</v>
          </cell>
          <cell r="H35">
            <v>10</v>
          </cell>
          <cell r="I35">
            <v>10</v>
          </cell>
        </row>
        <row r="36">
          <cell r="B36" t="str">
            <v>Riya Roshyara</v>
          </cell>
        </row>
        <row r="37">
          <cell r="B37" t="str">
            <v>Riya Roshyara</v>
          </cell>
          <cell r="I37">
            <v>2.5</v>
          </cell>
        </row>
        <row r="38">
          <cell r="B38" t="str">
            <v>Riya Roshyara</v>
          </cell>
          <cell r="I38">
            <v>1</v>
          </cell>
        </row>
        <row r="39">
          <cell r="B39" t="str">
            <v>Riya Roshyara</v>
          </cell>
          <cell r="I39">
            <v>1</v>
          </cell>
        </row>
        <row r="40">
          <cell r="B40" t="str">
            <v>Riya Roshyara</v>
          </cell>
          <cell r="I40">
            <v>1</v>
          </cell>
        </row>
        <row r="41">
          <cell r="B41" t="str">
            <v>Riya Roshyara</v>
          </cell>
          <cell r="I41">
            <v>1.5</v>
          </cell>
        </row>
        <row r="42">
          <cell r="B42" t="str">
            <v>Riya Roshyara</v>
          </cell>
          <cell r="H42">
            <v>10</v>
          </cell>
          <cell r="I42">
            <v>20</v>
          </cell>
        </row>
        <row r="43">
          <cell r="B43" t="str">
            <v>Chirag Palande</v>
          </cell>
          <cell r="H43">
            <v>1.25</v>
          </cell>
          <cell r="I43">
            <v>1.25</v>
          </cell>
        </row>
        <row r="44">
          <cell r="B44" t="str">
            <v>Chirag Palande</v>
          </cell>
          <cell r="H44">
            <v>0.25</v>
          </cell>
          <cell r="I44">
            <v>0.25</v>
          </cell>
        </row>
        <row r="45">
          <cell r="B45" t="str">
            <v>Chirag Palande</v>
          </cell>
          <cell r="H45">
            <v>10</v>
          </cell>
          <cell r="I45">
            <v>5</v>
          </cell>
        </row>
        <row r="46">
          <cell r="B46" t="str">
            <v>Chirag Palande</v>
          </cell>
          <cell r="H46">
            <v>1</v>
          </cell>
          <cell r="I46">
            <v>1</v>
          </cell>
        </row>
        <row r="47">
          <cell r="B47" t="str">
            <v>Chirag Palande</v>
          </cell>
        </row>
        <row r="48">
          <cell r="B48" t="str">
            <v>Chirag Palande</v>
          </cell>
        </row>
        <row r="49">
          <cell r="B49" t="str">
            <v>Chirag Palande</v>
          </cell>
        </row>
        <row r="50">
          <cell r="B50" t="str">
            <v>Chirag Palande</v>
          </cell>
        </row>
        <row r="51">
          <cell r="B51" t="str">
            <v>Chirag Palande</v>
          </cell>
        </row>
        <row r="52">
          <cell r="B52" t="str">
            <v>Chirag Palande</v>
          </cell>
        </row>
        <row r="53">
          <cell r="B53" t="str">
            <v>Chirag Palande</v>
          </cell>
        </row>
        <row r="54">
          <cell r="B54" t="str">
            <v>Chirag Palande</v>
          </cell>
        </row>
        <row r="55">
          <cell r="B55" t="str">
            <v>Chirag Palande</v>
          </cell>
        </row>
        <row r="56">
          <cell r="B56" t="str">
            <v>Chirag Palande</v>
          </cell>
        </row>
        <row r="57">
          <cell r="B57" t="str">
            <v>Chirag Palande</v>
          </cell>
        </row>
        <row r="58">
          <cell r="B58" t="str">
            <v>Chirag Palande</v>
          </cell>
        </row>
        <row r="59">
          <cell r="B59" t="str">
            <v>Chirag Palande</v>
          </cell>
        </row>
        <row r="60">
          <cell r="B60" t="str">
            <v>Chirag Palande</v>
          </cell>
        </row>
        <row r="61">
          <cell r="B61" t="str">
            <v>Chirag Palande</v>
          </cell>
        </row>
        <row r="62">
          <cell r="B62" t="str">
            <v>Chirag Palande</v>
          </cell>
        </row>
        <row r="63">
          <cell r="B63" t="str">
            <v>Chirag Palande</v>
          </cell>
        </row>
        <row r="64">
          <cell r="B64" t="str">
            <v>Chirag Palande</v>
          </cell>
        </row>
        <row r="65">
          <cell r="B65" t="str">
            <v>Chirag Palande</v>
          </cell>
          <cell r="H65">
            <v>0.25</v>
          </cell>
          <cell r="I65">
            <v>1.5</v>
          </cell>
        </row>
        <row r="66">
          <cell r="B66" t="str">
            <v>Chirag Palande</v>
          </cell>
          <cell r="H66">
            <v>0.25</v>
          </cell>
          <cell r="I66">
            <v>1</v>
          </cell>
        </row>
        <row r="67">
          <cell r="B67" t="str">
            <v>Chirag Palande</v>
          </cell>
        </row>
        <row r="68">
          <cell r="B68" t="str">
            <v>Chirag Palande</v>
          </cell>
        </row>
        <row r="69">
          <cell r="B69" t="str">
            <v>Chirag Palande</v>
          </cell>
        </row>
        <row r="70">
          <cell r="B70" t="str">
            <v>Chirag Palande</v>
          </cell>
        </row>
        <row r="71">
          <cell r="B71" t="str">
            <v>Chirag Palande</v>
          </cell>
        </row>
        <row r="72">
          <cell r="B72" t="str">
            <v>RICHA TIWARI</v>
          </cell>
        </row>
        <row r="73">
          <cell r="B73" t="str">
            <v>RICHA TIWARI</v>
          </cell>
        </row>
        <row r="74">
          <cell r="B74" t="str">
            <v>RICHA TIWARI</v>
          </cell>
          <cell r="I74">
            <v>0.5</v>
          </cell>
        </row>
        <row r="75">
          <cell r="B75" t="str">
            <v>RICHA TIWARI</v>
          </cell>
        </row>
        <row r="76">
          <cell r="B76" t="str">
            <v>RICHA TIWARI</v>
          </cell>
        </row>
        <row r="77">
          <cell r="B77" t="str">
            <v>RICHA TIWARI</v>
          </cell>
          <cell r="I77">
            <v>0.4</v>
          </cell>
        </row>
        <row r="78">
          <cell r="B78" t="str">
            <v>RICHA TIWARI</v>
          </cell>
          <cell r="I78">
            <v>0.5</v>
          </cell>
        </row>
        <row r="79">
          <cell r="B79" t="str">
            <v>RICHA TIWARI</v>
          </cell>
          <cell r="H79">
            <v>3</v>
          </cell>
        </row>
        <row r="80">
          <cell r="B80" t="str">
            <v>RICHA TIWARI</v>
          </cell>
          <cell r="I80">
            <v>0.5</v>
          </cell>
        </row>
        <row r="81">
          <cell r="B81" t="str">
            <v>RICHA TIWARI</v>
          </cell>
          <cell r="H81">
            <v>0.3</v>
          </cell>
          <cell r="I81">
            <v>0.5</v>
          </cell>
        </row>
        <row r="82">
          <cell r="B82" t="str">
            <v>RICHA TIWARI</v>
          </cell>
          <cell r="I82">
            <v>0.3</v>
          </cell>
        </row>
        <row r="83">
          <cell r="B83" t="str">
            <v>RICHA TIWARI</v>
          </cell>
          <cell r="H83">
            <v>0.5</v>
          </cell>
          <cell r="I83">
            <v>0.5</v>
          </cell>
        </row>
        <row r="84">
          <cell r="B84" t="str">
            <v>RICHA TIWARI</v>
          </cell>
          <cell r="H84">
            <v>2</v>
          </cell>
          <cell r="I84">
            <v>1</v>
          </cell>
        </row>
        <row r="85">
          <cell r="B85" t="str">
            <v>RICHA TIWARI</v>
          </cell>
          <cell r="I85">
            <v>0.25</v>
          </cell>
        </row>
        <row r="86">
          <cell r="B86" t="str">
            <v>RICHA TIWARI</v>
          </cell>
        </row>
        <row r="87">
          <cell r="B87" t="str">
            <v>RICHA TIWARI</v>
          </cell>
        </row>
        <row r="88">
          <cell r="B88" t="str">
            <v>RICHA TIWARI</v>
          </cell>
        </row>
        <row r="89">
          <cell r="B89" t="str">
            <v>RICHA TIWARI</v>
          </cell>
        </row>
        <row r="90">
          <cell r="B90" t="str">
            <v>RICHA TIWARI</v>
          </cell>
        </row>
        <row r="91">
          <cell r="B91" t="str">
            <v>RICHA TIWARI</v>
          </cell>
        </row>
        <row r="92">
          <cell r="B92" t="str">
            <v>RICHA TIWARI</v>
          </cell>
        </row>
        <row r="93">
          <cell r="B93" t="str">
            <v>RICHA TIWARI</v>
          </cell>
        </row>
        <row r="94">
          <cell r="B94" t="str">
            <v>RICHA TIWARI</v>
          </cell>
        </row>
        <row r="95">
          <cell r="B95" t="str">
            <v>RICHA TIWARI</v>
          </cell>
        </row>
        <row r="96">
          <cell r="B96" t="str">
            <v>RICHA TIWARI</v>
          </cell>
          <cell r="H96">
            <v>0.8</v>
          </cell>
          <cell r="I96">
            <v>3</v>
          </cell>
        </row>
        <row r="97">
          <cell r="B97" t="str">
            <v>RICHA TIWARI</v>
          </cell>
          <cell r="H97">
            <v>0.5</v>
          </cell>
          <cell r="I97">
            <v>2.5</v>
          </cell>
        </row>
        <row r="98">
          <cell r="B98" t="str">
            <v>RICHA TIWARI</v>
          </cell>
          <cell r="H98">
            <v>0.5</v>
          </cell>
          <cell r="I98">
            <v>3</v>
          </cell>
        </row>
        <row r="99">
          <cell r="B99" t="str">
            <v>RICHA TIWARI</v>
          </cell>
          <cell r="H99">
            <v>0.5</v>
          </cell>
          <cell r="I99">
            <v>0.7</v>
          </cell>
        </row>
        <row r="100">
          <cell r="B100" t="str">
            <v>RICHA TIWARI</v>
          </cell>
        </row>
        <row r="101">
          <cell r="B101" t="str">
            <v>RICHA TIWARI</v>
          </cell>
          <cell r="I101">
            <v>0.5</v>
          </cell>
        </row>
        <row r="102">
          <cell r="B102" t="str">
            <v>RICHA TIWARI</v>
          </cell>
          <cell r="I102">
            <v>0.5</v>
          </cell>
        </row>
        <row r="103">
          <cell r="B103" t="str">
            <v>RICHA TIWARI</v>
          </cell>
        </row>
        <row r="104">
          <cell r="B104" t="str">
            <v>RICHA TIWARI</v>
          </cell>
        </row>
        <row r="105">
          <cell r="B105" t="str">
            <v>RICHA TIWARI</v>
          </cell>
          <cell r="I105">
            <v>0.5</v>
          </cell>
        </row>
        <row r="106">
          <cell r="B106" t="str">
            <v>RICHA TIWARI</v>
          </cell>
          <cell r="H106">
            <v>0.1</v>
          </cell>
          <cell r="I106">
            <v>0.5</v>
          </cell>
        </row>
        <row r="107">
          <cell r="B107" t="str">
            <v>RICHA TIWARI</v>
          </cell>
          <cell r="I107">
            <v>0.1</v>
          </cell>
        </row>
        <row r="108">
          <cell r="B108" t="str">
            <v>RICHA TIWARI</v>
          </cell>
          <cell r="I108">
            <v>0.2</v>
          </cell>
        </row>
        <row r="109">
          <cell r="B109" t="str">
            <v>RICHA TIWARI</v>
          </cell>
          <cell r="I109">
            <v>0.5</v>
          </cell>
        </row>
        <row r="110">
          <cell r="B110" t="str">
            <v>RICHA TIWARI</v>
          </cell>
          <cell r="H110">
            <v>0.1</v>
          </cell>
          <cell r="I110">
            <v>0.5</v>
          </cell>
        </row>
        <row r="111">
          <cell r="B111" t="str">
            <v>TBH</v>
          </cell>
          <cell r="H111">
            <v>5</v>
          </cell>
          <cell r="I111">
            <v>0</v>
          </cell>
        </row>
        <row r="112">
          <cell r="B112" t="str">
            <v>TBH</v>
          </cell>
        </row>
        <row r="113">
          <cell r="B113" t="str">
            <v>TBH</v>
          </cell>
        </row>
        <row r="114">
          <cell r="B114" t="str">
            <v>TBH</v>
          </cell>
        </row>
        <row r="115">
          <cell r="B115" t="str">
            <v>TBH</v>
          </cell>
        </row>
        <row r="116">
          <cell r="B116" t="str">
            <v>TBH</v>
          </cell>
          <cell r="H116">
            <v>0</v>
          </cell>
          <cell r="I116">
            <v>2.5</v>
          </cell>
        </row>
        <row r="117">
          <cell r="B117" t="str">
            <v>TBH</v>
          </cell>
          <cell r="H117">
            <v>2.5</v>
          </cell>
          <cell r="I117">
            <v>2.5</v>
          </cell>
        </row>
        <row r="118">
          <cell r="B118" t="str">
            <v>Ishwari Kadam</v>
          </cell>
          <cell r="H118">
            <v>5</v>
          </cell>
          <cell r="I118">
            <v>20</v>
          </cell>
        </row>
        <row r="119">
          <cell r="B119" t="str">
            <v>Pratik Kadam</v>
          </cell>
          <cell r="H119">
            <v>3</v>
          </cell>
          <cell r="I119">
            <v>2</v>
          </cell>
        </row>
        <row r="120">
          <cell r="B120" t="str">
            <v>Prashant Ddugu</v>
          </cell>
        </row>
        <row r="121">
          <cell r="H121">
            <v>91.874999999999986</v>
          </cell>
          <cell r="I121">
            <v>187.22499999999999</v>
          </cell>
        </row>
        <row r="141">
          <cell r="H141" t="str">
            <v>Performance Based Incentives</v>
          </cell>
          <cell r="I141" t="str">
            <v>Total CTC</v>
          </cell>
        </row>
        <row r="142">
          <cell r="H142">
            <v>2560080</v>
          </cell>
          <cell r="I142">
            <v>6400206</v>
          </cell>
        </row>
        <row r="143">
          <cell r="H143">
            <v>990293</v>
          </cell>
          <cell r="I143">
            <v>2475737</v>
          </cell>
        </row>
        <row r="144">
          <cell r="H144">
            <v>1225900</v>
          </cell>
          <cell r="I144">
            <v>3064756</v>
          </cell>
        </row>
        <row r="145">
          <cell r="H145">
            <v>1035000</v>
          </cell>
          <cell r="I145">
            <v>2587500</v>
          </cell>
        </row>
        <row r="146">
          <cell r="H146">
            <v>1120000</v>
          </cell>
          <cell r="I146">
            <v>2800000</v>
          </cell>
        </row>
        <row r="147">
          <cell r="H147">
            <v>560004</v>
          </cell>
          <cell r="I147">
            <v>1400018</v>
          </cell>
        </row>
        <row r="148">
          <cell r="H148">
            <v>0</v>
          </cell>
          <cell r="I148">
            <v>632510</v>
          </cell>
        </row>
        <row r="149">
          <cell r="H149">
            <v>0</v>
          </cell>
          <cell r="I149">
            <v>481850</v>
          </cell>
        </row>
      </sheetData>
      <sheetData sheetId="5">
        <row r="6">
          <cell r="G6" t="str">
            <v>Quota Split  H1 (In Crs.)</v>
          </cell>
        </row>
        <row r="7">
          <cell r="G7" t="str">
            <v>Q1</v>
          </cell>
          <cell r="H7" t="str">
            <v>Q2</v>
          </cell>
        </row>
        <row r="8">
          <cell r="G8">
            <v>54.850000000000016</v>
          </cell>
          <cell r="H8">
            <v>84.149999999999991</v>
          </cell>
        </row>
        <row r="9">
          <cell r="G9">
            <v>3</v>
          </cell>
          <cell r="H9">
            <v>5</v>
          </cell>
        </row>
        <row r="11">
          <cell r="G11" t="str">
            <v>Quota Split  H1 (In Crs.)</v>
          </cell>
        </row>
        <row r="12">
          <cell r="B12" t="str">
            <v>Account Mangers</v>
          </cell>
          <cell r="G12" t="str">
            <v>Q1</v>
          </cell>
          <cell r="H12" t="str">
            <v>Q2</v>
          </cell>
        </row>
        <row r="13">
          <cell r="B13" t="str">
            <v>Rohit</v>
          </cell>
          <cell r="G13">
            <v>25</v>
          </cell>
          <cell r="H13">
            <v>50</v>
          </cell>
        </row>
        <row r="14">
          <cell r="B14" t="str">
            <v>Rohit</v>
          </cell>
          <cell r="G14">
            <v>4</v>
          </cell>
          <cell r="H14">
            <v>3</v>
          </cell>
        </row>
        <row r="15">
          <cell r="B15" t="str">
            <v>Chetna</v>
          </cell>
          <cell r="G15">
            <v>0.3</v>
          </cell>
          <cell r="H15">
            <v>0.7</v>
          </cell>
        </row>
        <row r="16">
          <cell r="B16" t="str">
            <v>Chetna</v>
          </cell>
          <cell r="G16">
            <v>0.6</v>
          </cell>
          <cell r="H16">
            <v>0.4</v>
          </cell>
        </row>
        <row r="17">
          <cell r="B17" t="str">
            <v>Chetna</v>
          </cell>
          <cell r="G17">
            <v>0.6</v>
          </cell>
          <cell r="H17">
            <v>0.4</v>
          </cell>
        </row>
        <row r="18">
          <cell r="B18" t="str">
            <v>Chetna</v>
          </cell>
          <cell r="G18">
            <v>1</v>
          </cell>
          <cell r="H18">
            <v>5</v>
          </cell>
        </row>
        <row r="19">
          <cell r="B19" t="str">
            <v>Chetna</v>
          </cell>
          <cell r="G19">
            <v>3</v>
          </cell>
          <cell r="H19">
            <v>2</v>
          </cell>
        </row>
        <row r="20">
          <cell r="B20" t="str">
            <v>Chetna</v>
          </cell>
          <cell r="G20">
            <v>1.5</v>
          </cell>
          <cell r="H20">
            <v>0.5</v>
          </cell>
        </row>
        <row r="21">
          <cell r="B21" t="str">
            <v>Chetna</v>
          </cell>
          <cell r="G21">
            <v>1</v>
          </cell>
          <cell r="H21">
            <v>1</v>
          </cell>
        </row>
        <row r="22">
          <cell r="B22" t="str">
            <v>Varsha</v>
          </cell>
          <cell r="G22">
            <v>0.5</v>
          </cell>
          <cell r="H22">
            <v>0.5</v>
          </cell>
        </row>
        <row r="23">
          <cell r="B23" t="str">
            <v>Varsha</v>
          </cell>
          <cell r="G23">
            <v>0.2</v>
          </cell>
          <cell r="H23">
            <v>0.2</v>
          </cell>
        </row>
        <row r="24">
          <cell r="B24" t="str">
            <v>Varsha</v>
          </cell>
          <cell r="G24">
            <v>0.5</v>
          </cell>
          <cell r="H24">
            <v>0.5</v>
          </cell>
        </row>
        <row r="25">
          <cell r="B25" t="str">
            <v>Varsha</v>
          </cell>
          <cell r="G25">
            <v>0.2</v>
          </cell>
          <cell r="H25">
            <v>0.8</v>
          </cell>
        </row>
        <row r="26">
          <cell r="B26" t="str">
            <v>varsha</v>
          </cell>
          <cell r="G26">
            <v>5</v>
          </cell>
          <cell r="H26">
            <v>5</v>
          </cell>
        </row>
        <row r="27">
          <cell r="B27" t="str">
            <v>Varsha</v>
          </cell>
          <cell r="G27">
            <v>0.2</v>
          </cell>
          <cell r="H27">
            <v>0.3</v>
          </cell>
        </row>
        <row r="28">
          <cell r="B28" t="str">
            <v>Varsha</v>
          </cell>
          <cell r="G28">
            <v>0.1</v>
          </cell>
          <cell r="H28">
            <v>0.1</v>
          </cell>
        </row>
        <row r="29">
          <cell r="B29" t="str">
            <v>Varsha</v>
          </cell>
          <cell r="G29">
            <v>0.2</v>
          </cell>
          <cell r="H29">
            <v>0.8</v>
          </cell>
        </row>
        <row r="30">
          <cell r="B30" t="str">
            <v>Varsha</v>
          </cell>
          <cell r="G30">
            <v>0.2</v>
          </cell>
          <cell r="H30">
            <v>0.8</v>
          </cell>
        </row>
        <row r="31">
          <cell r="B31" t="str">
            <v>Varsha</v>
          </cell>
          <cell r="G31">
            <v>0.2</v>
          </cell>
          <cell r="H31">
            <v>0.8</v>
          </cell>
        </row>
        <row r="32">
          <cell r="B32" t="str">
            <v>Arpit</v>
          </cell>
          <cell r="G32">
            <v>5</v>
          </cell>
          <cell r="H32">
            <v>5</v>
          </cell>
        </row>
        <row r="33">
          <cell r="B33" t="str">
            <v>Arpit</v>
          </cell>
          <cell r="G33">
            <v>0.5</v>
          </cell>
          <cell r="H33">
            <v>0.5</v>
          </cell>
        </row>
        <row r="34">
          <cell r="B34" t="str">
            <v>Arpit</v>
          </cell>
          <cell r="G34">
            <v>0.5</v>
          </cell>
          <cell r="H34">
            <v>0.5</v>
          </cell>
        </row>
        <row r="35">
          <cell r="B35" t="str">
            <v>Arpit</v>
          </cell>
          <cell r="G35">
            <v>0.25</v>
          </cell>
          <cell r="H35">
            <v>0.25</v>
          </cell>
        </row>
        <row r="36">
          <cell r="B36" t="str">
            <v>Arpit</v>
          </cell>
          <cell r="G36">
            <v>0.25</v>
          </cell>
          <cell r="H36">
            <v>0.25</v>
          </cell>
        </row>
        <row r="37">
          <cell r="B37" t="str">
            <v>Arpit</v>
          </cell>
          <cell r="G37">
            <v>0.25</v>
          </cell>
          <cell r="H37">
            <v>0.25</v>
          </cell>
        </row>
        <row r="38">
          <cell r="B38" t="str">
            <v>Dennis</v>
          </cell>
          <cell r="G38">
            <v>0.3</v>
          </cell>
          <cell r="H38">
            <v>0.7</v>
          </cell>
        </row>
        <row r="39">
          <cell r="B39" t="str">
            <v>Dennis</v>
          </cell>
          <cell r="G39">
            <v>0.2</v>
          </cell>
          <cell r="H39">
            <v>0.25</v>
          </cell>
        </row>
        <row r="40">
          <cell r="B40" t="str">
            <v>Dennis</v>
          </cell>
          <cell r="G40">
            <v>0.3</v>
          </cell>
          <cell r="H40">
            <v>0.7</v>
          </cell>
        </row>
        <row r="41">
          <cell r="B41" t="str">
            <v>Dennis</v>
          </cell>
          <cell r="G41">
            <v>0.25</v>
          </cell>
          <cell r="H41">
            <v>0.2</v>
          </cell>
        </row>
        <row r="42">
          <cell r="B42" t="str">
            <v>Sankeerth</v>
          </cell>
          <cell r="G42">
            <v>0.75</v>
          </cell>
          <cell r="H42">
            <v>0.75</v>
          </cell>
        </row>
        <row r="43">
          <cell r="B43" t="str">
            <v>Sankeerth</v>
          </cell>
          <cell r="G43">
            <v>0.75</v>
          </cell>
          <cell r="H43">
            <v>0.75</v>
          </cell>
        </row>
        <row r="44">
          <cell r="B44" t="str">
            <v>Sankeerth</v>
          </cell>
          <cell r="G44">
            <v>0.25</v>
          </cell>
          <cell r="H44">
            <v>0.25</v>
          </cell>
        </row>
        <row r="45">
          <cell r="B45" t="str">
            <v>Sankeerth</v>
          </cell>
          <cell r="G45">
            <v>1</v>
          </cell>
          <cell r="H45">
            <v>1</v>
          </cell>
        </row>
      </sheetData>
      <sheetData sheetId="6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</row>
        <row r="7">
          <cell r="A7" t="str">
            <v>Sr.No.</v>
          </cell>
          <cell r="C7" t="str">
            <v>Amount (in Crores)</v>
          </cell>
          <cell r="D7" t="str">
            <v>MGMT Plan ( In Crores)</v>
          </cell>
        </row>
        <row r="8">
          <cell r="C8">
            <v>115</v>
          </cell>
          <cell r="D8">
            <v>115</v>
          </cell>
        </row>
        <row r="9">
          <cell r="C9">
            <v>6</v>
          </cell>
          <cell r="D9">
            <v>6</v>
          </cell>
        </row>
        <row r="11">
          <cell r="C11" t="str">
            <v>Quota Split  H1 (In Crs.)</v>
          </cell>
        </row>
        <row r="12">
          <cell r="A12" t="str">
            <v xml:space="preserve">AE </v>
          </cell>
          <cell r="C12" t="str">
            <v>Q1</v>
          </cell>
          <cell r="D12" t="str">
            <v>Q2</v>
          </cell>
        </row>
        <row r="13">
          <cell r="A13" t="str">
            <v>Darshana Patil</v>
          </cell>
          <cell r="C13">
            <v>3</v>
          </cell>
          <cell r="D13">
            <v>4</v>
          </cell>
        </row>
        <row r="14">
          <cell r="A14" t="str">
            <v>Prachi Mayekar</v>
          </cell>
          <cell r="C14">
            <v>7.5</v>
          </cell>
          <cell r="D14">
            <v>7.5</v>
          </cell>
        </row>
        <row r="15">
          <cell r="A15" t="str">
            <v>Shilpa Kavde</v>
          </cell>
          <cell r="C15">
            <v>5</v>
          </cell>
          <cell r="D15">
            <v>10</v>
          </cell>
        </row>
        <row r="16">
          <cell r="A16" t="str">
            <v>Jimesh Shah &amp; Team</v>
          </cell>
          <cell r="C16">
            <v>5</v>
          </cell>
          <cell r="D16">
            <v>10</v>
          </cell>
        </row>
        <row r="17">
          <cell r="A17" t="str">
            <v>Total</v>
          </cell>
          <cell r="C17">
            <v>20.5</v>
          </cell>
          <cell r="D17">
            <v>31.5</v>
          </cell>
        </row>
        <row r="19">
          <cell r="A19" t="str">
            <v>Jimesh &amp; Team</v>
          </cell>
          <cell r="C19" t="str">
            <v>Quota Split  H1 (In Crs.)</v>
          </cell>
        </row>
        <row r="20">
          <cell r="C20" t="str">
            <v>Q1</v>
          </cell>
          <cell r="D20" t="str">
            <v>Q2</v>
          </cell>
        </row>
        <row r="21">
          <cell r="A21" t="str">
            <v>Vidula Chavan</v>
          </cell>
          <cell r="C21">
            <v>1</v>
          </cell>
          <cell r="D21">
            <v>2</v>
          </cell>
        </row>
        <row r="22">
          <cell r="A22" t="str">
            <v>TBH</v>
          </cell>
          <cell r="C22">
            <v>1</v>
          </cell>
          <cell r="D22">
            <v>2</v>
          </cell>
        </row>
      </sheetData>
      <sheetData sheetId="7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</row>
        <row r="7">
          <cell r="A7" t="str">
            <v>Sr.No.</v>
          </cell>
          <cell r="C7" t="str">
            <v>Amount (in Crores)</v>
          </cell>
          <cell r="D7" t="str">
            <v>Mgmt Plan in Crores</v>
          </cell>
        </row>
        <row r="8">
          <cell r="C8">
            <v>66</v>
          </cell>
          <cell r="D8">
            <v>50</v>
          </cell>
        </row>
        <row r="9">
          <cell r="C9">
            <v>2.9699999999999998</v>
          </cell>
          <cell r="D9">
            <v>2.25</v>
          </cell>
        </row>
        <row r="11">
          <cell r="A11" t="str">
            <v>H1</v>
          </cell>
        </row>
        <row r="13">
          <cell r="A13">
            <v>26</v>
          </cell>
        </row>
        <row r="15">
          <cell r="C15" t="str">
            <v>Quota Split  H1 (In Crs.)</v>
          </cell>
        </row>
        <row r="16">
          <cell r="C16" t="str">
            <v>Q1</v>
          </cell>
          <cell r="D16" t="str">
            <v>Q2</v>
          </cell>
        </row>
        <row r="17">
          <cell r="A17" t="str">
            <v>Atharva Kapre</v>
          </cell>
          <cell r="C17">
            <v>3</v>
          </cell>
          <cell r="D17">
            <v>1</v>
          </cell>
        </row>
        <row r="18">
          <cell r="A18" t="str">
            <v>Jay Rushi</v>
          </cell>
          <cell r="C18">
            <v>1</v>
          </cell>
          <cell r="D18">
            <v>2</v>
          </cell>
        </row>
        <row r="19">
          <cell r="A19" t="str">
            <v>TBH</v>
          </cell>
        </row>
        <row r="20">
          <cell r="A20" t="str">
            <v>TBH</v>
          </cell>
        </row>
        <row r="21">
          <cell r="A21" t="str">
            <v>Ayushaman</v>
          </cell>
          <cell r="C21">
            <v>1</v>
          </cell>
          <cell r="D21">
            <v>2</v>
          </cell>
        </row>
        <row r="22">
          <cell r="A22" t="str">
            <v>Shubhangi</v>
          </cell>
          <cell r="C22">
            <v>2</v>
          </cell>
          <cell r="D22">
            <v>3</v>
          </cell>
        </row>
        <row r="23">
          <cell r="A23" t="str">
            <v xml:space="preserve">Bhumi </v>
          </cell>
          <cell r="C23">
            <v>0.1</v>
          </cell>
          <cell r="D23">
            <v>0.5</v>
          </cell>
        </row>
        <row r="24">
          <cell r="A24" t="str">
            <v>Suyesh</v>
          </cell>
          <cell r="C24">
            <v>0.1</v>
          </cell>
          <cell r="D24">
            <v>0.5</v>
          </cell>
        </row>
        <row r="25">
          <cell r="A25" t="str">
            <v>ISR Lead</v>
          </cell>
        </row>
        <row r="26">
          <cell r="A26" t="str">
            <v>Ashish</v>
          </cell>
          <cell r="C26">
            <v>2</v>
          </cell>
          <cell r="D26">
            <v>3</v>
          </cell>
        </row>
        <row r="27">
          <cell r="A27" t="str">
            <v>Rizwana (ISR/OSR)</v>
          </cell>
          <cell r="C27">
            <v>0.5</v>
          </cell>
          <cell r="D27">
            <v>1</v>
          </cell>
        </row>
        <row r="28">
          <cell r="A28" t="str">
            <v>TBH</v>
          </cell>
        </row>
      </sheetData>
      <sheetData sheetId="8">
        <row r="3">
          <cell r="B3" t="str">
            <v>Sales Unit</v>
          </cell>
        </row>
        <row r="5">
          <cell r="B5" t="str">
            <v xml:space="preserve">Business Plan </v>
          </cell>
        </row>
        <row r="8">
          <cell r="B8" t="str">
            <v>Master Revenue &amp; Bottomline Objective</v>
          </cell>
        </row>
        <row r="9">
          <cell r="B9" t="str">
            <v>Sr.No.</v>
          </cell>
          <cell r="D9" t="str">
            <v>Amount (in Crores)</v>
          </cell>
          <cell r="E9" t="str">
            <v>Mgmt Plan in Crores</v>
          </cell>
        </row>
        <row r="10">
          <cell r="B10">
            <v>1</v>
          </cell>
          <cell r="D10">
            <v>35</v>
          </cell>
          <cell r="E10">
            <v>35</v>
          </cell>
        </row>
        <row r="11">
          <cell r="B11">
            <v>2</v>
          </cell>
          <cell r="D11">
            <v>2</v>
          </cell>
          <cell r="E11">
            <v>2</v>
          </cell>
        </row>
        <row r="14">
          <cell r="D14" t="str">
            <v>Quota Split  H1 (In Crs.)</v>
          </cell>
        </row>
        <row r="15">
          <cell r="B15" t="str">
            <v xml:space="preserve">Sales Person Name </v>
          </cell>
          <cell r="D15" t="str">
            <v>Q1</v>
          </cell>
          <cell r="E15" t="str">
            <v>Q2</v>
          </cell>
        </row>
        <row r="16">
          <cell r="B16" t="str">
            <v>Abrar Altaf Menon</v>
          </cell>
          <cell r="D16">
            <v>2</v>
          </cell>
          <cell r="E16">
            <v>2</v>
          </cell>
        </row>
        <row r="17">
          <cell r="B17" t="str">
            <v>Sagar TR</v>
          </cell>
          <cell r="D17">
            <v>2.5</v>
          </cell>
          <cell r="E17">
            <v>2.5</v>
          </cell>
        </row>
        <row r="18">
          <cell r="B18" t="str">
            <v>Shaikh Kadar</v>
          </cell>
          <cell r="D18">
            <v>3</v>
          </cell>
          <cell r="E18">
            <v>3</v>
          </cell>
        </row>
        <row r="19">
          <cell r="B19" t="str">
            <v>Shahbaz Khan</v>
          </cell>
          <cell r="D19">
            <v>3</v>
          </cell>
          <cell r="E19">
            <v>3</v>
          </cell>
        </row>
        <row r="20">
          <cell r="B20" t="str">
            <v xml:space="preserve">TBH - </v>
          </cell>
          <cell r="D20">
            <v>2</v>
          </cell>
          <cell r="E20">
            <v>2</v>
          </cell>
        </row>
        <row r="22">
          <cell r="B22" t="str">
            <v>Total</v>
          </cell>
          <cell r="D22">
            <v>12.5</v>
          </cell>
          <cell r="E22">
            <v>12.5</v>
          </cell>
        </row>
        <row r="25">
          <cell r="B25" t="str">
            <v>Sr.No</v>
          </cell>
          <cell r="D25" t="str">
            <v>Estimated Revenue in Crores</v>
          </cell>
          <cell r="E25" t="str">
            <v>Mgmt Plan in Crores</v>
          </cell>
        </row>
        <row r="26">
          <cell r="D26">
            <v>14</v>
          </cell>
          <cell r="E26">
            <v>14</v>
          </cell>
        </row>
        <row r="27">
          <cell r="D27">
            <v>1</v>
          </cell>
          <cell r="E27">
            <v>1</v>
          </cell>
        </row>
        <row r="28">
          <cell r="D28">
            <v>1</v>
          </cell>
          <cell r="E28">
            <v>1</v>
          </cell>
        </row>
      </sheetData>
      <sheetData sheetId="9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  <cell r="I6" t="str">
            <v>Quota Split H2 (In Crs.)</v>
          </cell>
        </row>
        <row r="7">
          <cell r="A7" t="str">
            <v>Sr.No.</v>
          </cell>
          <cell r="H7" t="str">
            <v>Q2</v>
          </cell>
          <cell r="I7" t="str">
            <v>Q3</v>
          </cell>
        </row>
        <row r="8">
          <cell r="A8" t="str">
            <v>Target</v>
          </cell>
          <cell r="H8">
            <v>10</v>
          </cell>
          <cell r="I8">
            <v>15</v>
          </cell>
        </row>
        <row r="9">
          <cell r="H9">
            <v>1.1499999999999999</v>
          </cell>
          <cell r="I9">
            <v>1.65</v>
          </cell>
        </row>
        <row r="12">
          <cell r="H12" t="str">
            <v>Quota Split  H1 (In Crs.)</v>
          </cell>
        </row>
        <row r="13">
          <cell r="A13" t="str">
            <v>Name</v>
          </cell>
          <cell r="H13" t="str">
            <v>Q1</v>
          </cell>
          <cell r="I13" t="str">
            <v>Q2</v>
          </cell>
        </row>
        <row r="14">
          <cell r="A14" t="str">
            <v>Sanjeev Kohli</v>
          </cell>
          <cell r="H14">
            <v>0.1</v>
          </cell>
          <cell r="I14">
            <v>0.5</v>
          </cell>
        </row>
        <row r="15">
          <cell r="A15" t="str">
            <v>Hrushikesh Bagade</v>
          </cell>
          <cell r="H15">
            <v>0.4</v>
          </cell>
          <cell r="I15">
            <v>0.65</v>
          </cell>
        </row>
        <row r="16">
          <cell r="A16" t="str">
            <v>TBH</v>
          </cell>
          <cell r="H16">
            <v>0</v>
          </cell>
          <cell r="I16">
            <v>0.2</v>
          </cell>
        </row>
        <row r="17">
          <cell r="A17" t="str">
            <v>Total</v>
          </cell>
          <cell r="H17">
            <v>0.5</v>
          </cell>
          <cell r="I17">
            <v>1.3499999999999999</v>
          </cell>
        </row>
        <row r="20">
          <cell r="A20" t="str">
            <v>Sr.No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neem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1303500000</v>
          </cell>
        </row>
        <row r="16">
          <cell r="D16">
            <v>1296500000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Y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590000000</v>
          </cell>
        </row>
        <row r="15">
          <cell r="D15">
            <v>610000000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tik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50000000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shan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605000000</v>
          </cell>
        </row>
        <row r="13">
          <cell r="D13">
            <v>895000000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rag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275000000</v>
          </cell>
        </row>
        <row r="14">
          <cell r="D14">
            <v>325000000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ch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250000000</v>
          </cell>
        </row>
        <row r="12">
          <cell r="D12">
            <v>350000000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hi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760000000</v>
          </cell>
        </row>
        <row r="12">
          <cell r="D12">
            <v>590000000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tn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200000000</v>
          </cell>
        </row>
        <row r="17">
          <cell r="D17">
            <v>490000000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keert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117500000</v>
          </cell>
        </row>
        <row r="15">
          <cell r="D15">
            <v>302500000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c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180000000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lp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250000000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ul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65000000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imes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3">
          <cell r="D13">
            <v>300000000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hish  Target Letter 26 27 "/>
      <sheetName val="Terms &amp; Conditions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ma Target Letter 26 27 "/>
      <sheetName val="Terms &amp; Conditions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yushman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30000000</v>
          </cell>
        </row>
        <row r="10">
          <cell r="D10">
            <v>90000000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ubhangi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harva -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y Rus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A -TARGET LETTER - 26-27"/>
      <sheetName val="Terms &amp; Conditions"/>
      <sheetName val="Cloud Service Pack"/>
    </sheetNames>
    <sheetDataSet>
      <sheetData sheetId="0">
        <row r="9">
          <cell r="D9">
            <v>32000000</v>
          </cell>
        </row>
        <row r="14">
          <cell r="D14">
            <v>68000000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humi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zwana Target Letter 26 27 "/>
      <sheetName val="Terms &amp; Conditions"/>
      <sheetName val="Cloud Service Pack"/>
    </sheetNames>
    <sheetDataSet>
      <sheetData sheetId="0">
        <row r="9">
          <cell r="D9">
            <v>15000000</v>
          </cell>
        </row>
        <row r="10">
          <cell r="D10">
            <v>35000000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vesh-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rar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gar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50000000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hbaz 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60000000</v>
          </cell>
        </row>
        <row r="10">
          <cell r="D10">
            <v>60000000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hadar- 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70000000</v>
          </cell>
        </row>
        <row r="10">
          <cell r="D10">
            <v>80000000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rushikesh TARGET LETTER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10500000</v>
          </cell>
        </row>
        <row r="10">
          <cell r="D10">
            <v>13500000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5F90-8B85-4867-9172-E2ABD4EB0947}">
  <dimension ref="A1:AA52"/>
  <sheetViews>
    <sheetView zoomScale="85" zoomScaleNormal="85" workbookViewId="0">
      <selection activeCell="G4" sqref="G4"/>
    </sheetView>
  </sheetViews>
  <sheetFormatPr defaultColWidth="0" defaultRowHeight="14.45"/>
  <cols>
    <col min="1" max="1" width="8.85546875" customWidth="1"/>
    <col min="2" max="2" width="24.5703125" bestFit="1" customWidth="1"/>
    <col min="3" max="4" width="8.85546875" customWidth="1"/>
    <col min="5" max="5" width="17" bestFit="1" customWidth="1"/>
    <col min="6" max="7" width="8.85546875" customWidth="1"/>
    <col min="8" max="8" width="14" customWidth="1"/>
    <col min="9" max="13" width="8.85546875" customWidth="1"/>
    <col min="14" max="14" width="12.28515625" customWidth="1"/>
    <col min="15" max="20" width="8.85546875" customWidth="1"/>
    <col min="21" max="21" width="10.7109375" customWidth="1"/>
    <col min="22" max="27" width="0" hidden="1" customWidth="1"/>
    <col min="28" max="16384" width="8.85546875" hidden="1"/>
  </cols>
  <sheetData>
    <row r="1" spans="1:26" ht="27.7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36" customHeight="1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ht="15" thickBot="1">
      <c r="A3" s="57" t="s">
        <v>27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>
        <v>1</v>
      </c>
      <c r="B4" s="3" t="s">
        <v>28</v>
      </c>
      <c r="C4" s="6" t="s">
        <v>29</v>
      </c>
      <c r="D4" s="7" t="s">
        <v>30</v>
      </c>
      <c r="E4" s="8" t="s">
        <v>31</v>
      </c>
      <c r="F4" s="30" t="e">
        <f>SUMIF('[2]S1 '!$B:$B,"Tasneem khatri",'[2]S1 '!$H:$H)</f>
        <v>#VALUE!</v>
      </c>
      <c r="G4" s="31" t="e">
        <f>SUMIF('[1]Opportunity Pipeline'!$F:$F, "Tasneem k",'[1]Opportunity Pipeline'!$O:$O)/10^7</f>
        <v>#VALUE!</v>
      </c>
      <c r="H4" s="32" t="str">
        <f>IFERROR(G4/F4,"-")</f>
        <v>-</v>
      </c>
      <c r="I4" s="30">
        <f>SUMIF('[2]S1 '!$B:$B,"Tasneem khatri",'[2]S1 '!$I:$I)</f>
        <v>95.275000000000006</v>
      </c>
      <c r="J4" s="27" t="s">
        <v>32</v>
      </c>
      <c r="K4" s="32" t="str">
        <f>IFERROR(J4/I4,"-")</f>
        <v>-</v>
      </c>
      <c r="L4" s="33">
        <f>'[3]Tasneem- TARGET LETTER - 26-27'!$D$9/10^7</f>
        <v>130.35</v>
      </c>
      <c r="M4" s="31">
        <f>SUMIF('[1]Opportunity Pipeline'!$F:$F, "Tasneem k",'[1]Opportunity Pipeline'!$O:$O)/10^7</f>
        <v>15.920587479000002</v>
      </c>
      <c r="N4" s="32">
        <f>IFERROR(M4/L4,"-")</f>
        <v>0.12213722653624857</v>
      </c>
      <c r="O4" s="27">
        <f>'[3]Tasneem- TARGET LETTER - 26-27'!$D$16/10^7</f>
        <v>129.65</v>
      </c>
      <c r="P4" s="27" t="s">
        <v>32</v>
      </c>
      <c r="Q4" s="32" t="str">
        <f>IFERROR(P4/O4,"-")</f>
        <v>-</v>
      </c>
      <c r="R4" s="33">
        <f>SUM(L4,O4)</f>
        <v>260</v>
      </c>
      <c r="S4" s="33">
        <f>SUM(M4,P4)</f>
        <v>15.920587479000002</v>
      </c>
      <c r="T4" s="32">
        <f>IFERROR(S4/R4,"-")</f>
        <v>6.1233028765384619E-2</v>
      </c>
      <c r="U4" s="27">
        <f>COUNTIF('[1]Opportunity Pipeline'!$F:$F,"Tasneem K")</f>
        <v>7</v>
      </c>
    </row>
    <row r="5" spans="1:26">
      <c r="A5">
        <v>2</v>
      </c>
      <c r="B5" s="3" t="s">
        <v>33</v>
      </c>
      <c r="C5" s="6" t="s">
        <v>29</v>
      </c>
      <c r="D5" s="7" t="s">
        <v>30</v>
      </c>
      <c r="E5" s="8" t="s">
        <v>31</v>
      </c>
      <c r="F5" s="30">
        <f>SUMIF('[2]S1 '!$B:$B,"Riya Roshyara",'[2]S1 '!$H:$H)</f>
        <v>20</v>
      </c>
      <c r="G5" s="31">
        <f>SUMIF('[1]Opportunity Pipeline'!$F:$F, "Riya Bhatt",'[1]Opportunity Pipeline'!$O:$O)/10^7</f>
        <v>0.57979999999999998</v>
      </c>
      <c r="H5" s="32">
        <f t="shared" ref="H5:H9" si="0">IFERROR(G5/F5,"-")</f>
        <v>2.8989999999999998E-2</v>
      </c>
      <c r="I5" s="30">
        <f>SUMIF('[2]S1 '!$B:$B,"Riya Roshyara",'[2]S1 '!$I:$I)</f>
        <v>38</v>
      </c>
      <c r="J5" s="27" t="s">
        <v>32</v>
      </c>
      <c r="K5" s="32" t="str">
        <f t="shared" ref="K5:K9" si="1">IFERROR(J5/I5,"-")</f>
        <v>-</v>
      </c>
      <c r="L5" s="27">
        <f>'[4]RIYA- TARGET LETTER - 26-27'!$D$9/10^7</f>
        <v>59</v>
      </c>
      <c r="M5" s="31">
        <f>SUMIF('[1]Opportunity Pipeline'!$F:$F, "Riya Bhatt",'[1]Opportunity Pipeline'!$O:$O)/10^7</f>
        <v>0.57979999999999998</v>
      </c>
      <c r="N5" s="32">
        <f t="shared" ref="N5:N9" si="2">IFERROR(M5/L5,"-")</f>
        <v>9.8271186440677966E-3</v>
      </c>
      <c r="O5" s="27">
        <f>'[4]RIYA- TARGET LETTER - 26-27'!$D$15/10^7</f>
        <v>61</v>
      </c>
      <c r="P5" s="27" t="s">
        <v>32</v>
      </c>
      <c r="Q5" s="32" t="str">
        <f t="shared" ref="Q5:Q9" si="3">IFERROR(P5/O5,"-")</f>
        <v>-</v>
      </c>
      <c r="R5" s="33">
        <f t="shared" ref="R5:R9" si="4">SUM(L5,O5)</f>
        <v>120</v>
      </c>
      <c r="S5" s="33">
        <f t="shared" ref="S5:S9" si="5">SUM(M5,P5)</f>
        <v>0.57979999999999998</v>
      </c>
      <c r="T5" s="32">
        <f t="shared" ref="T5:T9" si="6">IFERROR(S5/R5,"-")</f>
        <v>4.8316666666666664E-3</v>
      </c>
      <c r="U5" s="27">
        <f>COUNTIF('[1]Opportunity Pipeline'!$F:$F,"Riya Bhatt")</f>
        <v>2</v>
      </c>
    </row>
    <row r="6" spans="1:26">
      <c r="A6">
        <v>3</v>
      </c>
      <c r="B6" s="3" t="s">
        <v>34</v>
      </c>
      <c r="C6" s="6" t="s">
        <v>29</v>
      </c>
      <c r="D6" s="7" t="s">
        <v>30</v>
      </c>
      <c r="E6" s="8" t="s">
        <v>31</v>
      </c>
      <c r="F6" s="30">
        <f>SUMIF('[2]S1 '!$B:$B,"Pratik Kadam",'[2]S1 '!$H:$H)</f>
        <v>3</v>
      </c>
      <c r="G6" s="31">
        <f>SUMIF('[1]Opportunity Pipeline'!$F:$F, "Pratik Kadam",'[1]Opportunity Pipeline'!$O:$O)/10^7</f>
        <v>1.4004570359999999</v>
      </c>
      <c r="H6" s="32">
        <f t="shared" si="0"/>
        <v>0.46681901199999998</v>
      </c>
      <c r="I6" s="30">
        <f>SUMIF('[2]S1 '!$B:$B,"Pratik Kadam",'[2]S1 '!$I:$I)</f>
        <v>2</v>
      </c>
      <c r="J6" s="27" t="s">
        <v>32</v>
      </c>
      <c r="K6" s="32" t="str">
        <f t="shared" si="1"/>
        <v>-</v>
      </c>
      <c r="L6" s="27">
        <f>'[5]Pratik- TARGET LETTER - 26-27'!$D$9/10^7</f>
        <v>5</v>
      </c>
      <c r="M6" s="31">
        <f>SUMIF('[1]Opportunity Pipeline'!$F:$F, "Pratik Kadam",'[1]Opportunity Pipeline'!$O:$O)/10^7</f>
        <v>1.4004570359999999</v>
      </c>
      <c r="N6" s="32">
        <f t="shared" si="2"/>
        <v>0.28009140719999998</v>
      </c>
      <c r="O6" s="27">
        <f>'[5]Pratik- TARGET LETTER - 26-27'!$D$10/10^7</f>
        <v>5</v>
      </c>
      <c r="P6" s="27" t="s">
        <v>32</v>
      </c>
      <c r="Q6" s="32" t="str">
        <f t="shared" si="3"/>
        <v>-</v>
      </c>
      <c r="R6" s="33">
        <f t="shared" si="4"/>
        <v>10</v>
      </c>
      <c r="S6" s="33">
        <f t="shared" si="5"/>
        <v>1.4004570359999999</v>
      </c>
      <c r="T6" s="32">
        <f t="shared" si="6"/>
        <v>0.14004570359999999</v>
      </c>
      <c r="U6" s="27">
        <f>COUNTIF('[1]Opportunity Pipeline'!$F:$F,"Pratik Kadam")</f>
        <v>38</v>
      </c>
    </row>
    <row r="7" spans="1:26">
      <c r="A7" s="24">
        <v>4</v>
      </c>
      <c r="B7" s="20" t="s">
        <v>35</v>
      </c>
      <c r="C7" s="21" t="s">
        <v>29</v>
      </c>
      <c r="D7" s="22" t="s">
        <v>30</v>
      </c>
      <c r="E7" s="23" t="s">
        <v>36</v>
      </c>
      <c r="F7" s="34">
        <f>SUM(F8:F9,7.5)</f>
        <v>28.799999999999997</v>
      </c>
      <c r="G7" s="35">
        <f>SUM(G8:G9)</f>
        <v>19.016648178000004</v>
      </c>
      <c r="H7" s="36">
        <f t="shared" si="0"/>
        <v>0.66030028395833351</v>
      </c>
      <c r="I7" s="34">
        <f>SUM(I8:I9,5)</f>
        <v>31.949999999999996</v>
      </c>
      <c r="J7" s="28" t="s">
        <v>32</v>
      </c>
      <c r="K7" s="36" t="str">
        <f t="shared" si="1"/>
        <v>-</v>
      </c>
      <c r="L7" s="28">
        <f>'[6]Prashant- TARGET LETTER - 26-27'!$D$9/10^7</f>
        <v>60.5</v>
      </c>
      <c r="M7" s="35">
        <f>SUM(M8:M9)</f>
        <v>19.016648178000004</v>
      </c>
      <c r="N7" s="36">
        <f t="shared" si="2"/>
        <v>0.31432476327272735</v>
      </c>
      <c r="O7" s="28">
        <f>'[6]Prashant- TARGET LETTER - 26-27'!$D$13/10^7</f>
        <v>89.5</v>
      </c>
      <c r="P7" s="28" t="s">
        <v>32</v>
      </c>
      <c r="Q7" s="36" t="str">
        <f t="shared" si="3"/>
        <v>-</v>
      </c>
      <c r="R7" s="37">
        <f t="shared" si="4"/>
        <v>150</v>
      </c>
      <c r="S7" s="37">
        <f t="shared" si="5"/>
        <v>19.016648178000004</v>
      </c>
      <c r="T7" s="36">
        <f t="shared" si="6"/>
        <v>0.12677765452000003</v>
      </c>
      <c r="U7" s="28">
        <f>COUNTIF('[1]Opportunity Pipeline'!$F:$F,"Prashant Ddugu")</f>
        <v>0</v>
      </c>
    </row>
    <row r="8" spans="1:26">
      <c r="A8">
        <v>5</v>
      </c>
      <c r="B8" s="3" t="s">
        <v>37</v>
      </c>
      <c r="C8" s="6" t="s">
        <v>29</v>
      </c>
      <c r="D8" s="7" t="s">
        <v>30</v>
      </c>
      <c r="E8" s="8" t="s">
        <v>31</v>
      </c>
      <c r="F8" s="30">
        <f>SUMIF('[2]S1 '!$B:$B,"Chirag Palande",'[2]S1 '!$H:$H)</f>
        <v>13</v>
      </c>
      <c r="G8" s="31">
        <f>SUMIF('[1]Opportunity Pipeline'!$F:$F, "Chirag Palande",'[1]Opportunity Pipeline'!$O:$O)/10^7</f>
        <v>0.12866739999999999</v>
      </c>
      <c r="H8" s="32">
        <f t="shared" si="0"/>
        <v>9.8974923076923065E-3</v>
      </c>
      <c r="I8" s="30">
        <f>SUMIF('[2]S1 '!$B:$B,"Chirag Palande",'[2]S1 '!$I:$I)</f>
        <v>10</v>
      </c>
      <c r="J8" s="27" t="s">
        <v>32</v>
      </c>
      <c r="K8" s="32" t="str">
        <f t="shared" si="1"/>
        <v>-</v>
      </c>
      <c r="L8" s="27">
        <f>'[7]Chirag- TARGET LETTER - 26-27'!$D$9/10^7</f>
        <v>27.5</v>
      </c>
      <c r="M8" s="31">
        <f>SUMIF('[1]Opportunity Pipeline'!$F:$F, "Chirag Palande",'[1]Opportunity Pipeline'!$O:$O)/10^7</f>
        <v>0.12866739999999999</v>
      </c>
      <c r="N8" s="32">
        <f t="shared" si="2"/>
        <v>4.6788145454545451E-3</v>
      </c>
      <c r="O8" s="27">
        <f>'[7]Chirag- TARGET LETTER - 26-27'!$D$14/10^7</f>
        <v>32.5</v>
      </c>
      <c r="P8" s="27" t="s">
        <v>32</v>
      </c>
      <c r="Q8" s="32" t="str">
        <f t="shared" si="3"/>
        <v>-</v>
      </c>
      <c r="R8" s="33">
        <f t="shared" si="4"/>
        <v>60</v>
      </c>
      <c r="S8" s="33">
        <f t="shared" si="5"/>
        <v>0.12866739999999999</v>
      </c>
      <c r="T8" s="32">
        <f t="shared" si="6"/>
        <v>2.1444566666666666E-3</v>
      </c>
      <c r="U8" s="27">
        <f>COUNTIF('[1]Opportunity Pipeline'!$F:$F,"Chirag Palande")</f>
        <v>3</v>
      </c>
    </row>
    <row r="9" spans="1:26">
      <c r="A9">
        <v>6</v>
      </c>
      <c r="B9" s="3" t="s">
        <v>38</v>
      </c>
      <c r="C9" s="6" t="s">
        <v>29</v>
      </c>
      <c r="D9" s="7" t="s">
        <v>30</v>
      </c>
      <c r="E9" s="8" t="s">
        <v>31</v>
      </c>
      <c r="F9" s="30">
        <f>SUMIF('[2]S1 '!$B:$B,"Richa Tiwari",'[2]S1 '!$H:$H)</f>
        <v>8.2999999999999989</v>
      </c>
      <c r="G9" s="31">
        <f>SUMIF('[1]Opportunity Pipeline'!$F:$F, "RICHA TIWARI",'[1]Opportunity Pipeline'!$O:$O)/10^7</f>
        <v>18.887980778000003</v>
      </c>
      <c r="H9" s="32">
        <f t="shared" si="0"/>
        <v>2.275660334698796</v>
      </c>
      <c r="I9" s="30">
        <f>SUMIF('[2]S1 '!$B:$B,"Richa Tiwari",'[2]S1 '!$I:$I)</f>
        <v>16.949999999999996</v>
      </c>
      <c r="J9" s="27" t="s">
        <v>32</v>
      </c>
      <c r="K9" s="32" t="str">
        <f t="shared" si="1"/>
        <v>-</v>
      </c>
      <c r="L9" s="27">
        <f>'[8]Richa- TARGET LETTER - 26-27'!$D$9/10^7</f>
        <v>25</v>
      </c>
      <c r="M9" s="31">
        <f>SUMIF('[1]Opportunity Pipeline'!$F:$F, "RICHA TIWARI",'[1]Opportunity Pipeline'!$O:$O)/10^7</f>
        <v>18.887980778000003</v>
      </c>
      <c r="N9" s="32">
        <f t="shared" si="2"/>
        <v>0.75551923112000008</v>
      </c>
      <c r="O9" s="27">
        <f>'[8]Richa- TARGET LETTER - 26-27'!$D$12/10^7</f>
        <v>35</v>
      </c>
      <c r="P9" s="27" t="s">
        <v>32</v>
      </c>
      <c r="Q9" s="32" t="str">
        <f t="shared" si="3"/>
        <v>-</v>
      </c>
      <c r="R9" s="33">
        <f t="shared" si="4"/>
        <v>60</v>
      </c>
      <c r="S9" s="33">
        <f t="shared" si="5"/>
        <v>18.887980778000003</v>
      </c>
      <c r="T9" s="32">
        <f t="shared" si="6"/>
        <v>0.31479967963333338</v>
      </c>
      <c r="U9" s="27">
        <f>COUNTIF('[1]Opportunity Pipeline'!$F:$F,"Richa Tiwari")</f>
        <v>41</v>
      </c>
    </row>
    <row r="10" spans="1:26" s="44" customFormat="1">
      <c r="B10" s="5" t="s">
        <v>39</v>
      </c>
      <c r="F10" s="45" t="e">
        <f>SUM(F4:F9)</f>
        <v>#VALUE!</v>
      </c>
      <c r="G10" s="45" t="e">
        <f t="shared" ref="G10:U10" si="7">SUM(G4:G9)</f>
        <v>#VALUE!</v>
      </c>
      <c r="H10" s="46" t="e">
        <f>G10/F10</f>
        <v>#VALUE!</v>
      </c>
      <c r="I10" s="45">
        <f t="shared" si="7"/>
        <v>194.17499999999998</v>
      </c>
      <c r="J10" s="45">
        <f t="shared" si="7"/>
        <v>0</v>
      </c>
      <c r="K10" s="46">
        <f>J10/I10</f>
        <v>0</v>
      </c>
      <c r="L10" s="45">
        <f t="shared" si="7"/>
        <v>307.35000000000002</v>
      </c>
      <c r="M10" s="45">
        <f t="shared" si="7"/>
        <v>55.934140870999997</v>
      </c>
      <c r="N10" s="46">
        <f>M10/L10</f>
        <v>0.18198841994794207</v>
      </c>
      <c r="O10" s="45">
        <f t="shared" si="7"/>
        <v>352.65</v>
      </c>
      <c r="P10" s="45">
        <f t="shared" si="7"/>
        <v>0</v>
      </c>
      <c r="Q10" s="46">
        <f>P10/O10</f>
        <v>0</v>
      </c>
      <c r="R10" s="45">
        <f t="shared" si="7"/>
        <v>660</v>
      </c>
      <c r="S10" s="45">
        <f t="shared" si="7"/>
        <v>55.934140870999997</v>
      </c>
      <c r="T10" s="46">
        <f>S10/R10</f>
        <v>8.4748698289393937E-2</v>
      </c>
      <c r="U10" s="47">
        <f t="shared" si="7"/>
        <v>91</v>
      </c>
    </row>
    <row r="11" spans="1:26" ht="15" thickBot="1"/>
    <row r="12" spans="1:26" ht="15" thickBot="1">
      <c r="A12" s="57" t="s">
        <v>40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>
      <c r="A13">
        <v>1</v>
      </c>
      <c r="B13" s="3" t="s">
        <v>41</v>
      </c>
      <c r="C13" s="6" t="s">
        <v>42</v>
      </c>
      <c r="D13" s="7" t="s">
        <v>30</v>
      </c>
      <c r="E13" s="8" t="s">
        <v>31</v>
      </c>
      <c r="F13" s="30">
        <f>SUMIF('[2]S2 '!$B$1:$B$45,"Rohit",'[2]S2 '!$G$1:$G$45)</f>
        <v>29</v>
      </c>
      <c r="G13" s="31">
        <f>SUMIF('[1]Opportunity Pipeline'!$F:$F, "Rohit Deshmukh",'[1]Opportunity Pipeline'!$O:$O)/10^7</f>
        <v>2.2971171500000001</v>
      </c>
      <c r="H13" s="32">
        <f t="shared" ref="H13:H18" si="8">IFERROR(G13/F13,"-")</f>
        <v>7.9210936206896551E-2</v>
      </c>
      <c r="I13" s="30">
        <f>SUMIF('[2]S2 '!$B$1:$B$45,"Rohit",'[2]S2 '!$H$1:$H$45)</f>
        <v>53</v>
      </c>
      <c r="J13" s="27" t="s">
        <v>32</v>
      </c>
      <c r="K13" s="32" t="str">
        <f>IFERROR(J13/I13,"-")</f>
        <v>-</v>
      </c>
      <c r="L13" s="33">
        <f>'[9]Rohit- TARGET LETTER - 26-27'!$D$9/10^7</f>
        <v>76</v>
      </c>
      <c r="M13" s="31">
        <f>SUMIF('[1]Opportunity Pipeline'!$F:$F, "Rohit Deshmukh",'[1]Opportunity Pipeline'!$O:$O)/10^7</f>
        <v>2.2971171500000001</v>
      </c>
      <c r="N13" s="32">
        <f t="shared" ref="N13:N18" si="9">IFERROR(M13/L13,"-")</f>
        <v>3.0225225657894737E-2</v>
      </c>
      <c r="O13" s="27">
        <f>'[9]Rohit- TARGET LETTER - 26-27'!$D$12/10^7</f>
        <v>59</v>
      </c>
      <c r="P13" s="27" t="s">
        <v>32</v>
      </c>
      <c r="Q13" s="32" t="str">
        <f t="shared" ref="Q13:Q18" si="10">IFERROR(P13/O13,"-")</f>
        <v>-</v>
      </c>
      <c r="R13" s="33">
        <f>SUM(L13,O13)</f>
        <v>135</v>
      </c>
      <c r="S13" s="33">
        <f>SUM(M13,P13)</f>
        <v>2.2971171500000001</v>
      </c>
      <c r="T13" s="32">
        <f t="shared" ref="T13:T18" si="11">IFERROR(S13/R13,"-")</f>
        <v>1.7015682592592594E-2</v>
      </c>
      <c r="U13" s="27">
        <f>COUNTIF('[1]Opportunity Pipeline'!$F:$F,"Rohit Deshmukh")</f>
        <v>9</v>
      </c>
    </row>
    <row r="14" spans="1:26">
      <c r="A14">
        <v>2</v>
      </c>
      <c r="B14" s="3" t="s">
        <v>43</v>
      </c>
      <c r="C14" s="6" t="s">
        <v>42</v>
      </c>
      <c r="D14" s="7" t="s">
        <v>30</v>
      </c>
      <c r="E14" s="8" t="s">
        <v>31</v>
      </c>
      <c r="F14" s="30">
        <f>SUMIF('[2]S2 '!$B$1:$B$45,"Chetna",'[2]S2 '!$G$1:$G$45)</f>
        <v>8</v>
      </c>
      <c r="G14" s="31">
        <f>SUMIF('[1]Opportunity Pipeline'!$F:$F, "Chetna Sharma",'[1]Opportunity Pipeline'!$O:$O)/10^7</f>
        <v>11.771068571999999</v>
      </c>
      <c r="H14" s="32">
        <f t="shared" si="8"/>
        <v>1.4713835714999999</v>
      </c>
      <c r="I14" s="30">
        <f>SUMIF('[2]S2 '!$B$1:$B$45,"Chetna",'[2]S2 '!$H$1:$H$45)</f>
        <v>10</v>
      </c>
      <c r="J14" s="27" t="s">
        <v>32</v>
      </c>
      <c r="K14" s="32" t="str">
        <f t="shared" ref="K14:L18" si="12">IFERROR(J14/I14,"-")</f>
        <v>-</v>
      </c>
      <c r="L14" s="27">
        <f>'[10]Chetna- TARGET LETTER - 26-27'!$D$9/10^7</f>
        <v>20</v>
      </c>
      <c r="M14" s="31">
        <f>SUMIF('[1]Opportunity Pipeline'!$F:$F, "Chetna Sharma",'[1]Opportunity Pipeline'!$O:$O)/10^7</f>
        <v>11.771068571999999</v>
      </c>
      <c r="N14" s="32">
        <f t="shared" si="9"/>
        <v>0.58855342859999993</v>
      </c>
      <c r="O14" s="27">
        <f>'[10]Chetna- TARGET LETTER - 26-27'!$D$17/10^7</f>
        <v>49</v>
      </c>
      <c r="P14" s="27" t="s">
        <v>32</v>
      </c>
      <c r="Q14" s="32" t="str">
        <f t="shared" si="10"/>
        <v>-</v>
      </c>
      <c r="R14" s="33">
        <f t="shared" ref="R14:R18" si="13">SUM(L14,O14)</f>
        <v>69</v>
      </c>
      <c r="S14" s="33">
        <f t="shared" ref="S14:S18" si="14">SUM(M14,P14)</f>
        <v>11.771068571999999</v>
      </c>
      <c r="T14" s="32">
        <f t="shared" si="11"/>
        <v>0.17059519669565215</v>
      </c>
      <c r="U14" s="27">
        <f>COUNTIF('[1]Opportunity Pipeline'!$F:$F,"Chetna Sharma")</f>
        <v>7</v>
      </c>
    </row>
    <row r="15" spans="1:26">
      <c r="A15">
        <v>3</v>
      </c>
      <c r="B15" s="3" t="s">
        <v>44</v>
      </c>
      <c r="C15" s="6" t="s">
        <v>42</v>
      </c>
      <c r="D15" s="7" t="s">
        <v>30</v>
      </c>
      <c r="E15" s="8" t="s">
        <v>31</v>
      </c>
      <c r="F15" s="30">
        <f>SUMIF('[2]S2 '!$B$1:$B$45,"Sankeerth",'[2]S2 '!$G$1:$G$45)</f>
        <v>2.75</v>
      </c>
      <c r="G15" s="31">
        <f>SUMIF('[1]Opportunity Pipeline'!$F:$F, "Sankeerth Bhargav",'[1]Opportunity Pipeline'!$O:$O)/10^7</f>
        <v>0.21651999999999999</v>
      </c>
      <c r="H15" s="32">
        <f t="shared" si="8"/>
        <v>7.8734545454545446E-2</v>
      </c>
      <c r="I15" s="30">
        <f>SUMIF('[2]S2 '!$B$1:$B$45,"Sankeerth",'[2]S2 '!$H$1:$H$45)</f>
        <v>2.75</v>
      </c>
      <c r="J15" s="27" t="s">
        <v>32</v>
      </c>
      <c r="K15" s="32" t="str">
        <f t="shared" si="12"/>
        <v>-</v>
      </c>
      <c r="L15" s="27">
        <f>'[11]Sankeerth TARGET LETTER - 26-27'!$D$9/10^7</f>
        <v>11.75</v>
      </c>
      <c r="M15" s="31">
        <f>SUMIF('[1]Opportunity Pipeline'!$F:$F, "Sankeerth Bhargav",'[1]Opportunity Pipeline'!$O:$O)/10^7</f>
        <v>0.21651999999999999</v>
      </c>
      <c r="N15" s="32">
        <f t="shared" si="9"/>
        <v>1.8427234042553191E-2</v>
      </c>
      <c r="O15" s="27">
        <f>'[11]Sankeerth TARGET LETTER - 26-27'!$D$15/10^7</f>
        <v>30.25</v>
      </c>
      <c r="P15" s="27" t="s">
        <v>32</v>
      </c>
      <c r="Q15" s="32" t="str">
        <f t="shared" si="10"/>
        <v>-</v>
      </c>
      <c r="R15" s="33">
        <f t="shared" si="13"/>
        <v>42</v>
      </c>
      <c r="S15" s="33">
        <f t="shared" si="14"/>
        <v>0.21651999999999999</v>
      </c>
      <c r="T15" s="32">
        <f t="shared" si="11"/>
        <v>5.1552380952380947E-3</v>
      </c>
      <c r="U15" s="27">
        <f>COUNTIF('[1]Opportunity Pipeline'!$F:$F,"Sankeerth Bhargav")</f>
        <v>3</v>
      </c>
    </row>
    <row r="16" spans="1:26">
      <c r="A16">
        <v>4</v>
      </c>
      <c r="B16" s="4" t="s">
        <v>45</v>
      </c>
      <c r="C16" s="6" t="s">
        <v>42</v>
      </c>
      <c r="D16" s="7" t="s">
        <v>30</v>
      </c>
      <c r="E16" s="8" t="s">
        <v>31</v>
      </c>
      <c r="F16" s="30">
        <f>SUMIF('[2]S2 '!$B$1:$B$45,"Varsha",'[2]S2 '!$G$1:$G$45)</f>
        <v>7.3000000000000007</v>
      </c>
      <c r="G16" s="31">
        <f>SUMIF('[1]Opportunity Pipeline'!$F:$F, "Varsha Ray",'[1]Opportunity Pipeline'!$O:$O)/10^7</f>
        <v>1.055468973</v>
      </c>
      <c r="H16" s="38">
        <f t="shared" si="8"/>
        <v>0.1445847908219178</v>
      </c>
      <c r="I16" s="30">
        <f>SUMIF('[2]S2 '!$B$1:$B$45,"Varsha",'[2]S2 '!$H$1:$H$45)</f>
        <v>9.8000000000000007</v>
      </c>
      <c r="J16" s="27" t="s">
        <v>32</v>
      </c>
      <c r="K16" s="38" t="str">
        <f t="shared" si="12"/>
        <v>-</v>
      </c>
      <c r="L16" s="27" t="str">
        <f t="shared" si="12"/>
        <v>-</v>
      </c>
      <c r="M16" s="31">
        <f>SUMIF('[1]Opportunity Pipeline'!$F:$F, "Varsha Ray",'[1]Opportunity Pipeline'!$O:$O)/10^7</f>
        <v>1.055468973</v>
      </c>
      <c r="N16" s="38" t="str">
        <f t="shared" si="9"/>
        <v>-</v>
      </c>
      <c r="O16" s="27" t="str">
        <f t="shared" ref="O16:O18" si="15">IFERROR(N16/M16,"-")</f>
        <v>-</v>
      </c>
      <c r="P16" s="27" t="s">
        <v>32</v>
      </c>
      <c r="Q16" s="38" t="str">
        <f t="shared" si="10"/>
        <v>-</v>
      </c>
      <c r="R16" s="33">
        <f t="shared" si="13"/>
        <v>0</v>
      </c>
      <c r="S16" s="33">
        <f t="shared" si="14"/>
        <v>1.055468973</v>
      </c>
      <c r="T16" s="38" t="str">
        <f t="shared" si="11"/>
        <v>-</v>
      </c>
      <c r="U16" s="27">
        <f>COUNTIF('[1]Opportunity Pipeline'!$F:$F,"Varsha Ray")</f>
        <v>4</v>
      </c>
    </row>
    <row r="17" spans="1:26">
      <c r="A17">
        <v>5</v>
      </c>
      <c r="B17" s="4" t="s">
        <v>46</v>
      </c>
      <c r="C17" s="6" t="s">
        <v>42</v>
      </c>
      <c r="D17" s="7" t="s">
        <v>30</v>
      </c>
      <c r="E17" s="8" t="s">
        <v>31</v>
      </c>
      <c r="F17" s="30">
        <f>SUMIF('[2]S2 '!$B$1:$B$45,"Arpit",'[2]S2 '!$G$1:$G$45)</f>
        <v>6.75</v>
      </c>
      <c r="G17" s="31">
        <f>SUMIF('[1]Opportunity Pipeline'!$F:$F, "Arpit Srivastava",'[1]Opportunity Pipeline'!$O:$O)/10^7</f>
        <v>5.6395832999999992E-2</v>
      </c>
      <c r="H17" s="32">
        <f t="shared" si="8"/>
        <v>8.3549382222222208E-3</v>
      </c>
      <c r="I17" s="30">
        <f>SUMIF('[2]S2 '!$B$1:$B$45,"Arpit",'[2]S2 '!$H$1:$H$45)</f>
        <v>6.75</v>
      </c>
      <c r="J17" s="27" t="s">
        <v>32</v>
      </c>
      <c r="K17" s="32" t="str">
        <f t="shared" si="12"/>
        <v>-</v>
      </c>
      <c r="L17" s="27" t="str">
        <f t="shared" si="12"/>
        <v>-</v>
      </c>
      <c r="M17" s="31">
        <f>SUMIF('[1]Opportunity Pipeline'!$F:$F, "Arpit Srivastava",'[1]Opportunity Pipeline'!$O:$O)/10^7</f>
        <v>5.6395832999999992E-2</v>
      </c>
      <c r="N17" s="32" t="str">
        <f t="shared" si="9"/>
        <v>-</v>
      </c>
      <c r="O17" s="27" t="str">
        <f t="shared" si="15"/>
        <v>-</v>
      </c>
      <c r="P17" s="27" t="s">
        <v>32</v>
      </c>
      <c r="Q17" s="32" t="str">
        <f t="shared" si="10"/>
        <v>-</v>
      </c>
      <c r="R17" s="33">
        <f t="shared" si="13"/>
        <v>0</v>
      </c>
      <c r="S17" s="33">
        <f t="shared" si="14"/>
        <v>5.6395832999999992E-2</v>
      </c>
      <c r="T17" s="32" t="str">
        <f t="shared" si="11"/>
        <v>-</v>
      </c>
      <c r="U17" s="27">
        <f>COUNTIF('[1]Opportunity Pipeline'!$F:$F,"Arpit Srivastavah")</f>
        <v>0</v>
      </c>
    </row>
    <row r="18" spans="1:26">
      <c r="A18">
        <v>6</v>
      </c>
      <c r="B18" s="4" t="s">
        <v>47</v>
      </c>
      <c r="C18" s="6" t="s">
        <v>42</v>
      </c>
      <c r="D18" s="7" t="s">
        <v>30</v>
      </c>
      <c r="E18" s="8" t="s">
        <v>31</v>
      </c>
      <c r="F18" s="30">
        <f>SUMIF('[2]S2 '!$B$1:$B$45,"Dennis",'[2]S2 '!$G$1:$G$45)</f>
        <v>1.05</v>
      </c>
      <c r="G18" s="31">
        <f>SUMIF('[1]Opportunity Pipeline'!$F:$F, "Dennis",'[1]Opportunity Pipeline'!$O:$O)/10^7</f>
        <v>0</v>
      </c>
      <c r="H18" s="32">
        <f t="shared" si="8"/>
        <v>0</v>
      </c>
      <c r="I18" s="30">
        <f>SUMIF('[2]S2 '!$B$1:$B$45,"Dennis",'[2]S2 '!$H$1:$H$45)</f>
        <v>1.8499999999999999</v>
      </c>
      <c r="J18" s="27" t="s">
        <v>32</v>
      </c>
      <c r="K18" s="32" t="str">
        <f t="shared" si="12"/>
        <v>-</v>
      </c>
      <c r="L18" s="27" t="str">
        <f t="shared" si="12"/>
        <v>-</v>
      </c>
      <c r="M18" s="31">
        <f>SUMIF('[1]Opportunity Pipeline'!$F:$F, "Dennis",'[1]Opportunity Pipeline'!$O:$O)/10^7</f>
        <v>0</v>
      </c>
      <c r="N18" s="32" t="str">
        <f t="shared" si="9"/>
        <v>-</v>
      </c>
      <c r="O18" s="27" t="str">
        <f t="shared" si="15"/>
        <v>-</v>
      </c>
      <c r="P18" s="27" t="s">
        <v>32</v>
      </c>
      <c r="Q18" s="32" t="str">
        <f t="shared" si="10"/>
        <v>-</v>
      </c>
      <c r="R18" s="33">
        <f t="shared" si="13"/>
        <v>0</v>
      </c>
      <c r="S18" s="33">
        <f t="shared" si="14"/>
        <v>0</v>
      </c>
      <c r="T18" s="32" t="str">
        <f t="shared" si="11"/>
        <v>-</v>
      </c>
      <c r="U18" s="27">
        <f>COUNTIF('[1]Opportunity Pipeline'!$F:$F,"Dennis")</f>
        <v>0</v>
      </c>
    </row>
    <row r="19" spans="1:26" s="44" customFormat="1">
      <c r="B19" s="5" t="s">
        <v>48</v>
      </c>
      <c r="F19" s="45">
        <f>SUM(F13:F18)</f>
        <v>54.849999999999994</v>
      </c>
      <c r="G19" s="45">
        <f t="shared" ref="G19" si="16">SUM(G13:G18)</f>
        <v>15.396570527999998</v>
      </c>
      <c r="H19" s="46">
        <f>G19/F19</f>
        <v>0.28070320014585232</v>
      </c>
      <c r="I19" s="45">
        <f t="shared" ref="I19" si="17">SUM(I13:I18)</f>
        <v>84.149999999999991</v>
      </c>
      <c r="J19" s="45">
        <f t="shared" ref="J19" si="18">SUM(J13:J18)</f>
        <v>0</v>
      </c>
      <c r="K19" s="46">
        <f>J19/I19</f>
        <v>0</v>
      </c>
      <c r="L19" s="45">
        <f t="shared" ref="L19" si="19">SUM(L13:L18)</f>
        <v>107.75</v>
      </c>
      <c r="M19" s="45">
        <f t="shared" ref="M19" si="20">SUM(M13:M18)</f>
        <v>15.396570527999998</v>
      </c>
      <c r="N19" s="46">
        <f>M19/L19</f>
        <v>0.14289160582830623</v>
      </c>
      <c r="O19" s="45">
        <f t="shared" ref="O19" si="21">SUM(O13:O18)</f>
        <v>138.25</v>
      </c>
      <c r="P19" s="45">
        <f t="shared" ref="P19" si="22">SUM(P13:P18)</f>
        <v>0</v>
      </c>
      <c r="Q19" s="46">
        <f>P19/O19</f>
        <v>0</v>
      </c>
      <c r="R19" s="45">
        <f t="shared" ref="R19" si="23">SUM(R13:R18)</f>
        <v>246</v>
      </c>
      <c r="S19" s="45">
        <f t="shared" ref="S19" si="24">SUM(S13:S18)</f>
        <v>15.396570527999998</v>
      </c>
      <c r="T19" s="46">
        <f>S19/R19</f>
        <v>6.2587685073170723E-2</v>
      </c>
      <c r="U19" s="47">
        <f t="shared" ref="U19" si="25">SUM(U13:U18)</f>
        <v>23</v>
      </c>
    </row>
    <row r="20" spans="1:26" ht="15" thickBot="1"/>
    <row r="21" spans="1:26" ht="15" thickBot="1">
      <c r="A21" s="57" t="s">
        <v>49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>
      <c r="A22">
        <v>1</v>
      </c>
      <c r="B22" s="3" t="s">
        <v>50</v>
      </c>
      <c r="C22" s="6" t="s">
        <v>51</v>
      </c>
      <c r="D22" s="7" t="s">
        <v>52</v>
      </c>
      <c r="E22" s="8" t="s">
        <v>31</v>
      </c>
      <c r="F22" s="30">
        <f>SUMIF('[2]CB '!$A$1:$A$16,"Prachi Mayekar",'[2]CB '!$C$1:$C$16)</f>
        <v>7.5</v>
      </c>
      <c r="G22" s="31">
        <f>SUMIF('[1]Opportunity Pipeline'!$F:$F, "Prachi Mayekar",'[1]Opportunity Pipeline'!$O:$O)/10^7</f>
        <v>12.897684399999999</v>
      </c>
      <c r="H22" s="32">
        <f t="shared" ref="H22:H25" si="26">IFERROR(G22/F22,"-")</f>
        <v>1.7196912533333333</v>
      </c>
      <c r="I22" s="30">
        <f>SUMIF('[2]CB '!$A$1:$A$16,"Prachi Mayekar",'[2]CB '!$D$1:$D$22)</f>
        <v>7.5</v>
      </c>
      <c r="J22" s="27" t="s">
        <v>32</v>
      </c>
      <c r="K22" s="32" t="str">
        <f t="shared" ref="K22:K25" si="27">IFERROR(J22/I22,"-")</f>
        <v>-</v>
      </c>
      <c r="L22" s="33">
        <f>'[12]Prachi TARGET LETTER - 26-27'!$D$9/10^7</f>
        <v>15</v>
      </c>
      <c r="M22" s="31">
        <f>SUMIF('[1]Opportunity Pipeline'!$F:$F, "Prachi Mayekar",'[1]Opportunity Pipeline'!$O:$O)/10^7</f>
        <v>12.897684399999999</v>
      </c>
      <c r="N22" s="32">
        <f t="shared" ref="N22:N25" si="28">IFERROR(M22/L22,"-")</f>
        <v>0.85984562666666664</v>
      </c>
      <c r="O22" s="27">
        <f>'[12]Prachi TARGET LETTER - 26-27'!$D$10/10^7</f>
        <v>18</v>
      </c>
      <c r="P22" s="27" t="s">
        <v>32</v>
      </c>
      <c r="Q22" s="32" t="str">
        <f t="shared" ref="Q22:Q25" si="29">IFERROR(P22/O22,"-")</f>
        <v>-</v>
      </c>
      <c r="R22" s="33">
        <f>SUM(L22,O22)</f>
        <v>33</v>
      </c>
      <c r="S22" s="33">
        <f>SUM(M22,P22)</f>
        <v>12.897684399999999</v>
      </c>
      <c r="T22" s="32">
        <f t="shared" ref="T22:T25" si="30">IFERROR(S22/R22,"-")</f>
        <v>0.39083892121212122</v>
      </c>
      <c r="U22" s="27">
        <f>COUNTIF('[1]Opportunity Pipeline'!$F:$F,"Prachi Mayekar")</f>
        <v>10</v>
      </c>
    </row>
    <row r="23" spans="1:26">
      <c r="A23">
        <v>2</v>
      </c>
      <c r="B23" s="3" t="s">
        <v>53</v>
      </c>
      <c r="C23" s="6" t="s">
        <v>51</v>
      </c>
      <c r="D23" s="7" t="s">
        <v>52</v>
      </c>
      <c r="E23" s="8" t="s">
        <v>31</v>
      </c>
      <c r="F23" s="30">
        <f>SUMIF('[2]CB '!$A$1:$A$16,"Shilpa Kavde",'[2]CB '!$C$1:$C$16)</f>
        <v>5</v>
      </c>
      <c r="G23" s="31">
        <f>SUMIF('[1]Opportunity Pipeline'!$F:$F, "Shilpa Kavde",'[1]Opportunity Pipeline'!$O:$O)/10^7</f>
        <v>2.9018713600000003</v>
      </c>
      <c r="H23" s="32">
        <f t="shared" si="26"/>
        <v>0.58037427200000002</v>
      </c>
      <c r="I23" s="30">
        <f>SUMIF('[2]CB '!$A$1:$A$16,"Shilpa Kavde",'[2]CB '!$D$1:$D$22)</f>
        <v>10</v>
      </c>
      <c r="J23" s="27" t="s">
        <v>32</v>
      </c>
      <c r="K23" s="32" t="str">
        <f t="shared" si="27"/>
        <v>-</v>
      </c>
      <c r="L23" s="27">
        <f>'[13]Shilpa TARGET LETTER - 26-27'!$D$9/10^7</f>
        <v>15</v>
      </c>
      <c r="M23" s="31">
        <f>SUMIF('[1]Opportunity Pipeline'!$F:$F, "Shilpa Kavde",'[1]Opportunity Pipeline'!$O:$O)/10^7</f>
        <v>2.9018713600000003</v>
      </c>
      <c r="N23" s="32">
        <f t="shared" si="28"/>
        <v>0.19345809066666669</v>
      </c>
      <c r="O23" s="27">
        <f>'[13]Shilpa TARGET LETTER - 26-27'!$D$10/10^7</f>
        <v>25</v>
      </c>
      <c r="P23" s="27" t="s">
        <v>32</v>
      </c>
      <c r="Q23" s="32" t="str">
        <f t="shared" si="29"/>
        <v>-</v>
      </c>
      <c r="R23" s="33">
        <f t="shared" ref="R23:R25" si="31">SUM(L23,O23)</f>
        <v>40</v>
      </c>
      <c r="S23" s="33">
        <f t="shared" ref="S23:S25" si="32">SUM(M23,P23)</f>
        <v>2.9018713600000003</v>
      </c>
      <c r="T23" s="32">
        <f t="shared" si="30"/>
        <v>7.2546784000000003E-2</v>
      </c>
      <c r="U23" s="27">
        <f>COUNTIF('[1]Opportunity Pipeline'!$F:$F,"Shilpa Kavde")</f>
        <v>28</v>
      </c>
    </row>
    <row r="24" spans="1:26">
      <c r="A24">
        <v>3</v>
      </c>
      <c r="B24" s="3" t="s">
        <v>54</v>
      </c>
      <c r="C24" s="6" t="s">
        <v>51</v>
      </c>
      <c r="D24" s="7" t="s">
        <v>52</v>
      </c>
      <c r="E24" s="8" t="s">
        <v>31</v>
      </c>
      <c r="F24" s="30">
        <f>SUMIF('[2]CB '!$A$1:$A$22,"Vidula Chavan",'[2]CB '!$C$1:$C$22)</f>
        <v>1</v>
      </c>
      <c r="G24" s="31">
        <f>SUMIF('[1]Opportunity Pipeline'!$F:$F, "Vidula Chawan",'[1]Opportunity Pipeline'!$O:$O)/10^7</f>
        <v>3.8400000000000001E-3</v>
      </c>
      <c r="H24" s="32">
        <f t="shared" si="26"/>
        <v>3.8400000000000001E-3</v>
      </c>
      <c r="I24" s="30">
        <f>SUMIF('[2]CB '!$A$1:$A$22,"Vidula Chavan",'[2]CB '!$D$1:$D$22)</f>
        <v>2</v>
      </c>
      <c r="J24" s="27" t="s">
        <v>32</v>
      </c>
      <c r="K24" s="32" t="str">
        <f t="shared" si="27"/>
        <v>-</v>
      </c>
      <c r="L24" s="27">
        <f>'[14]Vidula TARGET LETTER - 26-27'!$D$9/10^7</f>
        <v>3</v>
      </c>
      <c r="M24" s="31">
        <f>SUMIF('[1]Opportunity Pipeline'!$F:$F, "Vidula Chawan",'[1]Opportunity Pipeline'!$O:$O)/10^7</f>
        <v>3.8400000000000001E-3</v>
      </c>
      <c r="N24" s="32">
        <f t="shared" si="28"/>
        <v>1.2800000000000001E-3</v>
      </c>
      <c r="O24" s="27">
        <f>'[14]Vidula TARGET LETTER - 26-27'!$D$10/10^7</f>
        <v>6.5</v>
      </c>
      <c r="P24" s="27" t="s">
        <v>32</v>
      </c>
      <c r="Q24" s="32" t="str">
        <f t="shared" si="29"/>
        <v>-</v>
      </c>
      <c r="R24" s="33">
        <f t="shared" si="31"/>
        <v>9.5</v>
      </c>
      <c r="S24" s="33">
        <f t="shared" si="32"/>
        <v>3.8400000000000001E-3</v>
      </c>
      <c r="T24" s="32">
        <f t="shared" si="30"/>
        <v>4.0421052631578946E-4</v>
      </c>
      <c r="U24" s="27">
        <f>COUNTIF('[1]Opportunity Pipeline'!$F:$F,"Vidula Chawan")</f>
        <v>3</v>
      </c>
    </row>
    <row r="25" spans="1:26">
      <c r="A25" s="24">
        <v>4</v>
      </c>
      <c r="B25" s="20" t="s">
        <v>55</v>
      </c>
      <c r="C25" s="21" t="s">
        <v>51</v>
      </c>
      <c r="D25" s="22" t="s">
        <v>52</v>
      </c>
      <c r="E25" s="23" t="s">
        <v>36</v>
      </c>
      <c r="F25" s="34">
        <v>5</v>
      </c>
      <c r="G25" s="35">
        <f>SUMIF('[1]Opportunity Pipeline'!$F:$F, "Jimesh Shah",'[1]Opportunity Pipeline'!$O:$O)/10^7</f>
        <v>2.2727199999999999E-2</v>
      </c>
      <c r="H25" s="36">
        <f t="shared" si="26"/>
        <v>4.5454399999999996E-3</v>
      </c>
      <c r="I25" s="34">
        <v>10</v>
      </c>
      <c r="J25" s="28" t="s">
        <v>32</v>
      </c>
      <c r="K25" s="36" t="str">
        <f t="shared" si="27"/>
        <v>-</v>
      </c>
      <c r="L25" s="28">
        <f>'[15]Jimesh TARGET LETTER - 26-27'!$D$9/10^7</f>
        <v>15</v>
      </c>
      <c r="M25" s="35">
        <f>SUMIF('[1]Opportunity Pipeline'!$F:$F, "Jimesh Shah",'[1]Opportunity Pipeline'!$O:$O)/10^7</f>
        <v>2.2727199999999999E-2</v>
      </c>
      <c r="N25" s="36">
        <f t="shared" si="28"/>
        <v>1.5151466666666667E-3</v>
      </c>
      <c r="O25" s="28">
        <f>'[15]Jimesh TARGET LETTER - 26-27'!$D$13/10^7</f>
        <v>30</v>
      </c>
      <c r="P25" s="28" t="s">
        <v>32</v>
      </c>
      <c r="Q25" s="36" t="str">
        <f t="shared" si="29"/>
        <v>-</v>
      </c>
      <c r="R25" s="37">
        <f t="shared" si="31"/>
        <v>45</v>
      </c>
      <c r="S25" s="37">
        <f t="shared" si="32"/>
        <v>2.2727199999999999E-2</v>
      </c>
      <c r="T25" s="36">
        <f t="shared" si="30"/>
        <v>5.0504888888888884E-4</v>
      </c>
      <c r="U25" s="28">
        <f>COUNTIF('[1]Opportunity Pipeline'!$F:$F,"Jimesh Shah")</f>
        <v>2</v>
      </c>
    </row>
    <row r="26" spans="1:26" s="44" customFormat="1">
      <c r="B26" s="5" t="s">
        <v>56</v>
      </c>
      <c r="F26" s="45">
        <f>SUM(F20:F25)</f>
        <v>18.5</v>
      </c>
      <c r="G26" s="45">
        <f t="shared" ref="G26" si="33">SUM(G20:G25)</f>
        <v>15.826122960000001</v>
      </c>
      <c r="H26" s="46">
        <f>G26/F26</f>
        <v>0.85546610594594596</v>
      </c>
      <c r="I26" s="45">
        <f t="shared" ref="I26" si="34">SUM(I20:I25)</f>
        <v>29.5</v>
      </c>
      <c r="J26" s="45">
        <f t="shared" ref="J26" si="35">SUM(J20:J25)</f>
        <v>0</v>
      </c>
      <c r="K26" s="46">
        <f>J26/I26</f>
        <v>0</v>
      </c>
      <c r="L26" s="45">
        <f t="shared" ref="L26" si="36">SUM(L20:L25)</f>
        <v>48</v>
      </c>
      <c r="M26" s="45">
        <f t="shared" ref="M26" si="37">SUM(M20:M25)</f>
        <v>15.826122960000001</v>
      </c>
      <c r="N26" s="46">
        <f>M26/L26</f>
        <v>0.329710895</v>
      </c>
      <c r="O26" s="45">
        <f t="shared" ref="O26" si="38">SUM(O20:O25)</f>
        <v>79.5</v>
      </c>
      <c r="P26" s="45">
        <f t="shared" ref="P26" si="39">SUM(P20:P25)</f>
        <v>0</v>
      </c>
      <c r="Q26" s="46">
        <f>P26/O26</f>
        <v>0</v>
      </c>
      <c r="R26" s="45">
        <f t="shared" ref="R26" si="40">SUM(R20:R25)</f>
        <v>127.5</v>
      </c>
      <c r="S26" s="45">
        <f t="shared" ref="S26" si="41">SUM(S20:S25)</f>
        <v>15.826122960000001</v>
      </c>
      <c r="T26" s="46">
        <f>S26/R26</f>
        <v>0.1241264545882353</v>
      </c>
      <c r="U26" s="47">
        <f t="shared" ref="U26" si="42">SUM(U20:U25)</f>
        <v>43</v>
      </c>
    </row>
    <row r="27" spans="1:26" ht="15" thickBot="1"/>
    <row r="28" spans="1:26" ht="15" thickBot="1">
      <c r="A28" s="57" t="s">
        <v>57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>
      <c r="A29">
        <v>1</v>
      </c>
      <c r="B29" s="3" t="s">
        <v>58</v>
      </c>
      <c r="C29" s="6" t="s">
        <v>59</v>
      </c>
      <c r="D29" s="7" t="s">
        <v>52</v>
      </c>
      <c r="E29" s="8" t="s">
        <v>60</v>
      </c>
      <c r="F29" s="30">
        <f>SUMIF('[2]GB '!$A$1:$A$28,"Ashish",'[2]GB '!$C$1:$C$28)</f>
        <v>2</v>
      </c>
      <c r="G29" s="31">
        <f>SUMIF('[1]Opportunity Pipeline'!$F:$F, "Ashish Singh",'[1]Opportunity Pipeline'!$O:$O)/10^7</f>
        <v>1.345843057</v>
      </c>
      <c r="H29" s="32">
        <f t="shared" ref="H29:H38" si="43">IFERROR(G29/F29,"-")</f>
        <v>0.67292152849999998</v>
      </c>
      <c r="I29" s="30">
        <f>SUMIF('[2]GB '!$A$1:$A$28,"Ashish",'[2]GB '!$D$1:$D$28)</f>
        <v>3</v>
      </c>
      <c r="J29" s="27" t="s">
        <v>32</v>
      </c>
      <c r="K29" s="32" t="str">
        <f t="shared" ref="K29:K37" si="44">IFERROR(J29/I29,"-")</f>
        <v>-</v>
      </c>
      <c r="L29" s="33">
        <f>'[16]Ashish  Target Letter 26 27 '!$D$9/10^7</f>
        <v>5</v>
      </c>
      <c r="M29" s="31">
        <f>SUMIF('[1]Opportunity Pipeline'!$F:$F, "Ashish Singh",'[1]Opportunity Pipeline'!$O:$O)/10^7</f>
        <v>1.345843057</v>
      </c>
      <c r="N29" s="32">
        <f t="shared" ref="N29:N38" si="45">IFERROR(M29/L29,"-")</f>
        <v>0.26916861139999998</v>
      </c>
      <c r="O29" s="27">
        <f>'[16]Ashish  Target Letter 26 27 '!$D$10/10^7</f>
        <v>10</v>
      </c>
      <c r="P29" s="27" t="s">
        <v>32</v>
      </c>
      <c r="Q29" s="32" t="str">
        <f t="shared" ref="Q29:Q38" si="46">IFERROR(P29/O29,"-")</f>
        <v>-</v>
      </c>
      <c r="R29" s="33">
        <f>SUM(L29,O29)</f>
        <v>15</v>
      </c>
      <c r="S29" s="33">
        <f>SUM(M29,P29)</f>
        <v>1.345843057</v>
      </c>
      <c r="T29" s="32">
        <f t="shared" ref="T29:T38" si="47">IFERROR(S29/R29,"-")</f>
        <v>8.972287046666666E-2</v>
      </c>
      <c r="U29" s="27">
        <f>COUNTIF('[1]Opportunity Pipeline'!$F:$F,"Ashish Singh")</f>
        <v>9</v>
      </c>
    </row>
    <row r="30" spans="1:26">
      <c r="A30">
        <v>2</v>
      </c>
      <c r="B30" s="3" t="s">
        <v>61</v>
      </c>
      <c r="C30" s="6" t="s">
        <v>59</v>
      </c>
      <c r="D30" s="7" t="s">
        <v>52</v>
      </c>
      <c r="E30" s="8" t="s">
        <v>60</v>
      </c>
      <c r="F30" s="30" t="s">
        <v>32</v>
      </c>
      <c r="G30" s="31">
        <f>SUMIF('[1]Opportunity Pipeline'!$F:$F, "Rima",'[1]Opportunity Pipeline'!$O:$O)/10^7</f>
        <v>0</v>
      </c>
      <c r="H30" s="32" t="str">
        <f t="shared" si="43"/>
        <v>-</v>
      </c>
      <c r="I30" s="30" t="s">
        <v>32</v>
      </c>
      <c r="J30" s="27" t="s">
        <v>32</v>
      </c>
      <c r="K30" s="32" t="str">
        <f t="shared" si="44"/>
        <v>-</v>
      </c>
      <c r="L30" s="33">
        <f>'[17]Rima Target Letter 26 27 '!$D$9/10^7</f>
        <v>3</v>
      </c>
      <c r="M30" s="31">
        <f>SUMIF('[1]Opportunity Pipeline'!$F:$F, "Rima",'[1]Opportunity Pipeline'!$O:$O)/10^7</f>
        <v>0</v>
      </c>
      <c r="N30" s="32">
        <f t="shared" si="45"/>
        <v>0</v>
      </c>
      <c r="O30" s="27">
        <f>'[17]Rima Target Letter 26 27 '!$D$10/10^7</f>
        <v>5</v>
      </c>
      <c r="P30" s="27" t="s">
        <v>32</v>
      </c>
      <c r="Q30" s="32" t="str">
        <f t="shared" si="46"/>
        <v>-</v>
      </c>
      <c r="R30" s="33">
        <f t="shared" ref="R30:R38" si="48">SUM(L30,O30)</f>
        <v>8</v>
      </c>
      <c r="S30" s="33">
        <f t="shared" ref="S30:S38" si="49">SUM(M30,P30)</f>
        <v>0</v>
      </c>
      <c r="T30" s="32">
        <f t="shared" si="47"/>
        <v>0</v>
      </c>
      <c r="U30" s="27">
        <f>COUNTIF('[1]Opportunity Pipeline'!$F:$F,"Rima")</f>
        <v>0</v>
      </c>
    </row>
    <row r="31" spans="1:26">
      <c r="A31">
        <v>3</v>
      </c>
      <c r="B31" s="3" t="s">
        <v>62</v>
      </c>
      <c r="C31" s="6" t="s">
        <v>59</v>
      </c>
      <c r="D31" s="7" t="s">
        <v>52</v>
      </c>
      <c r="E31" s="8" t="s">
        <v>63</v>
      </c>
      <c r="F31" s="30">
        <f>SUMIF('[2]GB '!$A$1:$A$28,"Ayushaman",'[2]GB '!$C$1:$C$28)</f>
        <v>1</v>
      </c>
      <c r="G31" s="31">
        <f>SUMIF('[1]Opportunity Pipeline'!$F:$F, "Ayushman Singh",'[1]Opportunity Pipeline'!$O:$O)/10^7</f>
        <v>0.30205890000000002</v>
      </c>
      <c r="H31" s="32">
        <f t="shared" si="43"/>
        <v>0.30205890000000002</v>
      </c>
      <c r="I31" s="30">
        <f>SUMIF('[2]GB '!$A$1:$A$28,"Ayushaman",'[2]GB '!$D$1:$D$28)</f>
        <v>2</v>
      </c>
      <c r="J31" s="27" t="s">
        <v>32</v>
      </c>
      <c r="K31" s="32" t="str">
        <f t="shared" si="44"/>
        <v>-</v>
      </c>
      <c r="L31" s="33">
        <f>'[18]Ayushman-TARGET LETTER - 26-27'!$D$9/10^7</f>
        <v>3</v>
      </c>
      <c r="M31" s="31">
        <f>SUMIF('[1]Opportunity Pipeline'!$F:$F, "Ayushman Singh",'[1]Opportunity Pipeline'!$O:$O)/10^7</f>
        <v>0.30205890000000002</v>
      </c>
      <c r="N31" s="32">
        <f t="shared" si="45"/>
        <v>0.10068630000000001</v>
      </c>
      <c r="O31" s="27">
        <f>'[18]Ayushman-TARGET LETTER - 26-27'!$D$10/10^7</f>
        <v>9</v>
      </c>
      <c r="P31" s="27" t="s">
        <v>32</v>
      </c>
      <c r="Q31" s="32" t="str">
        <f t="shared" si="46"/>
        <v>-</v>
      </c>
      <c r="R31" s="33">
        <f t="shared" si="48"/>
        <v>12</v>
      </c>
      <c r="S31" s="33">
        <f t="shared" si="49"/>
        <v>0.30205890000000002</v>
      </c>
      <c r="T31" s="32">
        <f t="shared" si="47"/>
        <v>2.5171575000000002E-2</v>
      </c>
      <c r="U31" s="27">
        <f>COUNTIF('[1]Opportunity Pipeline'!$F:$F,"Ayushman Singh")</f>
        <v>4</v>
      </c>
    </row>
    <row r="32" spans="1:26">
      <c r="A32">
        <v>4</v>
      </c>
      <c r="B32" s="3" t="s">
        <v>64</v>
      </c>
      <c r="C32" s="6" t="s">
        <v>59</v>
      </c>
      <c r="D32" s="7" t="s">
        <v>52</v>
      </c>
      <c r="E32" s="8" t="s">
        <v>63</v>
      </c>
      <c r="F32" s="30">
        <f>SUMIF('[2]GB '!$A$1:$A$28,"Shubhangi",'[2]GB '!$C$1:$C$28)</f>
        <v>2</v>
      </c>
      <c r="G32" s="31">
        <f>SUMIF('[1]Opportunity Pipeline'!$F:$F, "Shubhangi Srinivasan",'[1]Opportunity Pipeline'!$O:$O)/10^7</f>
        <v>5.5185175610000003</v>
      </c>
      <c r="H32" s="32">
        <f t="shared" si="43"/>
        <v>2.7592587805000002</v>
      </c>
      <c r="I32" s="30">
        <f>SUMIF('[2]GB '!$A$1:$A$28,"Shubhangi",'[2]GB '!$D$1:$D$28)</f>
        <v>3</v>
      </c>
      <c r="J32" s="27" t="s">
        <v>32</v>
      </c>
      <c r="K32" s="32" t="str">
        <f t="shared" si="44"/>
        <v>-</v>
      </c>
      <c r="L32" s="33">
        <f>'[19]Shubhangi-TARGET LETTER - 26-27'!$D$9/10^7</f>
        <v>5</v>
      </c>
      <c r="M32" s="31">
        <f>SUMIF('[1]Opportunity Pipeline'!$F:$F, "Shubhangi Srinivasan",'[1]Opportunity Pipeline'!$O:$O)/10^7</f>
        <v>5.5185175610000003</v>
      </c>
      <c r="N32" s="32">
        <f t="shared" si="45"/>
        <v>1.1037035122000001</v>
      </c>
      <c r="O32" s="27">
        <f>'[19]Shubhangi-TARGET LETTER - 26-27'!$D$10/10^7</f>
        <v>10</v>
      </c>
      <c r="P32" s="27" t="s">
        <v>32</v>
      </c>
      <c r="Q32" s="32" t="str">
        <f t="shared" si="46"/>
        <v>-</v>
      </c>
      <c r="R32" s="33">
        <f t="shared" si="48"/>
        <v>15</v>
      </c>
      <c r="S32" s="33">
        <f t="shared" si="49"/>
        <v>5.5185175610000003</v>
      </c>
      <c r="T32" s="32">
        <f t="shared" si="47"/>
        <v>0.36790117073333334</v>
      </c>
      <c r="U32" s="27">
        <f>COUNTIF('[1]Opportunity Pipeline'!$F:$F,"Shubhangi Srinivasan")</f>
        <v>13</v>
      </c>
    </row>
    <row r="33" spans="1:26">
      <c r="A33">
        <v>5</v>
      </c>
      <c r="B33" s="3" t="s">
        <v>65</v>
      </c>
      <c r="C33" s="6" t="s">
        <v>59</v>
      </c>
      <c r="D33" s="7" t="s">
        <v>52</v>
      </c>
      <c r="E33" s="8" t="s">
        <v>31</v>
      </c>
      <c r="F33" s="30">
        <f>SUMIF('[2]GB '!$A$1:$A$28,"Atharva Kapre",'[2]GB '!$C$1:$C$28)</f>
        <v>3</v>
      </c>
      <c r="G33" s="31">
        <f>SUMIF('[1]Opportunity Pipeline'!$F:$F, "Atharva Karpe",'[1]Opportunity Pipeline'!$O:$O)/10^7</f>
        <v>6.4578696999999998</v>
      </c>
      <c r="H33" s="32">
        <f t="shared" si="43"/>
        <v>2.1526232333333333</v>
      </c>
      <c r="I33" s="30">
        <f>SUMIF('[2]GB '!$A$1:$A$28,"Atharva Kapre",'[2]GB '!$D$1:$D$28)</f>
        <v>1</v>
      </c>
      <c r="J33" s="27" t="s">
        <v>32</v>
      </c>
      <c r="K33" s="32" t="str">
        <f t="shared" si="44"/>
        <v>-</v>
      </c>
      <c r="L33" s="33">
        <f>'[20]Atharva -TARGET LETTER - 26-27'!$D$9/10^7</f>
        <v>4</v>
      </c>
      <c r="M33" s="31">
        <f>SUMIF('[1]Opportunity Pipeline'!$F:$F, "Atharva Karpe",'[1]Opportunity Pipeline'!$O:$O)/10^7</f>
        <v>6.4578696999999998</v>
      </c>
      <c r="N33" s="32">
        <f t="shared" si="45"/>
        <v>1.614467425</v>
      </c>
      <c r="O33" s="27">
        <f>'[20]Atharva -TARGET LETTER - 26-27'!$D$10/10^7</f>
        <v>4</v>
      </c>
      <c r="P33" s="27" t="s">
        <v>32</v>
      </c>
      <c r="Q33" s="32" t="str">
        <f t="shared" si="46"/>
        <v>-</v>
      </c>
      <c r="R33" s="33">
        <f t="shared" si="48"/>
        <v>8</v>
      </c>
      <c r="S33" s="33">
        <f t="shared" si="49"/>
        <v>6.4578696999999998</v>
      </c>
      <c r="T33" s="32">
        <f t="shared" si="47"/>
        <v>0.80723371249999998</v>
      </c>
      <c r="U33" s="27">
        <f>COUNTIF('[1]Opportunity Pipeline'!$F:$F,"Atharva Karpe")</f>
        <v>12</v>
      </c>
    </row>
    <row r="34" spans="1:26">
      <c r="A34">
        <v>6</v>
      </c>
      <c r="B34" s="3" t="s">
        <v>66</v>
      </c>
      <c r="C34" s="6" t="s">
        <v>59</v>
      </c>
      <c r="D34" s="7" t="s">
        <v>52</v>
      </c>
      <c r="E34" s="8" t="s">
        <v>31</v>
      </c>
      <c r="F34" s="30">
        <f>SUMIF('[2]GB '!$A$1:$A$28,"Jay Rushi",'[2]GB '!$C$1:$C$28)</f>
        <v>1</v>
      </c>
      <c r="G34" s="31">
        <f>SUMIF('[1]Opportunity Pipeline'!$F:$F, "Jay Rushi",'[1]Opportunity Pipeline'!$O:$O)/10^7</f>
        <v>1.4900933999999999</v>
      </c>
      <c r="H34" s="32">
        <f t="shared" si="43"/>
        <v>1.4900933999999999</v>
      </c>
      <c r="I34" s="30">
        <f>SUMIF('[2]GB '!$A$1:$A$28,"Jay Rushi",'[2]GB '!$D$1:$D$28)</f>
        <v>2</v>
      </c>
      <c r="J34" s="27" t="s">
        <v>32</v>
      </c>
      <c r="K34" s="32" t="str">
        <f t="shared" si="44"/>
        <v>-</v>
      </c>
      <c r="L34" s="33">
        <f>'[21]Jay Rushi TARGET LETTER - 26-27'!$D$9/10^7</f>
        <v>3</v>
      </c>
      <c r="M34" s="31">
        <f>SUMIF('[1]Opportunity Pipeline'!$F:$F, "Jay Rushi",'[1]Opportunity Pipeline'!$O:$O)/10^7</f>
        <v>1.4900933999999999</v>
      </c>
      <c r="N34" s="32">
        <f t="shared" si="45"/>
        <v>0.49669779999999997</v>
      </c>
      <c r="O34" s="27">
        <f>'[21]Jay Rushi TARGET LETTER - 26-27'!$D$10/10^7</f>
        <v>5</v>
      </c>
      <c r="P34" s="27" t="s">
        <v>32</v>
      </c>
      <c r="Q34" s="32" t="str">
        <f t="shared" si="46"/>
        <v>-</v>
      </c>
      <c r="R34" s="33">
        <f t="shared" si="48"/>
        <v>8</v>
      </c>
      <c r="S34" s="33">
        <f t="shared" si="49"/>
        <v>1.4900933999999999</v>
      </c>
      <c r="T34" s="32">
        <f t="shared" si="47"/>
        <v>0.18626167499999999</v>
      </c>
      <c r="U34" s="27">
        <f>COUNTIF('[1]Opportunity Pipeline'!$F:$F,"Jay Rushi")</f>
        <v>12</v>
      </c>
    </row>
    <row r="35" spans="1:26">
      <c r="A35" s="24">
        <v>7</v>
      </c>
      <c r="B35" s="20" t="s">
        <v>67</v>
      </c>
      <c r="C35" s="21" t="s">
        <v>59</v>
      </c>
      <c r="D35" s="22" t="s">
        <v>52</v>
      </c>
      <c r="E35" s="23" t="s">
        <v>36</v>
      </c>
      <c r="F35" s="39" t="s">
        <v>32</v>
      </c>
      <c r="G35" s="35">
        <f>SUMIF('[1]Opportunity Pipeline'!$F:$F, "Sana",'[1]Opportunity Pipeline'!$O:$O)/10^7</f>
        <v>0</v>
      </c>
      <c r="H35" s="36" t="str">
        <f t="shared" si="43"/>
        <v>-</v>
      </c>
      <c r="I35" s="39" t="s">
        <v>32</v>
      </c>
      <c r="J35" s="28" t="s">
        <v>32</v>
      </c>
      <c r="K35" s="36" t="str">
        <f t="shared" si="44"/>
        <v>-</v>
      </c>
      <c r="L35" s="37">
        <f>'[22]SANA -TARGET LETTER - 26-27'!$D$9/10^7</f>
        <v>3.2</v>
      </c>
      <c r="M35" s="35">
        <f>SUMIF('[1]Opportunity Pipeline'!$F:$F, "Sana",'[1]Opportunity Pipeline'!$O:$O)/10^7</f>
        <v>0</v>
      </c>
      <c r="N35" s="36">
        <f t="shared" si="45"/>
        <v>0</v>
      </c>
      <c r="O35" s="28">
        <f>'[22]SANA -TARGET LETTER - 26-27'!$D$14/10^7</f>
        <v>6.8</v>
      </c>
      <c r="P35" s="28" t="s">
        <v>32</v>
      </c>
      <c r="Q35" s="36" t="str">
        <f t="shared" si="46"/>
        <v>-</v>
      </c>
      <c r="R35" s="37">
        <f t="shared" si="48"/>
        <v>10</v>
      </c>
      <c r="S35" s="37">
        <f t="shared" si="49"/>
        <v>0</v>
      </c>
      <c r="T35" s="36">
        <f t="shared" si="47"/>
        <v>0</v>
      </c>
      <c r="U35" s="28">
        <f>COUNTIF('[1]Opportunity Pipeline'!$F:$F,"Sana")</f>
        <v>0</v>
      </c>
    </row>
    <row r="36" spans="1:26">
      <c r="A36">
        <v>8</v>
      </c>
      <c r="B36" s="3" t="s">
        <v>68</v>
      </c>
      <c r="C36" s="6" t="s">
        <v>59</v>
      </c>
      <c r="D36" s="7" t="s">
        <v>52</v>
      </c>
      <c r="E36" s="8" t="s">
        <v>31</v>
      </c>
      <c r="F36" s="30">
        <f>SUMIF('[2]GB '!$A$1:$A$28,"Bhumi ",'[2]GB '!$C$1:$C$28)</f>
        <v>0.1</v>
      </c>
      <c r="G36" s="31">
        <f>SUMIF('[1]Opportunity Pipeline'!$F:$F, "Bhumi",'[1]Opportunity Pipeline'!$O:$O)/10^7</f>
        <v>0</v>
      </c>
      <c r="H36" s="32">
        <f t="shared" si="43"/>
        <v>0</v>
      </c>
      <c r="I36" s="30">
        <f>SUMIF('[2]GB '!$A$1:$A$28,"Bhumi ",'[2]GB '!$D$1:$D$28)</f>
        <v>0.5</v>
      </c>
      <c r="J36" s="27" t="s">
        <v>32</v>
      </c>
      <c r="K36" s="32" t="str">
        <f t="shared" si="44"/>
        <v>-</v>
      </c>
      <c r="L36" s="33">
        <f>'[23]Bhumi Target Letter 26 27 '!$D$9/10^7</f>
        <v>0.6</v>
      </c>
      <c r="M36" s="31">
        <f>SUMIF('[1]Opportunity Pipeline'!$F:$F, "Bhumi",'[1]Opportunity Pipeline'!$O:$O)/10^7</f>
        <v>0</v>
      </c>
      <c r="N36" s="32">
        <f t="shared" si="45"/>
        <v>0</v>
      </c>
      <c r="O36" s="27">
        <f>'[23]Bhumi Target Letter 26 27 '!$D$10/10^7</f>
        <v>1.4</v>
      </c>
      <c r="P36" s="27" t="s">
        <v>32</v>
      </c>
      <c r="Q36" s="32" t="str">
        <f t="shared" si="46"/>
        <v>-</v>
      </c>
      <c r="R36" s="33">
        <f t="shared" si="48"/>
        <v>2</v>
      </c>
      <c r="S36" s="33">
        <f t="shared" si="49"/>
        <v>0</v>
      </c>
      <c r="T36" s="32">
        <f t="shared" si="47"/>
        <v>0</v>
      </c>
      <c r="U36" s="27">
        <f>COUNTIF('[1]Opportunity Pipeline'!$F:$F,"Bhumi Karelia")</f>
        <v>0</v>
      </c>
    </row>
    <row r="37" spans="1:26">
      <c r="A37">
        <v>9</v>
      </c>
      <c r="B37" s="3" t="s">
        <v>69</v>
      </c>
      <c r="C37" s="6" t="s">
        <v>59</v>
      </c>
      <c r="D37" s="7" t="s">
        <v>52</v>
      </c>
      <c r="E37" s="8" t="s">
        <v>31</v>
      </c>
      <c r="F37" s="30">
        <f>SUMIF('[2]GB '!$A$1:$A$28,"Rizwana (ISR/OSR)",'[2]GB '!$C$1:$C$28)</f>
        <v>0.5</v>
      </c>
      <c r="G37" s="31">
        <f>SUMIF('[1]Opportunity Pipeline'!$F:$F, "Rizwana",'[1]Opportunity Pipeline'!$O:$O)/10^7</f>
        <v>0</v>
      </c>
      <c r="H37" s="32">
        <f t="shared" si="43"/>
        <v>0</v>
      </c>
      <c r="I37" s="30">
        <f>SUMIF('[2]GB '!$A$1:$A$28,"Rizwana (ISR/OSR)",'[2]GB '!$D$1:$D$28)</f>
        <v>1</v>
      </c>
      <c r="J37" s="27" t="s">
        <v>32</v>
      </c>
      <c r="K37" s="32" t="str">
        <f t="shared" si="44"/>
        <v>-</v>
      </c>
      <c r="L37" s="33">
        <f>'[24]Rizwana Target Letter 26 27 '!$D$9/10^7</f>
        <v>1.5</v>
      </c>
      <c r="M37" s="31">
        <f>SUMIF('[1]Opportunity Pipeline'!$F:$F, "Rizwana",'[1]Opportunity Pipeline'!$O:$O)/10^7</f>
        <v>0</v>
      </c>
      <c r="N37" s="32">
        <f t="shared" si="45"/>
        <v>0</v>
      </c>
      <c r="O37" s="27">
        <f>'[24]Rizwana Target Letter 26 27 '!$D$10/10^7</f>
        <v>3.5</v>
      </c>
      <c r="P37" s="27" t="s">
        <v>32</v>
      </c>
      <c r="Q37" s="32" t="str">
        <f t="shared" si="46"/>
        <v>-</v>
      </c>
      <c r="R37" s="33">
        <f t="shared" si="48"/>
        <v>5</v>
      </c>
      <c r="S37" s="33">
        <f t="shared" si="49"/>
        <v>0</v>
      </c>
      <c r="T37" s="32">
        <f t="shared" si="47"/>
        <v>0</v>
      </c>
      <c r="U37" s="27">
        <f>COUNTIF('[1]Opportunity Pipeline'!$F:$F,"Rizwana Khan")</f>
        <v>0</v>
      </c>
    </row>
    <row r="38" spans="1:26">
      <c r="A38">
        <v>10</v>
      </c>
      <c r="B38" s="3" t="s">
        <v>70</v>
      </c>
      <c r="C38" s="6" t="s">
        <v>59</v>
      </c>
      <c r="D38" s="7" t="s">
        <v>52</v>
      </c>
      <c r="E38" s="8" t="s">
        <v>31</v>
      </c>
      <c r="F38" s="30">
        <f>SUMIF('[2]GB '!$A$1:$A$28,"Suyesh",'[2]GB '!$C$1:$C$28)</f>
        <v>0.1</v>
      </c>
      <c r="G38" s="31">
        <f>SUMIF('[1]Opportunity Pipeline'!$F:$F, "Suvesh Malakar",'[1]Opportunity Pipeline'!$O:$O)/10^7</f>
        <v>0</v>
      </c>
      <c r="H38" s="32">
        <f t="shared" si="43"/>
        <v>0</v>
      </c>
      <c r="I38" s="30">
        <f>SUMIF('[2]GB '!$A$1:$A$28,"Suyesh",'[2]GB '!$D$1:$D$28)</f>
        <v>0.5</v>
      </c>
      <c r="J38" s="27" t="s">
        <v>32</v>
      </c>
      <c r="K38" s="32" t="str">
        <f t="shared" ref="K38" si="50">IFERROR(J38/I38,"-")</f>
        <v>-</v>
      </c>
      <c r="L38" s="33">
        <f>'[25]Suvesh- Target Letter 26 27 '!$D$9/10^7</f>
        <v>0.6</v>
      </c>
      <c r="M38" s="31">
        <f>SUMIF('[1]Opportunity Pipeline'!$F:$F, "Suvesh Malakar",'[1]Opportunity Pipeline'!$O:$O)/10^7</f>
        <v>0</v>
      </c>
      <c r="N38" s="32">
        <f t="shared" si="45"/>
        <v>0</v>
      </c>
      <c r="O38" s="27">
        <f>'[25]Suvesh- Target Letter 26 27 '!$D$10/10^7</f>
        <v>1.4</v>
      </c>
      <c r="P38" s="27" t="s">
        <v>32</v>
      </c>
      <c r="Q38" s="32" t="str">
        <f t="shared" si="46"/>
        <v>-</v>
      </c>
      <c r="R38" s="33">
        <f t="shared" si="48"/>
        <v>2</v>
      </c>
      <c r="S38" s="33">
        <f t="shared" si="49"/>
        <v>0</v>
      </c>
      <c r="T38" s="32">
        <f t="shared" si="47"/>
        <v>0</v>
      </c>
      <c r="U38" s="27">
        <f>COUNTIF('[1]Opportunity Pipeline'!$F:$F,"Suvesh Malakar")</f>
        <v>0</v>
      </c>
    </row>
    <row r="39" spans="1:26" s="44" customFormat="1">
      <c r="B39" s="5" t="s">
        <v>71</v>
      </c>
      <c r="F39" s="45">
        <f>SUM(F33:F38)</f>
        <v>4.6999999999999993</v>
      </c>
      <c r="G39" s="45">
        <f t="shared" ref="G39" si="51">SUM(G33:G38)</f>
        <v>7.9479630999999999</v>
      </c>
      <c r="H39" s="46">
        <f>G39/F39</f>
        <v>1.6910559787234045</v>
      </c>
      <c r="I39" s="45">
        <f t="shared" ref="I39" si="52">SUM(I33:I38)</f>
        <v>5</v>
      </c>
      <c r="J39" s="45">
        <f t="shared" ref="J39" si="53">SUM(J33:J38)</f>
        <v>0</v>
      </c>
      <c r="K39" s="46">
        <f>J39/I39</f>
        <v>0</v>
      </c>
      <c r="L39" s="45">
        <f t="shared" ref="L39" si="54">SUM(L33:L38)</f>
        <v>12.899999999999999</v>
      </c>
      <c r="M39" s="45">
        <f t="shared" ref="M39" si="55">SUM(M33:M38)</f>
        <v>7.9479630999999999</v>
      </c>
      <c r="N39" s="46">
        <f>M39/L39</f>
        <v>0.61612117054263571</v>
      </c>
      <c r="O39" s="45">
        <f t="shared" ref="O39" si="56">SUM(O33:O38)</f>
        <v>22.099999999999998</v>
      </c>
      <c r="P39" s="45">
        <f t="shared" ref="P39" si="57">SUM(P33:P38)</f>
        <v>0</v>
      </c>
      <c r="Q39" s="46">
        <f>P39/O39</f>
        <v>0</v>
      </c>
      <c r="R39" s="45">
        <f t="shared" ref="R39" si="58">SUM(R33:R38)</f>
        <v>35</v>
      </c>
      <c r="S39" s="45">
        <f t="shared" ref="S39" si="59">SUM(S33:S38)</f>
        <v>7.9479630999999999</v>
      </c>
      <c r="T39" s="46">
        <f>S39/R39</f>
        <v>0.22708465999999999</v>
      </c>
      <c r="U39" s="47">
        <f t="shared" ref="U39" si="60">SUM(U33:U38)</f>
        <v>24</v>
      </c>
    </row>
    <row r="40" spans="1:26" ht="15" thickBot="1"/>
    <row r="41" spans="1:26" ht="15" thickBot="1">
      <c r="A41" s="57" t="s">
        <v>72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>
      <c r="A42">
        <v>1</v>
      </c>
      <c r="B42" s="3" t="s">
        <v>73</v>
      </c>
      <c r="C42" s="6" t="s">
        <v>74</v>
      </c>
      <c r="D42" s="7" t="s">
        <v>52</v>
      </c>
      <c r="E42" s="8" t="s">
        <v>31</v>
      </c>
      <c r="F42" s="30">
        <f>SUMIF('[2]South '!$B$1:$B$28,"Abrar Altaf Menon",'[2]South '!$D$1:$D$28)</f>
        <v>2</v>
      </c>
      <c r="G42" s="31">
        <f>SUMIF('[1]Opportunity Pipeline'!$F:$F, "Abrar Memon",'[1]Opportunity Pipeline'!$O:$O)/10^7</f>
        <v>4.1457089000000003E-2</v>
      </c>
      <c r="H42" s="32">
        <f t="shared" ref="H42:H45" si="61">IFERROR(G42/F42,"-")</f>
        <v>2.0728544500000001E-2</v>
      </c>
      <c r="I42" s="30">
        <f>SUMIF('[2]South '!$B$1:$B$28,"Abrar Altaf Menon",'[2]South '!$E$1:$E$28)</f>
        <v>2</v>
      </c>
      <c r="J42" s="27" t="s">
        <v>32</v>
      </c>
      <c r="K42" s="32" t="str">
        <f t="shared" ref="K42:K45" si="62">IFERROR(J42/I42,"-")</f>
        <v>-</v>
      </c>
      <c r="L42" s="33">
        <f>'[26]Abrar TARGET LETTER - 26-27'!$D$9/10^7</f>
        <v>4</v>
      </c>
      <c r="M42" s="31">
        <f>SUMIF('[1]Opportunity Pipeline'!$F:$F, "Abrar Memon",'[1]Opportunity Pipeline'!$O:$O)/10^7</f>
        <v>4.1457089000000003E-2</v>
      </c>
      <c r="N42" s="32">
        <f t="shared" ref="N42:N45" si="63">IFERROR(M42/L42,"-")</f>
        <v>1.0364272250000001E-2</v>
      </c>
      <c r="O42" s="27">
        <f>'[26]Abrar TARGET LETTER - 26-27'!$D$10/10^7</f>
        <v>4</v>
      </c>
      <c r="P42" s="27" t="s">
        <v>32</v>
      </c>
      <c r="Q42" s="32" t="str">
        <f t="shared" ref="Q42:Q45" si="64">IFERROR(P42/O42,"-")</f>
        <v>-</v>
      </c>
      <c r="R42" s="33">
        <f t="shared" ref="R42:R45" si="65">SUM(L42,O42)</f>
        <v>8</v>
      </c>
      <c r="S42" s="33">
        <f t="shared" ref="S42:S45" si="66">SUM(M42,P42)</f>
        <v>4.1457089000000003E-2</v>
      </c>
      <c r="T42" s="32">
        <f t="shared" ref="T42:T45" si="67">IFERROR(S42/R42,"-")</f>
        <v>5.1821361250000003E-3</v>
      </c>
      <c r="U42" s="27">
        <f>COUNTIF('[1]Opportunity Pipeline'!$F:$F,"Abrar Memon")</f>
        <v>6</v>
      </c>
    </row>
    <row r="43" spans="1:26">
      <c r="A43">
        <v>2</v>
      </c>
      <c r="B43" s="3" t="s">
        <v>75</v>
      </c>
      <c r="C43" s="6" t="s">
        <v>74</v>
      </c>
      <c r="D43" s="7" t="s">
        <v>52</v>
      </c>
      <c r="E43" s="8" t="s">
        <v>31</v>
      </c>
      <c r="F43" s="30">
        <f>SUMIF('[2]South '!$B$1:$B$28,"Sagar TR",'[2]South '!$D$1:$D$28)</f>
        <v>2.5</v>
      </c>
      <c r="G43" s="31">
        <f>SUMIF('[1]Opportunity Pipeline'!$F:$F, "Sagar TR",'[1]Opportunity Pipeline'!$O:$O)/10^7</f>
        <v>1.1067547</v>
      </c>
      <c r="H43" s="32">
        <f t="shared" si="61"/>
        <v>0.44270187999999999</v>
      </c>
      <c r="I43" s="30">
        <f>SUMIF('[2]South '!$B$1:$B$28,"Sagar TR",'[2]South '!$E$1:$E$28)</f>
        <v>2.5</v>
      </c>
      <c r="J43" s="27" t="s">
        <v>32</v>
      </c>
      <c r="K43" s="32" t="str">
        <f t="shared" si="62"/>
        <v>-</v>
      </c>
      <c r="L43" s="33">
        <f>'[27]Sagar- TARGET LETTER - 26-27'!$D$9/10^7</f>
        <v>5</v>
      </c>
      <c r="M43" s="31">
        <f>SUMIF('[1]Opportunity Pipeline'!$F:$F, "Sagar TR",'[1]Opportunity Pipeline'!$O:$O)/10^7</f>
        <v>1.1067547</v>
      </c>
      <c r="N43" s="32">
        <f t="shared" si="63"/>
        <v>0.22135094</v>
      </c>
      <c r="O43" s="27">
        <f>'[27]Sagar- TARGET LETTER - 26-27'!$D$10/10^7</f>
        <v>5</v>
      </c>
      <c r="P43" s="27" t="s">
        <v>32</v>
      </c>
      <c r="Q43" s="32" t="str">
        <f t="shared" si="64"/>
        <v>-</v>
      </c>
      <c r="R43" s="33">
        <f t="shared" si="65"/>
        <v>10</v>
      </c>
      <c r="S43" s="33">
        <f t="shared" si="66"/>
        <v>1.1067547</v>
      </c>
      <c r="T43" s="32">
        <f t="shared" si="67"/>
        <v>0.11067547</v>
      </c>
      <c r="U43" s="27">
        <f>COUNTIF('[1]Opportunity Pipeline'!$F:$F,"Sagar TR")</f>
        <v>34</v>
      </c>
    </row>
    <row r="44" spans="1:26">
      <c r="A44">
        <v>3</v>
      </c>
      <c r="B44" s="3" t="s">
        <v>76</v>
      </c>
      <c r="C44" s="6" t="s">
        <v>74</v>
      </c>
      <c r="D44" s="7" t="s">
        <v>52</v>
      </c>
      <c r="E44" s="8" t="s">
        <v>31</v>
      </c>
      <c r="F44" s="30">
        <f>SUMIF('[2]South '!$B$1:$B$28,"Shahbaz Khan",'[2]South '!$D$1:$D$28)</f>
        <v>3</v>
      </c>
      <c r="G44" s="31">
        <f>SUMIF('[1]Opportunity Pipeline'!$F:$F, "Shahbaz Khan",'[1]Opportunity Pipeline'!$O:$O)/10^7</f>
        <v>3.8053235999999999</v>
      </c>
      <c r="H44" s="32">
        <f t="shared" si="61"/>
        <v>1.2684412</v>
      </c>
      <c r="I44" s="30">
        <f>SUMIF('[2]South '!$B$1:$B$28,"Shahbaz Khan",'[2]South '!$E$1:$E$28)</f>
        <v>3</v>
      </c>
      <c r="J44" s="27" t="s">
        <v>32</v>
      </c>
      <c r="K44" s="32" t="str">
        <f t="shared" si="62"/>
        <v>-</v>
      </c>
      <c r="L44" s="33">
        <f>'[28]Shahbaz - TARGET LETTER - 26-27'!$D$9/10^7</f>
        <v>6</v>
      </c>
      <c r="M44" s="31">
        <f>SUMIF('[1]Opportunity Pipeline'!$F:$F, "Shahbaz Khan",'[1]Opportunity Pipeline'!$O:$O)/10^7</f>
        <v>3.8053235999999999</v>
      </c>
      <c r="N44" s="32">
        <f t="shared" si="63"/>
        <v>0.63422060000000002</v>
      </c>
      <c r="O44" s="27">
        <f>'[28]Shahbaz - TARGET LETTER - 26-27'!$D$10/10^7</f>
        <v>6</v>
      </c>
      <c r="P44" s="27" t="s">
        <v>32</v>
      </c>
      <c r="Q44" s="32" t="str">
        <f t="shared" si="64"/>
        <v>-</v>
      </c>
      <c r="R44" s="33">
        <f t="shared" si="65"/>
        <v>12</v>
      </c>
      <c r="S44" s="33">
        <f t="shared" si="66"/>
        <v>3.8053235999999999</v>
      </c>
      <c r="T44" s="32">
        <f t="shared" si="67"/>
        <v>0.31711030000000001</v>
      </c>
      <c r="U44" s="27">
        <f>COUNTIF('[1]Opportunity Pipeline'!$F:$F,"Shahbaz Khan")</f>
        <v>12</v>
      </c>
    </row>
    <row r="45" spans="1:26">
      <c r="A45">
        <v>4</v>
      </c>
      <c r="B45" s="3" t="s">
        <v>77</v>
      </c>
      <c r="C45" s="6" t="s">
        <v>74</v>
      </c>
      <c r="D45" s="7" t="s">
        <v>52</v>
      </c>
      <c r="E45" s="8" t="s">
        <v>31</v>
      </c>
      <c r="F45" s="30">
        <f>SUMIF('[2]South '!$B$1:$B$28,"Shaikh Kadar",'[2]South '!$D$1:$D$28)</f>
        <v>3</v>
      </c>
      <c r="G45" s="31">
        <f>SUMIF('[1]Opportunity Pipeline'!$F:$F, "Shaik Khadhar",'[1]Opportunity Pipeline'!$O:$O)/10^7</f>
        <v>5.3360915000000002</v>
      </c>
      <c r="H45" s="32">
        <f t="shared" si="61"/>
        <v>1.7786971666666667</v>
      </c>
      <c r="I45" s="30">
        <f>SUMIF('[2]South '!$B$1:$B$28,"Shaikh Kada",'[2]South '!$E$1:$E$28)</f>
        <v>0</v>
      </c>
      <c r="J45" s="27" t="s">
        <v>32</v>
      </c>
      <c r="K45" s="32" t="str">
        <f t="shared" si="62"/>
        <v>-</v>
      </c>
      <c r="L45" s="33">
        <f>'[29]Khadar-  TARGET LETTER - 26-27'!$D$9/10^7</f>
        <v>7</v>
      </c>
      <c r="M45" s="31">
        <f>SUMIF('[1]Opportunity Pipeline'!$F:$F, "Shaik Khadhar",'[1]Opportunity Pipeline'!$O:$O)/10^7</f>
        <v>5.3360915000000002</v>
      </c>
      <c r="N45" s="32">
        <f t="shared" si="63"/>
        <v>0.76229878571428578</v>
      </c>
      <c r="O45" s="27">
        <f>'[29]Khadar-  TARGET LETTER - 26-27'!$D$10/10^7</f>
        <v>8</v>
      </c>
      <c r="P45" s="27" t="s">
        <v>32</v>
      </c>
      <c r="Q45" s="32" t="str">
        <f t="shared" si="64"/>
        <v>-</v>
      </c>
      <c r="R45" s="33">
        <f t="shared" si="65"/>
        <v>15</v>
      </c>
      <c r="S45" s="33">
        <f t="shared" si="66"/>
        <v>5.3360915000000002</v>
      </c>
      <c r="T45" s="32">
        <f t="shared" si="67"/>
        <v>0.35573943333333335</v>
      </c>
      <c r="U45" s="27">
        <f>COUNTIF('[1]Opportunity Pipeline'!$F:$F,"Shaik Khadhar")</f>
        <v>2</v>
      </c>
    </row>
    <row r="46" spans="1:26" s="44" customFormat="1">
      <c r="B46" s="5" t="s">
        <v>78</v>
      </c>
      <c r="F46" s="45">
        <f>SUM(F40:F45)</f>
        <v>10.5</v>
      </c>
      <c r="G46" s="45">
        <f t="shared" ref="G46" si="68">SUM(G40:G45)</f>
        <v>10.289626889000001</v>
      </c>
      <c r="H46" s="46">
        <f>G46/F46</f>
        <v>0.97996446561904771</v>
      </c>
      <c r="I46" s="45">
        <f t="shared" ref="I46" si="69">SUM(I40:I45)</f>
        <v>7.5</v>
      </c>
      <c r="J46" s="45">
        <f t="shared" ref="J46" si="70">SUM(J40:J45)</f>
        <v>0</v>
      </c>
      <c r="K46" s="46">
        <f>J46/I46</f>
        <v>0</v>
      </c>
      <c r="L46" s="45">
        <f t="shared" ref="L46" si="71">SUM(L40:L45)</f>
        <v>22</v>
      </c>
      <c r="M46" s="45">
        <f t="shared" ref="M46" si="72">SUM(M40:M45)</f>
        <v>10.289626889000001</v>
      </c>
      <c r="N46" s="46">
        <f>M46/L46</f>
        <v>0.46771031313636369</v>
      </c>
      <c r="O46" s="45">
        <f t="shared" ref="O46" si="73">SUM(O40:O45)</f>
        <v>23</v>
      </c>
      <c r="P46" s="45">
        <f t="shared" ref="P46" si="74">SUM(P40:P45)</f>
        <v>0</v>
      </c>
      <c r="Q46" s="46">
        <f>P46/O46</f>
        <v>0</v>
      </c>
      <c r="R46" s="45">
        <f t="shared" ref="R46" si="75">SUM(R40:R45)</f>
        <v>45</v>
      </c>
      <c r="S46" s="45">
        <f t="shared" ref="S46" si="76">SUM(S40:S45)</f>
        <v>10.289626889000001</v>
      </c>
      <c r="T46" s="46">
        <f>S46/R46</f>
        <v>0.22865837531111113</v>
      </c>
      <c r="U46" s="47">
        <f t="shared" ref="U46" si="77">SUM(U40:U45)</f>
        <v>54</v>
      </c>
    </row>
    <row r="47" spans="1:26" ht="15" thickBot="1"/>
    <row r="48" spans="1:26" ht="15" thickBot="1">
      <c r="A48" s="57" t="s">
        <v>79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1">
      <c r="A49">
        <v>1</v>
      </c>
      <c r="B49" s="3" t="s">
        <v>80</v>
      </c>
      <c r="C49" s="6" t="s">
        <v>81</v>
      </c>
      <c r="D49" s="7" t="s">
        <v>52</v>
      </c>
      <c r="E49" s="8" t="s">
        <v>82</v>
      </c>
      <c r="F49" s="30">
        <f>SUMIF('[2]GeoX '!$A$1:$A$28,"Hrushikesh Bagade",'[2]GeoX '!$H$1:$H$28)</f>
        <v>0.4</v>
      </c>
      <c r="G49" s="31">
        <f>SUMIF('[1]Opportunity Pipeline'!$F:$F, "Hrushikesh Bagade",'[1]Opportunity Pipeline'!$O:$O)/10^7</f>
        <v>3.8126083999999998</v>
      </c>
      <c r="H49" s="32">
        <f t="shared" ref="H49:H50" si="78">IFERROR(G49/F49,"-")</f>
        <v>9.5315209999999997</v>
      </c>
      <c r="I49" s="30">
        <f>SUMIF('[2]GeoX '!$A$1:$A$28,"Hrushikesh Bagade",'[2]GeoX '!$I$1:$I$28)</f>
        <v>0.65</v>
      </c>
      <c r="J49" s="27" t="s">
        <v>32</v>
      </c>
      <c r="K49" s="32" t="str">
        <f t="shared" ref="K49" si="79">IFERROR(J49/I49,"-")</f>
        <v>-</v>
      </c>
      <c r="L49" s="33">
        <f>'[30]Hrushikesh TARGET LETTER 26-27'!$D$9/10^7</f>
        <v>1.05</v>
      </c>
      <c r="M49" s="31">
        <f>SUMIF('[1]Opportunity Pipeline'!$F:$F, "Hrushikesh Bagade",'[1]Opportunity Pipeline'!$O:$O)/10^7</f>
        <v>3.8126083999999998</v>
      </c>
      <c r="N49" s="32">
        <f t="shared" ref="N49" si="80">IFERROR(M49/L49,"-")</f>
        <v>3.6310556190476189</v>
      </c>
      <c r="O49" s="27">
        <f>'[30]Hrushikesh TARGET LETTER 26-27'!$D$10/10^7</f>
        <v>1.35</v>
      </c>
      <c r="P49" s="27" t="s">
        <v>32</v>
      </c>
      <c r="Q49" s="32" t="s">
        <v>32</v>
      </c>
      <c r="R49" s="33">
        <f t="shared" ref="R49" si="81">SUM(L49,O49)</f>
        <v>2.4000000000000004</v>
      </c>
      <c r="S49" s="33">
        <f t="shared" ref="S49" si="82">SUM(M49,P49)</f>
        <v>3.8126083999999998</v>
      </c>
      <c r="T49" s="32">
        <f t="shared" ref="T49" si="83">IFERROR(S49/R49,"-")</f>
        <v>1.5885868333333331</v>
      </c>
      <c r="U49" s="27">
        <f>COUNTIF('[1]Opportunity Pipeline'!$F:$F,"Hrushikesh Bagade")</f>
        <v>53</v>
      </c>
    </row>
    <row r="50" spans="1:21" s="44" customFormat="1">
      <c r="B50" s="5" t="s">
        <v>83</v>
      </c>
      <c r="F50" s="45">
        <f>SUM(F49)</f>
        <v>0.4</v>
      </c>
      <c r="G50" s="45">
        <f>SUM(G49)</f>
        <v>3.8126083999999998</v>
      </c>
      <c r="H50" s="46">
        <f t="shared" si="78"/>
        <v>9.5315209999999997</v>
      </c>
      <c r="I50" s="45">
        <f>SUM(I49)</f>
        <v>0.65</v>
      </c>
      <c r="J50" s="45">
        <f>SUM(J49)</f>
        <v>0</v>
      </c>
      <c r="K50" s="46">
        <f>J50/I50</f>
        <v>0</v>
      </c>
      <c r="L50" s="45">
        <f>SUM(L49)</f>
        <v>1.05</v>
      </c>
      <c r="M50" s="45">
        <f>SUM(M49)</f>
        <v>3.8126083999999998</v>
      </c>
      <c r="N50" s="46">
        <f>M50/L50</f>
        <v>3.6310556190476189</v>
      </c>
      <c r="O50" s="45">
        <f>SUM(O49)</f>
        <v>1.35</v>
      </c>
      <c r="P50" s="45">
        <f>SUM(P49)</f>
        <v>0</v>
      </c>
      <c r="Q50" s="46">
        <f>P50/O50</f>
        <v>0</v>
      </c>
      <c r="R50" s="45">
        <f>SUM(R49)</f>
        <v>2.4000000000000004</v>
      </c>
      <c r="S50" s="45">
        <f>SUM(S49)</f>
        <v>3.8126083999999998</v>
      </c>
      <c r="T50" s="46">
        <f>S50/R50</f>
        <v>1.5885868333333331</v>
      </c>
      <c r="U50" s="47">
        <f>SUM(U49)</f>
        <v>53</v>
      </c>
    </row>
    <row r="52" spans="1:21" s="43" customFormat="1">
      <c r="A52" s="56" t="s">
        <v>84</v>
      </c>
      <c r="B52" s="56"/>
      <c r="C52" s="56"/>
      <c r="D52" s="56"/>
      <c r="E52" s="56"/>
      <c r="F52" s="40" t="e">
        <f>SUM(F10,F19,F26,F39,F46)</f>
        <v>#VALUE!</v>
      </c>
      <c r="G52" s="40" t="e">
        <f t="shared" ref="G52:U52" si="84">SUM(G10,G19,G26,G39,G46)</f>
        <v>#VALUE!</v>
      </c>
      <c r="H52" s="41" t="str">
        <f t="shared" ref="H52" si="85">IFERROR(G52/F52,"-")</f>
        <v>-</v>
      </c>
      <c r="I52" s="40">
        <f t="shared" si="84"/>
        <v>320.32499999999999</v>
      </c>
      <c r="J52" s="40">
        <f t="shared" si="84"/>
        <v>0</v>
      </c>
      <c r="K52" s="41">
        <f t="shared" ref="K52" si="86">IFERROR(J52/I52,"-")</f>
        <v>0</v>
      </c>
      <c r="L52" s="40">
        <f t="shared" si="84"/>
        <v>498</v>
      </c>
      <c r="M52" s="40">
        <f t="shared" si="84"/>
        <v>105.394424348</v>
      </c>
      <c r="N52" s="41">
        <f t="shared" ref="N52" si="87">IFERROR(M52/L52,"-")</f>
        <v>0.21163539025702813</v>
      </c>
      <c r="O52" s="40">
        <f t="shared" si="84"/>
        <v>615.5</v>
      </c>
      <c r="P52" s="40">
        <f t="shared" si="84"/>
        <v>0</v>
      </c>
      <c r="Q52" s="41">
        <f t="shared" ref="Q52" si="88">IFERROR(P52/O52,"-")</f>
        <v>0</v>
      </c>
      <c r="R52" s="40">
        <f t="shared" si="84"/>
        <v>1113.5</v>
      </c>
      <c r="S52" s="40">
        <f t="shared" si="84"/>
        <v>105.394424348</v>
      </c>
      <c r="T52" s="41">
        <f t="shared" ref="T52" si="89">IFERROR(S52/R52,"-")</f>
        <v>9.4651481228558598E-2</v>
      </c>
      <c r="U52" s="42">
        <f t="shared" si="84"/>
        <v>235</v>
      </c>
    </row>
  </sheetData>
  <mergeCells count="8">
    <mergeCell ref="A52:E52"/>
    <mergeCell ref="A48:Z48"/>
    <mergeCell ref="A1:Z1"/>
    <mergeCell ref="A3:Z3"/>
    <mergeCell ref="A12:Z12"/>
    <mergeCell ref="A21:Z21"/>
    <mergeCell ref="A28:Z28"/>
    <mergeCell ref="A41:Z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E871-3DCD-4A10-A154-6B5E1287E760}">
  <dimension ref="A1:Z10"/>
  <sheetViews>
    <sheetView tabSelected="1" workbookViewId="0">
      <selection activeCell="G3" sqref="G3"/>
    </sheetView>
  </sheetViews>
  <sheetFormatPr defaultRowHeight="15"/>
  <cols>
    <col min="2" max="2" width="21.5703125" bestFit="1" customWidth="1"/>
    <col min="3" max="3" width="7.85546875" bestFit="1" customWidth="1"/>
  </cols>
  <sheetData>
    <row r="1" spans="1:26" ht="16.5">
      <c r="A1" s="55" t="s">
        <v>85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44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>
      <c r="A3">
        <v>1</v>
      </c>
      <c r="B3" t="s">
        <v>86</v>
      </c>
      <c r="C3" s="7" t="s">
        <v>87</v>
      </c>
      <c r="D3" s="7" t="s">
        <v>30</v>
      </c>
      <c r="E3" s="7" t="s">
        <v>88</v>
      </c>
    </row>
    <row r="4" spans="1:26">
      <c r="A4">
        <v>2</v>
      </c>
      <c r="B4" t="s">
        <v>89</v>
      </c>
      <c r="C4" s="7" t="s">
        <v>42</v>
      </c>
      <c r="D4" s="7" t="s">
        <v>30</v>
      </c>
      <c r="E4" s="7" t="s">
        <v>90</v>
      </c>
    </row>
    <row r="5" spans="1:26">
      <c r="A5">
        <v>3</v>
      </c>
      <c r="B5" t="s">
        <v>91</v>
      </c>
      <c r="C5" s="7" t="s">
        <v>29</v>
      </c>
      <c r="D5" s="7" t="s">
        <v>30</v>
      </c>
      <c r="E5" s="7" t="s">
        <v>90</v>
      </c>
    </row>
    <row r="6" spans="1:26">
      <c r="A6">
        <v>4</v>
      </c>
      <c r="B6" t="s">
        <v>92</v>
      </c>
      <c r="C6" s="7" t="s">
        <v>51</v>
      </c>
      <c r="D6" s="7" t="s">
        <v>30</v>
      </c>
      <c r="E6" s="7" t="s">
        <v>88</v>
      </c>
    </row>
    <row r="7" spans="1:26">
      <c r="A7">
        <v>5</v>
      </c>
      <c r="B7" t="s">
        <v>93</v>
      </c>
      <c r="C7" s="7" t="s">
        <v>94</v>
      </c>
      <c r="D7" s="7" t="s">
        <v>30</v>
      </c>
      <c r="E7" s="7" t="s">
        <v>88</v>
      </c>
    </row>
    <row r="8" spans="1:26">
      <c r="A8">
        <v>6</v>
      </c>
      <c r="B8" t="s">
        <v>95</v>
      </c>
      <c r="C8" s="7" t="s">
        <v>59</v>
      </c>
      <c r="D8" s="7" t="s">
        <v>30</v>
      </c>
      <c r="E8" s="7" t="s">
        <v>88</v>
      </c>
    </row>
    <row r="9" spans="1:26">
      <c r="A9">
        <v>7</v>
      </c>
      <c r="B9" t="s">
        <v>96</v>
      </c>
      <c r="C9" s="7" t="s">
        <v>97</v>
      </c>
      <c r="D9" s="7" t="s">
        <v>30</v>
      </c>
      <c r="E9" s="7" t="s">
        <v>88</v>
      </c>
    </row>
    <row r="10" spans="1:26">
      <c r="A10">
        <v>8</v>
      </c>
      <c r="B10" t="s">
        <v>98</v>
      </c>
      <c r="C10" s="7" t="s">
        <v>99</v>
      </c>
      <c r="D10" s="7" t="s">
        <v>30</v>
      </c>
      <c r="E10" s="7" t="s">
        <v>88</v>
      </c>
    </row>
  </sheetData>
  <mergeCells count="1">
    <mergeCell ref="A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27B7-AC88-4085-A150-112194933550}">
  <dimension ref="A1:AI11"/>
  <sheetViews>
    <sheetView workbookViewId="0">
      <selection activeCell="B9" sqref="B9"/>
    </sheetView>
  </sheetViews>
  <sheetFormatPr defaultRowHeight="14.45"/>
  <cols>
    <col min="1" max="1" width="41.7109375" customWidth="1"/>
    <col min="2" max="2" width="8.85546875" customWidth="1"/>
  </cols>
  <sheetData>
    <row r="1" spans="1:35" ht="27.75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2"/>
      <c r="W1" s="2"/>
      <c r="X1" s="2"/>
      <c r="Y1" s="2"/>
      <c r="Z1" s="2"/>
      <c r="AA1" s="2"/>
      <c r="AB1" s="10"/>
      <c r="AC1" s="9"/>
      <c r="AD1" s="9"/>
      <c r="AE1" s="9"/>
      <c r="AF1" s="9"/>
      <c r="AG1" s="9"/>
      <c r="AH1" s="9"/>
      <c r="AI1" s="9"/>
    </row>
    <row r="2" spans="1:35" ht="19.5" customHeight="1">
      <c r="A2" s="2" t="s">
        <v>101</v>
      </c>
      <c r="B2" s="2" t="s">
        <v>3</v>
      </c>
      <c r="C2" s="64" t="s">
        <v>102</v>
      </c>
      <c r="D2" s="64"/>
      <c r="E2" s="64"/>
      <c r="F2" s="61" t="s">
        <v>103</v>
      </c>
      <c r="G2" s="62"/>
      <c r="H2" s="63"/>
      <c r="I2" s="64" t="s">
        <v>104</v>
      </c>
      <c r="J2" s="64"/>
      <c r="K2" s="64"/>
      <c r="L2" s="61" t="s">
        <v>105</v>
      </c>
      <c r="M2" s="62"/>
      <c r="N2" s="63"/>
      <c r="O2" s="58" t="s">
        <v>106</v>
      </c>
      <c r="P2" s="59"/>
      <c r="Q2" s="60"/>
      <c r="R2" s="61" t="s">
        <v>107</v>
      </c>
      <c r="S2" s="62"/>
      <c r="T2" s="63"/>
      <c r="U2" s="2" t="s">
        <v>108</v>
      </c>
      <c r="V2" s="58" t="s">
        <v>109</v>
      </c>
      <c r="W2" s="59"/>
      <c r="X2" s="60"/>
      <c r="Y2" s="61" t="s">
        <v>110</v>
      </c>
      <c r="Z2" s="62"/>
      <c r="AA2" s="63"/>
      <c r="AB2" s="2" t="s">
        <v>111</v>
      </c>
      <c r="AC2" s="64" t="s">
        <v>112</v>
      </c>
      <c r="AD2" s="64"/>
      <c r="AE2" s="64"/>
      <c r="AF2" s="65" t="s">
        <v>113</v>
      </c>
      <c r="AG2" s="65"/>
      <c r="AH2" s="65"/>
      <c r="AI2" s="2" t="s">
        <v>114</v>
      </c>
    </row>
    <row r="3" spans="1:35" ht="19.5" customHeight="1">
      <c r="A3" s="2" t="s">
        <v>115</v>
      </c>
      <c r="B3" s="2" t="s">
        <v>116</v>
      </c>
      <c r="C3" s="11" t="s">
        <v>117</v>
      </c>
      <c r="D3" s="11" t="s">
        <v>118</v>
      </c>
      <c r="E3" s="11" t="s">
        <v>119</v>
      </c>
      <c r="F3" s="12" t="s">
        <v>117</v>
      </c>
      <c r="G3" s="12" t="s">
        <v>118</v>
      </c>
      <c r="H3" s="12" t="s">
        <v>119</v>
      </c>
      <c r="I3" s="11" t="s">
        <v>117</v>
      </c>
      <c r="J3" s="11" t="s">
        <v>118</v>
      </c>
      <c r="K3" s="11" t="s">
        <v>119</v>
      </c>
      <c r="L3" s="12" t="s">
        <v>117</v>
      </c>
      <c r="M3" s="12" t="s">
        <v>118</v>
      </c>
      <c r="N3" s="12" t="s">
        <v>119</v>
      </c>
      <c r="O3" s="11" t="s">
        <v>117</v>
      </c>
      <c r="P3" s="11" t="s">
        <v>118</v>
      </c>
      <c r="Q3" s="11" t="s">
        <v>119</v>
      </c>
      <c r="R3" s="12" t="s">
        <v>117</v>
      </c>
      <c r="S3" s="12" t="s">
        <v>118</v>
      </c>
      <c r="T3" s="12" t="s">
        <v>119</v>
      </c>
      <c r="U3" s="2" t="s">
        <v>120</v>
      </c>
      <c r="V3" s="11" t="s">
        <v>117</v>
      </c>
      <c r="W3" s="11" t="s">
        <v>118</v>
      </c>
      <c r="X3" s="11" t="s">
        <v>119</v>
      </c>
      <c r="Y3" s="12" t="s">
        <v>117</v>
      </c>
      <c r="Z3" s="12" t="s">
        <v>118</v>
      </c>
      <c r="AA3" s="12" t="s">
        <v>119</v>
      </c>
      <c r="AB3" s="2" t="s">
        <v>120</v>
      </c>
      <c r="AC3" s="11" t="s">
        <v>117</v>
      </c>
      <c r="AD3" s="11" t="s">
        <v>118</v>
      </c>
      <c r="AE3" s="11" t="s">
        <v>119</v>
      </c>
      <c r="AF3" s="12" t="s">
        <v>117</v>
      </c>
      <c r="AG3" s="12" t="s">
        <v>118</v>
      </c>
      <c r="AH3" s="12" t="s">
        <v>119</v>
      </c>
      <c r="AI3" s="2" t="s">
        <v>120</v>
      </c>
    </row>
    <row r="4" spans="1:35">
      <c r="A4" s="66" t="s">
        <v>121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 spans="1:35">
      <c r="A5" s="3" t="s">
        <v>122</v>
      </c>
      <c r="B5" s="6" t="s">
        <v>29</v>
      </c>
      <c r="C5" s="29" t="e">
        <f>'V1 · Individual'!F10</f>
        <v>#VALUE!</v>
      </c>
      <c r="D5" s="29" t="e">
        <f>'V1 · Individual'!G10</f>
        <v>#VALUE!</v>
      </c>
      <c r="E5" s="26" t="str">
        <f>IFERROR(D5/C5,"-")</f>
        <v>-</v>
      </c>
      <c r="F5" s="27" t="s">
        <v>32</v>
      </c>
      <c r="G5" s="27" t="s">
        <v>32</v>
      </c>
      <c r="H5" s="27" t="s">
        <v>32</v>
      </c>
      <c r="I5" s="29">
        <f>'V1 · Individual'!I10</f>
        <v>194.17499999999998</v>
      </c>
      <c r="J5" s="27" t="s">
        <v>32</v>
      </c>
      <c r="K5" s="27" t="s">
        <v>32</v>
      </c>
      <c r="L5" s="27" t="s">
        <v>32</v>
      </c>
      <c r="M5" s="27" t="s">
        <v>32</v>
      </c>
      <c r="N5" s="27" t="s">
        <v>32</v>
      </c>
      <c r="O5" s="29">
        <f>'V1 · Individual'!L10</f>
        <v>307.35000000000002</v>
      </c>
      <c r="P5" s="29">
        <f>'V1 · Individual'!M10</f>
        <v>55.934140870999997</v>
      </c>
      <c r="Q5" s="26">
        <f t="shared" ref="Q5:Q9" si="0">IFERROR(P5/O5,"-")</f>
        <v>0.18198841994794207</v>
      </c>
      <c r="R5" s="27" t="s">
        <v>32</v>
      </c>
      <c r="S5" s="27" t="s">
        <v>32</v>
      </c>
      <c r="T5" s="27" t="s">
        <v>32</v>
      </c>
      <c r="U5" s="48">
        <f>'V1 · Individual'!U10</f>
        <v>91</v>
      </c>
      <c r="V5" s="29">
        <f>'V1 · Individual'!O10</f>
        <v>352.65</v>
      </c>
      <c r="W5" s="27" t="s">
        <v>32</v>
      </c>
      <c r="X5" s="27" t="s">
        <v>32</v>
      </c>
      <c r="Y5" s="27" t="s">
        <v>32</v>
      </c>
      <c r="Z5" s="27" t="s">
        <v>32</v>
      </c>
      <c r="AA5" s="27" t="s">
        <v>32</v>
      </c>
      <c r="AB5" s="27" t="s">
        <v>32</v>
      </c>
      <c r="AC5" s="29">
        <f>'V1 · Individual'!R10</f>
        <v>660</v>
      </c>
      <c r="AD5" s="29">
        <f>'V1 · Individual'!S10</f>
        <v>55.934140870999997</v>
      </c>
      <c r="AE5" s="26">
        <f>AD5/AC5</f>
        <v>8.4748698289393937E-2</v>
      </c>
      <c r="AF5" s="27" t="s">
        <v>32</v>
      </c>
      <c r="AG5" s="27" t="s">
        <v>32</v>
      </c>
      <c r="AH5" s="27" t="s">
        <v>32</v>
      </c>
      <c r="AI5" s="48">
        <f>SUM(U5,AB5)</f>
        <v>91</v>
      </c>
    </row>
    <row r="6" spans="1:35">
      <c r="A6" s="3" t="s">
        <v>123</v>
      </c>
      <c r="B6" s="6" t="s">
        <v>42</v>
      </c>
      <c r="C6" s="29">
        <f>'V1 · Individual'!F19</f>
        <v>54.849999999999994</v>
      </c>
      <c r="D6" s="29">
        <f>'V1 · Individual'!G19</f>
        <v>15.396570527999998</v>
      </c>
      <c r="E6" s="26">
        <f t="shared" ref="E6:E10" si="1">IFERROR(D6/C6,"-")</f>
        <v>0.28070320014585232</v>
      </c>
      <c r="F6" s="27" t="s">
        <v>32</v>
      </c>
      <c r="G6" s="27" t="s">
        <v>32</v>
      </c>
      <c r="H6" s="27" t="s">
        <v>32</v>
      </c>
      <c r="I6" s="29">
        <f>'V1 · Individual'!I19</f>
        <v>84.149999999999991</v>
      </c>
      <c r="J6" s="27" t="s">
        <v>32</v>
      </c>
      <c r="K6" s="27" t="s">
        <v>32</v>
      </c>
      <c r="L6" s="27" t="s">
        <v>32</v>
      </c>
      <c r="M6" s="27" t="s">
        <v>32</v>
      </c>
      <c r="N6" s="27" t="s">
        <v>32</v>
      </c>
      <c r="O6" s="29">
        <f>'V1 · Individual'!L19</f>
        <v>107.75</v>
      </c>
      <c r="P6" s="29">
        <f>'V1 · Individual'!M19</f>
        <v>15.396570527999998</v>
      </c>
      <c r="Q6" s="26">
        <f t="shared" si="0"/>
        <v>0.14289160582830623</v>
      </c>
      <c r="R6" s="27" t="s">
        <v>32</v>
      </c>
      <c r="S6" s="27" t="s">
        <v>32</v>
      </c>
      <c r="T6" s="27" t="s">
        <v>32</v>
      </c>
      <c r="U6" s="48">
        <f>'V1 · Individual'!U19</f>
        <v>23</v>
      </c>
      <c r="V6" s="29">
        <f>'V1 · Individual'!O19</f>
        <v>138.25</v>
      </c>
      <c r="W6" s="27" t="s">
        <v>32</v>
      </c>
      <c r="X6" s="27" t="s">
        <v>32</v>
      </c>
      <c r="Y6" s="27" t="s">
        <v>32</v>
      </c>
      <c r="Z6" s="27" t="s">
        <v>32</v>
      </c>
      <c r="AA6" s="27" t="s">
        <v>32</v>
      </c>
      <c r="AB6" s="27" t="s">
        <v>32</v>
      </c>
      <c r="AC6" s="29">
        <f>'V1 · Individual'!R19</f>
        <v>246</v>
      </c>
      <c r="AD6" s="29">
        <f>'V1 · Individual'!S19</f>
        <v>15.396570527999998</v>
      </c>
      <c r="AE6" s="26">
        <f t="shared" ref="AE6:AE9" si="2">AD6/AC6</f>
        <v>6.2587685073170723E-2</v>
      </c>
      <c r="AF6" s="27" t="s">
        <v>32</v>
      </c>
      <c r="AG6" s="27" t="s">
        <v>32</v>
      </c>
      <c r="AH6" s="27" t="s">
        <v>32</v>
      </c>
      <c r="AI6" s="48">
        <f t="shared" ref="AI6:AI10" si="3">SUM(U6,AB6)</f>
        <v>23</v>
      </c>
    </row>
    <row r="7" spans="1:35">
      <c r="A7" s="3" t="s">
        <v>124</v>
      </c>
      <c r="B7" s="6" t="s">
        <v>51</v>
      </c>
      <c r="C7" s="29">
        <f>'V1 · Individual'!F26</f>
        <v>18.5</v>
      </c>
      <c r="D7" s="29">
        <f>'V1 · Individual'!G26</f>
        <v>15.826122960000001</v>
      </c>
      <c r="E7" s="26">
        <f t="shared" si="1"/>
        <v>0.85546610594594596</v>
      </c>
      <c r="F7" s="27" t="s">
        <v>32</v>
      </c>
      <c r="G7" s="27" t="s">
        <v>32</v>
      </c>
      <c r="H7" s="27" t="s">
        <v>32</v>
      </c>
      <c r="I7" s="29">
        <f>'V1 · Individual'!I26</f>
        <v>29.5</v>
      </c>
      <c r="J7" s="27" t="s">
        <v>32</v>
      </c>
      <c r="K7" s="27" t="s">
        <v>32</v>
      </c>
      <c r="L7" s="27" t="s">
        <v>32</v>
      </c>
      <c r="M7" s="27" t="s">
        <v>32</v>
      </c>
      <c r="N7" s="27" t="s">
        <v>32</v>
      </c>
      <c r="O7" s="29">
        <f>'V1 · Individual'!L26</f>
        <v>48</v>
      </c>
      <c r="P7" s="29">
        <f>'V1 · Individual'!M26</f>
        <v>15.826122960000001</v>
      </c>
      <c r="Q7" s="26">
        <f t="shared" si="0"/>
        <v>0.329710895</v>
      </c>
      <c r="R7" s="27" t="s">
        <v>32</v>
      </c>
      <c r="S7" s="27" t="s">
        <v>32</v>
      </c>
      <c r="T7" s="27" t="s">
        <v>32</v>
      </c>
      <c r="U7" s="48">
        <f>'V1 · Individual'!U26</f>
        <v>43</v>
      </c>
      <c r="V7" s="29">
        <f>'V1 · Individual'!O26</f>
        <v>79.5</v>
      </c>
      <c r="W7" s="27" t="s">
        <v>32</v>
      </c>
      <c r="X7" s="27" t="s">
        <v>32</v>
      </c>
      <c r="Y7" s="27" t="s">
        <v>32</v>
      </c>
      <c r="Z7" s="27" t="s">
        <v>32</v>
      </c>
      <c r="AA7" s="27" t="s">
        <v>32</v>
      </c>
      <c r="AB7" s="27" t="s">
        <v>32</v>
      </c>
      <c r="AC7" s="29">
        <f>'V1 · Individual'!R26</f>
        <v>127.5</v>
      </c>
      <c r="AD7" s="29">
        <f>'V1 · Individual'!S26</f>
        <v>15.826122960000001</v>
      </c>
      <c r="AE7" s="26">
        <f t="shared" si="2"/>
        <v>0.1241264545882353</v>
      </c>
      <c r="AF7" s="27" t="s">
        <v>32</v>
      </c>
      <c r="AG7" s="27" t="s">
        <v>32</v>
      </c>
      <c r="AH7" s="27" t="s">
        <v>32</v>
      </c>
      <c r="AI7" s="48">
        <f t="shared" si="3"/>
        <v>43</v>
      </c>
    </row>
    <row r="8" spans="1:35">
      <c r="A8" s="3" t="s">
        <v>125</v>
      </c>
      <c r="B8" s="6" t="s">
        <v>59</v>
      </c>
      <c r="C8" s="29">
        <f>'V1 · Individual'!F39</f>
        <v>4.6999999999999993</v>
      </c>
      <c r="D8" s="29">
        <f>'V1 · Individual'!G39</f>
        <v>7.9479630999999999</v>
      </c>
      <c r="E8" s="26">
        <f t="shared" si="1"/>
        <v>1.6910559787234045</v>
      </c>
      <c r="F8" s="27" t="s">
        <v>32</v>
      </c>
      <c r="G8" s="27" t="s">
        <v>32</v>
      </c>
      <c r="H8" s="27" t="s">
        <v>32</v>
      </c>
      <c r="I8" s="29">
        <f>'V1 · Individual'!I39</f>
        <v>5</v>
      </c>
      <c r="J8" s="27" t="s">
        <v>32</v>
      </c>
      <c r="K8" s="27" t="s">
        <v>32</v>
      </c>
      <c r="L8" s="27" t="s">
        <v>32</v>
      </c>
      <c r="M8" s="27" t="s">
        <v>32</v>
      </c>
      <c r="N8" s="27" t="s">
        <v>32</v>
      </c>
      <c r="O8" s="29">
        <f>'V1 · Individual'!L39</f>
        <v>12.899999999999999</v>
      </c>
      <c r="P8" s="29">
        <f>'V1 · Individual'!M39</f>
        <v>7.9479630999999999</v>
      </c>
      <c r="Q8" s="26">
        <f t="shared" si="0"/>
        <v>0.61612117054263571</v>
      </c>
      <c r="R8" s="27" t="s">
        <v>32</v>
      </c>
      <c r="S8" s="27" t="s">
        <v>32</v>
      </c>
      <c r="T8" s="27" t="s">
        <v>32</v>
      </c>
      <c r="U8" s="48">
        <f>'V1 · Individual'!U39</f>
        <v>24</v>
      </c>
      <c r="V8" s="29">
        <f>'V1 · Individual'!O39</f>
        <v>22.099999999999998</v>
      </c>
      <c r="W8" s="27" t="s">
        <v>32</v>
      </c>
      <c r="X8" s="27" t="s">
        <v>32</v>
      </c>
      <c r="Y8" s="27" t="s">
        <v>32</v>
      </c>
      <c r="Z8" s="27" t="s">
        <v>32</v>
      </c>
      <c r="AA8" s="27" t="s">
        <v>32</v>
      </c>
      <c r="AB8" s="27" t="s">
        <v>32</v>
      </c>
      <c r="AC8" s="29">
        <f>'V1 · Individual'!R39</f>
        <v>35</v>
      </c>
      <c r="AD8" s="29">
        <f>'V1 · Individual'!S39</f>
        <v>7.9479630999999999</v>
      </c>
      <c r="AE8" s="26">
        <f t="shared" si="2"/>
        <v>0.22708465999999999</v>
      </c>
      <c r="AF8" s="27" t="s">
        <v>32</v>
      </c>
      <c r="AG8" s="27" t="s">
        <v>32</v>
      </c>
      <c r="AH8" s="27" t="s">
        <v>32</v>
      </c>
      <c r="AI8" s="48">
        <f t="shared" si="3"/>
        <v>24</v>
      </c>
    </row>
    <row r="9" spans="1:35">
      <c r="A9" s="3" t="s">
        <v>126</v>
      </c>
      <c r="B9" s="6" t="s">
        <v>74</v>
      </c>
      <c r="C9" s="29">
        <f>'V1 · Individual'!F46</f>
        <v>10.5</v>
      </c>
      <c r="D9" s="29">
        <f>'V1 · Individual'!G46</f>
        <v>10.289626889000001</v>
      </c>
      <c r="E9" s="26">
        <f t="shared" si="1"/>
        <v>0.97996446561904771</v>
      </c>
      <c r="F9" s="27" t="s">
        <v>32</v>
      </c>
      <c r="G9" s="27" t="s">
        <v>32</v>
      </c>
      <c r="H9" s="27" t="s">
        <v>32</v>
      </c>
      <c r="I9" s="29">
        <f>'V1 · Individual'!I46</f>
        <v>7.5</v>
      </c>
      <c r="J9" s="27" t="s">
        <v>32</v>
      </c>
      <c r="K9" s="27" t="s">
        <v>32</v>
      </c>
      <c r="L9" s="27" t="s">
        <v>32</v>
      </c>
      <c r="M9" s="27" t="s">
        <v>32</v>
      </c>
      <c r="N9" s="27" t="s">
        <v>32</v>
      </c>
      <c r="O9" s="29">
        <f>'V1 · Individual'!L46</f>
        <v>22</v>
      </c>
      <c r="P9" s="29">
        <f>'V1 · Individual'!M46</f>
        <v>10.289626889000001</v>
      </c>
      <c r="Q9" s="26">
        <f t="shared" si="0"/>
        <v>0.46771031313636369</v>
      </c>
      <c r="R9" s="27" t="s">
        <v>32</v>
      </c>
      <c r="S9" s="27" t="s">
        <v>32</v>
      </c>
      <c r="T9" s="27" t="s">
        <v>32</v>
      </c>
      <c r="U9" s="48">
        <f>'V1 · Individual'!U46</f>
        <v>54</v>
      </c>
      <c r="V9" s="29">
        <f>'V1 · Individual'!O46</f>
        <v>23</v>
      </c>
      <c r="W9" s="27" t="s">
        <v>32</v>
      </c>
      <c r="X9" s="27" t="s">
        <v>32</v>
      </c>
      <c r="Y9" s="27" t="s">
        <v>32</v>
      </c>
      <c r="Z9" s="27" t="s">
        <v>32</v>
      </c>
      <c r="AA9" s="27" t="s">
        <v>32</v>
      </c>
      <c r="AB9" s="27" t="s">
        <v>32</v>
      </c>
      <c r="AC9" s="29">
        <f>'V1 · Individual'!R46</f>
        <v>45</v>
      </c>
      <c r="AD9" s="29">
        <f>'V1 · Individual'!S46</f>
        <v>10.289626889000001</v>
      </c>
      <c r="AE9" s="26">
        <f t="shared" si="2"/>
        <v>0.22865837531111113</v>
      </c>
      <c r="AF9" s="27" t="s">
        <v>32</v>
      </c>
      <c r="AG9" s="27" t="s">
        <v>32</v>
      </c>
      <c r="AH9" s="27" t="s">
        <v>32</v>
      </c>
      <c r="AI9" s="48">
        <f t="shared" si="3"/>
        <v>54</v>
      </c>
    </row>
    <row r="10" spans="1:35">
      <c r="A10" s="13" t="s">
        <v>127</v>
      </c>
      <c r="B10" s="14" t="s">
        <v>128</v>
      </c>
      <c r="C10" s="27" t="s">
        <v>32</v>
      </c>
      <c r="D10" s="27" t="s">
        <v>32</v>
      </c>
      <c r="E10" s="27" t="s">
        <v>32</v>
      </c>
      <c r="F10" s="29">
        <f>'V1 · Individual'!F50</f>
        <v>0.4</v>
      </c>
      <c r="G10" s="29">
        <f>'V1 · Individual'!G50</f>
        <v>3.8126083999999998</v>
      </c>
      <c r="H10" s="26">
        <f>IFERROR(G10/F10,"-")</f>
        <v>9.5315209999999997</v>
      </c>
      <c r="I10" s="27" t="s">
        <v>32</v>
      </c>
      <c r="J10" s="27" t="s">
        <v>32</v>
      </c>
      <c r="K10" s="27" t="s">
        <v>32</v>
      </c>
      <c r="L10" s="29">
        <f>'V1 · Individual'!I50</f>
        <v>0.65</v>
      </c>
      <c r="M10" s="29">
        <f>'V1 · Individual'!J50</f>
        <v>0</v>
      </c>
      <c r="N10" s="32">
        <f>M10/L10</f>
        <v>0</v>
      </c>
      <c r="O10" s="27" t="s">
        <v>32</v>
      </c>
      <c r="P10" s="27" t="s">
        <v>32</v>
      </c>
      <c r="Q10" s="27" t="s">
        <v>32</v>
      </c>
      <c r="R10" s="29">
        <f>'V1 · Individual'!L50</f>
        <v>1.05</v>
      </c>
      <c r="S10" s="29">
        <f>'V1 · Individual'!M50</f>
        <v>3.8126083999999998</v>
      </c>
      <c r="T10" s="32">
        <f>S10/R10</f>
        <v>3.6310556190476189</v>
      </c>
      <c r="U10" s="49" t="s">
        <v>32</v>
      </c>
      <c r="V10" s="27" t="s">
        <v>32</v>
      </c>
      <c r="W10" s="27" t="s">
        <v>32</v>
      </c>
      <c r="X10" s="27" t="s">
        <v>32</v>
      </c>
      <c r="Y10" s="29">
        <f>'V1 · Individual'!O50</f>
        <v>1.35</v>
      </c>
      <c r="Z10" s="27" t="s">
        <v>32</v>
      </c>
      <c r="AA10" s="27" t="s">
        <v>32</v>
      </c>
      <c r="AB10" s="27" t="s">
        <v>32</v>
      </c>
      <c r="AC10" s="27" t="s">
        <v>32</v>
      </c>
      <c r="AD10" s="27" t="s">
        <v>32</v>
      </c>
      <c r="AE10" s="32" t="str">
        <f>IFERROR(AD10/AC10,"-")</f>
        <v>-</v>
      </c>
      <c r="AF10" s="29">
        <f>'V1 · Individual'!R50</f>
        <v>2.4000000000000004</v>
      </c>
      <c r="AG10" s="29">
        <f>'V1 · Individual'!S50</f>
        <v>3.8126083999999998</v>
      </c>
      <c r="AH10" s="26">
        <f>'V1 · Individual'!T50</f>
        <v>1.5885868333333331</v>
      </c>
      <c r="AI10" s="48">
        <f t="shared" si="3"/>
        <v>0</v>
      </c>
    </row>
    <row r="11" spans="1:35" s="51" customFormat="1">
      <c r="A11" s="53" t="s">
        <v>129</v>
      </c>
      <c r="C11" s="40" t="e">
        <f>SUM(C5:C10)</f>
        <v>#VALUE!</v>
      </c>
      <c r="D11" s="40" t="e">
        <f t="shared" ref="D11:AI11" si="4">SUM(D5:D10)</f>
        <v>#VALUE!</v>
      </c>
      <c r="E11" s="54" t="e">
        <f>D11/C11</f>
        <v>#VALUE!</v>
      </c>
      <c r="F11" s="40">
        <f t="shared" si="4"/>
        <v>0.4</v>
      </c>
      <c r="G11" s="40">
        <f t="shared" si="4"/>
        <v>3.8126083999999998</v>
      </c>
      <c r="H11" s="54">
        <f>G11/F11</f>
        <v>9.5315209999999997</v>
      </c>
      <c r="I11" s="40">
        <f t="shared" si="4"/>
        <v>320.32499999999999</v>
      </c>
      <c r="J11" s="40">
        <f t="shared" si="4"/>
        <v>0</v>
      </c>
      <c r="K11" s="54">
        <f t="shared" si="4"/>
        <v>0</v>
      </c>
      <c r="L11" s="40">
        <f t="shared" si="4"/>
        <v>0.65</v>
      </c>
      <c r="M11" s="40">
        <f t="shared" si="4"/>
        <v>0</v>
      </c>
      <c r="N11" s="54">
        <f t="shared" si="4"/>
        <v>0</v>
      </c>
      <c r="O11" s="40">
        <f t="shared" si="4"/>
        <v>498</v>
      </c>
      <c r="P11" s="40">
        <f t="shared" si="4"/>
        <v>105.394424348</v>
      </c>
      <c r="Q11" s="54">
        <f>P11/O11</f>
        <v>0.21163539025702813</v>
      </c>
      <c r="R11" s="40">
        <f t="shared" si="4"/>
        <v>1.05</v>
      </c>
      <c r="S11" s="40">
        <f t="shared" si="4"/>
        <v>3.8126083999999998</v>
      </c>
      <c r="T11" s="54">
        <f t="shared" si="4"/>
        <v>3.6310556190476189</v>
      </c>
      <c r="U11" s="40">
        <f t="shared" si="4"/>
        <v>235</v>
      </c>
      <c r="V11" s="40">
        <f t="shared" si="4"/>
        <v>615.5</v>
      </c>
      <c r="W11" s="40">
        <f t="shared" si="4"/>
        <v>0</v>
      </c>
      <c r="X11" s="54">
        <f t="shared" si="4"/>
        <v>0</v>
      </c>
      <c r="Y11" s="40">
        <f t="shared" si="4"/>
        <v>1.35</v>
      </c>
      <c r="Z11" s="40">
        <f t="shared" si="4"/>
        <v>0</v>
      </c>
      <c r="AA11" s="54">
        <f t="shared" si="4"/>
        <v>0</v>
      </c>
      <c r="AB11" s="40">
        <f t="shared" si="4"/>
        <v>0</v>
      </c>
      <c r="AC11" s="40">
        <f t="shared" si="4"/>
        <v>1113.5</v>
      </c>
      <c r="AD11" s="40">
        <f t="shared" si="4"/>
        <v>105.394424348</v>
      </c>
      <c r="AE11" s="54">
        <f t="shared" si="4"/>
        <v>0.72720587326191111</v>
      </c>
      <c r="AF11" s="40">
        <f t="shared" si="4"/>
        <v>2.4000000000000004</v>
      </c>
      <c r="AG11" s="40">
        <f t="shared" si="4"/>
        <v>3.8126083999999998</v>
      </c>
      <c r="AH11" s="54">
        <f t="shared" si="4"/>
        <v>1.5885868333333331</v>
      </c>
      <c r="AI11" s="42">
        <f t="shared" si="4"/>
        <v>235</v>
      </c>
    </row>
  </sheetData>
  <mergeCells count="11">
    <mergeCell ref="V2:X2"/>
    <mergeCell ref="Y2:AA2"/>
    <mergeCell ref="AC2:AE2"/>
    <mergeCell ref="AF2:AH2"/>
    <mergeCell ref="A4:AI4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E94E-66B8-4EE5-9C96-9BC2A706A199}">
  <dimension ref="A1:Y9"/>
  <sheetViews>
    <sheetView workbookViewId="0">
      <selection activeCell="T9" sqref="T9"/>
    </sheetView>
  </sheetViews>
  <sheetFormatPr defaultRowHeight="14.45"/>
  <cols>
    <col min="21" max="25" width="0" hidden="1" customWidth="1"/>
  </cols>
  <sheetData>
    <row r="1" spans="1:25" ht="27.75" customHeight="1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>
      <c r="A2" s="2" t="s">
        <v>1</v>
      </c>
      <c r="B2" s="2" t="s">
        <v>131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132</v>
      </c>
      <c r="H2" s="2" t="s">
        <v>9</v>
      </c>
      <c r="I2" s="2" t="s">
        <v>10</v>
      </c>
      <c r="J2" s="2" t="s">
        <v>133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>
      <c r="A3" s="16">
        <v>1</v>
      </c>
      <c r="B3" s="17" t="s">
        <v>122</v>
      </c>
      <c r="C3" s="18" t="s">
        <v>29</v>
      </c>
      <c r="D3" s="19" t="s">
        <v>30</v>
      </c>
      <c r="E3" t="s">
        <v>32</v>
      </c>
      <c r="F3" s="25">
        <f>SUMIFS('[1]Opportunity Pipeline'!$O:$O,'[1]Opportunity Pipeline'!$K:$K,"Data Centre",'[1]Opportunity Pipeline'!$Z:$Z,"S1")/10^7</f>
        <v>13.039549279000001</v>
      </c>
      <c r="G3" t="str">
        <f>IFERROR(F3/E3,"-")</f>
        <v>-</v>
      </c>
      <c r="H3" t="s">
        <v>32</v>
      </c>
      <c r="I3" t="s">
        <v>32</v>
      </c>
      <c r="J3" t="str">
        <f>IFERROR(I3/H3,"-")</f>
        <v>-</v>
      </c>
      <c r="K3" t="s">
        <v>32</v>
      </c>
      <c r="L3" s="25">
        <f>SUM(F3,I3)</f>
        <v>13.039549279000001</v>
      </c>
      <c r="M3" t="str">
        <f>IFERROR(L3/K3,"-")</f>
        <v>-</v>
      </c>
      <c r="N3" t="s">
        <v>32</v>
      </c>
      <c r="O3" t="s">
        <v>32</v>
      </c>
      <c r="P3" t="s">
        <v>32</v>
      </c>
      <c r="Q3">
        <v>455</v>
      </c>
      <c r="R3" s="25">
        <f>SUM(L3,O3)</f>
        <v>13.039549279000001</v>
      </c>
      <c r="S3" s="25">
        <f>IFERROR(R3/Q3,"-")</f>
        <v>2.8658350063736265E-2</v>
      </c>
      <c r="T3">
        <f>COUNTIFS('[1]Opportunity Pipeline'!$K:$K,"Data Centre",'[1]Opportunity Pipeline'!$Z:$Z,"S1")</f>
        <v>11</v>
      </c>
    </row>
    <row r="4" spans="1:25">
      <c r="A4" s="16">
        <v>2</v>
      </c>
      <c r="B4" s="17" t="s">
        <v>123</v>
      </c>
      <c r="C4" s="18" t="s">
        <v>42</v>
      </c>
      <c r="D4" s="19" t="s">
        <v>30</v>
      </c>
      <c r="E4" t="s">
        <v>32</v>
      </c>
      <c r="F4" s="25">
        <f>SUMIFS('[1]Opportunity Pipeline'!$O:$O,'[1]Opportunity Pipeline'!$K:$K,"Data Centre",'[1]Opportunity Pipeline'!$Z:$Z,"S2")/10^7</f>
        <v>5.8072067000000001</v>
      </c>
      <c r="G4" t="str">
        <f t="shared" ref="G4:G9" si="0">IFERROR(F4/E4,"-")</f>
        <v>-</v>
      </c>
      <c r="H4" t="s">
        <v>32</v>
      </c>
      <c r="I4" t="s">
        <v>32</v>
      </c>
      <c r="J4" t="str">
        <f t="shared" ref="J4:J9" si="1">IFERROR(I4/H4,"-")</f>
        <v>-</v>
      </c>
      <c r="K4" t="s">
        <v>32</v>
      </c>
      <c r="L4" s="25">
        <f t="shared" ref="L4:L8" si="2">SUM(F4,I4)</f>
        <v>5.8072067000000001</v>
      </c>
      <c r="M4" t="str">
        <f t="shared" ref="M4:M9" si="3">IFERROR(L4/K4,"-")</f>
        <v>-</v>
      </c>
      <c r="N4" t="s">
        <v>32</v>
      </c>
      <c r="O4" t="s">
        <v>32</v>
      </c>
      <c r="P4" t="s">
        <v>32</v>
      </c>
      <c r="Q4">
        <v>225</v>
      </c>
      <c r="R4" s="25">
        <f t="shared" ref="R4:R8" si="4">SUM(L4,O4)</f>
        <v>5.8072067000000001</v>
      </c>
      <c r="S4" s="25">
        <f>IFERROR(R4/Q4,"-")</f>
        <v>2.5809807555555557E-2</v>
      </c>
      <c r="T4">
        <f>COUNTIFS('[1]Opportunity Pipeline'!$K:$K,"Data Centre",'[1]Opportunity Pipeline'!$Z:$Z,"S2")</f>
        <v>4</v>
      </c>
    </row>
    <row r="5" spans="1:25">
      <c r="A5" s="16">
        <v>3</v>
      </c>
      <c r="B5" s="17" t="s">
        <v>124</v>
      </c>
      <c r="C5" s="18" t="s">
        <v>51</v>
      </c>
      <c r="D5" s="19" t="s">
        <v>30</v>
      </c>
      <c r="E5" t="s">
        <v>32</v>
      </c>
      <c r="F5" s="25">
        <f>SUMIFS('[1]Opportunity Pipeline'!$O:$O,'[1]Opportunity Pipeline'!$K:$K,"Data Centre",'[1]Opportunity Pipeline'!$Z:$Z,"CB")/10^7</f>
        <v>8.1258047999999992</v>
      </c>
      <c r="G5" t="str">
        <f t="shared" si="0"/>
        <v>-</v>
      </c>
      <c r="H5" t="s">
        <v>32</v>
      </c>
      <c r="I5" t="s">
        <v>32</v>
      </c>
      <c r="J5" t="str">
        <f t="shared" si="1"/>
        <v>-</v>
      </c>
      <c r="K5" t="s">
        <v>32</v>
      </c>
      <c r="L5" s="25">
        <f t="shared" si="2"/>
        <v>8.1258047999999992</v>
      </c>
      <c r="M5" t="str">
        <f t="shared" si="3"/>
        <v>-</v>
      </c>
      <c r="N5" t="s">
        <v>32</v>
      </c>
      <c r="O5" t="s">
        <v>32</v>
      </c>
      <c r="P5" t="s">
        <v>32</v>
      </c>
      <c r="Q5">
        <v>40</v>
      </c>
      <c r="R5" s="25">
        <f t="shared" si="4"/>
        <v>8.1258047999999992</v>
      </c>
      <c r="S5" s="25">
        <f t="shared" ref="S5:S8" si="5">IFERROR(R5/Q5,"-")</f>
        <v>0.20314511999999998</v>
      </c>
      <c r="T5">
        <f>COUNTIFS('[1]Opportunity Pipeline'!$K:$K,"Data Centre",'[1]Opportunity Pipeline'!$Z:$Z,"CB")</f>
        <v>3</v>
      </c>
    </row>
    <row r="6" spans="1:25">
      <c r="A6" s="16">
        <v>4</v>
      </c>
      <c r="B6" s="17" t="s">
        <v>125</v>
      </c>
      <c r="C6" s="18" t="s">
        <v>59</v>
      </c>
      <c r="D6" s="19" t="s">
        <v>30</v>
      </c>
      <c r="E6" t="s">
        <v>32</v>
      </c>
      <c r="F6" s="25">
        <f>SUMIFS('[1]Opportunity Pipeline'!$O:$O,'[1]Opportunity Pipeline'!$K:$K,"Data Centre",'[1]Opportunity Pipeline'!$Z:$Z,"GB")/10^7</f>
        <v>0.24379999999999999</v>
      </c>
      <c r="G6" t="str">
        <f t="shared" si="0"/>
        <v>-</v>
      </c>
      <c r="H6" t="s">
        <v>32</v>
      </c>
      <c r="I6" t="s">
        <v>32</v>
      </c>
      <c r="J6" t="str">
        <f t="shared" si="1"/>
        <v>-</v>
      </c>
      <c r="K6" t="s">
        <v>32</v>
      </c>
      <c r="L6" s="25">
        <f t="shared" si="2"/>
        <v>0.24379999999999999</v>
      </c>
      <c r="M6" t="str">
        <f t="shared" si="3"/>
        <v>-</v>
      </c>
      <c r="N6" t="s">
        <v>32</v>
      </c>
      <c r="O6" t="s">
        <v>32</v>
      </c>
      <c r="P6" t="s">
        <v>32</v>
      </c>
      <c r="Q6">
        <v>11</v>
      </c>
      <c r="R6" s="25">
        <f t="shared" si="4"/>
        <v>0.24379999999999999</v>
      </c>
      <c r="S6" s="25">
        <f t="shared" si="5"/>
        <v>2.2163636363636361E-2</v>
      </c>
      <c r="T6">
        <f>COUNTIFS('[1]Opportunity Pipeline'!$K:$K,"Data Centre",'[1]Opportunity Pipeline'!$Z:$Z,"GB")</f>
        <v>2</v>
      </c>
    </row>
    <row r="7" spans="1:25">
      <c r="A7" s="16">
        <v>5</v>
      </c>
      <c r="B7" s="17" t="s">
        <v>126</v>
      </c>
      <c r="C7" s="18" t="s">
        <v>74</v>
      </c>
      <c r="D7" s="19" t="s">
        <v>30</v>
      </c>
      <c r="E7" t="s">
        <v>32</v>
      </c>
      <c r="F7" s="25">
        <f>SUMIFS('[1]Opportunity Pipeline'!$O:$O,'[1]Opportunity Pipeline'!$K:$K,"Data Centre",'[1]Opportunity Pipeline'!$Z:$Z,"South")/10^7</f>
        <v>5.5533859999999997</v>
      </c>
      <c r="G7" t="str">
        <f t="shared" si="0"/>
        <v>-</v>
      </c>
      <c r="H7" t="s">
        <v>32</v>
      </c>
      <c r="I7" t="s">
        <v>32</v>
      </c>
      <c r="J7" t="str">
        <f t="shared" si="1"/>
        <v>-</v>
      </c>
      <c r="K7" t="s">
        <v>32</v>
      </c>
      <c r="L7" s="25">
        <f t="shared" si="2"/>
        <v>5.5533859999999997</v>
      </c>
      <c r="M7" t="str">
        <f t="shared" si="3"/>
        <v>-</v>
      </c>
      <c r="N7" t="s">
        <v>32</v>
      </c>
      <c r="O7" t="s">
        <v>32</v>
      </c>
      <c r="P7" t="s">
        <v>32</v>
      </c>
      <c r="Q7">
        <v>14</v>
      </c>
      <c r="R7" s="25">
        <f t="shared" si="4"/>
        <v>5.5533859999999997</v>
      </c>
      <c r="S7" s="25">
        <f t="shared" si="5"/>
        <v>0.39667042857142853</v>
      </c>
      <c r="T7">
        <f>COUNTIFS('[1]Opportunity Pipeline'!$K:$K,"Data Centre",'[1]Opportunity Pipeline'!$Z:$Z,"South")</f>
        <v>5</v>
      </c>
    </row>
    <row r="8" spans="1:25">
      <c r="A8" s="16">
        <v>6</v>
      </c>
      <c r="B8" s="17" t="s">
        <v>134</v>
      </c>
      <c r="C8" s="18" t="s">
        <v>81</v>
      </c>
      <c r="D8" s="19" t="s">
        <v>30</v>
      </c>
      <c r="E8" t="s">
        <v>32</v>
      </c>
      <c r="F8" s="25">
        <f>SUMIFS('[1]Opportunity Pipeline'!$O:$O,'[1]Opportunity Pipeline'!$K:$K,"Data Centre",'[1]Opportunity Pipeline'!$Z:$Z,"GeoX")/10^7</f>
        <v>0</v>
      </c>
      <c r="G8" t="str">
        <f t="shared" si="0"/>
        <v>-</v>
      </c>
      <c r="H8" t="s">
        <v>32</v>
      </c>
      <c r="I8" t="s">
        <v>32</v>
      </c>
      <c r="J8" t="str">
        <f t="shared" si="1"/>
        <v>-</v>
      </c>
      <c r="K8" t="s">
        <v>32</v>
      </c>
      <c r="L8" s="25">
        <f t="shared" si="2"/>
        <v>0</v>
      </c>
      <c r="M8" t="str">
        <f t="shared" si="3"/>
        <v>-</v>
      </c>
      <c r="N8" t="s">
        <v>32</v>
      </c>
      <c r="O8" t="s">
        <v>32</v>
      </c>
      <c r="P8" t="s">
        <v>32</v>
      </c>
      <c r="Q8">
        <v>10</v>
      </c>
      <c r="R8" s="25">
        <f t="shared" si="4"/>
        <v>0</v>
      </c>
      <c r="S8" s="25">
        <f t="shared" si="5"/>
        <v>0</v>
      </c>
      <c r="T8">
        <f>COUNTIFS('[1]Opportunity Pipeline'!$K:$K,"Data Centre",'[1]Opportunity Pipeline'!$Z:$Z,"GeoX")</f>
        <v>0</v>
      </c>
    </row>
    <row r="9" spans="1:25">
      <c r="A9" s="50"/>
      <c r="B9" s="50" t="s">
        <v>135</v>
      </c>
      <c r="C9" s="50"/>
      <c r="D9" s="50"/>
      <c r="E9" s="51" t="s">
        <v>32</v>
      </c>
      <c r="F9" s="52">
        <f>SUM(F3:F8)</f>
        <v>32.769746779000002</v>
      </c>
      <c r="G9" s="51" t="str">
        <f t="shared" si="0"/>
        <v>-</v>
      </c>
      <c r="H9" s="51" t="s">
        <v>32</v>
      </c>
      <c r="I9" s="51" t="s">
        <v>32</v>
      </c>
      <c r="J9" s="51" t="str">
        <f t="shared" si="1"/>
        <v>-</v>
      </c>
      <c r="K9" s="51" t="s">
        <v>32</v>
      </c>
      <c r="L9" s="52">
        <f>SUM(L3:L8)</f>
        <v>32.769746779000002</v>
      </c>
      <c r="M9" s="51" t="str">
        <f t="shared" si="3"/>
        <v>-</v>
      </c>
      <c r="N9" s="51" t="s">
        <v>32</v>
      </c>
      <c r="O9" s="51" t="s">
        <v>32</v>
      </c>
      <c r="P9" s="51" t="s">
        <v>32</v>
      </c>
      <c r="Q9" s="51">
        <f>SUM(Q3:Q8)</f>
        <v>755</v>
      </c>
      <c r="R9" s="52">
        <f>SUM(R3:R8)</f>
        <v>32.769746779000002</v>
      </c>
      <c r="S9" s="52">
        <f>IFERROR(R9/Q9,"-")</f>
        <v>4.3403638117880797E-2</v>
      </c>
      <c r="T9" s="51">
        <f>SUM(T3:T8)</f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E34C-61A4-4FD9-A016-81947679C928}">
  <dimension ref="A1:Y9"/>
  <sheetViews>
    <sheetView workbookViewId="0"/>
  </sheetViews>
  <sheetFormatPr defaultRowHeight="14.45"/>
  <cols>
    <col min="21" max="25" width="0" hidden="1" customWidth="1"/>
  </cols>
  <sheetData>
    <row r="1" spans="1:25" ht="27.75" customHeight="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>
      <c r="A2" s="2" t="s">
        <v>1</v>
      </c>
      <c r="B2" s="2" t="s">
        <v>131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132</v>
      </c>
      <c r="H2" s="2" t="s">
        <v>9</v>
      </c>
      <c r="I2" s="2" t="s">
        <v>10</v>
      </c>
      <c r="J2" s="2" t="s">
        <v>133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>
      <c r="A3" s="16">
        <v>1</v>
      </c>
      <c r="B3" s="17" t="s">
        <v>122</v>
      </c>
      <c r="C3" s="18" t="s">
        <v>29</v>
      </c>
      <c r="D3" s="19" t="s">
        <v>30</v>
      </c>
      <c r="E3" t="s">
        <v>32</v>
      </c>
      <c r="F3" s="25">
        <f>SUMIFS('[1]Opportunity Pipeline'!$O:$O,'[1]Opportunity Pipeline'!$K:$K,"Cyber Security &amp; Networking",'[1]Opportunity Pipeline'!$Z:$Z,"S1")/10^7</f>
        <v>11.430924178</v>
      </c>
      <c r="G3" t="str">
        <f>IFERROR(F3/E3,"-")</f>
        <v>-</v>
      </c>
      <c r="H3" t="s">
        <v>32</v>
      </c>
      <c r="I3" t="s">
        <v>32</v>
      </c>
      <c r="J3" t="str">
        <f>IFERROR(I3/H3,"-")</f>
        <v>-</v>
      </c>
      <c r="K3" t="s">
        <v>32</v>
      </c>
      <c r="L3" s="25">
        <f>SUM(F3,I3)</f>
        <v>11.430924178</v>
      </c>
      <c r="M3" t="str">
        <f>IFERROR(L3/K3,"-")</f>
        <v>-</v>
      </c>
      <c r="N3" t="s">
        <v>32</v>
      </c>
      <c r="O3" t="s">
        <v>32</v>
      </c>
      <c r="P3" t="s">
        <v>32</v>
      </c>
      <c r="Q3">
        <v>90</v>
      </c>
      <c r="R3" s="25">
        <f>SUM(L3,O3)</f>
        <v>11.430924178</v>
      </c>
      <c r="S3" s="25">
        <f>IFERROR(R3/Q3,"-")</f>
        <v>0.12701026864444445</v>
      </c>
      <c r="T3">
        <f>COUNTIFS('[1]Opportunity Pipeline'!$K:$K,"Cyber Security &amp; Networking",'[1]Opportunity Pipeline'!$Z:$Z,"S1")</f>
        <v>16</v>
      </c>
    </row>
    <row r="4" spans="1:25">
      <c r="A4" s="16">
        <v>2</v>
      </c>
      <c r="B4" s="17" t="s">
        <v>123</v>
      </c>
      <c r="C4" s="18" t="s">
        <v>42</v>
      </c>
      <c r="D4" s="19" t="s">
        <v>30</v>
      </c>
      <c r="E4" t="s">
        <v>32</v>
      </c>
      <c r="F4" s="25">
        <f>SUMIFS('[1]Opportunity Pipeline'!$O:$O,'[1]Opportunity Pipeline'!$K:$K,"Cyber Security &amp; Networking",'[1]Opportunity Pipeline'!$Z:$Z,"S2")/10^7</f>
        <v>1.0755916220000001</v>
      </c>
      <c r="G4" t="str">
        <f t="shared" ref="G4:G9" si="0">IFERROR(F4/E4,"-")</f>
        <v>-</v>
      </c>
      <c r="H4" t="s">
        <v>32</v>
      </c>
      <c r="I4" t="s">
        <v>32</v>
      </c>
      <c r="J4" t="str">
        <f t="shared" ref="J4:J9" si="1">IFERROR(I4/H4,"-")</f>
        <v>-</v>
      </c>
      <c r="K4" t="s">
        <v>32</v>
      </c>
      <c r="L4" s="25">
        <f t="shared" ref="L4:L8" si="2">SUM(F4,I4)</f>
        <v>1.0755916220000001</v>
      </c>
      <c r="M4" t="str">
        <f t="shared" ref="M4:M9" si="3">IFERROR(L4/K4,"-")</f>
        <v>-</v>
      </c>
      <c r="N4" t="s">
        <v>32</v>
      </c>
      <c r="O4" t="s">
        <v>32</v>
      </c>
      <c r="P4" t="s">
        <v>32</v>
      </c>
      <c r="Q4">
        <v>30</v>
      </c>
      <c r="R4" s="25">
        <f t="shared" ref="R4:R9" si="4">SUM(L4,O4)</f>
        <v>1.0755916220000001</v>
      </c>
      <c r="S4" s="25">
        <f>IFERROR(R4/Q4,"-")</f>
        <v>3.5853054066666674E-2</v>
      </c>
      <c r="T4">
        <f>COUNTIFS('[1]Opportunity Pipeline'!$K:$K,"Cyber Security &amp; Networking",'[1]Opportunity Pipeline'!$Z:$Z,"S2")</f>
        <v>8</v>
      </c>
    </row>
    <row r="5" spans="1:25">
      <c r="A5" s="16">
        <v>3</v>
      </c>
      <c r="B5" s="17" t="s">
        <v>124</v>
      </c>
      <c r="C5" s="18" t="s">
        <v>51</v>
      </c>
      <c r="D5" s="19" t="s">
        <v>30</v>
      </c>
      <c r="E5" t="s">
        <v>32</v>
      </c>
      <c r="F5" s="25">
        <f>SUMIFS('[1]Opportunity Pipeline'!$O:$O,'[1]Opportunity Pipeline'!$K:$K,"Cyber Security &amp; Networking",'[1]Opportunity Pipeline'!$Z:$Z,"CB")/10^7</f>
        <v>5.8855196000000003</v>
      </c>
      <c r="G5" t="str">
        <f t="shared" si="0"/>
        <v>-</v>
      </c>
      <c r="H5" t="s">
        <v>32</v>
      </c>
      <c r="I5" t="s">
        <v>32</v>
      </c>
      <c r="J5" t="str">
        <f t="shared" si="1"/>
        <v>-</v>
      </c>
      <c r="K5" t="s">
        <v>32</v>
      </c>
      <c r="L5" s="25">
        <f t="shared" si="2"/>
        <v>5.8855196000000003</v>
      </c>
      <c r="M5" t="str">
        <f t="shared" si="3"/>
        <v>-</v>
      </c>
      <c r="N5" t="s">
        <v>32</v>
      </c>
      <c r="O5" t="s">
        <v>32</v>
      </c>
      <c r="P5" t="s">
        <v>32</v>
      </c>
      <c r="Q5">
        <v>24</v>
      </c>
      <c r="R5" s="25">
        <f t="shared" si="4"/>
        <v>5.8855196000000003</v>
      </c>
      <c r="S5" s="25">
        <f t="shared" ref="S5:S9" si="5">IFERROR(R5/Q5,"-")</f>
        <v>0.24522998333333335</v>
      </c>
      <c r="T5">
        <f>COUNTIFS('[1]Opportunity Pipeline'!$K:$K,"Cyber Security &amp; Networking",'[1]Opportunity Pipeline'!$Z:$Z,"CB")</f>
        <v>6</v>
      </c>
    </row>
    <row r="6" spans="1:25">
      <c r="A6" s="16">
        <v>4</v>
      </c>
      <c r="B6" s="17" t="s">
        <v>125</v>
      </c>
      <c r="C6" s="18" t="s">
        <v>59</v>
      </c>
      <c r="D6" s="19" t="s">
        <v>30</v>
      </c>
      <c r="E6" t="s">
        <v>32</v>
      </c>
      <c r="F6" s="25">
        <f>SUMIFS('[1]Opportunity Pipeline'!$O:$O,'[1]Opportunity Pipeline'!$K:$K,"Cyber Security &amp; Networking",'[1]Opportunity Pipeline'!$Z:$Z,"GB")/10^7</f>
        <v>5.6325778609999997</v>
      </c>
      <c r="G6" t="str">
        <f t="shared" si="0"/>
        <v>-</v>
      </c>
      <c r="H6" t="s">
        <v>32</v>
      </c>
      <c r="I6" t="s">
        <v>32</v>
      </c>
      <c r="J6" t="str">
        <f t="shared" si="1"/>
        <v>-</v>
      </c>
      <c r="K6" t="s">
        <v>32</v>
      </c>
      <c r="L6" s="25">
        <f t="shared" si="2"/>
        <v>5.6325778609999997</v>
      </c>
      <c r="M6" t="str">
        <f t="shared" si="3"/>
        <v>-</v>
      </c>
      <c r="N6" t="s">
        <v>32</v>
      </c>
      <c r="O6" t="s">
        <v>32</v>
      </c>
      <c r="P6" t="s">
        <v>32</v>
      </c>
      <c r="Q6">
        <v>20</v>
      </c>
      <c r="R6" s="25">
        <f t="shared" si="4"/>
        <v>5.6325778609999997</v>
      </c>
      <c r="S6" s="25">
        <f t="shared" si="5"/>
        <v>0.28162889305</v>
      </c>
      <c r="T6">
        <f>COUNTIFS('[1]Opportunity Pipeline'!$K:$K,"Cyber Security &amp; Networking",'[1]Opportunity Pipeline'!$Z:$Z,"GB")</f>
        <v>20</v>
      </c>
    </row>
    <row r="7" spans="1:25">
      <c r="A7" s="16">
        <v>5</v>
      </c>
      <c r="B7" s="17" t="s">
        <v>126</v>
      </c>
      <c r="C7" s="18" t="s">
        <v>74</v>
      </c>
      <c r="D7" s="19" t="s">
        <v>30</v>
      </c>
      <c r="E7" t="s">
        <v>32</v>
      </c>
      <c r="F7" s="25">
        <f>SUMIFS('[1]Opportunity Pipeline'!$O:$O,'[1]Opportunity Pipeline'!$K:$K,"Cyber Security &amp; Networking",'[1]Opportunity Pipeline'!$Z:$Z,"South")/10^7</f>
        <v>0.54564550000000001</v>
      </c>
      <c r="G7" t="str">
        <f t="shared" si="0"/>
        <v>-</v>
      </c>
      <c r="H7" t="s">
        <v>32</v>
      </c>
      <c r="I7" t="s">
        <v>32</v>
      </c>
      <c r="J7" t="str">
        <f t="shared" si="1"/>
        <v>-</v>
      </c>
      <c r="K7" t="s">
        <v>32</v>
      </c>
      <c r="L7" s="25">
        <f t="shared" si="2"/>
        <v>0.54564550000000001</v>
      </c>
      <c r="M7" t="str">
        <f t="shared" si="3"/>
        <v>-</v>
      </c>
      <c r="N7" t="s">
        <v>32</v>
      </c>
      <c r="O7" t="s">
        <v>32</v>
      </c>
      <c r="P7" t="s">
        <v>32</v>
      </c>
      <c r="Q7">
        <v>1</v>
      </c>
      <c r="R7" s="25">
        <f t="shared" si="4"/>
        <v>0.54564550000000001</v>
      </c>
      <c r="S7" s="25">
        <f t="shared" si="5"/>
        <v>0.54564550000000001</v>
      </c>
      <c r="T7">
        <f>COUNTIFS('[1]Opportunity Pipeline'!$K:$K,"Cyber Security &amp; Networking",'[1]Opportunity Pipeline'!$Z:$Z,"South")</f>
        <v>15</v>
      </c>
    </row>
    <row r="8" spans="1:25">
      <c r="A8" s="16">
        <v>6</v>
      </c>
      <c r="B8" s="17" t="s">
        <v>134</v>
      </c>
      <c r="C8" s="18" t="s">
        <v>81</v>
      </c>
      <c r="D8" s="19" t="s">
        <v>30</v>
      </c>
      <c r="E8" t="s">
        <v>32</v>
      </c>
      <c r="F8" s="25">
        <f>SUMIFS('[1]Opportunity Pipeline'!$O:$O,'[1]Opportunity Pipeline'!$K:$K,"Cyber Security &amp; Networking",'[1]Opportunity Pipeline'!$Z:$Z,"GeoX")/10^7</f>
        <v>0</v>
      </c>
      <c r="G8" t="str">
        <f t="shared" si="0"/>
        <v>-</v>
      </c>
      <c r="H8" t="s">
        <v>32</v>
      </c>
      <c r="I8" t="s">
        <v>32</v>
      </c>
      <c r="J8" t="str">
        <f t="shared" si="1"/>
        <v>-</v>
      </c>
      <c r="K8" t="s">
        <v>32</v>
      </c>
      <c r="L8" s="25">
        <f t="shared" si="2"/>
        <v>0</v>
      </c>
      <c r="M8" t="str">
        <f t="shared" si="3"/>
        <v>-</v>
      </c>
      <c r="N8" t="s">
        <v>32</v>
      </c>
      <c r="O8" t="s">
        <v>32</v>
      </c>
      <c r="P8" t="s">
        <v>32</v>
      </c>
      <c r="Q8">
        <v>20</v>
      </c>
      <c r="R8" s="25">
        <f t="shared" si="4"/>
        <v>0</v>
      </c>
      <c r="S8" s="25">
        <f t="shared" si="5"/>
        <v>0</v>
      </c>
      <c r="T8">
        <f>COUNTIFS('[1]Opportunity Pipeline'!$K:$K,"Cyber Security &amp; Networking",'[1]Opportunity Pipeline'!$Z:$Z,"GeoX")</f>
        <v>0</v>
      </c>
    </row>
    <row r="9" spans="1:25">
      <c r="A9" s="50"/>
      <c r="B9" s="50" t="s">
        <v>135</v>
      </c>
      <c r="C9" s="50"/>
      <c r="D9" s="50"/>
      <c r="E9" s="51" t="s">
        <v>32</v>
      </c>
      <c r="F9" s="52">
        <f>SUM(F3:F8)</f>
        <v>24.570258760999998</v>
      </c>
      <c r="G9" s="51" t="str">
        <f t="shared" si="0"/>
        <v>-</v>
      </c>
      <c r="H9" s="51" t="s">
        <v>32</v>
      </c>
      <c r="I9" s="51" t="s">
        <v>32</v>
      </c>
      <c r="J9" s="51" t="str">
        <f t="shared" si="1"/>
        <v>-</v>
      </c>
      <c r="K9" s="51" t="s">
        <v>32</v>
      </c>
      <c r="L9" s="52">
        <f>SUM(L3:L8)</f>
        <v>24.570258760999998</v>
      </c>
      <c r="M9" s="51" t="str">
        <f t="shared" si="3"/>
        <v>-</v>
      </c>
      <c r="N9" s="51" t="s">
        <v>32</v>
      </c>
      <c r="O9" s="51" t="s">
        <v>32</v>
      </c>
      <c r="P9" s="51" t="s">
        <v>32</v>
      </c>
      <c r="Q9" s="51">
        <f>SUM(Q3:Q8)</f>
        <v>185</v>
      </c>
      <c r="R9" s="52">
        <f>SUM(R3:R8)</f>
        <v>24.570258760999998</v>
      </c>
      <c r="S9" s="52">
        <f>IFERROR(R9/Q9,"-")</f>
        <v>0.13281220951891892</v>
      </c>
      <c r="T9" s="51">
        <f>SUM(T3:T8)</f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0D0D-6A28-4FB9-A9C9-36B00DE4B3CA}">
  <dimension ref="A1:Y9"/>
  <sheetViews>
    <sheetView workbookViewId="0"/>
  </sheetViews>
  <sheetFormatPr defaultRowHeight="14.45"/>
  <cols>
    <col min="21" max="25" width="0" hidden="1" customWidth="1"/>
  </cols>
  <sheetData>
    <row r="1" spans="1:25" ht="27.75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>
      <c r="A2" s="2" t="s">
        <v>1</v>
      </c>
      <c r="B2" s="2" t="s">
        <v>131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132</v>
      </c>
      <c r="H2" s="2" t="s">
        <v>9</v>
      </c>
      <c r="I2" s="2" t="s">
        <v>10</v>
      </c>
      <c r="J2" s="2" t="s">
        <v>133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>
      <c r="A3" s="16">
        <v>1</v>
      </c>
      <c r="B3" s="17" t="s">
        <v>122</v>
      </c>
      <c r="C3" s="18" t="s">
        <v>29</v>
      </c>
      <c r="D3" s="19" t="s">
        <v>30</v>
      </c>
      <c r="E3" t="s">
        <v>32</v>
      </c>
      <c r="F3" s="25">
        <f>SUMIFS('[1]Opportunity Pipeline'!$O:$O,'[1]Opportunity Pipeline'!$K:$K,"Professional Services",'[1]Opportunity Pipeline'!$Z:$Z,"S1")/10^7</f>
        <v>1.5529837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s="25">
        <f>SUM(F3,I3)</f>
        <v>1.5529837</v>
      </c>
      <c r="M3" t="s">
        <v>32</v>
      </c>
      <c r="N3" t="s">
        <v>32</v>
      </c>
      <c r="O3" t="s">
        <v>32</v>
      </c>
      <c r="P3" t="s">
        <v>32</v>
      </c>
      <c r="Q3">
        <v>2</v>
      </c>
      <c r="R3" s="25">
        <f>SUM(L3,O3)</f>
        <v>1.5529837</v>
      </c>
      <c r="S3" s="25">
        <f>IFERROR(R3/Q3,"-")</f>
        <v>0.77649184999999998</v>
      </c>
      <c r="T3">
        <f>COUNTIFS('[1]Opportunity Pipeline'!$K:$K,"Professional Services",'[1]Opportunity Pipeline'!$Z:$Z,"S1")</f>
        <v>6</v>
      </c>
    </row>
    <row r="4" spans="1:25">
      <c r="A4" s="16">
        <v>2</v>
      </c>
      <c r="B4" s="17" t="s">
        <v>123</v>
      </c>
      <c r="C4" s="18" t="s">
        <v>42</v>
      </c>
      <c r="D4" s="19" t="s">
        <v>30</v>
      </c>
      <c r="E4" t="s">
        <v>32</v>
      </c>
      <c r="F4" s="25">
        <f>SUMIFS('[1]Opportunity Pipeline'!$O:$O,'[1]Opportunity Pipeline'!$K:$K,"Professional Services",'[1]Opportunity Pipeline'!$Z:$Z,"S2")/10^7</f>
        <v>7.1041840000000001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s="25">
        <f t="shared" ref="L4:L8" si="0">SUM(F4,I4)</f>
        <v>7.1041840000000001</v>
      </c>
      <c r="M4" t="s">
        <v>32</v>
      </c>
      <c r="N4" t="s">
        <v>32</v>
      </c>
      <c r="O4" t="s">
        <v>32</v>
      </c>
      <c r="P4" t="s">
        <v>32</v>
      </c>
      <c r="Q4">
        <v>3</v>
      </c>
      <c r="R4" s="25">
        <f t="shared" ref="R4:R9" si="1">SUM(L4,O4)</f>
        <v>7.1041840000000001</v>
      </c>
      <c r="S4" s="25">
        <f>IFERROR(R4/Q4,"-")</f>
        <v>2.3680613333333334</v>
      </c>
      <c r="T4">
        <f>COUNTIFS('[1]Opportunity Pipeline'!$K:$K,"Professional Services",'[1]Opportunity Pipeline'!$Z:$Z,"S2")</f>
        <v>2</v>
      </c>
    </row>
    <row r="5" spans="1:25">
      <c r="A5" s="16">
        <v>3</v>
      </c>
      <c r="B5" s="17" t="s">
        <v>124</v>
      </c>
      <c r="C5" s="18" t="s">
        <v>51</v>
      </c>
      <c r="D5" s="19" t="s">
        <v>30</v>
      </c>
      <c r="E5" t="s">
        <v>32</v>
      </c>
      <c r="F5" s="25">
        <f>SUMIFS('[1]Opportunity Pipeline'!$O:$O,'[1]Opportunity Pipeline'!$K:$K,"Professional Services",'[1]Opportunity Pipeline'!$Z:$Z,"CB")/10^7</f>
        <v>0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s="25">
        <f t="shared" si="0"/>
        <v>0</v>
      </c>
      <c r="M5" t="s">
        <v>32</v>
      </c>
      <c r="N5" t="s">
        <v>32</v>
      </c>
      <c r="O5" t="s">
        <v>32</v>
      </c>
      <c r="P5" t="s">
        <v>32</v>
      </c>
      <c r="Q5">
        <v>10</v>
      </c>
      <c r="R5" s="25">
        <f t="shared" si="1"/>
        <v>0</v>
      </c>
      <c r="S5" s="25">
        <f t="shared" ref="S5:S9" si="2">IFERROR(R5/Q5,"-")</f>
        <v>0</v>
      </c>
      <c r="T5">
        <f>COUNTIFS('[1]Opportunity Pipeline'!$K:$K,"Professional Services",'[1]Opportunity Pipeline'!$Z:$Z,"CB")</f>
        <v>0</v>
      </c>
    </row>
    <row r="6" spans="1:25">
      <c r="A6" s="16">
        <v>4</v>
      </c>
      <c r="B6" s="17" t="s">
        <v>125</v>
      </c>
      <c r="C6" s="18" t="s">
        <v>59</v>
      </c>
      <c r="D6" s="19" t="s">
        <v>30</v>
      </c>
      <c r="E6" t="s">
        <v>32</v>
      </c>
      <c r="F6" s="25">
        <f>SUMIFS('[1]Opportunity Pipeline'!$O:$O,'[1]Opportunity Pipeline'!$K:$K,"Professional Services",'[1]Opportunity Pipeline'!$Z:$Z,"GB")/10^7</f>
        <v>0.28294595699999997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s="25">
        <f t="shared" si="0"/>
        <v>0.28294595699999997</v>
      </c>
      <c r="M6" t="s">
        <v>32</v>
      </c>
      <c r="N6" t="s">
        <v>32</v>
      </c>
      <c r="O6" t="s">
        <v>32</v>
      </c>
      <c r="P6" t="s">
        <v>32</v>
      </c>
      <c r="Q6">
        <v>5</v>
      </c>
      <c r="R6" s="25">
        <f t="shared" si="1"/>
        <v>0.28294595699999997</v>
      </c>
      <c r="S6" s="25">
        <f t="shared" si="2"/>
        <v>5.6589191399999995E-2</v>
      </c>
      <c r="T6">
        <f>COUNTIFS('[1]Opportunity Pipeline'!$K:$K,"Professional Services",'[1]Opportunity Pipeline'!$Z:$Z,"GB")</f>
        <v>8</v>
      </c>
    </row>
    <row r="7" spans="1:25">
      <c r="A7" s="16">
        <v>5</v>
      </c>
      <c r="B7" s="17" t="s">
        <v>126</v>
      </c>
      <c r="C7" s="18" t="s">
        <v>74</v>
      </c>
      <c r="D7" s="19" t="s">
        <v>30</v>
      </c>
      <c r="E7" t="s">
        <v>32</v>
      </c>
      <c r="F7" s="25">
        <f>SUMIFS('[1]Opportunity Pipeline'!$O:$O,'[1]Opportunity Pipeline'!$K:$K,"Professional Services",'[1]Opportunity Pipeline'!$Z:$Z,"South")/10^7</f>
        <v>0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s="25">
        <f t="shared" si="0"/>
        <v>0</v>
      </c>
      <c r="M7" t="s">
        <v>32</v>
      </c>
      <c r="N7" t="s">
        <v>32</v>
      </c>
      <c r="O7" t="s">
        <v>32</v>
      </c>
      <c r="P7" t="s">
        <v>32</v>
      </c>
      <c r="Q7">
        <v>1</v>
      </c>
      <c r="R7" s="25">
        <f t="shared" si="1"/>
        <v>0</v>
      </c>
      <c r="S7" s="25">
        <f t="shared" si="2"/>
        <v>0</v>
      </c>
      <c r="T7">
        <f>COUNTIFS('[1]Opportunity Pipeline'!$K:$K,"Professional Services",'[1]Opportunity Pipeline'!$Z:$Z,"South")</f>
        <v>0</v>
      </c>
    </row>
    <row r="8" spans="1:25">
      <c r="A8" s="16">
        <v>6</v>
      </c>
      <c r="B8" s="17" t="s">
        <v>134</v>
      </c>
      <c r="C8" s="18" t="s">
        <v>81</v>
      </c>
      <c r="D8" s="19" t="s">
        <v>30</v>
      </c>
      <c r="E8" t="s">
        <v>32</v>
      </c>
      <c r="F8" s="25">
        <f>SUMIFS('[1]Opportunity Pipeline'!$O:$O,'[1]Opportunity Pipeline'!$K:$K,"Professional Services",'[1]Opportunity Pipeline'!$Z:$Z,"GeoX")/10^7</f>
        <v>0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s="25">
        <f t="shared" si="0"/>
        <v>0</v>
      </c>
      <c r="M8" t="s">
        <v>32</v>
      </c>
      <c r="N8" t="s">
        <v>32</v>
      </c>
      <c r="O8" t="s">
        <v>32</v>
      </c>
      <c r="P8" t="s">
        <v>32</v>
      </c>
      <c r="Q8">
        <v>5</v>
      </c>
      <c r="R8" s="25">
        <f t="shared" si="1"/>
        <v>0</v>
      </c>
      <c r="S8" s="25">
        <f t="shared" si="2"/>
        <v>0</v>
      </c>
      <c r="T8">
        <f>COUNTIFS('[1]Opportunity Pipeline'!$K:$K,"Professional Services",'[1]Opportunity Pipeline'!$Z:$Z,"GeoX")</f>
        <v>0</v>
      </c>
    </row>
    <row r="9" spans="1:25">
      <c r="A9" s="50"/>
      <c r="B9" s="50" t="s">
        <v>135</v>
      </c>
      <c r="C9" s="50"/>
      <c r="D9" s="50"/>
      <c r="E9" s="51" t="s">
        <v>32</v>
      </c>
      <c r="F9" s="52">
        <f>SUM(F3:F8)</f>
        <v>8.9401136570000013</v>
      </c>
      <c r="G9" s="51" t="s">
        <v>32</v>
      </c>
      <c r="H9" s="51" t="s">
        <v>32</v>
      </c>
      <c r="I9" s="51" t="s">
        <v>32</v>
      </c>
      <c r="J9" s="51" t="s">
        <v>32</v>
      </c>
      <c r="K9" s="51" t="s">
        <v>32</v>
      </c>
      <c r="L9" s="52">
        <f>SUM(L3:L8)</f>
        <v>8.9401136570000013</v>
      </c>
      <c r="M9" s="51" t="s">
        <v>32</v>
      </c>
      <c r="N9" s="51" t="s">
        <v>32</v>
      </c>
      <c r="O9" s="51" t="s">
        <v>32</v>
      </c>
      <c r="P9" s="51" t="s">
        <v>32</v>
      </c>
      <c r="Q9" s="51">
        <f>SUM(Q3:Q8)</f>
        <v>26</v>
      </c>
      <c r="R9" s="52">
        <f>SUM(R3:R8)</f>
        <v>8.9401136570000013</v>
      </c>
      <c r="S9" s="52">
        <f>IFERROR(R9/Q9,"-")</f>
        <v>0.34385052526923082</v>
      </c>
      <c r="T9" s="51">
        <f>SUM(T3:T8)</f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1C81-102B-4A1C-B5C2-76DA85F35D83}">
  <dimension ref="A1:Y10"/>
  <sheetViews>
    <sheetView workbookViewId="0">
      <selection activeCell="A2" sqref="A2"/>
    </sheetView>
  </sheetViews>
  <sheetFormatPr defaultRowHeight="14.45"/>
  <cols>
    <col min="21" max="25" width="0" hidden="1" customWidth="1"/>
  </cols>
  <sheetData>
    <row r="1" spans="1:25" ht="27.75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>
      <c r="A2" s="2" t="s">
        <v>1</v>
      </c>
      <c r="B2" s="2" t="s">
        <v>131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132</v>
      </c>
      <c r="H2" s="2" t="s">
        <v>9</v>
      </c>
      <c r="I2" s="2" t="s">
        <v>10</v>
      </c>
      <c r="J2" s="2" t="s">
        <v>133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>
      <c r="A3" s="16">
        <v>1</v>
      </c>
      <c r="B3" s="17" t="s">
        <v>122</v>
      </c>
      <c r="C3" s="18" t="s">
        <v>29</v>
      </c>
      <c r="D3" s="19" t="s">
        <v>30</v>
      </c>
      <c r="E3" t="s">
        <v>32</v>
      </c>
      <c r="F3" s="25">
        <f>SUMIFS('[1]Opportunity Pipeline'!$O:$O,'[1]Opportunity Pipeline'!$K:$K,"CSG (EndPoint)",'[1]Opportunity Pipeline'!$Z:$Z,"S1")/10^7</f>
        <v>10.894035536000001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s="25">
        <f>SUM(F3,I3)</f>
        <v>10.894035536000001</v>
      </c>
      <c r="M3" t="s">
        <v>32</v>
      </c>
      <c r="N3" t="s">
        <v>32</v>
      </c>
      <c r="O3" t="s">
        <v>32</v>
      </c>
      <c r="P3" t="s">
        <v>32</v>
      </c>
      <c r="Q3">
        <v>37</v>
      </c>
      <c r="R3" s="25">
        <f>SUM(L3,O3)</f>
        <v>10.894035536000001</v>
      </c>
      <c r="S3" s="25">
        <f>IFERROR(R3/Q3,"-")</f>
        <v>0.29443339286486486</v>
      </c>
      <c r="T3">
        <f>COUNTIFS('[1]Opportunity Pipeline'!$K:$K,"CSG (Endpoint)",'[1]Opportunity Pipeline'!$Z:$Z,"S1")</f>
        <v>58</v>
      </c>
    </row>
    <row r="4" spans="1:25">
      <c r="A4" s="16">
        <v>2</v>
      </c>
      <c r="B4" s="17" t="s">
        <v>123</v>
      </c>
      <c r="C4" s="18" t="s">
        <v>42</v>
      </c>
      <c r="D4" s="19" t="s">
        <v>30</v>
      </c>
      <c r="E4" t="s">
        <v>32</v>
      </c>
      <c r="F4" s="25">
        <f>SUMIFS('[1]Opportunity Pipeline'!$O:$O,'[1]Opportunity Pipeline'!$K:$K,"CSG (EndPoint)",'[1]Opportunity Pipeline'!$Z:$Z,"S2")/10^7</f>
        <v>0.29772340000000003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s="25">
        <f t="shared" ref="L4:L8" si="0">SUM(F4,I4)</f>
        <v>0.29772340000000003</v>
      </c>
      <c r="M4" t="s">
        <v>32</v>
      </c>
      <c r="N4" t="s">
        <v>32</v>
      </c>
      <c r="O4" t="s">
        <v>32</v>
      </c>
      <c r="P4" t="s">
        <v>32</v>
      </c>
      <c r="Q4">
        <v>42</v>
      </c>
      <c r="R4" s="25">
        <f t="shared" ref="R4:R9" si="1">SUM(L4,O4)</f>
        <v>0.29772340000000003</v>
      </c>
      <c r="S4" s="25">
        <f>IFERROR(R4/Q4,"-")</f>
        <v>7.0886523809523816E-3</v>
      </c>
      <c r="T4">
        <f>COUNTIFS('[1]Opportunity Pipeline'!$K:$K,"CSG (Endpoint)",'[1]Opportunity Pipeline'!$Z:$Z,"S2")</f>
        <v>5</v>
      </c>
    </row>
    <row r="5" spans="1:25">
      <c r="A5" s="16">
        <v>3</v>
      </c>
      <c r="B5" s="17" t="s">
        <v>124</v>
      </c>
      <c r="C5" s="18" t="s">
        <v>51</v>
      </c>
      <c r="D5" s="19" t="s">
        <v>30</v>
      </c>
      <c r="E5" t="s">
        <v>32</v>
      </c>
      <c r="F5" s="25">
        <f>SUMIFS('[1]Opportunity Pipeline'!$O:$O,'[1]Opportunity Pipeline'!$K:$K,"CSG (EndPoint)",'[1]Opportunity Pipeline'!$Z:$Z,"CB")/10^7</f>
        <v>0.24002599999999999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s="25">
        <f t="shared" si="0"/>
        <v>0.24002599999999999</v>
      </c>
      <c r="M5" t="s">
        <v>32</v>
      </c>
      <c r="N5" t="s">
        <v>32</v>
      </c>
      <c r="O5" t="s">
        <v>32</v>
      </c>
      <c r="P5" t="s">
        <v>32</v>
      </c>
      <c r="Q5">
        <v>30</v>
      </c>
      <c r="R5" s="25">
        <f t="shared" si="1"/>
        <v>0.24002599999999999</v>
      </c>
      <c r="S5" s="25">
        <f t="shared" ref="S5:S9" si="2">IFERROR(R5/Q5,"-")</f>
        <v>8.0008666666666669E-3</v>
      </c>
      <c r="T5">
        <f>COUNTIFS('[1]Opportunity Pipeline'!$K:$K,"CSG (Endpoint)",'[1]Opportunity Pipeline'!$Z:$Z,"CB")</f>
        <v>12</v>
      </c>
    </row>
    <row r="6" spans="1:25">
      <c r="A6" s="16">
        <v>4</v>
      </c>
      <c r="B6" s="17" t="s">
        <v>125</v>
      </c>
      <c r="C6" s="18" t="s">
        <v>59</v>
      </c>
      <c r="D6" s="19" t="s">
        <v>30</v>
      </c>
      <c r="E6" t="s">
        <v>32</v>
      </c>
      <c r="F6" s="25">
        <f>SUMIFS('[1]Opportunity Pipeline'!$O:$O,'[1]Opportunity Pipeline'!$K:$K,"CSG (EndPoint)",'[1]Opportunity Pipeline'!$Z:$Z,"GB")/10^7</f>
        <v>7.8676617000000002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s="25">
        <f t="shared" si="0"/>
        <v>7.8676617000000002</v>
      </c>
      <c r="M6" t="s">
        <v>32</v>
      </c>
      <c r="N6" t="s">
        <v>32</v>
      </c>
      <c r="O6" t="s">
        <v>32</v>
      </c>
      <c r="P6" t="s">
        <v>32</v>
      </c>
      <c r="Q6">
        <v>0</v>
      </c>
      <c r="R6" s="25">
        <f t="shared" si="1"/>
        <v>7.8676617000000002</v>
      </c>
      <c r="S6" s="25" t="str">
        <f t="shared" si="2"/>
        <v>-</v>
      </c>
      <c r="T6">
        <f>COUNTIFS('[1]Opportunity Pipeline'!$K:$K,"CSG (Endpoint)",'[1]Opportunity Pipeline'!$Z:$Z,"GB")</f>
        <v>18</v>
      </c>
    </row>
    <row r="7" spans="1:25">
      <c r="A7" s="16">
        <v>5</v>
      </c>
      <c r="B7" s="17" t="s">
        <v>126</v>
      </c>
      <c r="C7" s="18" t="s">
        <v>74</v>
      </c>
      <c r="D7" s="19" t="s">
        <v>30</v>
      </c>
      <c r="E7" t="s">
        <v>32</v>
      </c>
      <c r="F7" s="25">
        <f>SUMIFS('[1]Opportunity Pipeline'!$O:$O,'[1]Opportunity Pipeline'!$K:$K,"CSG (EndPoint)",'[1]Opportunity Pipeline'!$Z:$Z,"South")/10^7</f>
        <v>4.1905953890000003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s="25">
        <f t="shared" si="0"/>
        <v>4.1905953890000003</v>
      </c>
      <c r="M7" t="s">
        <v>32</v>
      </c>
      <c r="N7" t="s">
        <v>32</v>
      </c>
      <c r="O7" t="s">
        <v>32</v>
      </c>
      <c r="P7" t="s">
        <v>32</v>
      </c>
      <c r="Q7">
        <v>18</v>
      </c>
      <c r="R7" s="25">
        <f t="shared" si="1"/>
        <v>4.1905953890000003</v>
      </c>
      <c r="S7" s="25">
        <f t="shared" si="2"/>
        <v>0.23281085494444445</v>
      </c>
      <c r="T7">
        <f>COUNTIFS('[1]Opportunity Pipeline'!$K:$K,"CSG (Endpoint)",'[1]Opportunity Pipeline'!$Z:$Z,"South")</f>
        <v>34</v>
      </c>
    </row>
    <row r="8" spans="1:25">
      <c r="A8" s="16">
        <v>6</v>
      </c>
      <c r="B8" s="17" t="s">
        <v>134</v>
      </c>
      <c r="C8" s="18" t="s">
        <v>81</v>
      </c>
      <c r="D8" s="19" t="s">
        <v>30</v>
      </c>
      <c r="E8" t="s">
        <v>32</v>
      </c>
      <c r="F8" s="25">
        <f>SUMIFS('[1]Opportunity Pipeline'!$O:$O,'[1]Opportunity Pipeline'!$K:$K,"CSG (EndPoint)",'[1]Opportunity Pipeline'!$Z:$Z,"GeoX")/10^7</f>
        <v>0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s="25">
        <f t="shared" si="0"/>
        <v>0</v>
      </c>
      <c r="M8" t="s">
        <v>32</v>
      </c>
      <c r="N8" t="s">
        <v>32</v>
      </c>
      <c r="O8" t="s">
        <v>32</v>
      </c>
      <c r="P8" t="s">
        <v>32</v>
      </c>
      <c r="Q8">
        <v>8</v>
      </c>
      <c r="R8" s="25">
        <f t="shared" si="1"/>
        <v>0</v>
      </c>
      <c r="S8" s="25">
        <f t="shared" si="2"/>
        <v>0</v>
      </c>
      <c r="T8">
        <f>COUNTIFS('[1]Opportunity Pipeline'!$K:$K,"CSG (Endpoint)",'[1]Opportunity Pipeline'!$Z:$Z,"GeoX")</f>
        <v>0</v>
      </c>
    </row>
    <row r="9" spans="1:25">
      <c r="A9" s="50"/>
      <c r="B9" s="50" t="s">
        <v>135</v>
      </c>
      <c r="C9" s="50"/>
      <c r="D9" s="50"/>
      <c r="E9" s="51" t="s">
        <v>32</v>
      </c>
      <c r="F9" s="52">
        <f>SUM(F3:F8)</f>
        <v>23.490042025000001</v>
      </c>
      <c r="G9" s="51" t="s">
        <v>32</v>
      </c>
      <c r="H9" s="51" t="s">
        <v>32</v>
      </c>
      <c r="I9" s="51" t="s">
        <v>32</v>
      </c>
      <c r="J9" s="51" t="s">
        <v>32</v>
      </c>
      <c r="K9" s="51" t="s">
        <v>32</v>
      </c>
      <c r="L9" s="52">
        <f>SUM(L3:L8)</f>
        <v>23.490042025000001</v>
      </c>
      <c r="M9" s="51" t="s">
        <v>32</v>
      </c>
      <c r="N9" s="51" t="s">
        <v>32</v>
      </c>
      <c r="O9" s="51" t="s">
        <v>32</v>
      </c>
      <c r="P9" s="51" t="s">
        <v>32</v>
      </c>
      <c r="Q9" s="51">
        <f>SUM(Q3:Q8)</f>
        <v>135</v>
      </c>
      <c r="R9" s="52">
        <f>SUM(R3:R8)</f>
        <v>23.490042025000001</v>
      </c>
      <c r="S9" s="52">
        <f>IFERROR(R9/Q9,"-")</f>
        <v>0.17400031129629631</v>
      </c>
      <c r="T9" s="51">
        <f>SUM(T3:T8)</f>
        <v>127</v>
      </c>
    </row>
    <row r="10" spans="1:25">
      <c r="A10" s="16"/>
      <c r="B10" s="17"/>
      <c r="C10" s="18"/>
      <c r="D10" s="19"/>
      <c r="F10" s="25"/>
      <c r="L10" s="25"/>
      <c r="R10" s="25"/>
      <c r="S1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73EE-1A59-44CA-9992-DE5438F956B3}">
  <dimension ref="A1:T9"/>
  <sheetViews>
    <sheetView workbookViewId="0">
      <selection activeCell="A2" sqref="A2"/>
    </sheetView>
  </sheetViews>
  <sheetFormatPr defaultRowHeight="14.45"/>
  <sheetData>
    <row r="1" spans="1:20" ht="27.75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9.6" customHeight="1">
      <c r="A2" s="2" t="s">
        <v>1</v>
      </c>
      <c r="B2" s="2" t="s">
        <v>131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132</v>
      </c>
      <c r="H2" s="2" t="s">
        <v>9</v>
      </c>
      <c r="I2" s="2" t="s">
        <v>10</v>
      </c>
      <c r="J2" s="2" t="s">
        <v>133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</row>
    <row r="3" spans="1:20">
      <c r="A3" s="16">
        <v>1</v>
      </c>
      <c r="B3" s="17" t="s">
        <v>122</v>
      </c>
      <c r="C3" s="18" t="s">
        <v>29</v>
      </c>
      <c r="D3" s="19" t="s">
        <v>30</v>
      </c>
      <c r="E3" t="s">
        <v>32</v>
      </c>
      <c r="F3" s="25">
        <f>SUMIFS('[1]Opportunity Pipeline'!$O:$O,'[1]Opportunity Pipeline'!$K:$K,"Cloud",'[1]Opportunity Pipeline'!$Z:$Z,"S1")/10^7</f>
        <v>0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s="25">
        <f>SUM(F3,I3)</f>
        <v>0</v>
      </c>
      <c r="M3" t="s">
        <v>32</v>
      </c>
      <c r="N3" t="s">
        <v>32</v>
      </c>
      <c r="O3" t="s">
        <v>32</v>
      </c>
      <c r="P3" t="s">
        <v>32</v>
      </c>
      <c r="Q3">
        <v>37</v>
      </c>
      <c r="R3" s="25">
        <f>SUM(L3,O3)</f>
        <v>0</v>
      </c>
      <c r="S3" s="25">
        <f>IFERROR(R3/Q3,"-")</f>
        <v>0</v>
      </c>
      <c r="T3">
        <f>COUNTIFS('[1]Opportunity Pipeline'!$K:$K,"Cloud",'[1]Opportunity Pipeline'!$Z:$Z,"S1")</f>
        <v>0</v>
      </c>
    </row>
    <row r="4" spans="1:20">
      <c r="A4" s="16">
        <v>2</v>
      </c>
      <c r="B4" s="17" t="s">
        <v>123</v>
      </c>
      <c r="C4" s="18" t="s">
        <v>42</v>
      </c>
      <c r="D4" s="19" t="s">
        <v>30</v>
      </c>
      <c r="E4" t="s">
        <v>32</v>
      </c>
      <c r="F4" s="25">
        <f>SUMIFS('[1]Opportunity Pipeline'!$O:$O,'[1]Opportunity Pipeline'!$K:$K,"Cloud",'[1]Opportunity Pipeline'!$Z:$Z,"S2")/10^7</f>
        <v>0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s="25">
        <f t="shared" ref="L4:L8" si="0">SUM(F4,I4)</f>
        <v>0</v>
      </c>
      <c r="M4" t="s">
        <v>32</v>
      </c>
      <c r="N4" t="s">
        <v>32</v>
      </c>
      <c r="O4" t="s">
        <v>32</v>
      </c>
      <c r="P4" t="s">
        <v>32</v>
      </c>
      <c r="Q4">
        <v>42</v>
      </c>
      <c r="R4" s="25">
        <f t="shared" ref="R4:R9" si="1">SUM(L4,O4)</f>
        <v>0</v>
      </c>
      <c r="S4" s="25">
        <f>IFERROR(R4/Q4,"-")</f>
        <v>0</v>
      </c>
      <c r="T4">
        <f>COUNTIFS('[1]Opportunity Pipeline'!$K:$K,"Cloud",'[1]Opportunity Pipeline'!$Z:$Z,"S2")</f>
        <v>0</v>
      </c>
    </row>
    <row r="5" spans="1:20">
      <c r="A5" s="16">
        <v>3</v>
      </c>
      <c r="B5" s="17" t="s">
        <v>124</v>
      </c>
      <c r="C5" s="18" t="s">
        <v>51</v>
      </c>
      <c r="D5" s="19" t="s">
        <v>30</v>
      </c>
      <c r="E5" t="s">
        <v>32</v>
      </c>
      <c r="F5" s="25">
        <f>SUMIFS('[1]Opportunity Pipeline'!$O:$O,'[1]Opportunity Pipeline'!$K:$K,"Cloud",'[1]Opportunity Pipeline'!$Z:$Z,"CB")/10^7</f>
        <v>1.5520453599999999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s="25">
        <f t="shared" si="0"/>
        <v>1.5520453599999999</v>
      </c>
      <c r="M5" t="s">
        <v>32</v>
      </c>
      <c r="N5" t="s">
        <v>32</v>
      </c>
      <c r="O5" t="s">
        <v>32</v>
      </c>
      <c r="P5" t="s">
        <v>32</v>
      </c>
      <c r="Q5">
        <v>30</v>
      </c>
      <c r="R5" s="25">
        <f t="shared" si="1"/>
        <v>1.5520453599999999</v>
      </c>
      <c r="S5" s="25">
        <f t="shared" ref="S5:S9" si="2">IFERROR(R5/Q5,"-")</f>
        <v>5.1734845333333328E-2</v>
      </c>
      <c r="T5">
        <f>COUNTIFS('[1]Opportunity Pipeline'!$K:$K,"Cloud",'[1]Opportunity Pipeline'!$Z:$Z,"CB")</f>
        <v>20</v>
      </c>
    </row>
    <row r="6" spans="1:20">
      <c r="A6" s="16">
        <v>4</v>
      </c>
      <c r="B6" s="17" t="s">
        <v>125</v>
      </c>
      <c r="C6" s="18" t="s">
        <v>59</v>
      </c>
      <c r="D6" s="19" t="s">
        <v>30</v>
      </c>
      <c r="E6" t="s">
        <v>32</v>
      </c>
      <c r="F6" s="25">
        <f>SUMIFS('[1]Opportunity Pipeline'!$O:$O,'[1]Opportunity Pipeline'!$K:$K,"Cloud",'[1]Opportunity Pipeline'!$Z:$Z,"GB")/10^7</f>
        <v>1.0873971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s="25">
        <f t="shared" si="0"/>
        <v>1.0873971</v>
      </c>
      <c r="M6" t="s">
        <v>32</v>
      </c>
      <c r="N6" t="s">
        <v>32</v>
      </c>
      <c r="O6" t="s">
        <v>32</v>
      </c>
      <c r="P6" t="s">
        <v>32</v>
      </c>
      <c r="Q6">
        <v>0</v>
      </c>
      <c r="R6" s="25">
        <f t="shared" si="1"/>
        <v>1.0873971</v>
      </c>
      <c r="S6" s="25" t="str">
        <f t="shared" si="2"/>
        <v>-</v>
      </c>
      <c r="T6">
        <f>COUNTIFS('[1]Opportunity Pipeline'!$K:$K,"Cloud",'[1]Opportunity Pipeline'!$Z:$Z,"GB")</f>
        <v>2</v>
      </c>
    </row>
    <row r="7" spans="1:20">
      <c r="A7" s="16">
        <v>5</v>
      </c>
      <c r="B7" s="17" t="s">
        <v>126</v>
      </c>
      <c r="C7" s="18" t="s">
        <v>74</v>
      </c>
      <c r="D7" s="19" t="s">
        <v>30</v>
      </c>
      <c r="E7" t="s">
        <v>32</v>
      </c>
      <c r="F7" s="25">
        <f>SUMIFS('[1]Opportunity Pipeline'!$O:$O,'[1]Opportunity Pipeline'!$K:$K,"Cloud",'[1]Opportunity Pipeline'!$Z:$Z,"South")/10^7</f>
        <v>0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s="25">
        <f t="shared" si="0"/>
        <v>0</v>
      </c>
      <c r="M7" t="s">
        <v>32</v>
      </c>
      <c r="N7" t="s">
        <v>32</v>
      </c>
      <c r="O7" t="s">
        <v>32</v>
      </c>
      <c r="P7" t="s">
        <v>32</v>
      </c>
      <c r="Q7">
        <v>18</v>
      </c>
      <c r="R7" s="25">
        <f t="shared" si="1"/>
        <v>0</v>
      </c>
      <c r="S7" s="25">
        <f t="shared" si="2"/>
        <v>0</v>
      </c>
      <c r="T7">
        <f>COUNTIFS('[1]Opportunity Pipeline'!$K:$K,"Cloud",'[1]Opportunity Pipeline'!$Z:$Z,"South")</f>
        <v>0</v>
      </c>
    </row>
    <row r="8" spans="1:20">
      <c r="A8" s="16">
        <v>6</v>
      </c>
      <c r="B8" s="17" t="s">
        <v>134</v>
      </c>
      <c r="C8" s="18" t="s">
        <v>81</v>
      </c>
      <c r="D8" s="19" t="s">
        <v>30</v>
      </c>
      <c r="E8" t="s">
        <v>32</v>
      </c>
      <c r="F8" s="25">
        <f>SUMIFS('[1]Opportunity Pipeline'!$O:$O,'[1]Opportunity Pipeline'!$K:$K,"Cloud",'[1]Opportunity Pipeline'!$Z:$Z,"GeoX")/10^7</f>
        <v>0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s="25">
        <f t="shared" si="0"/>
        <v>0</v>
      </c>
      <c r="M8" t="s">
        <v>32</v>
      </c>
      <c r="N8" t="s">
        <v>32</v>
      </c>
      <c r="O8" t="s">
        <v>32</v>
      </c>
      <c r="P8" t="s">
        <v>32</v>
      </c>
      <c r="Q8">
        <v>8</v>
      </c>
      <c r="R8" s="25">
        <f t="shared" si="1"/>
        <v>0</v>
      </c>
      <c r="S8" s="25">
        <f t="shared" si="2"/>
        <v>0</v>
      </c>
      <c r="T8">
        <f>COUNTIFS('[1]Opportunity Pipeline'!$K:$K,"Cloud",'[1]Opportunity Pipeline'!$Z:$Z,"GeoX")</f>
        <v>0</v>
      </c>
    </row>
    <row r="9" spans="1:20">
      <c r="A9" s="50"/>
      <c r="B9" s="50" t="s">
        <v>135</v>
      </c>
      <c r="C9" s="50"/>
      <c r="D9" s="50"/>
      <c r="E9" s="51" t="s">
        <v>32</v>
      </c>
      <c r="F9" s="52">
        <f>SUM(F3:F8)</f>
        <v>2.6394424599999997</v>
      </c>
      <c r="G9" s="51" t="s">
        <v>32</v>
      </c>
      <c r="H9" s="51" t="s">
        <v>32</v>
      </c>
      <c r="I9" s="51" t="s">
        <v>32</v>
      </c>
      <c r="J9" s="51" t="s">
        <v>32</v>
      </c>
      <c r="K9" s="51" t="s">
        <v>32</v>
      </c>
      <c r="L9" s="52">
        <f>SUM(L3:L8)</f>
        <v>2.6394424599999997</v>
      </c>
      <c r="M9" s="51" t="s">
        <v>32</v>
      </c>
      <c r="N9" s="51" t="s">
        <v>32</v>
      </c>
      <c r="O9" s="51" t="s">
        <v>32</v>
      </c>
      <c r="P9" s="51" t="s">
        <v>32</v>
      </c>
      <c r="Q9" s="51">
        <f>SUM(Q3:Q8)</f>
        <v>135</v>
      </c>
      <c r="R9" s="52">
        <f>SUM(R3:R8)</f>
        <v>2.6394424599999997</v>
      </c>
      <c r="S9" s="52">
        <f>IFERROR(R9/Q9,"-")</f>
        <v>1.9551425629629627E-2</v>
      </c>
      <c r="T9" s="51">
        <f>SUM(T3:T8)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Dharshini Balasankar</dc:creator>
  <cp:keywords/>
  <dc:description/>
  <cp:lastModifiedBy>Dharshini Balasankar</cp:lastModifiedBy>
  <cp:revision/>
  <dcterms:created xsi:type="dcterms:W3CDTF">2026-07-08T10:45:51Z</dcterms:created>
  <dcterms:modified xsi:type="dcterms:W3CDTF">2026-07-09T05:36:47Z</dcterms:modified>
  <cp:category/>
  <cp:contentStatus/>
</cp:coreProperties>
</file>