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payai-my.sharepoint.com/personal/shiv_kumar_techpay_ai/Documents/Documents/Office Related/Galaxy Target Letter/"/>
    </mc:Choice>
  </mc:AlternateContent>
  <xr:revisionPtr revIDLastSave="0" documentId="13_ncr:1_{DB407598-ABD6-4F1E-BDD0-6ADDBF6E94C7}" xr6:coauthVersionLast="47" xr6:coauthVersionMax="47" xr10:uidLastSave="{00000000-0000-0000-0000-000000000000}"/>
  <bookViews>
    <workbookView xWindow="-108" yWindow="-108" windowWidth="23256" windowHeight="12576" tabRatio="599" firstSheet="4" activeTab="4" xr2:uid="{396E7889-4A15-A546-8860-B8AE67AFAEDB}"/>
  </bookViews>
  <sheets>
    <sheet name="Summary" sheetId="18" r:id="rId1"/>
    <sheet name="DCG" sheetId="7" r:id="rId2"/>
    <sheet name="CS" sheetId="13" r:id="rId3"/>
    <sheet name="PS" sheetId="12" r:id="rId4"/>
    <sheet name="S1 " sheetId="25" r:id="rId5"/>
    <sheet name="S2 " sheetId="19" r:id="rId6"/>
    <sheet name="CB " sheetId="26" r:id="rId7"/>
    <sheet name="GB " sheetId="23" r:id="rId8"/>
    <sheet name="South " sheetId="24" r:id="rId9"/>
    <sheet name="GeoX " sheetId="27" r:id="rId10"/>
    <sheet name="Sales Plan T&amp;C" sheetId="17" r:id="rId11"/>
    <sheet name="Marketing" sheetId="28" r:id="rId12"/>
    <sheet name="DC Service Packs " sheetId="20" r:id="rId13"/>
    <sheet name="NW Service Packs" sheetId="21" r:id="rId14"/>
    <sheet name="CySec Service Packs" sheetId="2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25" l="1"/>
  <c r="F17" i="13" l="1"/>
  <c r="H49" i="26"/>
  <c r="H22" i="24"/>
  <c r="F121" i="25"/>
  <c r="G120" i="25"/>
  <c r="O49" i="18"/>
  <c r="N49" i="18"/>
  <c r="M49" i="18"/>
  <c r="L49" i="18"/>
  <c r="J49" i="18"/>
  <c r="I49" i="18"/>
  <c r="H49" i="18"/>
  <c r="G49" i="18"/>
  <c r="F49" i="18"/>
  <c r="E49" i="18"/>
  <c r="D49" i="18"/>
  <c r="N48" i="18"/>
  <c r="J48" i="18"/>
  <c r="H48" i="18"/>
  <c r="F48" i="18"/>
  <c r="D48" i="18"/>
  <c r="O47" i="18"/>
  <c r="N47" i="18"/>
  <c r="K47" i="18"/>
  <c r="J47" i="18"/>
  <c r="I47" i="18"/>
  <c r="H47" i="18"/>
  <c r="G47" i="18"/>
  <c r="F47" i="18"/>
  <c r="E47" i="18"/>
  <c r="D47" i="18"/>
  <c r="N46" i="18"/>
  <c r="M46" i="18"/>
  <c r="L46" i="18"/>
  <c r="K46" i="18"/>
  <c r="J46" i="18"/>
  <c r="I46" i="18"/>
  <c r="H46" i="18"/>
  <c r="F46" i="18"/>
  <c r="D46" i="18"/>
  <c r="O45" i="18"/>
  <c r="N45" i="18"/>
  <c r="I45" i="18"/>
  <c r="H45" i="18"/>
  <c r="G45" i="18"/>
  <c r="F45" i="18"/>
  <c r="E45" i="18"/>
  <c r="D45" i="18"/>
  <c r="N44" i="18"/>
  <c r="L44" i="18"/>
  <c r="J44" i="18"/>
  <c r="D44" i="18"/>
  <c r="H44" i="18"/>
  <c r="F44" i="18"/>
  <c r="I37" i="18"/>
  <c r="H37" i="18"/>
  <c r="I36" i="18"/>
  <c r="H36" i="18"/>
  <c r="I35" i="18"/>
  <c r="H35" i="18"/>
  <c r="I34" i="18"/>
  <c r="H34" i="18"/>
  <c r="I33" i="18"/>
  <c r="H33" i="18"/>
  <c r="H32" i="18"/>
  <c r="I24" i="18"/>
  <c r="H24" i="18"/>
  <c r="I23" i="18"/>
  <c r="H23" i="18"/>
  <c r="I22" i="18"/>
  <c r="H22" i="18"/>
  <c r="I21" i="18"/>
  <c r="H21" i="18"/>
  <c r="D21" i="18" s="1"/>
  <c r="I20" i="18"/>
  <c r="H20" i="18"/>
  <c r="H19" i="18"/>
  <c r="I11" i="18"/>
  <c r="H11" i="18"/>
  <c r="G11" i="18"/>
  <c r="F11" i="18"/>
  <c r="F24" i="18" s="1"/>
  <c r="E11" i="18"/>
  <c r="D11" i="18"/>
  <c r="I10" i="18"/>
  <c r="H10" i="18"/>
  <c r="G10" i="18"/>
  <c r="G23" i="18" s="1"/>
  <c r="F10" i="18"/>
  <c r="F23" i="18" s="1"/>
  <c r="E10" i="18"/>
  <c r="E23" i="18" s="1"/>
  <c r="D10" i="18"/>
  <c r="I9" i="18"/>
  <c r="H9" i="18"/>
  <c r="G9" i="18"/>
  <c r="F9" i="18"/>
  <c r="E9" i="18"/>
  <c r="D9" i="18"/>
  <c r="I8" i="18"/>
  <c r="H8" i="18"/>
  <c r="G8" i="18"/>
  <c r="F8" i="18"/>
  <c r="E8" i="18"/>
  <c r="D8" i="18"/>
  <c r="I7" i="18"/>
  <c r="H7" i="18"/>
  <c r="G7" i="18"/>
  <c r="F7" i="18"/>
  <c r="E7" i="18"/>
  <c r="D7" i="18"/>
  <c r="I6" i="18"/>
  <c r="H6" i="18"/>
  <c r="G6" i="18"/>
  <c r="F6" i="18"/>
  <c r="D6" i="18"/>
  <c r="B45" i="27"/>
  <c r="C43" i="27"/>
  <c r="C42" i="27"/>
  <c r="C45" i="27" s="1"/>
  <c r="E27" i="27"/>
  <c r="C27" i="27"/>
  <c r="D26" i="27"/>
  <c r="D25" i="27"/>
  <c r="D24" i="27"/>
  <c r="D23" i="27"/>
  <c r="D22" i="27"/>
  <c r="D21" i="27"/>
  <c r="D27" i="27" s="1"/>
  <c r="K17" i="27"/>
  <c r="J17" i="27"/>
  <c r="I17" i="27"/>
  <c r="H17" i="27"/>
  <c r="G17" i="27"/>
  <c r="F17" i="27"/>
  <c r="E17" i="27"/>
  <c r="D17" i="27"/>
  <c r="C17" i="27"/>
  <c r="B17" i="27"/>
  <c r="C8" i="27"/>
  <c r="E53" i="26"/>
  <c r="E52" i="26"/>
  <c r="E49" i="26"/>
  <c r="B49" i="26"/>
  <c r="E48" i="26"/>
  <c r="E47" i="26"/>
  <c r="E46" i="26"/>
  <c r="E45" i="26"/>
  <c r="D33" i="26"/>
  <c r="C33" i="26"/>
  <c r="F17" i="26"/>
  <c r="E17" i="26"/>
  <c r="D17" i="26"/>
  <c r="C17" i="26"/>
  <c r="B17" i="26"/>
  <c r="L149" i="25"/>
  <c r="L147" i="25"/>
  <c r="K147" i="25" s="1"/>
  <c r="O146" i="25"/>
  <c r="O145" i="25"/>
  <c r="O144" i="25"/>
  <c r="L143" i="25"/>
  <c r="K143" i="25" s="1"/>
  <c r="L142" i="25"/>
  <c r="J142" i="25" s="1"/>
  <c r="E130" i="25"/>
  <c r="K121" i="25"/>
  <c r="J121" i="25"/>
  <c r="I121" i="25"/>
  <c r="H121" i="25"/>
  <c r="G119" i="25"/>
  <c r="G118" i="25"/>
  <c r="G117" i="25"/>
  <c r="G116" i="25"/>
  <c r="G111" i="25"/>
  <c r="G121" i="25" s="1"/>
  <c r="G95" i="25"/>
  <c r="G72" i="25"/>
  <c r="G65" i="25"/>
  <c r="G45" i="25"/>
  <c r="G43" i="25"/>
  <c r="G42" i="25"/>
  <c r="G36" i="25"/>
  <c r="G35" i="25"/>
  <c r="G34" i="25"/>
  <c r="G33" i="25"/>
  <c r="G32" i="25"/>
  <c r="G26" i="25"/>
  <c r="G25" i="25"/>
  <c r="G24" i="25"/>
  <c r="G23" i="25"/>
  <c r="G13" i="25"/>
  <c r="K9" i="25"/>
  <c r="J9" i="25"/>
  <c r="I32" i="18" s="1"/>
  <c r="I9" i="25"/>
  <c r="H9" i="25"/>
  <c r="E9" i="25"/>
  <c r="E6" i="18" s="1"/>
  <c r="D32" i="24"/>
  <c r="E31" i="24"/>
  <c r="E30" i="24"/>
  <c r="E32" i="24" s="1"/>
  <c r="E29" i="24"/>
  <c r="E28" i="24"/>
  <c r="E27" i="24"/>
  <c r="E26" i="24"/>
  <c r="G22" i="24"/>
  <c r="F22" i="24"/>
  <c r="E22" i="24"/>
  <c r="D22" i="24"/>
  <c r="C22" i="24"/>
  <c r="G10" i="24"/>
  <c r="E79" i="23"/>
  <c r="E78" i="23"/>
  <c r="E74" i="23"/>
  <c r="E73" i="23"/>
  <c r="E70" i="23"/>
  <c r="E69" i="23"/>
  <c r="E65" i="23"/>
  <c r="E64" i="23"/>
  <c r="C49" i="23"/>
  <c r="C45" i="23"/>
  <c r="C50" i="23" s="1"/>
  <c r="C52" i="23" s="1"/>
  <c r="F29" i="23"/>
  <c r="E29" i="23"/>
  <c r="D29" i="23"/>
  <c r="C29" i="23"/>
  <c r="B29" i="23"/>
  <c r="C9" i="23"/>
  <c r="G26" i="22"/>
  <c r="F26" i="22"/>
  <c r="E26" i="22"/>
  <c r="G25" i="22"/>
  <c r="F25" i="22"/>
  <c r="E25" i="22"/>
  <c r="G24" i="22"/>
  <c r="F24" i="22"/>
  <c r="E24" i="22"/>
  <c r="G23" i="22"/>
  <c r="F23" i="22"/>
  <c r="E23" i="22"/>
  <c r="G22" i="22"/>
  <c r="F22" i="22"/>
  <c r="E22" i="22"/>
  <c r="G21" i="22"/>
  <c r="F21" i="22"/>
  <c r="E21" i="22"/>
  <c r="G20" i="22"/>
  <c r="F20" i="22"/>
  <c r="E20" i="22"/>
  <c r="G19" i="22"/>
  <c r="F19" i="22"/>
  <c r="E19" i="22"/>
  <c r="G18" i="22"/>
  <c r="F18" i="22"/>
  <c r="E18" i="22"/>
  <c r="G27" i="21"/>
  <c r="F27" i="21"/>
  <c r="E27" i="21"/>
  <c r="G26" i="21"/>
  <c r="F26" i="21"/>
  <c r="E26" i="21"/>
  <c r="G25" i="21"/>
  <c r="F25" i="21"/>
  <c r="E25" i="21"/>
  <c r="G24" i="21"/>
  <c r="F24" i="21"/>
  <c r="E24" i="21"/>
  <c r="G23" i="21"/>
  <c r="F23" i="21"/>
  <c r="E23" i="21"/>
  <c r="G22" i="21"/>
  <c r="F22" i="21"/>
  <c r="E22" i="21"/>
  <c r="G21" i="21"/>
  <c r="F21" i="21"/>
  <c r="E21" i="21"/>
  <c r="G24" i="20"/>
  <c r="F24" i="20"/>
  <c r="E24" i="20"/>
  <c r="G23" i="20"/>
  <c r="F23" i="20"/>
  <c r="E23" i="20"/>
  <c r="G22" i="20"/>
  <c r="F22" i="20"/>
  <c r="E22" i="20"/>
  <c r="G21" i="20"/>
  <c r="F21" i="20"/>
  <c r="E21" i="20"/>
  <c r="G20" i="20"/>
  <c r="F20" i="20"/>
  <c r="E20" i="20"/>
  <c r="D60" i="19"/>
  <c r="E54" i="19"/>
  <c r="D54" i="19"/>
  <c r="E53" i="19"/>
  <c r="E52" i="19"/>
  <c r="E51" i="19"/>
  <c r="E50" i="19"/>
  <c r="J46" i="19"/>
  <c r="I46" i="19"/>
  <c r="H46" i="19"/>
  <c r="G46" i="19"/>
  <c r="E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46" i="19" s="1"/>
  <c r="F14" i="19"/>
  <c r="F13" i="19"/>
  <c r="E24" i="18" l="1"/>
  <c r="G24" i="18"/>
  <c r="I19" i="18"/>
  <c r="G19" i="18" s="1"/>
  <c r="K142" i="25"/>
  <c r="J143" i="25"/>
  <c r="J147" i="25"/>
  <c r="D24" i="18"/>
  <c r="D23" i="18"/>
  <c r="G21" i="18"/>
  <c r="F21" i="18"/>
  <c r="E21" i="18"/>
  <c r="G20" i="18"/>
  <c r="F20" i="18"/>
  <c r="E20" i="18"/>
  <c r="D20" i="18"/>
  <c r="G34" i="18"/>
  <c r="E34" i="18"/>
  <c r="F34" i="18"/>
  <c r="D34" i="18"/>
  <c r="G33" i="18"/>
  <c r="E33" i="18"/>
  <c r="F33" i="18"/>
  <c r="D33" i="18"/>
  <c r="G22" i="18"/>
  <c r="E22" i="18"/>
  <c r="F22" i="18"/>
  <c r="D22" i="18"/>
  <c r="G37" i="18"/>
  <c r="E37" i="18"/>
  <c r="F37" i="18"/>
  <c r="D37" i="18"/>
  <c r="G36" i="18"/>
  <c r="E36" i="18"/>
  <c r="F36" i="18"/>
  <c r="D36" i="18"/>
  <c r="G35" i="18"/>
  <c r="E35" i="18"/>
  <c r="F35" i="18"/>
  <c r="D35" i="18"/>
  <c r="I40" i="18"/>
  <c r="G32" i="18"/>
  <c r="E32" i="18"/>
  <c r="F32" i="18"/>
  <c r="H40" i="18"/>
  <c r="D32" i="18"/>
  <c r="I27" i="18"/>
  <c r="F19" i="18"/>
  <c r="D19" i="18"/>
  <c r="H27" i="18"/>
  <c r="F130" i="25"/>
  <c r="F127" i="25"/>
  <c r="K44" i="18" s="1"/>
  <c r="F126" i="25"/>
  <c r="I44" i="18" s="1"/>
  <c r="F125" i="25"/>
  <c r="G44" i="18" s="1"/>
  <c r="F124" i="25"/>
  <c r="E44" i="18" s="1"/>
  <c r="F128" i="25"/>
  <c r="M44" i="18" s="1"/>
  <c r="F129" i="25"/>
  <c r="O44" i="18" s="1"/>
  <c r="C35" i="23"/>
  <c r="D49" i="23" s="1"/>
  <c r="D40" i="23"/>
  <c r="D41" i="23"/>
  <c r="D42" i="23"/>
  <c r="D43" i="23"/>
  <c r="E19" i="18" l="1"/>
  <c r="D45" i="23"/>
  <c r="D50" i="23" s="1"/>
  <c r="D52" i="23" s="1"/>
  <c r="D55" i="18" l="1"/>
  <c r="D60" i="18" s="1"/>
  <c r="C55" i="18"/>
  <c r="C60" i="18" s="1"/>
  <c r="K49" i="18"/>
  <c r="O48" i="18"/>
  <c r="K48" i="18"/>
  <c r="I48" i="18"/>
  <c r="G48" i="18"/>
  <c r="E48" i="18"/>
  <c r="O46" i="18"/>
  <c r="G46" i="18"/>
  <c r="E46" i="18"/>
  <c r="D12" i="18"/>
  <c r="E12" i="18" l="1"/>
  <c r="N52" i="18"/>
  <c r="L52" i="18"/>
  <c r="H52" i="18"/>
  <c r="J52" i="18"/>
  <c r="F12" i="18"/>
  <c r="D52" i="18"/>
  <c r="F52" i="18"/>
  <c r="H33" i="13"/>
  <c r="G33" i="13"/>
  <c r="F33" i="13"/>
  <c r="E33" i="13"/>
  <c r="D25" i="7"/>
  <c r="D14" i="18"/>
  <c r="D46" i="13"/>
  <c r="D35" i="13"/>
  <c r="H34" i="13"/>
  <c r="G34" i="13"/>
  <c r="F34" i="13"/>
  <c r="E34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E17" i="13"/>
  <c r="H16" i="13"/>
  <c r="G16" i="13"/>
  <c r="F16" i="13"/>
  <c r="E16" i="13"/>
  <c r="H15" i="13"/>
  <c r="G15" i="13"/>
  <c r="F15" i="13"/>
  <c r="E15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G35" i="13" s="1"/>
  <c r="F10" i="13"/>
  <c r="F35" i="13" s="1"/>
  <c r="E10" i="13"/>
  <c r="D6" i="13"/>
  <c r="D5" i="13"/>
  <c r="D8" i="12"/>
  <c r="D7" i="12"/>
  <c r="D6" i="12"/>
  <c r="D5" i="12"/>
  <c r="D4" i="12"/>
  <c r="D3" i="12"/>
  <c r="D2" i="12"/>
  <c r="G12" i="18" l="1"/>
  <c r="G14" i="18" s="1"/>
  <c r="F14" i="18"/>
  <c r="H12" i="18"/>
  <c r="F25" i="18" s="1"/>
  <c r="F27" i="18" s="1"/>
  <c r="F38" i="18"/>
  <c r="F40" i="18" s="1"/>
  <c r="E35" i="13"/>
  <c r="H35" i="13"/>
  <c r="E14" i="18"/>
  <c r="G38" i="18" l="1"/>
  <c r="G40" i="18" s="1"/>
  <c r="I12" i="18"/>
  <c r="G25" i="18"/>
  <c r="G27" i="18" s="1"/>
  <c r="D38" i="18"/>
  <c r="D40" i="18" s="1"/>
  <c r="D25" i="18"/>
  <c r="D27" i="18" s="1"/>
  <c r="H14" i="18"/>
  <c r="E52" i="18"/>
  <c r="M52" i="18"/>
  <c r="O52" i="18"/>
  <c r="K52" i="18"/>
  <c r="I52" i="18"/>
  <c r="G52" i="18"/>
  <c r="E25" i="18" l="1"/>
  <c r="E27" i="18" s="1"/>
  <c r="E38" i="18"/>
  <c r="E40" i="18" s="1"/>
  <c r="I14" i="18"/>
  <c r="C38" i="7" l="1"/>
</calcChain>
</file>

<file path=xl/sharedStrings.xml><?xml version="1.0" encoding="utf-8"?>
<sst xmlns="http://schemas.openxmlformats.org/spreadsheetml/2006/main" count="1665" uniqueCount="680">
  <si>
    <t>Annual</t>
  </si>
  <si>
    <t>Sr.No.</t>
  </si>
  <si>
    <t xml:space="preserve">Sales Route </t>
  </si>
  <si>
    <t>Planned</t>
  </si>
  <si>
    <t>Mgmt Outlook</t>
  </si>
  <si>
    <t>Quota Outlook</t>
  </si>
  <si>
    <t>Revenue</t>
  </si>
  <si>
    <t>GP</t>
  </si>
  <si>
    <t>S1</t>
  </si>
  <si>
    <t>S2</t>
  </si>
  <si>
    <t>CB</t>
  </si>
  <si>
    <t>GB</t>
  </si>
  <si>
    <t>South</t>
  </si>
  <si>
    <t>GeoX</t>
  </si>
  <si>
    <t>DCG Self</t>
  </si>
  <si>
    <t>Total</t>
  </si>
  <si>
    <t>H1</t>
  </si>
  <si>
    <t>H2</t>
  </si>
  <si>
    <t>Sales Route</t>
  </si>
  <si>
    <t>DCG</t>
  </si>
  <si>
    <t>CSN</t>
  </si>
  <si>
    <t>PS</t>
  </si>
  <si>
    <t>Cloud</t>
  </si>
  <si>
    <t>AI</t>
  </si>
  <si>
    <t>CSG</t>
  </si>
  <si>
    <t>MGMT Outlook</t>
  </si>
  <si>
    <t>BU</t>
  </si>
  <si>
    <t>Revenue in Crores</t>
  </si>
  <si>
    <t>Focus Revenue in Crores</t>
  </si>
  <si>
    <t>DCG Forecast</t>
  </si>
  <si>
    <t>CSN Forcast</t>
  </si>
  <si>
    <t>PS Forcast</t>
  </si>
  <si>
    <t>PS Recuring</t>
  </si>
  <si>
    <t>Specility Type</t>
  </si>
  <si>
    <t xml:space="preserve">Plan </t>
  </si>
  <si>
    <t>2026-27</t>
  </si>
  <si>
    <t>Master Revenue &amp; Bottomline Objective</t>
  </si>
  <si>
    <t>Details</t>
  </si>
  <si>
    <t>Amount (in Crores)</t>
  </si>
  <si>
    <t>Revenue Goal</t>
  </si>
  <si>
    <t>Bottomline Goal (%)</t>
  </si>
  <si>
    <t>Services Attached Goal (Value)</t>
  </si>
  <si>
    <t>OEM Wise Revenue Objective</t>
  </si>
  <si>
    <t>OEM  Name</t>
  </si>
  <si>
    <t>Category (RAD)</t>
  </si>
  <si>
    <t>Revenue Goal (in Crores)</t>
  </si>
  <si>
    <t>Tier Level Objective</t>
  </si>
  <si>
    <t>Benchmarch Tier</t>
  </si>
  <si>
    <t xml:space="preserve">Galaxy Q1 </t>
  </si>
  <si>
    <t xml:space="preserve">Galaxy Q2 </t>
  </si>
  <si>
    <t>Galaxy Q3</t>
  </si>
  <si>
    <t>Galaxy Q4</t>
  </si>
  <si>
    <t>Dell</t>
  </si>
  <si>
    <t>Retention</t>
  </si>
  <si>
    <t>Hitachi vantara</t>
  </si>
  <si>
    <t>Acquiation</t>
  </si>
  <si>
    <t xml:space="preserve">Lenovo </t>
  </si>
  <si>
    <t xml:space="preserve">Development </t>
  </si>
  <si>
    <t xml:space="preserve">NetApp </t>
  </si>
  <si>
    <t xml:space="preserve">Broadcom </t>
  </si>
  <si>
    <t xml:space="preserve">RedHat </t>
  </si>
  <si>
    <t xml:space="preserve">HPe </t>
  </si>
  <si>
    <t xml:space="preserve">Nutanix </t>
  </si>
  <si>
    <t xml:space="preserve">IBM India </t>
  </si>
  <si>
    <t xml:space="preserve">NetWeb Technologies </t>
  </si>
  <si>
    <t xml:space="preserve">Commvalut </t>
  </si>
  <si>
    <t>Optional -Prefered to fill</t>
  </si>
  <si>
    <t>Sr.No</t>
  </si>
  <si>
    <t>Sales team</t>
  </si>
  <si>
    <t>Estimated Revenue in Crores</t>
  </si>
  <si>
    <t>Strategic 1</t>
  </si>
  <si>
    <t>Strategic 2</t>
  </si>
  <si>
    <t>Commercial</t>
  </si>
  <si>
    <t>Growth</t>
  </si>
  <si>
    <t>North</t>
  </si>
  <si>
    <t>Pune</t>
  </si>
  <si>
    <t>Self</t>
  </si>
  <si>
    <t>Self  owned Customers</t>
  </si>
  <si>
    <t>Customer Name</t>
  </si>
  <si>
    <t>Revenue (In Crores)</t>
  </si>
  <si>
    <t>Tata Communication</t>
  </si>
  <si>
    <t xml:space="preserve">Amdocs </t>
  </si>
  <si>
    <t>IDBI Bank</t>
  </si>
  <si>
    <t>Disney World</t>
  </si>
  <si>
    <t xml:space="preserve">DBS </t>
  </si>
  <si>
    <t xml:space="preserve">SBI Life Insurance </t>
  </si>
  <si>
    <t>Colgate Palmolive</t>
  </si>
  <si>
    <t xml:space="preserve">CSN - FY2026-27 </t>
  </si>
  <si>
    <t>OEM</t>
  </si>
  <si>
    <t>Amt (INR-CR)</t>
  </si>
  <si>
    <t>Focus Area</t>
  </si>
  <si>
    <t>Sno</t>
  </si>
  <si>
    <t>Cat (RAD)</t>
  </si>
  <si>
    <t>Rev Goal (INR-CR)</t>
  </si>
  <si>
    <t>Q1</t>
  </si>
  <si>
    <t>Q2</t>
  </si>
  <si>
    <t>Q3</t>
  </si>
  <si>
    <t>Q4</t>
  </si>
  <si>
    <t>LEVEL</t>
  </si>
  <si>
    <t>BENCHMARK</t>
  </si>
  <si>
    <t>CORE TECH 01</t>
  </si>
  <si>
    <t>CORE TECH 02</t>
  </si>
  <si>
    <t>CORE TECH 03</t>
  </si>
  <si>
    <t>Akamai</t>
  </si>
  <si>
    <t>D</t>
  </si>
  <si>
    <t>Premier</t>
  </si>
  <si>
    <t>Micro segmentation</t>
  </si>
  <si>
    <t>API Security</t>
  </si>
  <si>
    <t>WAF</t>
  </si>
  <si>
    <t>Algosec</t>
  </si>
  <si>
    <t>A</t>
  </si>
  <si>
    <t>Unregistered</t>
  </si>
  <si>
    <t>Referral</t>
  </si>
  <si>
    <t>Fireflow</t>
  </si>
  <si>
    <t>Firewall analyzer</t>
  </si>
  <si>
    <t>Arista</t>
  </si>
  <si>
    <t>Authorised</t>
  </si>
  <si>
    <t>Elite</t>
  </si>
  <si>
    <t>DC Networking</t>
  </si>
  <si>
    <t>SDWAN</t>
  </si>
  <si>
    <t>Aruba</t>
  </si>
  <si>
    <t>R</t>
  </si>
  <si>
    <t>Silver</t>
  </si>
  <si>
    <t>Gold</t>
  </si>
  <si>
    <t>Access  Point</t>
  </si>
  <si>
    <t>Checkpoint</t>
  </si>
  <si>
    <t>Firewall</t>
  </si>
  <si>
    <t>Email security</t>
  </si>
  <si>
    <t>SASE</t>
  </si>
  <si>
    <t>CISCO</t>
  </si>
  <si>
    <t>Preffered</t>
  </si>
  <si>
    <t>Routing and Switching</t>
  </si>
  <si>
    <t>Crowdstrike</t>
  </si>
  <si>
    <t>Associate</t>
  </si>
  <si>
    <t>Focus</t>
  </si>
  <si>
    <t>EDR</t>
  </si>
  <si>
    <t>NGSIEM</t>
  </si>
  <si>
    <t>CyberArk</t>
  </si>
  <si>
    <t>PAM</t>
  </si>
  <si>
    <t>Cloud security</t>
  </si>
  <si>
    <t>Identity</t>
  </si>
  <si>
    <t>F5</t>
  </si>
  <si>
    <t>Load Balancers</t>
  </si>
  <si>
    <t>CDN</t>
  </si>
  <si>
    <t>Forcepoint</t>
  </si>
  <si>
    <t>Platinum</t>
  </si>
  <si>
    <t>DLP</t>
  </si>
  <si>
    <t>DSPM</t>
  </si>
  <si>
    <t>Fortinet</t>
  </si>
  <si>
    <t>Select</t>
  </si>
  <si>
    <t>Keysight</t>
  </si>
  <si>
    <t>Standard</t>
  </si>
  <si>
    <t>Strategic</t>
  </si>
  <si>
    <t>Network Monitoring</t>
  </si>
  <si>
    <t>Manage Engine</t>
  </si>
  <si>
    <t>Patch Mgmt</t>
  </si>
  <si>
    <t>Endpoint Central</t>
  </si>
  <si>
    <t>Ad Manager plus</t>
  </si>
  <si>
    <t>Netskope</t>
  </si>
  <si>
    <t>CASB</t>
  </si>
  <si>
    <t>Palo Alto</t>
  </si>
  <si>
    <t>Innovator</t>
  </si>
  <si>
    <t>Proofpoint</t>
  </si>
  <si>
    <t>Core</t>
  </si>
  <si>
    <t>AI security</t>
  </si>
  <si>
    <t>RSA</t>
  </si>
  <si>
    <t>MFA</t>
  </si>
  <si>
    <t>Governance &amp; Lifecycle.</t>
  </si>
  <si>
    <t>Seclore</t>
  </si>
  <si>
    <t>Data security</t>
  </si>
  <si>
    <t>Classification</t>
  </si>
  <si>
    <t>SentinelOne</t>
  </si>
  <si>
    <t>Advanced</t>
  </si>
  <si>
    <t>SIEM</t>
  </si>
  <si>
    <t>Thales</t>
  </si>
  <si>
    <t>Enrolled</t>
  </si>
  <si>
    <t>App security</t>
  </si>
  <si>
    <t>Trend Micro</t>
  </si>
  <si>
    <t>CSPM</t>
  </si>
  <si>
    <t>MDR</t>
  </si>
  <si>
    <t>Varonis</t>
  </si>
  <si>
    <t>DAM</t>
  </si>
  <si>
    <t>Zscaler</t>
  </si>
  <si>
    <t>Base</t>
  </si>
  <si>
    <t>ZTNA</t>
  </si>
  <si>
    <t>Saffron</t>
  </si>
  <si>
    <t>Registered</t>
  </si>
  <si>
    <t>NTP</t>
  </si>
  <si>
    <t>Others</t>
  </si>
  <si>
    <t>NA</t>
  </si>
  <si>
    <t>A1 Security</t>
  </si>
  <si>
    <t>Identity Governance</t>
  </si>
  <si>
    <t>CTEM</t>
  </si>
  <si>
    <t>SBU</t>
  </si>
  <si>
    <t>Geo - North</t>
  </si>
  <si>
    <t>Geo - Pune</t>
  </si>
  <si>
    <t>Professional Services</t>
  </si>
  <si>
    <t>Strategy 1</t>
  </si>
  <si>
    <t>Strategy 2</t>
  </si>
  <si>
    <t>Existing Revenue</t>
  </si>
  <si>
    <t>PS Total OB Target - (Annual Contract Value)</t>
  </si>
  <si>
    <t>Primary Focus Areas</t>
  </si>
  <si>
    <t>Managed Services - Remote</t>
  </si>
  <si>
    <t>Managed Services - Hybrid</t>
  </si>
  <si>
    <t>SOC Services</t>
  </si>
  <si>
    <t>Cloud Services</t>
  </si>
  <si>
    <t>Automation &amp; Tools</t>
  </si>
  <si>
    <t>Secondary Focus Areas</t>
  </si>
  <si>
    <t>Residency Services</t>
  </si>
  <si>
    <t>Multi-vendor Support (3rd party AMC)</t>
  </si>
  <si>
    <t>Day-2 Services (Onsite Support) with Product/ Solution Sale</t>
  </si>
  <si>
    <t>** The projected numbers are calculated only basis the primary focus areas</t>
  </si>
  <si>
    <t>Quota Split  H1 (In Crs.)</t>
  </si>
  <si>
    <t>Quota Split H2 (In Crs.)</t>
  </si>
  <si>
    <t>MGMT Plan ( In Crores)</t>
  </si>
  <si>
    <t>Quota (In Crores)</t>
  </si>
  <si>
    <t>Bottomline Goal</t>
  </si>
  <si>
    <t xml:space="preserve">Remark </t>
  </si>
  <si>
    <t>Sr. No.</t>
  </si>
  <si>
    <t>Acount Manager Name</t>
  </si>
  <si>
    <t>Annual Quota</t>
  </si>
  <si>
    <t>Tasneem Khatri</t>
  </si>
  <si>
    <t xml:space="preserve">Bank Of Baroda </t>
  </si>
  <si>
    <t xml:space="preserve">Retention </t>
  </si>
  <si>
    <t>Bank of Baroda</t>
  </si>
  <si>
    <t>Baroda U.P. Bank</t>
  </si>
  <si>
    <t xml:space="preserve">Part of BOB , Po are released from BOB </t>
  </si>
  <si>
    <t xml:space="preserve">Baroda Rajasthan Kshetriya Gramin Bank </t>
  </si>
  <si>
    <t>Baroda Gujarat Gramin Bank</t>
  </si>
  <si>
    <t>Baroda Global Shared Services Ltd.</t>
  </si>
  <si>
    <t>Baroda Financial Services</t>
  </si>
  <si>
    <t>BOB Capital Markets Limited</t>
  </si>
  <si>
    <t>Gujarat Gramin Bank</t>
  </si>
  <si>
    <t>Baroda Asset Management India Limited</t>
  </si>
  <si>
    <t xml:space="preserve">BOI </t>
  </si>
  <si>
    <t>CBIBank</t>
  </si>
  <si>
    <t xml:space="preserve">Acquisition </t>
  </si>
  <si>
    <t xml:space="preserve">SBIBank </t>
  </si>
  <si>
    <t xml:space="preserve">HDFC Entities </t>
  </si>
  <si>
    <t>HDBFS</t>
  </si>
  <si>
    <t xml:space="preserve">HDFC Life </t>
  </si>
  <si>
    <t xml:space="preserve">HDFC Securities </t>
  </si>
  <si>
    <t xml:space="preserve">HDFC Ergo </t>
  </si>
  <si>
    <t xml:space="preserve">HDFC AMC </t>
  </si>
  <si>
    <t xml:space="preserve">Stock Holding </t>
  </si>
  <si>
    <t>Riya Roshyara</t>
  </si>
  <si>
    <t xml:space="preserve">UBI </t>
  </si>
  <si>
    <t>IBA</t>
  </si>
  <si>
    <t xml:space="preserve">BPCL </t>
  </si>
  <si>
    <t xml:space="preserve">SBI Entities </t>
  </si>
  <si>
    <t>SBI GENERAL INSURANCE COMPANY LIMITED</t>
  </si>
  <si>
    <t>SBI CAPITAL MARKETS LIMITED</t>
  </si>
  <si>
    <t>SBICAP Securities Ltd (SSL)</t>
  </si>
  <si>
    <t>SBI FUNDS MANAGEMENT LIMITED</t>
  </si>
  <si>
    <t xml:space="preserve">SBI  mutual </t>
  </si>
  <si>
    <t xml:space="preserve">NPCI </t>
  </si>
  <si>
    <t>Chirag Palande</t>
  </si>
  <si>
    <t xml:space="preserve">MCX </t>
  </si>
  <si>
    <t>MCXCCL</t>
  </si>
  <si>
    <t xml:space="preserve">BSE </t>
  </si>
  <si>
    <t>BSE - ICCL</t>
  </si>
  <si>
    <t>CDSL</t>
  </si>
  <si>
    <t>CDSL - Ventures</t>
  </si>
  <si>
    <t xml:space="preserve">Part of BSE, Po will be released from BSE </t>
  </si>
  <si>
    <t xml:space="preserve">CCRL </t>
  </si>
  <si>
    <t xml:space="preserve">CIRL </t>
  </si>
  <si>
    <t>BSE STAR MF</t>
  </si>
  <si>
    <t>BSE INSTITUTE LTD</t>
  </si>
  <si>
    <t>BSE SME PLATFORM</t>
  </si>
  <si>
    <t>BSE STARTUPS</t>
  </si>
  <si>
    <t>BSE HI-TECH</t>
  </si>
  <si>
    <t>BSE IPF</t>
  </si>
  <si>
    <t>BSE TECHNOLOGIES</t>
  </si>
  <si>
    <t>BSE BEAM</t>
  </si>
  <si>
    <t>BSE SSE</t>
  </si>
  <si>
    <t>BASL</t>
  </si>
  <si>
    <t>HPX</t>
  </si>
  <si>
    <t>ASIA INDEX</t>
  </si>
  <si>
    <t>INDIA INX</t>
  </si>
  <si>
    <t>INDIA ICC</t>
  </si>
  <si>
    <t xml:space="preserve">NSE </t>
  </si>
  <si>
    <t>NCCL</t>
  </si>
  <si>
    <t>NSEIT LIMITED</t>
  </si>
  <si>
    <t xml:space="preserve">Part of NSE, Po will be released from NSE </t>
  </si>
  <si>
    <t>NSE ACADEMY</t>
  </si>
  <si>
    <t>NSE INDICES LIMITED</t>
  </si>
  <si>
    <t>NSE INTERNATIONAL EXCHANGE (IX)</t>
  </si>
  <si>
    <t>NSE DATA &amp; ANALYTICS LIMITED</t>
  </si>
  <si>
    <t>RICHA TIWARI</t>
  </si>
  <si>
    <t xml:space="preserve">TATA Entitites </t>
  </si>
  <si>
    <t xml:space="preserve">Tata Entities </t>
  </si>
  <si>
    <t>TATA REALTY</t>
  </si>
  <si>
    <t>TATA AIG</t>
  </si>
  <si>
    <t>TATA INDIAN HOTELS</t>
  </si>
  <si>
    <t>TATA CONSUMERS</t>
  </si>
  <si>
    <t>TATA POWER SOLAR</t>
  </si>
  <si>
    <t>TATA POWER RENEWABLES</t>
  </si>
  <si>
    <t>TATA POWER</t>
  </si>
  <si>
    <t>TATA CONSULTING ENGINEERS</t>
  </si>
  <si>
    <t>TATA CHEMICALS LTD</t>
  </si>
  <si>
    <t>TATA INTERNAITONAL</t>
  </si>
  <si>
    <t xml:space="preserve">TATA AIA </t>
  </si>
  <si>
    <t>TATA ADVACNED SYSTEMS</t>
  </si>
  <si>
    <t>TATA DIGITAL</t>
  </si>
  <si>
    <t>TATA PLAY</t>
  </si>
  <si>
    <t>TATA PROJECTS</t>
  </si>
  <si>
    <t>TATA ELECTRONICS</t>
  </si>
  <si>
    <t>TATA AGRATAS</t>
  </si>
  <si>
    <t>TATA STEEL</t>
  </si>
  <si>
    <t>TATA MEMORIAL HOSPITAL</t>
  </si>
  <si>
    <t>TATA TRENT</t>
  </si>
  <si>
    <t>TATA TELESERVICES</t>
  </si>
  <si>
    <t>TATA CLIQ</t>
  </si>
  <si>
    <t>ADITYA BIRLA ENTITIES</t>
  </si>
  <si>
    <t xml:space="preserve">Aditya Birla </t>
  </si>
  <si>
    <t>ABG CAPITAL</t>
  </si>
  <si>
    <t>ABG DIGITAL</t>
  </si>
  <si>
    <t>ABG SUNLIFE INSURANCE</t>
  </si>
  <si>
    <t>SHARED SERVICES</t>
  </si>
  <si>
    <t>ULTRATECH CEMENT</t>
  </si>
  <si>
    <t>ADITYA BIRLA RENEWABLE</t>
  </si>
  <si>
    <t>ADITYA BIRLA FASHION RETAIL LTD</t>
  </si>
  <si>
    <t>Grasim PULP</t>
  </si>
  <si>
    <t>GRASIM TEXTILE</t>
  </si>
  <si>
    <t>ULTRATECH CABLES AND WIRES</t>
  </si>
  <si>
    <t>ABG BUSINESS MANAGEMENT SHARED SERVICES LTD</t>
  </si>
  <si>
    <t>ABG GRASIM CHEMICALS</t>
  </si>
  <si>
    <t>ABG CARBON</t>
  </si>
  <si>
    <t>HINDALCO INDUSTRIES LTD</t>
  </si>
  <si>
    <t>BIRLA OPUS</t>
  </si>
  <si>
    <t>TBH</t>
  </si>
  <si>
    <t xml:space="preserve">Godrej </t>
  </si>
  <si>
    <t xml:space="preserve">Godrej Industries </t>
  </si>
  <si>
    <t xml:space="preserve">Godrej &amp; Boyce </t>
  </si>
  <si>
    <t xml:space="preserve">Godrej Capital </t>
  </si>
  <si>
    <t xml:space="preserve">Godrej Properties </t>
  </si>
  <si>
    <t xml:space="preserve">Godrej Agro </t>
  </si>
  <si>
    <t xml:space="preserve">Hinduja Group </t>
  </si>
  <si>
    <t xml:space="preserve">Indusind  Bank </t>
  </si>
  <si>
    <t>Ishwari Kadam</t>
  </si>
  <si>
    <t xml:space="preserve">ICICI Sec </t>
  </si>
  <si>
    <t>Pratik Kadam</t>
  </si>
  <si>
    <t xml:space="preserve">GEM </t>
  </si>
  <si>
    <t>Prashant Ddugu</t>
  </si>
  <si>
    <t>RICHA + CHIRAG + TBH Accounts</t>
  </si>
  <si>
    <t>RICHA + CHIRAG = TBH Accounts</t>
  </si>
  <si>
    <t xml:space="preserve">TOTAL </t>
  </si>
  <si>
    <t>Product Line</t>
  </si>
  <si>
    <t>MGMT Plan in Crores</t>
  </si>
  <si>
    <t>Objective</t>
  </si>
  <si>
    <t>New Logos Per Month</t>
  </si>
  <si>
    <t>Team size (excluding Leader)</t>
  </si>
  <si>
    <t>-</t>
  </si>
  <si>
    <t>Revenue per team member</t>
  </si>
  <si>
    <t>4x</t>
  </si>
  <si>
    <t>Pipeline/Revenue Ratio</t>
  </si>
  <si>
    <t>2025-2026</t>
  </si>
  <si>
    <t>2026-2027</t>
  </si>
  <si>
    <t>Employee Code</t>
  </si>
  <si>
    <t>Full name</t>
  </si>
  <si>
    <t>Designation</t>
  </si>
  <si>
    <t>Branch</t>
  </si>
  <si>
    <t>Fixed</t>
  </si>
  <si>
    <t>Performance Based Incentives</t>
  </si>
  <si>
    <t>Total CTC</t>
  </si>
  <si>
    <t xml:space="preserve">Fixed </t>
  </si>
  <si>
    <t xml:space="preserve">Variable </t>
  </si>
  <si>
    <t xml:space="preserve">Total CTC </t>
  </si>
  <si>
    <t xml:space="preserve">H1 </t>
  </si>
  <si>
    <t>Retro Target for 1H</t>
  </si>
  <si>
    <t xml:space="preserve">Retro increment w.e.f 1st April 2026 as per Retro Target achivement </t>
  </si>
  <si>
    <t>Tasneem Mohammed Atif Ansari</t>
  </si>
  <si>
    <t>General Manager</t>
  </si>
  <si>
    <t>Mumbai</t>
  </si>
  <si>
    <t>Riya Khemraj Roshyara</t>
  </si>
  <si>
    <t>Key Account Manager</t>
  </si>
  <si>
    <t>Prashant Ramchandra Dudugu</t>
  </si>
  <si>
    <t>Sales Team Lead - Strategic Accounts</t>
  </si>
  <si>
    <t>10% if achivement 80% of Retro Target.15% if achieved Retro target. 20% if achived beyond 110% of Retro target.else no increment</t>
  </si>
  <si>
    <t>Richa Tiwari</t>
  </si>
  <si>
    <t>Strategic Account Manager</t>
  </si>
  <si>
    <t>Chirag Sudhir Palande</t>
  </si>
  <si>
    <t>Pratik Vilas Kadam</t>
  </si>
  <si>
    <t>Business Development Associate - GeM</t>
  </si>
  <si>
    <t>Additional 10% if Retro target achivement.Else no increment</t>
  </si>
  <si>
    <t>Prathmesh Bhupesh Yadav</t>
  </si>
  <si>
    <t>Bid Manager</t>
  </si>
  <si>
    <t>Sakshi Shankar Pote</t>
  </si>
  <si>
    <t>Bid Executive</t>
  </si>
  <si>
    <t>Sales Unit</t>
  </si>
  <si>
    <t xml:space="preserve">Business Plan </t>
  </si>
  <si>
    <t>Customer Wise Revenue Objective</t>
  </si>
  <si>
    <t>Account Mangers</t>
  </si>
  <si>
    <t>Revenue Goal (in Crores) Anually</t>
  </si>
  <si>
    <t>Rohit</t>
  </si>
  <si>
    <t>Axis Bank</t>
  </si>
  <si>
    <t xml:space="preserve">Tata Motors </t>
  </si>
  <si>
    <t>Chetna</t>
  </si>
  <si>
    <t>Axis Finance</t>
  </si>
  <si>
    <t>Development</t>
  </si>
  <si>
    <t>Axis Securities</t>
  </si>
  <si>
    <t>Axis Capital</t>
  </si>
  <si>
    <t>HDFC Bank</t>
  </si>
  <si>
    <t>Accquisition</t>
  </si>
  <si>
    <t>Yes Bank</t>
  </si>
  <si>
    <t>Yes securitites</t>
  </si>
  <si>
    <t>Mahindra &amp; Mahindra</t>
  </si>
  <si>
    <t>Varsha</t>
  </si>
  <si>
    <t xml:space="preserve">Kotak Bank </t>
  </si>
  <si>
    <t>Kotak Mahindra AMC Company Ltd</t>
  </si>
  <si>
    <t>Kotak Mahindra Life Insurance-</t>
  </si>
  <si>
    <t xml:space="preserve">Kotak Securities Ltd </t>
  </si>
  <si>
    <t>varsha</t>
  </si>
  <si>
    <t>ICICI Bank Ltd</t>
  </si>
  <si>
    <t>ICICI Lombard General Insurance Company</t>
  </si>
  <si>
    <t xml:space="preserve">ICICI Prudential AMC &amp; Trust </t>
  </si>
  <si>
    <t>ICICI Prudential Life</t>
  </si>
  <si>
    <t>L&amp;T coporate IT</t>
  </si>
  <si>
    <t>LTIM</t>
  </si>
  <si>
    <t>Arpit</t>
  </si>
  <si>
    <t>RBI</t>
  </si>
  <si>
    <t xml:space="preserve">L&amp;T Hydrocarbon Engineering </t>
  </si>
  <si>
    <t>L&amp;T Technology Services (LTTS)</t>
  </si>
  <si>
    <t>L&amp;T Construction</t>
  </si>
  <si>
    <t>L&amp;T Power</t>
  </si>
  <si>
    <t>Defense</t>
  </si>
  <si>
    <t>Dennis</t>
  </si>
  <si>
    <t>Mahindra Finance</t>
  </si>
  <si>
    <t>Mahindra Logistics.</t>
  </si>
  <si>
    <t>Mahindra Holidays.</t>
  </si>
  <si>
    <t xml:space="preserve">Mahindra Defence. </t>
  </si>
  <si>
    <t>Sankeerth</t>
  </si>
  <si>
    <t>IFTAS</t>
  </si>
  <si>
    <t>ReBIT</t>
  </si>
  <si>
    <t>CAFRAL</t>
  </si>
  <si>
    <t>IDFC</t>
  </si>
  <si>
    <t>PS/cloud</t>
  </si>
  <si>
    <t>Non Revenue</t>
  </si>
  <si>
    <t>New Logos Per Quarter</t>
  </si>
  <si>
    <t>5X</t>
  </si>
  <si>
    <t xml:space="preserve">Account nos </t>
  </si>
  <si>
    <t xml:space="preserve"> 7,33,000 </t>
  </si>
  <si>
    <t>Adani Group</t>
  </si>
  <si>
    <t xml:space="preserve">AE </t>
  </si>
  <si>
    <t>Darshana Patil</t>
  </si>
  <si>
    <t>Prachi Mayekar</t>
  </si>
  <si>
    <t>Shilpa Kavde</t>
  </si>
  <si>
    <t>Jimesh Shah &amp; Team</t>
  </si>
  <si>
    <t>Jimesh &amp; Team</t>
  </si>
  <si>
    <t>Vidula Chavan</t>
  </si>
  <si>
    <t>BU wise Plan</t>
  </si>
  <si>
    <t>Revenue per team member (in Cr)</t>
  </si>
  <si>
    <t>Total Planned Team Size</t>
  </si>
  <si>
    <t>Current Team Size</t>
  </si>
  <si>
    <t>FY -26-27</t>
  </si>
  <si>
    <t>Target</t>
  </si>
  <si>
    <t>Current CTC</t>
  </si>
  <si>
    <t>Proposal Appraisal</t>
  </si>
  <si>
    <t>New CTC</t>
  </si>
  <si>
    <t>Date of joining</t>
  </si>
  <si>
    <t>Remarks</t>
  </si>
  <si>
    <t>Varaiable</t>
  </si>
  <si>
    <t>Conditional after target achivement of H1 on prorata</t>
  </si>
  <si>
    <t>Pro-rate basis to be effective once 12 mths completed</t>
  </si>
  <si>
    <t>Mgmt Plan in Crores</t>
  </si>
  <si>
    <t>Quota in Crores</t>
  </si>
  <si>
    <t>Variable</t>
  </si>
  <si>
    <t>Remark</t>
  </si>
  <si>
    <t>Atharva Kapre</t>
  </si>
  <si>
    <t>Generalist Team</t>
  </si>
  <si>
    <t>Jay Rushi</t>
  </si>
  <si>
    <t>Ayushaman</t>
  </si>
  <si>
    <t xml:space="preserve">Specialist Team </t>
  </si>
  <si>
    <t>Shubhangi</t>
  </si>
  <si>
    <t xml:space="preserve">Bhumi </t>
  </si>
  <si>
    <t>PS ISR /OSR</t>
  </si>
  <si>
    <t>Suyesh</t>
  </si>
  <si>
    <t>ISR Lead</t>
  </si>
  <si>
    <t>Ashish</t>
  </si>
  <si>
    <t>Cloud/PS</t>
  </si>
  <si>
    <t>Rizwana (ISR/OSR)</t>
  </si>
  <si>
    <t xml:space="preserve">Route 1 </t>
  </si>
  <si>
    <t>Management Plan in Crores</t>
  </si>
  <si>
    <t>ISR &amp; OSR  Revenue  in Crores</t>
  </si>
  <si>
    <t xml:space="preserve">CSG &amp; IT pehiperials </t>
  </si>
  <si>
    <t>Team Size</t>
  </si>
  <si>
    <t>Route 2</t>
  </si>
  <si>
    <t>Speciality Type</t>
  </si>
  <si>
    <t>Cyber security</t>
  </si>
  <si>
    <t xml:space="preserve">Cloud </t>
  </si>
  <si>
    <t>Summary</t>
  </si>
  <si>
    <t>Route Type</t>
  </si>
  <si>
    <t>R1</t>
  </si>
  <si>
    <t>R2</t>
  </si>
  <si>
    <t>1.5 Per person</t>
  </si>
  <si>
    <t>10X</t>
  </si>
  <si>
    <t>Team Member</t>
  </si>
  <si>
    <t xml:space="preserve">Quota </t>
  </si>
  <si>
    <t>Total salary</t>
  </si>
  <si>
    <t>South Sales</t>
  </si>
  <si>
    <t xml:space="preserve">Sales Person Name </t>
  </si>
  <si>
    <t>Abrar Altaf Menon</t>
  </si>
  <si>
    <t>Sagar TR</t>
  </si>
  <si>
    <t>Shaikh Kadar</t>
  </si>
  <si>
    <t>Shahbaz Khan</t>
  </si>
  <si>
    <t xml:space="preserve">TBH - </t>
  </si>
  <si>
    <t>With Additional Team Members</t>
  </si>
  <si>
    <t>With Existing Team  &amp; Self</t>
  </si>
  <si>
    <t>Quota Aspirational Nos  (in Crores)</t>
  </si>
  <si>
    <t>Name</t>
  </si>
  <si>
    <t>Revenue Quota in Crores</t>
  </si>
  <si>
    <t>Bottomline Quota in Crores</t>
  </si>
  <si>
    <t>Sanjeev Kohli</t>
  </si>
  <si>
    <t>Hrushikesh Bagade</t>
  </si>
  <si>
    <t>Aspirational Quota in Crores</t>
  </si>
  <si>
    <t xml:space="preserve">Aspiration Quote is after adding team as below </t>
  </si>
  <si>
    <t xml:space="preserve">Targeted </t>
  </si>
  <si>
    <t>Terms &amp; Conditions</t>
  </si>
  <si>
    <t>Payout Structure</t>
  </si>
  <si>
    <t>As per Details</t>
  </si>
  <si>
    <t>Annual Accoun based</t>
  </si>
  <si>
    <t>Annual base overall Achievement</t>
  </si>
  <si>
    <t>Company</t>
  </si>
  <si>
    <t>For Company Incentive applicable only if Individula Annual base number applicable for Incentive  is Achieved  and Company Annual Goal for 26-27 of Rs.1250 Crores (Excluding Blue Bird* Deals) is Achieved in Billing Revenue of FY 26-27</t>
  </si>
  <si>
    <t>A Blue Bird Deal is a deal driven by Management at its level with a value above Rs.50 Crores</t>
  </si>
  <si>
    <t>Order booking will be Consider from 1H :-1st April 2026 to 30th September 2026, 2H :- 1st October 2026 to 31st March 2027, Annual :-1st April 2026 to 31st March 2027</t>
  </si>
  <si>
    <t>Multiplier</t>
  </si>
  <si>
    <t>PS Revenue</t>
  </si>
  <si>
    <t>2X</t>
  </si>
  <si>
    <t>CSN Revenue</t>
  </si>
  <si>
    <t>1.3X</t>
  </si>
  <si>
    <t>DCG (Backup, Storage) Revenue</t>
  </si>
  <si>
    <t>1.2X</t>
  </si>
  <si>
    <t>PS Revenue for Multiplier is as under :-</t>
  </si>
  <si>
    <t>Included</t>
  </si>
  <si>
    <t>Not Included</t>
  </si>
  <si>
    <t>Day-2 Services (Onsite Support) without  Product/ Solution Sale</t>
  </si>
  <si>
    <t>For DCG &amp; CSN Multiplier applicable for qualified products would be same multiplier for bundled PS and Services</t>
  </si>
  <si>
    <t xml:space="preserve">Mandatory Bundling of Managed Services as under </t>
  </si>
  <si>
    <t>Category</t>
  </si>
  <si>
    <t>Charges</t>
  </si>
  <si>
    <t>Basic</t>
  </si>
  <si>
    <t>Refer Sheet</t>
  </si>
  <si>
    <t>To be bundled with every Deal , In case it is not a separate line item , customer will get it free and charges will be deducted @2X of Basic PS Charges from deal value</t>
  </si>
  <si>
    <t>Advance</t>
  </si>
  <si>
    <t>Customised</t>
  </si>
  <si>
    <t>As per SOW &amp; SLA</t>
  </si>
  <si>
    <t>To be worked by BU Presales based on Customer Requirement's</t>
  </si>
  <si>
    <t xml:space="preserve"> Quota Variable Table</t>
  </si>
  <si>
    <t>Slab</t>
  </si>
  <si>
    <t xml:space="preserve">Variable Payout </t>
  </si>
  <si>
    <t>0% to 50%</t>
  </si>
  <si>
    <t>No Payout</t>
  </si>
  <si>
    <t xml:space="preserve">51% to 100% </t>
  </si>
  <si>
    <t>2% of Variable on every 1% above 50% Achievement</t>
  </si>
  <si>
    <t>100% to 200%</t>
  </si>
  <si>
    <t>1% of Variable on every 1% above 100% Achievement</t>
  </si>
  <si>
    <t>200% to 300%</t>
  </si>
  <si>
    <t>0.5% of Variable on every 1% above 200% Achievement</t>
  </si>
  <si>
    <t>Above 300 %</t>
  </si>
  <si>
    <t>0.25% of ariable on every 1 % above 300% Achievement</t>
  </si>
  <si>
    <t>All the Targets / Quota is on Revenue (Topline)</t>
  </si>
  <si>
    <t>LOB Definition / Category</t>
  </si>
  <si>
    <t>Category A</t>
  </si>
  <si>
    <t>Data Center</t>
  </si>
  <si>
    <t>Category B</t>
  </si>
  <si>
    <t>CyberSecurity, Networking &amp; EMM</t>
  </si>
  <si>
    <t>Category C</t>
  </si>
  <si>
    <t>End Point (Laptop, Desktop , Mobiles, Tablets  and related Accesories )</t>
  </si>
  <si>
    <t>Category D</t>
  </si>
  <si>
    <t>Professional Services , Managed Services, MSP, MSSP</t>
  </si>
  <si>
    <t>Category E</t>
  </si>
  <si>
    <t>Hyperscaler (Public Cloud)</t>
  </si>
  <si>
    <t>Category F</t>
  </si>
  <si>
    <t>AI-ML</t>
  </si>
  <si>
    <t>Any Category D Services which is sold with BU Products &amp; Solutions will counted in attainment of Technical BU.i.e. DCG, CSN , CSG Only .The costing to be taken from these Technical BU’s only and to be added  in the cost sheet including PSA cost if any. All the Category D offering has to be independent sale for Category D attainment.</t>
  </si>
  <si>
    <t>Payout on Quota Achievement  will be as under</t>
  </si>
  <si>
    <t>H1 Payout Stucture</t>
  </si>
  <si>
    <t>H2 Payout Stucture</t>
  </si>
  <si>
    <t>Annual Payout Stucture</t>
  </si>
  <si>
    <t xml:space="preserve">Company Achivement Payout </t>
  </si>
  <si>
    <r>
      <rPr>
        <b/>
        <sz val="12"/>
        <rFont val="Calibri"/>
        <family val="2"/>
        <scheme val="minor"/>
      </rPr>
      <t>60%</t>
    </r>
    <r>
      <rPr>
        <sz val="12"/>
        <rFont val="Calibri"/>
        <family val="2"/>
        <scheme val="minor"/>
      </rPr>
      <t xml:space="preserve"> On Order booking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in H1 within 60 days of H1 completion</t>
    </r>
  </si>
  <si>
    <r>
      <rPr>
        <b/>
        <sz val="12"/>
        <rFont val="Calibri"/>
        <family val="2"/>
        <scheme val="minor"/>
      </rPr>
      <t>60%</t>
    </r>
    <r>
      <rPr>
        <sz val="12"/>
        <rFont val="Calibri"/>
        <family val="2"/>
        <scheme val="minor"/>
      </rPr>
      <t xml:space="preserve"> On Order booking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in H2 within 60 days of H2 completion</t>
    </r>
  </si>
  <si>
    <r>
      <rPr>
        <b/>
        <sz val="12"/>
        <rFont val="Calibri"/>
        <family val="2"/>
        <scheme val="minor"/>
      </rPr>
      <t>60%</t>
    </r>
    <r>
      <rPr>
        <sz val="12"/>
        <rFont val="Calibri"/>
        <family val="2"/>
        <scheme val="minor"/>
      </rPr>
      <t xml:space="preserve"> On Order booking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in FY 26-27 within 60 days of FY 26-27 completion</t>
    </r>
  </si>
  <si>
    <t>100% after FY 26-27 within 60 days on Company Revenue Goal of Billing Achieved &amp; Base variable amont Achieved</t>
  </si>
  <si>
    <r>
      <t xml:space="preserve">20% </t>
    </r>
    <r>
      <rPr>
        <sz val="12"/>
        <rFont val="Calibri"/>
        <family val="2"/>
        <scheme val="minor"/>
      </rPr>
      <t>On Complete billing of H1 Except Recurring Bilings by 31st December 2026 else no payout</t>
    </r>
  </si>
  <si>
    <r>
      <t xml:space="preserve">20% </t>
    </r>
    <r>
      <rPr>
        <sz val="12"/>
        <rFont val="Calibri"/>
        <family val="2"/>
        <scheme val="minor"/>
      </rPr>
      <t>On Complete billing of H2 Except Recurring Bilings by 30th June 2027 else no payout</t>
    </r>
  </si>
  <si>
    <r>
      <t xml:space="preserve">20% </t>
    </r>
    <r>
      <rPr>
        <sz val="12"/>
        <rFont val="Calibri"/>
        <family val="2"/>
        <scheme val="minor"/>
      </rPr>
      <t>On Complete billing of FY 26-27 Except Recurring Bilings by 30th June 2027 else no payout</t>
    </r>
  </si>
  <si>
    <r>
      <t xml:space="preserve">20% </t>
    </r>
    <r>
      <rPr>
        <sz val="12"/>
        <rFont val="Calibri"/>
        <family val="2"/>
        <scheme val="minor"/>
      </rPr>
      <t>On Complete payment Receipt by 31st March 2027 for all billings in 1H 2026-27 else no payout</t>
    </r>
  </si>
  <si>
    <r>
      <t xml:space="preserve">20% </t>
    </r>
    <r>
      <rPr>
        <sz val="12"/>
        <rFont val="Calibri"/>
        <family val="2"/>
        <scheme val="minor"/>
      </rPr>
      <t>On Complete payment Receipt by 30th September 2027 for all billings in 2H 2026-27 else no payout</t>
    </r>
  </si>
  <si>
    <t>All Orders booked in FY 26-27 will be counted for Achievement Purpose on Rolling Annual Revenue Basis only</t>
  </si>
  <si>
    <t>Marketing KPI to be Achieved as per reference Sheet for any incentive to be applicable</t>
  </si>
  <si>
    <t>All the values mentioned are in INR. Any dollar transaction will be 1$ = 90 INR.</t>
  </si>
  <si>
    <t>Any Reversal/ Cancellation will impact the recalculation on Incentive Payout. A written exception may be provided by the Management in specific situation to the discreation of the Management</t>
  </si>
  <si>
    <t>Tax deduction as per law</t>
  </si>
  <si>
    <t>Marketing Activities</t>
  </si>
  <si>
    <t xml:space="preserve">Techday Offsite/onsite </t>
  </si>
  <si>
    <t>EBC -NOC-SOC Visit</t>
  </si>
  <si>
    <t>Enablement, training &amp; Certification</t>
  </si>
  <si>
    <t>Round table</t>
  </si>
  <si>
    <t>Atleast  1 activity of the above in every Customer including Child Accounts in a Quarter S1&amp;S2</t>
  </si>
  <si>
    <t>All Three Mandatory Activity has to happen in a year in every Customer including Child Accounts  for S1 &amp; S2</t>
  </si>
  <si>
    <t>Atleast 6 activities in a each half for Individual  set of customer in a Quarter  CB &amp; GB</t>
  </si>
  <si>
    <t>All four  Mandatory Activity has to happen in a year for Individual set of Customer for CB &amp; GB</t>
  </si>
  <si>
    <t>Description</t>
  </si>
  <si>
    <t>Service Window (hr x Days)</t>
  </si>
  <si>
    <t>8x5</t>
  </si>
  <si>
    <t>16x5 / 24x5</t>
  </si>
  <si>
    <t>24x7x365</t>
  </si>
  <si>
    <t>Advanced + Customised SOW</t>
  </si>
  <si>
    <t>Support Model</t>
  </si>
  <si>
    <t>Reactive</t>
  </si>
  <si>
    <t>Proactive</t>
  </si>
  <si>
    <t>Predictive</t>
  </si>
  <si>
    <t>Service Levels (Response  SLA)</t>
  </si>
  <si>
    <t>P1</t>
  </si>
  <si>
    <t>1h</t>
  </si>
  <si>
    <t>30 mins</t>
  </si>
  <si>
    <t>P2</t>
  </si>
  <si>
    <t>2h</t>
  </si>
  <si>
    <t>1 hr</t>
  </si>
  <si>
    <t>P3</t>
  </si>
  <si>
    <t>4h</t>
  </si>
  <si>
    <t>2 hr</t>
  </si>
  <si>
    <t>Service Coverage &amp; Inclusions</t>
  </si>
  <si>
    <t>OEM Support</t>
  </si>
  <si>
    <t>Call Logging + follow-up till resolution</t>
  </si>
  <si>
    <t>Customised Support as desired</t>
  </si>
  <si>
    <t>Galaxy L1 Support</t>
  </si>
  <si>
    <t>Basic HW</t>
  </si>
  <si>
    <t>Basic HW + OS</t>
  </si>
  <si>
    <t>Patch Deployment</t>
  </si>
  <si>
    <t>As required</t>
  </si>
  <si>
    <t>Tracking + Deployment</t>
  </si>
  <si>
    <t>Monitoring</t>
  </si>
  <si>
    <t>Break-Fix Support - L1/L2</t>
  </si>
  <si>
    <t>Proactive Health-Check</t>
  </si>
  <si>
    <t>Quarterly</t>
  </si>
  <si>
    <t>Configuration Change</t>
  </si>
  <si>
    <t>upto 4 changes per year</t>
  </si>
  <si>
    <t>No of Tickets / Device</t>
  </si>
  <si>
    <t>Unlimited</t>
  </si>
  <si>
    <t>Pricing (Annual ticket packs) Pricing in INR</t>
  </si>
  <si>
    <t>Server</t>
  </si>
  <si>
    <t>Contact Pre-Sales for pricing</t>
  </si>
  <si>
    <t>Storage</t>
  </si>
  <si>
    <t>Backup</t>
  </si>
  <si>
    <t>Vmware</t>
  </si>
  <si>
    <t>Nutanix</t>
  </si>
  <si>
    <t>Service Area</t>
  </si>
  <si>
    <t>Mon - Fri (9AM - 6PM)</t>
  </si>
  <si>
    <t>Mon - Sat (7AM - 11PM)</t>
  </si>
  <si>
    <t>Service Levels (Response)</t>
  </si>
  <si>
    <t>8h</t>
  </si>
  <si>
    <t>OEM Call Logging + follow-up till resolution</t>
  </si>
  <si>
    <t>Basic HW + Firmware</t>
  </si>
  <si>
    <t>Reporting</t>
  </si>
  <si>
    <t>Monthly Performance</t>
  </si>
  <si>
    <t>Monthly with Analytics</t>
  </si>
  <si>
    <t>Tickets (Yearly)</t>
  </si>
  <si>
    <t>Switch / Router</t>
  </si>
  <si>
    <t>Contact BU Pre-Sales</t>
  </si>
  <si>
    <t>SD-WAN</t>
  </si>
  <si>
    <t>Wireless Access Points</t>
  </si>
  <si>
    <t>NAC</t>
  </si>
  <si>
    <t>Network Firewalls</t>
  </si>
  <si>
    <t>HW Web Application Firewall</t>
  </si>
  <si>
    <t>Network Load Balancers</t>
  </si>
  <si>
    <t>Service Coverage &amp; Inclusions (Ticket basis)</t>
  </si>
  <si>
    <t>Product Navigation</t>
  </si>
  <si>
    <t>Product Support - L1/L2</t>
  </si>
  <si>
    <t>upto 12 changes per year</t>
  </si>
  <si>
    <t>Cloud Firewalls</t>
  </si>
  <si>
    <t>CSPM / CNAP</t>
  </si>
  <si>
    <t>Web Application Firewall</t>
  </si>
  <si>
    <t>EDR / XDR</t>
  </si>
  <si>
    <t>IAM / PAM</t>
  </si>
  <si>
    <t>E-mail Security</t>
  </si>
  <si>
    <t>Encryption</t>
  </si>
  <si>
    <t>SASE (CASB, DNS Sec, SWG, ZTNA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</si>
</sst>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 [$₹-4009]\ * #,##0_ ;_ [$₹-4009]\ * \-#,##0_ ;_ [$₹-4009]\ * &quot;-&quot;??_ ;_ @_ "/>
    <numFmt numFmtId="167" formatCode="_(* #,##0_);_(* \(#,##0\);_(* &quot;-&quot;??_);_(@_)"/>
    <numFmt numFmtId="168" formatCode="&quot;₹&quot;\ #,##0.00"/>
    <numFmt numFmtId="169" formatCode="#,##0_ ;\-#,##0\ "/>
    <numFmt numFmtId="170" formatCode="_(* #,##0.000_);_(* \(#,##0.000\);_(* &quot;-&quot;??_);_(@_)"/>
    <numFmt numFmtId="171" formatCode="#,##0.00_ ;\-#,##0.00\ "/>
  </numFmts>
  <fonts count="3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212121"/>
      <name val="Arial"/>
      <family val="2"/>
    </font>
    <font>
      <u/>
      <sz val="10"/>
      <color rgb="FF000000"/>
      <name val="Arial"/>
      <family val="2"/>
    </font>
    <font>
      <b/>
      <i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FFFF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2"/>
      <color rgb="FFFFFFFF"/>
      <name val="Calibri"/>
      <family val="2"/>
    </font>
    <font>
      <b/>
      <sz val="12"/>
      <color theme="1"/>
      <name val="Aptos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7B7B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1">
    <xf numFmtId="0" fontId="0" fillId="0" borderId="0"/>
    <xf numFmtId="0" fontId="9" fillId="0" borderId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9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40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5" borderId="1" xfId="0" applyFill="1" applyBorder="1"/>
    <xf numFmtId="9" fontId="0" fillId="2" borderId="1" xfId="0" applyNumberFormat="1" applyFill="1" applyBorder="1" applyAlignment="1">
      <alignment horizontal="center"/>
    </xf>
    <xf numFmtId="0" fontId="0" fillId="0" borderId="1" xfId="0" applyBorder="1"/>
    <xf numFmtId="165" fontId="10" fillId="8" borderId="1" xfId="3" applyNumberFormat="1" applyFont="1" applyFill="1" applyBorder="1" applyAlignment="1"/>
    <xf numFmtId="165" fontId="10" fillId="8" borderId="1" xfId="3" applyNumberFormat="1" applyFont="1" applyFill="1" applyBorder="1" applyAlignment="1">
      <alignment wrapText="1"/>
    </xf>
    <xf numFmtId="165" fontId="11" fillId="0" borderId="1" xfId="3" applyNumberFormat="1" applyFont="1" applyBorder="1" applyAlignment="1">
      <alignment horizontal="left" wrapText="1"/>
    </xf>
    <xf numFmtId="165" fontId="11" fillId="6" borderId="1" xfId="3" applyNumberFormat="1" applyFont="1" applyFill="1" applyBorder="1" applyAlignment="1">
      <alignment horizontal="left" wrapText="1"/>
    </xf>
    <xf numFmtId="0" fontId="7" fillId="3" borderId="1" xfId="0" applyFont="1" applyFill="1" applyBorder="1"/>
    <xf numFmtId="166" fontId="0" fillId="0" borderId="1" xfId="0" applyNumberFormat="1" applyBorder="1"/>
    <xf numFmtId="167" fontId="0" fillId="0" borderId="0" xfId="3" applyNumberFormat="1" applyFont="1"/>
    <xf numFmtId="9" fontId="0" fillId="0" borderId="0" xfId="6" applyFont="1"/>
    <xf numFmtId="167" fontId="0" fillId="0" borderId="0" xfId="0" applyNumberFormat="1"/>
    <xf numFmtId="0" fontId="7" fillId="0" borderId="1" xfId="0" applyFont="1" applyBorder="1"/>
    <xf numFmtId="166" fontId="7" fillId="0" borderId="1" xfId="3" applyNumberFormat="1" applyFont="1" applyBorder="1"/>
    <xf numFmtId="166" fontId="7" fillId="0" borderId="1" xfId="0" applyNumberFormat="1" applyFont="1" applyBorder="1"/>
    <xf numFmtId="0" fontId="0" fillId="0" borderId="1" xfId="0" applyBorder="1" applyAlignment="1">
      <alignment wrapText="1"/>
    </xf>
    <xf numFmtId="0" fontId="12" fillId="0" borderId="0" xfId="0" applyFont="1"/>
    <xf numFmtId="168" fontId="13" fillId="2" borderId="0" xfId="7" applyNumberFormat="1" applyFill="1"/>
    <xf numFmtId="0" fontId="13" fillId="2" borderId="0" xfId="7" applyFill="1" applyAlignment="1">
      <alignment horizontal="center"/>
    </xf>
    <xf numFmtId="0" fontId="13" fillId="2" borderId="0" xfId="7" applyFill="1"/>
    <xf numFmtId="168" fontId="15" fillId="10" borderId="1" xfId="7" applyNumberFormat="1" applyFont="1" applyFill="1" applyBorder="1" applyAlignment="1">
      <alignment horizontal="center"/>
    </xf>
    <xf numFmtId="168" fontId="13" fillId="2" borderId="1" xfId="7" applyNumberFormat="1" applyFill="1" applyBorder="1" applyAlignment="1">
      <alignment wrapText="1"/>
    </xf>
    <xf numFmtId="168" fontId="13" fillId="2" borderId="1" xfId="7" applyNumberFormat="1" applyFill="1" applyBorder="1"/>
    <xf numFmtId="0" fontId="16" fillId="2" borderId="0" xfId="7" applyFont="1" applyFill="1"/>
    <xf numFmtId="0" fontId="15" fillId="10" borderId="1" xfId="7" applyFont="1" applyFill="1" applyBorder="1" applyAlignment="1">
      <alignment horizontal="center"/>
    </xf>
    <xf numFmtId="0" fontId="15" fillId="10" borderId="1" xfId="7" applyFont="1" applyFill="1" applyBorder="1" applyAlignment="1">
      <alignment horizontal="center" vertical="center"/>
    </xf>
    <xf numFmtId="0" fontId="15" fillId="10" borderId="1" xfId="7" applyFont="1" applyFill="1" applyBorder="1" applyAlignment="1">
      <alignment horizontal="left" vertical="center"/>
    </xf>
    <xf numFmtId="0" fontId="15" fillId="10" borderId="1" xfId="7" applyFont="1" applyFill="1" applyBorder="1"/>
    <xf numFmtId="0" fontId="13" fillId="2" borderId="1" xfId="7" applyFill="1" applyBorder="1" applyAlignment="1">
      <alignment horizontal="center"/>
    </xf>
    <xf numFmtId="0" fontId="13" fillId="2" borderId="1" xfId="7" applyFill="1" applyBorder="1"/>
    <xf numFmtId="0" fontId="13" fillId="5" borderId="1" xfId="7" applyFill="1" applyBorder="1" applyAlignment="1">
      <alignment horizontal="center"/>
    </xf>
    <xf numFmtId="168" fontId="16" fillId="2" borderId="1" xfId="7" applyNumberFormat="1" applyFont="1" applyFill="1" applyBorder="1"/>
    <xf numFmtId="0" fontId="16" fillId="2" borderId="0" xfId="7" applyFont="1" applyFill="1" applyAlignment="1">
      <alignment horizontal="center"/>
    </xf>
    <xf numFmtId="9" fontId="0" fillId="2" borderId="0" xfId="8" applyFont="1" applyFill="1"/>
    <xf numFmtId="0" fontId="0" fillId="2" borderId="0" xfId="0" applyFill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2" borderId="0" xfId="0" applyFont="1" applyFill="1"/>
    <xf numFmtId="43" fontId="19" fillId="2" borderId="1" xfId="3" applyFont="1" applyFill="1" applyBorder="1"/>
    <xf numFmtId="0" fontId="19" fillId="2" borderId="1" xfId="0" applyFont="1" applyFill="1" applyBorder="1"/>
    <xf numFmtId="0" fontId="19" fillId="0" borderId="1" xfId="0" applyFont="1" applyBorder="1" applyAlignment="1">
      <alignment horizontal="center"/>
    </xf>
    <xf numFmtId="43" fontId="18" fillId="2" borderId="1" xfId="3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43" fontId="18" fillId="2" borderId="1" xfId="3" applyFont="1" applyFill="1" applyBorder="1" applyAlignment="1">
      <alignment horizontal="center" wrapText="1"/>
    </xf>
    <xf numFmtId="43" fontId="18" fillId="2" borderId="1" xfId="3" applyFont="1" applyFill="1" applyBorder="1"/>
    <xf numFmtId="165" fontId="11" fillId="0" borderId="1" xfId="3" applyNumberFormat="1" applyFont="1" applyBorder="1" applyAlignment="1"/>
    <xf numFmtId="165" fontId="11" fillId="5" borderId="1" xfId="3" applyNumberFormat="1" applyFont="1" applyFill="1" applyBorder="1" applyAlignment="1"/>
    <xf numFmtId="165" fontId="11" fillId="5" borderId="1" xfId="3" applyNumberFormat="1" applyFont="1" applyFill="1" applyBorder="1" applyAlignment="1">
      <alignment wrapText="1"/>
    </xf>
    <xf numFmtId="4" fontId="18" fillId="3" borderId="1" xfId="1" applyNumberFormat="1" applyFont="1" applyFill="1" applyBorder="1" applyAlignment="1">
      <alignment horizontal="center"/>
    </xf>
    <xf numFmtId="4" fontId="18" fillId="3" borderId="1" xfId="1" applyNumberFormat="1" applyFont="1" applyFill="1" applyBorder="1" applyAlignment="1">
      <alignment horizontal="center" wrapText="1"/>
    </xf>
    <xf numFmtId="4" fontId="19" fillId="0" borderId="1" xfId="1" applyNumberFormat="1" applyFont="1" applyBorder="1"/>
    <xf numFmtId="4" fontId="18" fillId="5" borderId="1" xfId="1" applyNumberFormat="1" applyFont="1" applyFill="1" applyBorder="1"/>
    <xf numFmtId="0" fontId="18" fillId="3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0" fontId="18" fillId="2" borderId="1" xfId="0" applyFont="1" applyFill="1" applyBorder="1"/>
    <xf numFmtId="0" fontId="18" fillId="2" borderId="0" xfId="0" applyFont="1" applyFill="1"/>
    <xf numFmtId="0" fontId="19" fillId="0" borderId="0" xfId="1" applyFont="1"/>
    <xf numFmtId="164" fontId="19" fillId="0" borderId="1" xfId="2" applyFont="1" applyBorder="1"/>
    <xf numFmtId="10" fontId="19" fillId="0" borderId="1" xfId="2" applyNumberFormat="1" applyFont="1" applyBorder="1"/>
    <xf numFmtId="14" fontId="19" fillId="0" borderId="1" xfId="2" applyNumberFormat="1" applyFont="1" applyBorder="1"/>
    <xf numFmtId="0" fontId="19" fillId="0" borderId="1" xfId="1" applyFont="1" applyBorder="1"/>
    <xf numFmtId="0" fontId="19" fillId="5" borderId="1" xfId="1" applyFont="1" applyFill="1" applyBorder="1"/>
    <xf numFmtId="164" fontId="18" fillId="5" borderId="1" xfId="1" applyNumberFormat="1" applyFont="1" applyFill="1" applyBorder="1"/>
    <xf numFmtId="0" fontId="18" fillId="0" borderId="0" xfId="1" applyFont="1"/>
    <xf numFmtId="164" fontId="19" fillId="2" borderId="1" xfId="11" applyFont="1" applyFill="1" applyBorder="1"/>
    <xf numFmtId="0" fontId="20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4" fontId="19" fillId="0" borderId="2" xfId="0" applyNumberFormat="1" applyFont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/>
    </xf>
    <xf numFmtId="1" fontId="19" fillId="2" borderId="1" xfId="0" applyNumberFormat="1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" fontId="19" fillId="2" borderId="0" xfId="0" applyNumberFormat="1" applyFont="1" applyFill="1" applyAlignment="1">
      <alignment vertical="center"/>
    </xf>
    <xf numFmtId="4" fontId="19" fillId="0" borderId="1" xfId="0" applyNumberFormat="1" applyFont="1" applyBorder="1" applyAlignment="1">
      <alignment vertical="center"/>
    </xf>
    <xf numFmtId="0" fontId="19" fillId="2" borderId="1" xfId="0" applyFont="1" applyFill="1" applyBorder="1" applyAlignment="1">
      <alignment horizontal="right" vertical="center"/>
    </xf>
    <xf numFmtId="1" fontId="19" fillId="2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right" vertical="center"/>
    </xf>
    <xf numFmtId="1" fontId="18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169" fontId="19" fillId="2" borderId="1" xfId="11" applyNumberFormat="1" applyFont="1" applyFill="1" applyBorder="1"/>
    <xf numFmtId="0" fontId="7" fillId="0" borderId="1" xfId="0" applyFont="1" applyBorder="1" applyAlignment="1">
      <alignment horizontal="center"/>
    </xf>
    <xf numFmtId="0" fontId="0" fillId="7" borderId="1" xfId="0" applyFill="1" applyBorder="1"/>
    <xf numFmtId="2" fontId="19" fillId="2" borderId="1" xfId="3" applyNumberFormat="1" applyFont="1" applyFill="1" applyBorder="1"/>
    <xf numFmtId="0" fontId="19" fillId="5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9" fillId="5" borderId="1" xfId="0" applyFont="1" applyFill="1" applyBorder="1"/>
    <xf numFmtId="2" fontId="19" fillId="5" borderId="1" xfId="0" applyNumberFormat="1" applyFont="1" applyFill="1" applyBorder="1"/>
    <xf numFmtId="2" fontId="19" fillId="2" borderId="1" xfId="0" applyNumberFormat="1" applyFont="1" applyFill="1" applyBorder="1"/>
    <xf numFmtId="2" fontId="19" fillId="2" borderId="1" xfId="0" applyNumberFormat="1" applyFont="1" applyFill="1" applyBorder="1" applyAlignment="1">
      <alignment horizontal="right"/>
    </xf>
    <xf numFmtId="0" fontId="18" fillId="0" borderId="1" xfId="1" applyFont="1" applyBorder="1"/>
    <xf numFmtId="2" fontId="19" fillId="2" borderId="1" xfId="11" applyNumberFormat="1" applyFont="1" applyFill="1" applyBorder="1"/>
    <xf numFmtId="0" fontId="18" fillId="5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0" borderId="1" xfId="1" applyFont="1" applyBorder="1"/>
    <xf numFmtId="0" fontId="8" fillId="5" borderId="1" xfId="1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24" fillId="0" borderId="1" xfId="1" applyFont="1" applyBorder="1" applyAlignment="1">
      <alignment horizontal="left" wrapText="1"/>
    </xf>
    <xf numFmtId="0" fontId="25" fillId="0" borderId="1" xfId="1" applyFont="1" applyBorder="1" applyAlignment="1">
      <alignment horizontal="left" wrapText="1"/>
    </xf>
    <xf numFmtId="43" fontId="0" fillId="2" borderId="1" xfId="3" applyFont="1" applyFill="1" applyBorder="1"/>
    <xf numFmtId="9" fontId="0" fillId="2" borderId="1" xfId="0" applyNumberFormat="1" applyFill="1" applyBorder="1"/>
    <xf numFmtId="0" fontId="7" fillId="0" borderId="0" xfId="0" applyFont="1" applyAlignment="1">
      <alignment horizontal="center"/>
    </xf>
    <xf numFmtId="0" fontId="23" fillId="2" borderId="0" xfId="1" applyFont="1" applyFill="1" applyAlignment="1">
      <alignment horizontal="center"/>
    </xf>
    <xf numFmtId="0" fontId="0" fillId="0" borderId="0" xfId="1" applyFont="1"/>
    <xf numFmtId="0" fontId="7" fillId="0" borderId="0" xfId="0" applyFont="1" applyAlignment="1">
      <alignment horizontal="center" vertical="center"/>
    </xf>
    <xf numFmtId="43" fontId="0" fillId="2" borderId="0" xfId="3" applyFont="1" applyFill="1" applyBorder="1"/>
    <xf numFmtId="9" fontId="0" fillId="2" borderId="0" xfId="0" applyNumberFormat="1" applyFill="1"/>
    <xf numFmtId="43" fontId="0" fillId="2" borderId="0" xfId="3" applyFont="1" applyFill="1" applyBorder="1" applyAlignment="1">
      <alignment wrapText="1"/>
    </xf>
    <xf numFmtId="0" fontId="0" fillId="0" borderId="0" xfId="0" applyAlignment="1">
      <alignment wrapText="1"/>
    </xf>
    <xf numFmtId="0" fontId="23" fillId="2" borderId="0" xfId="1" applyFont="1" applyFill="1"/>
    <xf numFmtId="0" fontId="0" fillId="0" borderId="0" xfId="1" applyFont="1" applyAlignment="1">
      <alignment horizontal="left"/>
    </xf>
    <xf numFmtId="0" fontId="0" fillId="0" borderId="0" xfId="1" applyFont="1" applyAlignment="1">
      <alignment horizontal="left" wrapText="1"/>
    </xf>
    <xf numFmtId="0" fontId="7" fillId="5" borderId="0" xfId="1" applyFont="1" applyFill="1"/>
    <xf numFmtId="0" fontId="0" fillId="5" borderId="0" xfId="1" applyFont="1" applyFill="1"/>
    <xf numFmtId="0" fontId="8" fillId="0" borderId="0" xfId="1" applyFont="1"/>
    <xf numFmtId="0" fontId="25" fillId="0" borderId="0" xfId="1" applyFont="1" applyAlignment="1">
      <alignment horizontal="left" wrapText="1"/>
    </xf>
    <xf numFmtId="0" fontId="26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27" fillId="0" borderId="0" xfId="0" applyFont="1"/>
    <xf numFmtId="0" fontId="23" fillId="0" borderId="0" xfId="0" applyFont="1"/>
    <xf numFmtId="43" fontId="27" fillId="2" borderId="0" xfId="3" applyFont="1" applyFill="1" applyBorder="1"/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18" fillId="3" borderId="1" xfId="12" applyFont="1" applyFill="1" applyBorder="1" applyAlignment="1">
      <alignment horizontal="center" vertical="center"/>
    </xf>
    <xf numFmtId="0" fontId="18" fillId="3" borderId="1" xfId="12" applyFont="1" applyFill="1" applyBorder="1" applyAlignment="1">
      <alignment horizontal="center" wrapText="1"/>
    </xf>
    <xf numFmtId="0" fontId="19" fillId="0" borderId="0" xfId="12" applyFont="1"/>
    <xf numFmtId="0" fontId="18" fillId="4" borderId="1" xfId="12" applyFont="1" applyFill="1" applyBorder="1" applyAlignment="1">
      <alignment horizontal="center" vertical="center"/>
    </xf>
    <xf numFmtId="0" fontId="18" fillId="4" borderId="1" xfId="12" applyFont="1" applyFill="1" applyBorder="1" applyAlignment="1">
      <alignment horizontal="center" wrapText="1"/>
    </xf>
    <xf numFmtId="0" fontId="20" fillId="2" borderId="2" xfId="12" applyFont="1" applyFill="1" applyBorder="1"/>
    <xf numFmtId="0" fontId="20" fillId="2" borderId="3" xfId="12" applyFont="1" applyFill="1" applyBorder="1"/>
    <xf numFmtId="0" fontId="20" fillId="2" borderId="3" xfId="12" applyFont="1" applyFill="1" applyBorder="1" applyAlignment="1">
      <alignment wrapText="1"/>
    </xf>
    <xf numFmtId="0" fontId="20" fillId="2" borderId="4" xfId="12" applyFont="1" applyFill="1" applyBorder="1"/>
    <xf numFmtId="0" fontId="19" fillId="0" borderId="1" xfId="12" applyFont="1" applyBorder="1"/>
    <xf numFmtId="0" fontId="19" fillId="5" borderId="1" xfId="12" applyFont="1" applyFill="1" applyBorder="1"/>
    <xf numFmtId="0" fontId="18" fillId="2" borderId="1" xfId="12" applyFont="1" applyFill="1" applyBorder="1" applyAlignment="1">
      <alignment horizontal="center" vertical="center"/>
    </xf>
    <xf numFmtId="0" fontId="18" fillId="2" borderId="1" xfId="12" applyFont="1" applyFill="1" applyBorder="1" applyAlignment="1">
      <alignment horizontal="center" wrapText="1"/>
    </xf>
    <xf numFmtId="0" fontId="18" fillId="2" borderId="1" xfId="12" applyFont="1" applyFill="1" applyBorder="1" applyAlignment="1">
      <alignment horizontal="center"/>
    </xf>
    <xf numFmtId="0" fontId="19" fillId="2" borderId="1" xfId="12" applyFont="1" applyFill="1" applyBorder="1" applyAlignment="1">
      <alignment horizontal="center" vertical="center"/>
    </xf>
    <xf numFmtId="0" fontId="19" fillId="2" borderId="1" xfId="12" applyFont="1" applyFill="1" applyBorder="1" applyAlignment="1">
      <alignment wrapText="1"/>
    </xf>
    <xf numFmtId="2" fontId="19" fillId="2" borderId="1" xfId="12" applyNumberFormat="1" applyFont="1" applyFill="1" applyBorder="1" applyAlignment="1">
      <alignment horizontal="center"/>
    </xf>
    <xf numFmtId="2" fontId="19" fillId="0" borderId="1" xfId="12" applyNumberFormat="1" applyFont="1" applyBorder="1"/>
    <xf numFmtId="2" fontId="19" fillId="5" borderId="1" xfId="12" applyNumberFormat="1" applyFont="1" applyFill="1" applyBorder="1"/>
    <xf numFmtId="2" fontId="19" fillId="5" borderId="1" xfId="12" applyNumberFormat="1" applyFont="1" applyFill="1" applyBorder="1" applyAlignment="1">
      <alignment horizontal="right"/>
    </xf>
    <xf numFmtId="0" fontId="20" fillId="2" borderId="1" xfId="12" applyFont="1" applyFill="1" applyBorder="1"/>
    <xf numFmtId="0" fontId="20" fillId="2" borderId="1" xfId="12" applyFont="1" applyFill="1" applyBorder="1" applyAlignment="1">
      <alignment wrapText="1"/>
    </xf>
    <xf numFmtId="0" fontId="18" fillId="2" borderId="1" xfId="12" applyFont="1" applyFill="1" applyBorder="1" applyAlignment="1">
      <alignment horizontal="center" vertical="center" wrapText="1"/>
    </xf>
    <xf numFmtId="0" fontId="19" fillId="0" borderId="0" xfId="12" applyFont="1" applyAlignment="1">
      <alignment wrapText="1"/>
    </xf>
    <xf numFmtId="0" fontId="19" fillId="7" borderId="1" xfId="12" applyFont="1" applyFill="1" applyBorder="1" applyAlignment="1">
      <alignment horizontal="center" vertical="center"/>
    </xf>
    <xf numFmtId="0" fontId="19" fillId="7" borderId="1" xfId="12" applyFont="1" applyFill="1" applyBorder="1" applyAlignment="1">
      <alignment wrapText="1"/>
    </xf>
    <xf numFmtId="0" fontId="19" fillId="7" borderId="1" xfId="12" applyFont="1" applyFill="1" applyBorder="1" applyAlignment="1">
      <alignment horizontal="center"/>
    </xf>
    <xf numFmtId="2" fontId="19" fillId="7" borderId="1" xfId="12" applyNumberFormat="1" applyFont="1" applyFill="1" applyBorder="1" applyAlignment="1">
      <alignment horizontal="right" vertical="center"/>
    </xf>
    <xf numFmtId="2" fontId="19" fillId="0" borderId="1" xfId="12" applyNumberFormat="1" applyFont="1" applyBorder="1" applyAlignment="1">
      <alignment horizontal="right"/>
    </xf>
    <xf numFmtId="2" fontId="11" fillId="0" borderId="14" xfId="0" applyNumberFormat="1" applyFont="1" applyBorder="1" applyAlignment="1">
      <alignment horizontal="right" vertical="center" wrapText="1"/>
    </xf>
    <xf numFmtId="2" fontId="11" fillId="11" borderId="14" xfId="0" applyNumberFormat="1" applyFont="1" applyFill="1" applyBorder="1" applyAlignment="1">
      <alignment horizontal="right" vertical="center" wrapText="1"/>
    </xf>
    <xf numFmtId="0" fontId="19" fillId="7" borderId="4" xfId="12" applyFont="1" applyFill="1" applyBorder="1" applyAlignment="1">
      <alignment horizontal="center"/>
    </xf>
    <xf numFmtId="0" fontId="11" fillId="7" borderId="1" xfId="12" applyFont="1" applyFill="1" applyBorder="1" applyAlignment="1">
      <alignment horizontal="left" wrapText="1"/>
    </xf>
    <xf numFmtId="0" fontId="11" fillId="7" borderId="4" xfId="12" applyFont="1" applyFill="1" applyBorder="1" applyAlignment="1">
      <alignment horizontal="center" wrapText="1"/>
    </xf>
    <xf numFmtId="0" fontId="10" fillId="7" borderId="1" xfId="12" applyFont="1" applyFill="1" applyBorder="1" applyAlignment="1">
      <alignment wrapText="1"/>
    </xf>
    <xf numFmtId="0" fontId="11" fillId="7" borderId="1" xfId="12" applyFont="1" applyFill="1" applyBorder="1" applyAlignment="1">
      <alignment wrapText="1"/>
    </xf>
    <xf numFmtId="0" fontId="21" fillId="7" borderId="1" xfId="12" applyFont="1" applyFill="1" applyBorder="1" applyAlignment="1">
      <alignment vertical="center" wrapText="1"/>
    </xf>
    <xf numFmtId="0" fontId="21" fillId="7" borderId="1" xfId="12" applyFont="1" applyFill="1" applyBorder="1" applyAlignment="1">
      <alignment wrapText="1"/>
    </xf>
    <xf numFmtId="0" fontId="11" fillId="7" borderId="1" xfId="12" applyFont="1" applyFill="1" applyBorder="1" applyAlignment="1">
      <alignment vertical="center" wrapText="1"/>
    </xf>
    <xf numFmtId="0" fontId="18" fillId="7" borderId="1" xfId="12" applyFont="1" applyFill="1" applyBorder="1" applyAlignment="1">
      <alignment horizontal="center"/>
    </xf>
    <xf numFmtId="2" fontId="18" fillId="7" borderId="1" xfId="12" applyNumberFormat="1" applyFont="1" applyFill="1" applyBorder="1" applyAlignment="1">
      <alignment horizontal="right" vertical="center"/>
    </xf>
    <xf numFmtId="2" fontId="18" fillId="2" borderId="1" xfId="12" applyNumberFormat="1" applyFont="1" applyFill="1" applyBorder="1" applyAlignment="1">
      <alignment horizontal="right" vertical="center"/>
    </xf>
    <xf numFmtId="2" fontId="19" fillId="2" borderId="1" xfId="12" applyNumberFormat="1" applyFont="1" applyFill="1" applyBorder="1" applyAlignment="1">
      <alignment horizontal="right"/>
    </xf>
    <xf numFmtId="0" fontId="19" fillId="2" borderId="1" xfId="12" applyFont="1" applyFill="1" applyBorder="1"/>
    <xf numFmtId="0" fontId="19" fillId="2" borderId="1" xfId="12" applyFont="1" applyFill="1" applyBorder="1" applyAlignment="1">
      <alignment horizontal="center"/>
    </xf>
    <xf numFmtId="0" fontId="18" fillId="2" borderId="1" xfId="12" applyFont="1" applyFill="1" applyBorder="1"/>
    <xf numFmtId="4" fontId="19" fillId="2" borderId="1" xfId="12" applyNumberFormat="1" applyFont="1" applyFill="1" applyBorder="1" applyAlignment="1">
      <alignment horizontal="center"/>
    </xf>
    <xf numFmtId="20" fontId="19" fillId="2" borderId="1" xfId="12" applyNumberFormat="1" applyFont="1" applyFill="1" applyBorder="1" applyAlignment="1">
      <alignment horizontal="center"/>
    </xf>
    <xf numFmtId="0" fontId="19" fillId="9" borderId="1" xfId="12" applyFont="1" applyFill="1" applyBorder="1"/>
    <xf numFmtId="0" fontId="19" fillId="9" borderId="1" xfId="12" applyFont="1" applyFill="1" applyBorder="1" applyAlignment="1">
      <alignment horizontal="center" vertical="center"/>
    </xf>
    <xf numFmtId="164" fontId="19" fillId="9" borderId="1" xfId="13" applyFont="1" applyFill="1" applyBorder="1" applyAlignment="1">
      <alignment horizontal="center" vertical="center"/>
    </xf>
    <xf numFmtId="0" fontId="19" fillId="0" borderId="1" xfId="12" applyFont="1" applyBorder="1" applyAlignment="1">
      <alignment horizontal="center" vertical="center"/>
    </xf>
    <xf numFmtId="164" fontId="19" fillId="0" borderId="1" xfId="13" applyFont="1" applyBorder="1" applyAlignment="1">
      <alignment horizontal="center" vertical="center"/>
    </xf>
    <xf numFmtId="0" fontId="19" fillId="0" borderId="0" xfId="12" applyFont="1" applyAlignment="1">
      <alignment horizontal="center" vertical="center"/>
    </xf>
    <xf numFmtId="164" fontId="19" fillId="0" borderId="0" xfId="13" applyFont="1" applyAlignment="1">
      <alignment horizontal="center" vertical="center"/>
    </xf>
    <xf numFmtId="0" fontId="28" fillId="12" borderId="15" xfId="0" applyFont="1" applyFill="1" applyBorder="1" applyAlignment="1">
      <alignment horizontal="left" vertical="center" readingOrder="1"/>
    </xf>
    <xf numFmtId="0" fontId="28" fillId="12" borderId="16" xfId="0" applyFont="1" applyFill="1" applyBorder="1" applyAlignment="1">
      <alignment horizontal="left" vertical="center" readingOrder="1"/>
    </xf>
    <xf numFmtId="0" fontId="29" fillId="13" borderId="17" xfId="0" applyFont="1" applyFill="1" applyBorder="1" applyAlignment="1">
      <alignment horizontal="left" vertical="center" readingOrder="1"/>
    </xf>
    <xf numFmtId="0" fontId="30" fillId="13" borderId="17" xfId="0" applyFont="1" applyFill="1" applyBorder="1" applyAlignment="1">
      <alignment horizontal="left" vertical="center" readingOrder="1"/>
    </xf>
    <xf numFmtId="0" fontId="29" fillId="14" borderId="18" xfId="0" applyFont="1" applyFill="1" applyBorder="1" applyAlignment="1">
      <alignment horizontal="left" vertical="center" readingOrder="1"/>
    </xf>
    <xf numFmtId="0" fontId="30" fillId="14" borderId="18" xfId="0" applyFont="1" applyFill="1" applyBorder="1" applyAlignment="1">
      <alignment horizontal="left" vertical="center" readingOrder="1"/>
    </xf>
    <xf numFmtId="0" fontId="31" fillId="0" borderId="0" xfId="0" applyFont="1"/>
    <xf numFmtId="0" fontId="30" fillId="14" borderId="18" xfId="0" applyFont="1" applyFill="1" applyBorder="1" applyAlignment="1">
      <alignment horizontal="left" vertical="center" wrapText="1" readingOrder="1"/>
    </xf>
    <xf numFmtId="0" fontId="29" fillId="14" borderId="22" xfId="0" applyFont="1" applyFill="1" applyBorder="1" applyAlignment="1">
      <alignment horizontal="left" vertical="center" readingOrder="1"/>
    </xf>
    <xf numFmtId="0" fontId="30" fillId="14" borderId="22" xfId="0" applyFont="1" applyFill="1" applyBorder="1" applyAlignment="1">
      <alignment horizontal="left" vertical="center" readingOrder="1"/>
    </xf>
    <xf numFmtId="0" fontId="29" fillId="13" borderId="23" xfId="0" applyFont="1" applyFill="1" applyBorder="1" applyAlignment="1">
      <alignment horizontal="left" vertical="center" readingOrder="1"/>
    </xf>
    <xf numFmtId="1" fontId="30" fillId="13" borderId="17" xfId="0" applyNumberFormat="1" applyFont="1" applyFill="1" applyBorder="1" applyAlignment="1">
      <alignment horizontal="right" vertical="center" readingOrder="1"/>
    </xf>
    <xf numFmtId="167" fontId="30" fillId="13" borderId="17" xfId="3" applyNumberFormat="1" applyFont="1" applyFill="1" applyBorder="1" applyAlignment="1">
      <alignment horizontal="right" vertical="center" readingOrder="1"/>
    </xf>
    <xf numFmtId="167" fontId="30" fillId="14" borderId="18" xfId="3" applyNumberFormat="1" applyFont="1" applyFill="1" applyBorder="1" applyAlignment="1">
      <alignment horizontal="right" vertical="center" readingOrder="1"/>
    </xf>
    <xf numFmtId="0" fontId="32" fillId="12" borderId="15" xfId="0" applyFont="1" applyFill="1" applyBorder="1" applyAlignment="1">
      <alignment horizontal="center" vertical="center" readingOrder="1"/>
    </xf>
    <xf numFmtId="0" fontId="30" fillId="13" borderId="17" xfId="0" applyFont="1" applyFill="1" applyBorder="1" applyAlignment="1">
      <alignment horizontal="center" vertical="center" readingOrder="1"/>
    </xf>
    <xf numFmtId="0" fontId="30" fillId="14" borderId="18" xfId="0" applyFont="1" applyFill="1" applyBorder="1" applyAlignment="1">
      <alignment horizontal="center" vertical="center" readingOrder="1"/>
    </xf>
    <xf numFmtId="0" fontId="30" fillId="0" borderId="0" xfId="0" applyFont="1"/>
    <xf numFmtId="0" fontId="29" fillId="14" borderId="23" xfId="0" applyFont="1" applyFill="1" applyBorder="1" applyAlignment="1">
      <alignment horizontal="left" vertical="center" readingOrder="1"/>
    </xf>
    <xf numFmtId="0" fontId="29" fillId="14" borderId="22" xfId="0" applyFont="1" applyFill="1" applyBorder="1" applyAlignment="1">
      <alignment horizontal="center" vertical="center" readingOrder="1"/>
    </xf>
    <xf numFmtId="167" fontId="30" fillId="13" borderId="17" xfId="3" applyNumberFormat="1" applyFont="1" applyFill="1" applyBorder="1" applyAlignment="1">
      <alignment horizontal="left" vertical="center" readingOrder="1"/>
    </xf>
    <xf numFmtId="0" fontId="29" fillId="14" borderId="18" xfId="0" applyFont="1" applyFill="1" applyBorder="1" applyAlignment="1">
      <alignment horizontal="left" vertical="center" wrapText="1" readingOrder="1"/>
    </xf>
    <xf numFmtId="167" fontId="30" fillId="14" borderId="22" xfId="3" applyNumberFormat="1" applyFont="1" applyFill="1" applyBorder="1" applyAlignment="1">
      <alignment horizontal="left" vertical="center" readingOrder="1"/>
    </xf>
    <xf numFmtId="0" fontId="33" fillId="0" borderId="0" xfId="0" applyFont="1"/>
    <xf numFmtId="43" fontId="34" fillId="2" borderId="1" xfId="3" applyFont="1" applyFill="1" applyBorder="1" applyAlignment="1">
      <alignment wrapText="1"/>
    </xf>
    <xf numFmtId="0" fontId="35" fillId="5" borderId="1" xfId="14" applyFont="1" applyFill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/>
    <xf numFmtId="0" fontId="19" fillId="2" borderId="0" xfId="15" applyFont="1" applyFill="1"/>
    <xf numFmtId="0" fontId="19" fillId="0" borderId="0" xfId="15" applyFont="1"/>
    <xf numFmtId="0" fontId="18" fillId="3" borderId="1" xfId="15" applyFont="1" applyFill="1" applyBorder="1" applyAlignment="1">
      <alignment horizontal="center"/>
    </xf>
    <xf numFmtId="0" fontId="18" fillId="4" borderId="1" xfId="15" applyFont="1" applyFill="1" applyBorder="1" applyAlignment="1">
      <alignment horizontal="center"/>
    </xf>
    <xf numFmtId="0" fontId="19" fillId="0" borderId="1" xfId="15" applyFont="1" applyBorder="1"/>
    <xf numFmtId="0" fontId="18" fillId="2" borderId="1" xfId="15" applyFont="1" applyFill="1" applyBorder="1" applyAlignment="1">
      <alignment horizontal="center"/>
    </xf>
    <xf numFmtId="0" fontId="18" fillId="2" borderId="1" xfId="15" applyFont="1" applyFill="1" applyBorder="1"/>
    <xf numFmtId="0" fontId="18" fillId="5" borderId="1" xfId="15" applyFont="1" applyFill="1" applyBorder="1" applyAlignment="1">
      <alignment horizontal="center"/>
    </xf>
    <xf numFmtId="0" fontId="19" fillId="2" borderId="1" xfId="15" applyFont="1" applyFill="1" applyBorder="1"/>
    <xf numFmtId="2" fontId="19" fillId="2" borderId="1" xfId="16" applyNumberFormat="1" applyFont="1" applyFill="1" applyBorder="1"/>
    <xf numFmtId="2" fontId="19" fillId="0" borderId="1" xfId="15" applyNumberFormat="1" applyFont="1" applyBorder="1"/>
    <xf numFmtId="164" fontId="18" fillId="0" borderId="1" xfId="16" applyFont="1" applyBorder="1" applyAlignment="1">
      <alignment horizontal="center"/>
    </xf>
    <xf numFmtId="164" fontId="19" fillId="0" borderId="1" xfId="16" applyFont="1" applyBorder="1"/>
    <xf numFmtId="0" fontId="18" fillId="0" borderId="1" xfId="15" applyFont="1" applyBorder="1" applyAlignment="1">
      <alignment horizontal="center"/>
    </xf>
    <xf numFmtId="164" fontId="19" fillId="0" borderId="1" xfId="16" applyFont="1" applyFill="1" applyBorder="1"/>
    <xf numFmtId="0" fontId="19" fillId="0" borderId="13" xfId="15" applyFont="1" applyBorder="1"/>
    <xf numFmtId="164" fontId="19" fillId="0" borderId="0" xfId="16" applyFont="1" applyFill="1" applyBorder="1"/>
    <xf numFmtId="0" fontId="18" fillId="2" borderId="1" xfId="15" applyFont="1" applyFill="1" applyBorder="1" applyAlignment="1">
      <alignment horizontal="center" wrapText="1"/>
    </xf>
    <xf numFmtId="0" fontId="19" fillId="2" borderId="1" xfId="15" applyFont="1" applyFill="1" applyBorder="1" applyAlignment="1">
      <alignment horizontal="left"/>
    </xf>
    <xf numFmtId="164" fontId="19" fillId="2" borderId="1" xfId="16" applyFont="1" applyFill="1" applyBorder="1"/>
    <xf numFmtId="164" fontId="19" fillId="2" borderId="1" xfId="15" applyNumberFormat="1" applyFont="1" applyFill="1" applyBorder="1"/>
    <xf numFmtId="0" fontId="19" fillId="2" borderId="1" xfId="15" applyFont="1" applyFill="1" applyBorder="1" applyAlignment="1">
      <alignment horizontal="center"/>
    </xf>
    <xf numFmtId="0" fontId="19" fillId="2" borderId="0" xfId="15" applyFont="1" applyFill="1" applyAlignment="1">
      <alignment horizontal="left"/>
    </xf>
    <xf numFmtId="164" fontId="18" fillId="2" borderId="1" xfId="15" applyNumberFormat="1" applyFont="1" applyFill="1" applyBorder="1"/>
    <xf numFmtId="164" fontId="19" fillId="0" borderId="1" xfId="15" applyNumberFormat="1" applyFont="1" applyBorder="1"/>
    <xf numFmtId="164" fontId="19" fillId="0" borderId="0" xfId="15" applyNumberFormat="1" applyFont="1"/>
    <xf numFmtId="0" fontId="11" fillId="2" borderId="1" xfId="17" applyFont="1" applyFill="1" applyBorder="1" applyAlignment="1">
      <alignment horizontal="left" wrapText="1" readingOrder="1"/>
    </xf>
    <xf numFmtId="0" fontId="19" fillId="0" borderId="0" xfId="17" applyFont="1"/>
    <xf numFmtId="0" fontId="11" fillId="2" borderId="1" xfId="17" applyFont="1" applyFill="1" applyBorder="1" applyAlignment="1">
      <alignment horizontal="center" wrapText="1" readingOrder="1"/>
    </xf>
    <xf numFmtId="0" fontId="11" fillId="2" borderId="0" xfId="17" applyFont="1" applyFill="1" applyAlignment="1">
      <alignment horizontal="left" wrapText="1" readingOrder="1"/>
    </xf>
    <xf numFmtId="0" fontId="10" fillId="2" borderId="1" xfId="17" applyFont="1" applyFill="1" applyBorder="1" applyAlignment="1">
      <alignment horizontal="center" wrapText="1" readingOrder="1"/>
    </xf>
    <xf numFmtId="0" fontId="18" fillId="2" borderId="1" xfId="17" applyFont="1" applyFill="1" applyBorder="1"/>
    <xf numFmtId="0" fontId="18" fillId="5" borderId="1" xfId="17" applyFont="1" applyFill="1" applyBorder="1" applyAlignment="1">
      <alignment horizontal="center"/>
    </xf>
    <xf numFmtId="0" fontId="11" fillId="2" borderId="1" xfId="17" applyFont="1" applyFill="1" applyBorder="1" applyAlignment="1">
      <alignment horizontal="right" wrapText="1" readingOrder="1"/>
    </xf>
    <xf numFmtId="0" fontId="19" fillId="0" borderId="1" xfId="17" applyFont="1" applyBorder="1"/>
    <xf numFmtId="0" fontId="19" fillId="0" borderId="9" xfId="17" applyFont="1" applyBorder="1"/>
    <xf numFmtId="0" fontId="11" fillId="2" borderId="3" xfId="17" applyFont="1" applyFill="1" applyBorder="1" applyAlignment="1">
      <alignment horizontal="left" wrapText="1" readingOrder="1"/>
    </xf>
    <xf numFmtId="0" fontId="19" fillId="2" borderId="1" xfId="17" applyFont="1" applyFill="1" applyBorder="1"/>
    <xf numFmtId="0" fontId="18" fillId="0" borderId="1" xfId="17" applyFont="1" applyBorder="1" applyAlignment="1">
      <alignment horizontal="center"/>
    </xf>
    <xf numFmtId="164" fontId="19" fillId="0" borderId="1" xfId="18" applyFont="1" applyBorder="1"/>
    <xf numFmtId="164" fontId="19" fillId="0" borderId="1" xfId="18" applyFont="1" applyFill="1" applyBorder="1"/>
    <xf numFmtId="43" fontId="19" fillId="5" borderId="1" xfId="3" applyFont="1" applyFill="1" applyBorder="1" applyAlignment="1">
      <alignment horizontal="center" vertical="center"/>
    </xf>
    <xf numFmtId="1" fontId="19" fillId="2" borderId="1" xfId="3" applyNumberFormat="1" applyFont="1" applyFill="1" applyBorder="1"/>
    <xf numFmtId="0" fontId="19" fillId="2" borderId="1" xfId="0" applyFont="1" applyFill="1" applyBorder="1" applyAlignment="1">
      <alignment wrapText="1"/>
    </xf>
    <xf numFmtId="43" fontId="19" fillId="0" borderId="1" xfId="3" applyFont="1" applyFill="1" applyBorder="1"/>
    <xf numFmtId="43" fontId="19" fillId="5" borderId="1" xfId="0" applyNumberFormat="1" applyFont="1" applyFill="1" applyBorder="1"/>
    <xf numFmtId="170" fontId="19" fillId="5" borderId="1" xfId="3" applyNumberFormat="1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43" fontId="19" fillId="5" borderId="1" xfId="3" applyFont="1" applyFill="1" applyBorder="1"/>
    <xf numFmtId="43" fontId="10" fillId="6" borderId="1" xfId="3" applyFont="1" applyFill="1" applyBorder="1" applyAlignment="1">
      <alignment horizontal="center" vertical="center"/>
    </xf>
    <xf numFmtId="43" fontId="10" fillId="7" borderId="1" xfId="3" applyFont="1" applyFill="1" applyBorder="1" applyAlignment="1">
      <alignment horizontal="center" vertical="center"/>
    </xf>
    <xf numFmtId="43" fontId="11" fillId="6" borderId="1" xfId="3" applyFont="1" applyFill="1" applyBorder="1" applyAlignment="1">
      <alignment horizontal="center" vertical="center" wrapText="1"/>
    </xf>
    <xf numFmtId="43" fontId="11" fillId="7" borderId="1" xfId="3" applyFont="1" applyFill="1" applyBorder="1" applyAlignment="1">
      <alignment horizontal="center" vertical="center"/>
    </xf>
    <xf numFmtId="165" fontId="10" fillId="7" borderId="1" xfId="3" applyNumberFormat="1" applyFont="1" applyFill="1" applyBorder="1" applyAlignment="1">
      <alignment wrapText="1"/>
    </xf>
    <xf numFmtId="43" fontId="11" fillId="5" borderId="1" xfId="3" applyFont="1" applyFill="1" applyBorder="1" applyAlignment="1">
      <alignment horizontal="center" vertical="center"/>
    </xf>
    <xf numFmtId="0" fontId="19" fillId="0" borderId="1" xfId="19" applyFont="1" applyBorder="1"/>
    <xf numFmtId="0" fontId="19" fillId="0" borderId="1" xfId="1" applyFont="1" applyBorder="1" applyAlignment="1">
      <alignment horizontal="center"/>
    </xf>
    <xf numFmtId="164" fontId="19" fillId="2" borderId="0" xfId="0" applyNumberFormat="1" applyFont="1" applyFill="1"/>
    <xf numFmtId="9" fontId="19" fillId="2" borderId="0" xfId="6" applyFont="1" applyFill="1" applyAlignment="1">
      <alignment vertical="center"/>
    </xf>
    <xf numFmtId="0" fontId="19" fillId="0" borderId="1" xfId="20" applyFont="1" applyBorder="1"/>
    <xf numFmtId="1" fontId="18" fillId="2" borderId="1" xfId="0" applyNumberFormat="1" applyFont="1" applyFill="1" applyBorder="1" applyAlignment="1">
      <alignment vertical="center"/>
    </xf>
    <xf numFmtId="4" fontId="0" fillId="0" borderId="1" xfId="0" applyNumberFormat="1" applyBorder="1"/>
    <xf numFmtId="4" fontId="0" fillId="7" borderId="1" xfId="0" applyNumberFormat="1" applyFill="1" applyBorder="1"/>
    <xf numFmtId="4" fontId="0" fillId="0" borderId="0" xfId="0" applyNumberFormat="1"/>
    <xf numFmtId="0" fontId="20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20" fillId="2" borderId="1" xfId="0" applyFont="1" applyFill="1" applyBorder="1" applyAlignment="1">
      <alignment horizontal="center"/>
    </xf>
    <xf numFmtId="43" fontId="19" fillId="2" borderId="1" xfId="3" applyFont="1" applyFill="1" applyBorder="1" applyAlignment="1">
      <alignment horizontal="center" vertical="center"/>
    </xf>
    <xf numFmtId="165" fontId="11" fillId="0" borderId="1" xfId="3" applyNumberFormat="1" applyFont="1" applyBorder="1" applyAlignment="1">
      <alignment wrapText="1"/>
    </xf>
    <xf numFmtId="165" fontId="11" fillId="7" borderId="1" xfId="3" applyNumberFormat="1" applyFont="1" applyFill="1" applyBorder="1" applyAlignment="1">
      <alignment horizontal="center"/>
    </xf>
    <xf numFmtId="165" fontId="10" fillId="6" borderId="1" xfId="3" applyNumberFormat="1" applyFont="1" applyFill="1" applyBorder="1" applyAlignment="1"/>
    <xf numFmtId="165" fontId="11" fillId="7" borderId="1" xfId="3" applyNumberFormat="1" applyFont="1" applyFill="1" applyBorder="1" applyAlignment="1">
      <alignment wrapText="1"/>
    </xf>
    <xf numFmtId="43" fontId="11" fillId="0" borderId="1" xfId="3" applyFont="1" applyBorder="1" applyAlignment="1">
      <alignment horizontal="center" vertical="center"/>
    </xf>
    <xf numFmtId="165" fontId="11" fillId="0" borderId="1" xfId="3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43" fontId="18" fillId="3" borderId="1" xfId="3" applyFont="1" applyFill="1" applyBorder="1" applyAlignment="1">
      <alignment horizontal="center"/>
    </xf>
    <xf numFmtId="0" fontId="11" fillId="0" borderId="14" xfId="0" applyFont="1" applyBorder="1" applyAlignment="1">
      <alignment vertical="center" wrapText="1"/>
    </xf>
    <xf numFmtId="2" fontId="11" fillId="5" borderId="14" xfId="0" applyNumberFormat="1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/>
    </xf>
    <xf numFmtId="164" fontId="19" fillId="0" borderId="0" xfId="1" applyNumberFormat="1" applyFont="1"/>
    <xf numFmtId="0" fontId="19" fillId="0" borderId="1" xfId="0" applyFont="1" applyBorder="1" applyAlignment="1">
      <alignment vertical="center"/>
    </xf>
    <xf numFmtId="165" fontId="11" fillId="0" borderId="1" xfId="3" applyNumberFormat="1" applyFont="1" applyBorder="1" applyAlignment="1">
      <alignment horizontal="center" wrapText="1"/>
    </xf>
    <xf numFmtId="0" fontId="18" fillId="5" borderId="0" xfId="17" applyFont="1" applyFill="1"/>
    <xf numFmtId="164" fontId="19" fillId="0" borderId="1" xfId="11" applyFont="1" applyBorder="1"/>
    <xf numFmtId="164" fontId="18" fillId="5" borderId="1" xfId="1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vertical="center"/>
    </xf>
    <xf numFmtId="171" fontId="18" fillId="2" borderId="1" xfId="11" applyNumberFormat="1" applyFont="1" applyFill="1" applyBorder="1" applyAlignment="1">
      <alignment horizontal="center" vertical="center"/>
    </xf>
    <xf numFmtId="171" fontId="19" fillId="2" borderId="1" xfId="11" applyNumberFormat="1" applyFont="1" applyFill="1" applyBorder="1" applyAlignment="1">
      <alignment vertical="center"/>
    </xf>
    <xf numFmtId="171" fontId="18" fillId="2" borderId="1" xfId="0" applyNumberFormat="1" applyFont="1" applyFill="1" applyBorder="1" applyAlignment="1">
      <alignment vertical="center"/>
    </xf>
    <xf numFmtId="4" fontId="18" fillId="3" borderId="2" xfId="1" applyNumberFormat="1" applyFont="1" applyFill="1" applyBorder="1" applyAlignment="1">
      <alignment horizontal="center" wrapText="1"/>
    </xf>
    <xf numFmtId="0" fontId="19" fillId="0" borderId="2" xfId="1" applyFont="1" applyBorder="1"/>
    <xf numFmtId="0" fontId="19" fillId="5" borderId="2" xfId="1" applyFont="1" applyFill="1" applyBorder="1"/>
    <xf numFmtId="164" fontId="18" fillId="0" borderId="1" xfId="11" applyFont="1" applyBorder="1"/>
    <xf numFmtId="164" fontId="18" fillId="3" borderId="1" xfId="11" applyFont="1" applyFill="1" applyBorder="1"/>
    <xf numFmtId="0" fontId="19" fillId="3" borderId="1" xfId="15" applyFont="1" applyFill="1" applyBorder="1"/>
    <xf numFmtId="164" fontId="19" fillId="3" borderId="1" xfId="16" applyFont="1" applyFill="1" applyBorder="1"/>
    <xf numFmtId="0" fontId="18" fillId="5" borderId="1" xfId="0" applyFont="1" applyFill="1" applyBorder="1"/>
    <xf numFmtId="0" fontId="18" fillId="0" borderId="1" xfId="15" applyFont="1" applyBorder="1"/>
    <xf numFmtId="0" fontId="18" fillId="0" borderId="0" xfId="15" applyFont="1"/>
    <xf numFmtId="0" fontId="19" fillId="5" borderId="0" xfId="17" applyFont="1" applyFill="1"/>
    <xf numFmtId="0" fontId="18" fillId="0" borderId="0" xfId="15" applyFont="1" applyAlignment="1">
      <alignment horizontal="center"/>
    </xf>
    <xf numFmtId="0" fontId="18" fillId="2" borderId="0" xfId="0" applyFont="1" applyFill="1" applyAlignment="1">
      <alignment horizontal="center"/>
    </xf>
    <xf numFmtId="171" fontId="18" fillId="0" borderId="1" xfId="11" applyNumberFormat="1" applyFont="1" applyBorder="1"/>
    <xf numFmtId="0" fontId="18" fillId="0" borderId="1" xfId="17" applyFont="1" applyBorder="1"/>
    <xf numFmtId="164" fontId="19" fillId="2" borderId="1" xfId="0" applyNumberFormat="1" applyFont="1" applyFill="1" applyBorder="1"/>
    <xf numFmtId="0" fontId="18" fillId="0" borderId="1" xfId="0" applyFont="1" applyBorder="1" applyAlignment="1">
      <alignment horizontal="center" vertical="center"/>
    </xf>
    <xf numFmtId="165" fontId="10" fillId="6" borderId="1" xfId="3" applyNumberFormat="1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43" fontId="19" fillId="5" borderId="1" xfId="3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6" fillId="2" borderId="1" xfId="7" applyFont="1" applyFill="1" applyBorder="1" applyAlignment="1">
      <alignment horizontal="left"/>
    </xf>
    <xf numFmtId="0" fontId="17" fillId="10" borderId="1" xfId="7" applyFont="1" applyFill="1" applyBorder="1" applyAlignment="1">
      <alignment horizontal="left"/>
    </xf>
    <xf numFmtId="0" fontId="15" fillId="10" borderId="1" xfId="7" applyFont="1" applyFill="1" applyBorder="1" applyAlignment="1">
      <alignment horizontal="center"/>
    </xf>
    <xf numFmtId="0" fontId="14" fillId="10" borderId="1" xfId="7" applyFont="1" applyFill="1" applyBorder="1" applyAlignment="1">
      <alignment horizontal="center"/>
    </xf>
    <xf numFmtId="0" fontId="15" fillId="10" borderId="1" xfId="7" applyFont="1" applyFill="1" applyBorder="1" applyAlignment="1">
      <alignment horizontal="left"/>
    </xf>
    <xf numFmtId="0" fontId="13" fillId="2" borderId="1" xfId="7" applyFill="1" applyBorder="1" applyAlignment="1">
      <alignment horizontal="left"/>
    </xf>
    <xf numFmtId="0" fontId="20" fillId="2" borderId="2" xfId="12" applyFont="1" applyFill="1" applyBorder="1" applyAlignment="1">
      <alignment horizontal="center"/>
    </xf>
    <xf numFmtId="0" fontId="20" fillId="2" borderId="3" xfId="12" applyFont="1" applyFill="1" applyBorder="1" applyAlignment="1">
      <alignment horizontal="center"/>
    </xf>
    <xf numFmtId="0" fontId="20" fillId="2" borderId="4" xfId="12" applyFont="1" applyFill="1" applyBorder="1" applyAlignment="1">
      <alignment horizontal="center"/>
    </xf>
    <xf numFmtId="164" fontId="19" fillId="0" borderId="7" xfId="13" applyFont="1" applyBorder="1" applyAlignment="1">
      <alignment horizontal="center" vertical="center"/>
    </xf>
    <xf numFmtId="164" fontId="19" fillId="0" borderId="5" xfId="13" applyFont="1" applyBorder="1" applyAlignment="1">
      <alignment horizontal="center" vertical="center"/>
    </xf>
    <xf numFmtId="164" fontId="19" fillId="0" borderId="6" xfId="13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13" xfId="15" applyFont="1" applyFill="1" applyBorder="1" applyAlignment="1">
      <alignment horizontal="center"/>
    </xf>
    <xf numFmtId="0" fontId="20" fillId="2" borderId="0" xfId="15" applyFont="1" applyFill="1" applyAlignment="1">
      <alignment horizontal="center"/>
    </xf>
    <xf numFmtId="0" fontId="20" fillId="2" borderId="2" xfId="15" applyFont="1" applyFill="1" applyBorder="1" applyAlignment="1">
      <alignment horizontal="center"/>
    </xf>
    <xf numFmtId="0" fontId="20" fillId="2" borderId="3" xfId="15" applyFont="1" applyFill="1" applyBorder="1" applyAlignment="1">
      <alignment horizontal="center"/>
    </xf>
    <xf numFmtId="0" fontId="20" fillId="2" borderId="4" xfId="15" applyFont="1" applyFill="1" applyBorder="1" applyAlignment="1">
      <alignment horizontal="center"/>
    </xf>
    <xf numFmtId="0" fontId="20" fillId="2" borderId="1" xfId="15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2" fillId="2" borderId="1" xfId="17" applyFont="1" applyFill="1" applyBorder="1" applyAlignment="1">
      <alignment horizontal="center" wrapText="1" readingOrder="1"/>
    </xf>
    <xf numFmtId="0" fontId="18" fillId="5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/>
    </xf>
    <xf numFmtId="0" fontId="34" fillId="0" borderId="7" xfId="14" applyFont="1" applyBorder="1" applyAlignment="1">
      <alignment horizontal="center" wrapText="1"/>
    </xf>
    <xf numFmtId="0" fontId="34" fillId="0" borderId="5" xfId="14" applyFont="1" applyBorder="1" applyAlignment="1">
      <alignment horizontal="center" wrapText="1"/>
    </xf>
    <xf numFmtId="0" fontId="34" fillId="0" borderId="6" xfId="14" applyFont="1" applyBorder="1" applyAlignment="1">
      <alignment horizontal="center" wrapText="1"/>
    </xf>
    <xf numFmtId="0" fontId="0" fillId="0" borderId="0" xfId="1" applyFont="1" applyAlignment="1">
      <alignment horizontal="left" wrapText="1"/>
    </xf>
    <xf numFmtId="0" fontId="0" fillId="0" borderId="0" xfId="1" applyFont="1" applyAlignment="1">
      <alignment horizontal="left"/>
    </xf>
    <xf numFmtId="0" fontId="7" fillId="0" borderId="1" xfId="1" applyFont="1" applyBorder="1" applyAlignment="1">
      <alignment horizontal="center"/>
    </xf>
    <xf numFmtId="0" fontId="26" fillId="0" borderId="0" xfId="1" applyFont="1" applyAlignment="1">
      <alignment horizontal="left" vertical="center"/>
    </xf>
    <xf numFmtId="0" fontId="28" fillId="12" borderId="19" xfId="0" applyFont="1" applyFill="1" applyBorder="1" applyAlignment="1">
      <alignment horizontal="center" vertical="center" readingOrder="1"/>
    </xf>
    <xf numFmtId="0" fontId="28" fillId="12" borderId="20" xfId="0" applyFont="1" applyFill="1" applyBorder="1" applyAlignment="1">
      <alignment horizontal="center" vertical="center" readingOrder="1"/>
    </xf>
    <xf numFmtId="0" fontId="0" fillId="15" borderId="21" xfId="0" applyFill="1" applyBorder="1" applyAlignment="1">
      <alignment horizontal="center" vertical="top"/>
    </xf>
    <xf numFmtId="0" fontId="28" fillId="12" borderId="21" xfId="0" applyFont="1" applyFill="1" applyBorder="1" applyAlignment="1">
      <alignment horizontal="center" vertical="center" readingOrder="1"/>
    </xf>
    <xf numFmtId="0" fontId="28" fillId="12" borderId="0" xfId="0" applyFont="1" applyFill="1" applyAlignment="1">
      <alignment horizontal="center" vertical="center" readingOrder="1"/>
    </xf>
    <xf numFmtId="0" fontId="13" fillId="2" borderId="1" xfId="7" applyFill="1" applyBorder="1" applyAlignment="1"/>
    <xf numFmtId="0" fontId="13" fillId="2" borderId="2" xfId="7" applyFill="1" applyBorder="1" applyAlignment="1"/>
    <xf numFmtId="0" fontId="13" fillId="2" borderId="3" xfId="7" applyFill="1" applyBorder="1" applyAlignment="1"/>
    <xf numFmtId="0" fontId="13" fillId="2" borderId="4" xfId="7" applyFill="1" applyBorder="1" applyAlignment="1"/>
  </cellXfs>
  <cellStyles count="21">
    <cellStyle name="Comma" xfId="11" builtinId="3"/>
    <cellStyle name="Comma 2" xfId="2" xr:uid="{817A3120-A9F4-46F2-BB22-33A3B1CCB19F}"/>
    <cellStyle name="Comma 3" xfId="3" xr:uid="{E0DBD185-E1DD-4015-BEB3-10C24A61F832}"/>
    <cellStyle name="Comma 4" xfId="5" xr:uid="{FA4965B2-8615-42A4-83D0-47713E359E1C}"/>
    <cellStyle name="Comma 4 2" xfId="13" xr:uid="{C20D4D28-FD2C-4664-B76A-BC2E6C155114}"/>
    <cellStyle name="Comma 5" xfId="10" xr:uid="{F859ABDF-9987-4B84-8FE5-FFDDC3B8F674}"/>
    <cellStyle name="Comma 5 2" xfId="16" xr:uid="{70095DCD-A7BA-4C06-BEB2-B3D395AC695D}"/>
    <cellStyle name="Comma 5 3" xfId="18" xr:uid="{70C6B1A1-9BB8-4B39-B720-BB67DE947F32}"/>
    <cellStyle name="Normal" xfId="0" builtinId="0"/>
    <cellStyle name="Normal 2" xfId="1" xr:uid="{6DB8CC29-862D-4385-81F2-5B1D24379B97}"/>
    <cellStyle name="Normal 2 3" xfId="14" xr:uid="{13A544C3-8956-408C-8212-F153BFC9F631}"/>
    <cellStyle name="Normal 3" xfId="4" xr:uid="{73370E2D-5BBC-48E3-82E5-F0C3244B36F1}"/>
    <cellStyle name="Normal 3 2" xfId="12" xr:uid="{D4B1012F-FD08-488C-A8BE-E3A5F39E9764}"/>
    <cellStyle name="Normal 3 3" xfId="19" xr:uid="{8E1103AE-FE25-448D-BF04-D519371831F0}"/>
    <cellStyle name="Normal 4" xfId="7" xr:uid="{6D404AA7-A3E5-4E8C-A21D-504073D4281F}"/>
    <cellStyle name="Normal 5" xfId="9" xr:uid="{702EFA46-F808-4204-A598-AA4E5B2F8D3E}"/>
    <cellStyle name="Normal 5 2" xfId="15" xr:uid="{3069A571-DC61-40A0-A0F6-5B5858EF6CDD}"/>
    <cellStyle name="Normal 5 3" xfId="17" xr:uid="{7D2DCF76-F1F0-4447-A64C-6D31279CB70A}"/>
    <cellStyle name="Normal 5 4" xfId="20" xr:uid="{7DEAB99C-E528-4FF2-9BBE-6D58E4FCC297}"/>
    <cellStyle name="Percent" xfId="6" builtinId="5"/>
    <cellStyle name="Percent 2" xfId="8" xr:uid="{09059873-94FF-4575-AE27-14C46EE9E3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154215</xdr:rowOff>
    </xdr:from>
    <xdr:to>
      <xdr:col>3</xdr:col>
      <xdr:colOff>2962729</xdr:colOff>
      <xdr:row>65</xdr:row>
      <xdr:rowOff>144237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0DF37-6B0B-468D-9890-FA68EE57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6615"/>
          <a:ext cx="5401129" cy="5698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FC0E-DDA3-4210-A41D-D207ACFA2F12}">
  <dimension ref="B3:O60"/>
  <sheetViews>
    <sheetView workbookViewId="0">
      <selection activeCell="C58" sqref="C58"/>
    </sheetView>
  </sheetViews>
  <sheetFormatPr defaultRowHeight="15.6"/>
  <cols>
    <col min="2" max="2" width="11.75" bestFit="1" customWidth="1"/>
    <col min="3" max="3" width="15.75" bestFit="1" customWidth="1"/>
    <col min="4" max="4" width="20.75" bestFit="1" customWidth="1"/>
    <col min="5" max="5" width="13.75" bestFit="1" customWidth="1"/>
    <col min="6" max="6" width="8" bestFit="1" customWidth="1"/>
    <col min="7" max="7" width="13.75" bestFit="1" customWidth="1"/>
    <col min="8" max="8" width="8" bestFit="1" customWidth="1"/>
    <col min="9" max="9" width="13.75" bestFit="1" customWidth="1"/>
    <col min="10" max="10" width="7.625" bestFit="1" customWidth="1"/>
    <col min="11" max="11" width="13.75" bestFit="1" customWidth="1"/>
    <col min="12" max="12" width="7.625" bestFit="1" customWidth="1"/>
    <col min="13" max="13" width="13.75" bestFit="1" customWidth="1"/>
    <col min="14" max="14" width="7.625" bestFit="1" customWidth="1"/>
    <col min="15" max="15" width="13.75" bestFit="1" customWidth="1"/>
  </cols>
  <sheetData>
    <row r="3" spans="2:9">
      <c r="B3" s="350" t="s">
        <v>0</v>
      </c>
      <c r="C3" s="350"/>
      <c r="D3" s="350"/>
      <c r="E3" s="350"/>
      <c r="F3" s="350"/>
      <c r="G3" s="350"/>
      <c r="H3" s="350"/>
      <c r="I3" s="350"/>
    </row>
    <row r="4" spans="2:9">
      <c r="B4" s="347" t="s">
        <v>1</v>
      </c>
      <c r="C4" s="347" t="s">
        <v>2</v>
      </c>
      <c r="D4" s="347" t="s">
        <v>3</v>
      </c>
      <c r="E4" s="347"/>
      <c r="F4" s="347" t="s">
        <v>4</v>
      </c>
      <c r="G4" s="347"/>
      <c r="H4" s="347" t="s">
        <v>5</v>
      </c>
      <c r="I4" s="347"/>
    </row>
    <row r="5" spans="2:9">
      <c r="B5" s="347"/>
      <c r="C5" s="347"/>
      <c r="D5" s="101" t="s">
        <v>6</v>
      </c>
      <c r="E5" s="101" t="s">
        <v>7</v>
      </c>
      <c r="F5" s="101" t="s">
        <v>6</v>
      </c>
      <c r="G5" s="101" t="s">
        <v>7</v>
      </c>
      <c r="H5" s="101" t="s">
        <v>6</v>
      </c>
      <c r="I5" s="101" t="s">
        <v>7</v>
      </c>
    </row>
    <row r="6" spans="2:9">
      <c r="B6" s="13">
        <v>1</v>
      </c>
      <c r="C6" s="13" t="s">
        <v>8</v>
      </c>
      <c r="D6" s="294">
        <f>'S1 '!E8</f>
        <v>585</v>
      </c>
      <c r="E6" s="294">
        <f>'S1 '!E9</f>
        <v>29.25</v>
      </c>
      <c r="F6" s="294">
        <f>'S1 '!F8</f>
        <v>510</v>
      </c>
      <c r="G6" s="294">
        <f>'S1 '!F9</f>
        <v>26.5</v>
      </c>
      <c r="H6" s="294">
        <f>'S1 '!G8</f>
        <v>530</v>
      </c>
      <c r="I6" s="294">
        <f>'S1 '!G9</f>
        <v>26.5</v>
      </c>
    </row>
    <row r="7" spans="2:9">
      <c r="B7" s="13">
        <v>2</v>
      </c>
      <c r="C7" s="13" t="s">
        <v>9</v>
      </c>
      <c r="D7" s="294">
        <f>'S2 '!D8</f>
        <v>300</v>
      </c>
      <c r="E7" s="294">
        <f>'S2 '!D9</f>
        <v>24</v>
      </c>
      <c r="F7" s="294">
        <f>'S2 '!E8</f>
        <v>300</v>
      </c>
      <c r="G7" s="294">
        <f>'S2 '!E9</f>
        <v>23</v>
      </c>
      <c r="H7" s="294">
        <f>'S2 '!F8</f>
        <v>300</v>
      </c>
      <c r="I7" s="294">
        <f>'S2 '!F9</f>
        <v>22.3</v>
      </c>
    </row>
    <row r="8" spans="2:9">
      <c r="B8" s="13">
        <v>3</v>
      </c>
      <c r="C8" s="13" t="s">
        <v>10</v>
      </c>
      <c r="D8" s="294">
        <f>'CB '!C8</f>
        <v>115</v>
      </c>
      <c r="E8" s="294">
        <f>'CB '!C9</f>
        <v>6</v>
      </c>
      <c r="F8" s="294">
        <f>'CB '!D8</f>
        <v>115</v>
      </c>
      <c r="G8" s="294">
        <f>'CB '!D9</f>
        <v>6</v>
      </c>
      <c r="H8" s="294">
        <f>'CB '!E8</f>
        <v>115</v>
      </c>
      <c r="I8" s="294">
        <f>'CB '!E9</f>
        <v>6</v>
      </c>
    </row>
    <row r="9" spans="2:9">
      <c r="B9" s="13">
        <v>4</v>
      </c>
      <c r="C9" s="13" t="s">
        <v>11</v>
      </c>
      <c r="D9" s="294">
        <f>'GB '!C8</f>
        <v>66</v>
      </c>
      <c r="E9" s="294">
        <f>'GB '!C9</f>
        <v>2.9699999999999998</v>
      </c>
      <c r="F9" s="294">
        <f>'GB '!D8</f>
        <v>50</v>
      </c>
      <c r="G9" s="294">
        <f>'GB '!D9</f>
        <v>2.25</v>
      </c>
      <c r="H9" s="294">
        <f>'GB '!E8</f>
        <v>66</v>
      </c>
      <c r="I9" s="294">
        <f>'GB '!E9</f>
        <v>2.97</v>
      </c>
    </row>
    <row r="10" spans="2:9">
      <c r="B10" s="13">
        <v>5</v>
      </c>
      <c r="C10" s="13" t="s">
        <v>12</v>
      </c>
      <c r="D10" s="294">
        <f>'South '!D10</f>
        <v>35</v>
      </c>
      <c r="E10" s="294">
        <f>'South '!D11</f>
        <v>2</v>
      </c>
      <c r="F10" s="294">
        <f>'South '!E10</f>
        <v>35</v>
      </c>
      <c r="G10" s="294">
        <f>'South '!E11</f>
        <v>2</v>
      </c>
      <c r="H10" s="294">
        <f>'South '!F10</f>
        <v>35</v>
      </c>
      <c r="I10" s="294">
        <f>'South '!F11</f>
        <v>2</v>
      </c>
    </row>
    <row r="11" spans="2:9">
      <c r="B11" s="13">
        <v>6</v>
      </c>
      <c r="C11" s="13" t="s">
        <v>13</v>
      </c>
      <c r="D11" s="294">
        <f>'GeoX '!C8</f>
        <v>45.5</v>
      </c>
      <c r="E11" s="294">
        <f>'GeoX '!C9</f>
        <v>5</v>
      </c>
      <c r="F11" s="294">
        <f>'GeoX '!D8</f>
        <v>40</v>
      </c>
      <c r="G11" s="294">
        <f>'GeoX '!D9</f>
        <v>4</v>
      </c>
      <c r="H11" s="294">
        <f>'GeoX '!F8</f>
        <v>45.5</v>
      </c>
      <c r="I11" s="294">
        <f>'GeoX '!F9</f>
        <v>5</v>
      </c>
    </row>
    <row r="12" spans="2:9">
      <c r="B12" s="13">
        <v>7</v>
      </c>
      <c r="C12" s="13" t="s">
        <v>14</v>
      </c>
      <c r="D12" s="294">
        <f>DCG!C37</f>
        <v>200</v>
      </c>
      <c r="E12" s="294">
        <f>5%*D12</f>
        <v>10</v>
      </c>
      <c r="F12" s="294">
        <f>D12</f>
        <v>200</v>
      </c>
      <c r="G12" s="294">
        <f>E12</f>
        <v>10</v>
      </c>
      <c r="H12" s="294">
        <f>F12</f>
        <v>200</v>
      </c>
      <c r="I12" s="294">
        <f>G12</f>
        <v>10</v>
      </c>
    </row>
    <row r="13" spans="2:9">
      <c r="B13" s="13"/>
      <c r="C13" s="13"/>
      <c r="D13" s="294"/>
      <c r="E13" s="294"/>
      <c r="F13" s="294"/>
      <c r="G13" s="294"/>
      <c r="H13" s="294"/>
      <c r="I13" s="294"/>
    </row>
    <row r="14" spans="2:9">
      <c r="B14" s="102"/>
      <c r="C14" s="102" t="s">
        <v>15</v>
      </c>
      <c r="D14" s="295">
        <f t="shared" ref="D14:I14" si="0">SUM(D6:D13)</f>
        <v>1346.5</v>
      </c>
      <c r="E14" s="295">
        <f t="shared" si="0"/>
        <v>79.22</v>
      </c>
      <c r="F14" s="295">
        <f t="shared" si="0"/>
        <v>1250</v>
      </c>
      <c r="G14" s="295">
        <f t="shared" si="0"/>
        <v>73.75</v>
      </c>
      <c r="H14" s="295">
        <f t="shared" si="0"/>
        <v>1291.5</v>
      </c>
      <c r="I14" s="295">
        <f t="shared" si="0"/>
        <v>74.77</v>
      </c>
    </row>
    <row r="16" spans="2:9">
      <c r="B16" s="350" t="s">
        <v>16</v>
      </c>
      <c r="C16" s="350"/>
      <c r="D16" s="350"/>
      <c r="E16" s="350"/>
      <c r="F16" s="350"/>
      <c r="G16" s="350"/>
      <c r="H16" s="350"/>
      <c r="I16" s="350"/>
    </row>
    <row r="17" spans="2:10">
      <c r="B17" s="347" t="s">
        <v>1</v>
      </c>
      <c r="C17" s="347" t="s">
        <v>2</v>
      </c>
      <c r="D17" s="347" t="s">
        <v>3</v>
      </c>
      <c r="E17" s="347"/>
      <c r="F17" s="347" t="s">
        <v>4</v>
      </c>
      <c r="G17" s="347"/>
      <c r="H17" s="347" t="s">
        <v>5</v>
      </c>
      <c r="I17" s="347"/>
    </row>
    <row r="18" spans="2:10">
      <c r="B18" s="347"/>
      <c r="C18" s="347"/>
      <c r="D18" s="101" t="s">
        <v>6</v>
      </c>
      <c r="E18" s="101" t="s">
        <v>7</v>
      </c>
      <c r="F18" s="101" t="s">
        <v>6</v>
      </c>
      <c r="G18" s="101" t="s">
        <v>7</v>
      </c>
      <c r="H18" s="101" t="s">
        <v>6</v>
      </c>
      <c r="I18" s="101" t="s">
        <v>7</v>
      </c>
    </row>
    <row r="19" spans="2:10">
      <c r="B19" s="13">
        <v>1</v>
      </c>
      <c r="C19" s="13" t="s">
        <v>8</v>
      </c>
      <c r="D19" s="294">
        <f t="shared" ref="D19:E25" si="1">H19*D6/H6</f>
        <v>234</v>
      </c>
      <c r="E19" s="294">
        <f t="shared" si="1"/>
        <v>11.700000000000003</v>
      </c>
      <c r="F19" s="294">
        <f t="shared" ref="F19:G25" si="2">H19*F6/H6</f>
        <v>204</v>
      </c>
      <c r="G19" s="294">
        <f t="shared" si="2"/>
        <v>10.600000000000001</v>
      </c>
      <c r="H19" s="294">
        <f>'S1 '!H8+'S1 '!I8</f>
        <v>212</v>
      </c>
      <c r="I19" s="294">
        <f>'S1 '!H9+'S1 '!I9</f>
        <v>10.600000000000001</v>
      </c>
    </row>
    <row r="20" spans="2:10">
      <c r="B20" s="13">
        <v>2</v>
      </c>
      <c r="C20" s="13" t="s">
        <v>9</v>
      </c>
      <c r="D20" s="294">
        <f t="shared" si="1"/>
        <v>139</v>
      </c>
      <c r="E20" s="294">
        <f t="shared" si="1"/>
        <v>8.6098654708520179</v>
      </c>
      <c r="F20" s="294">
        <f t="shared" si="2"/>
        <v>139</v>
      </c>
      <c r="G20" s="294">
        <f t="shared" si="2"/>
        <v>8.2511210762331828</v>
      </c>
      <c r="H20" s="294">
        <f>'S2 '!G8+'S2 '!H8</f>
        <v>139</v>
      </c>
      <c r="I20" s="294">
        <f>'S2 '!G9+'S2 '!H9</f>
        <v>8</v>
      </c>
    </row>
    <row r="21" spans="2:10">
      <c r="B21" s="13">
        <v>3</v>
      </c>
      <c r="C21" s="13" t="s">
        <v>10</v>
      </c>
      <c r="D21" s="294">
        <f t="shared" si="1"/>
        <v>45</v>
      </c>
      <c r="E21" s="294">
        <f t="shared" si="1"/>
        <v>2.4</v>
      </c>
      <c r="F21" s="294">
        <f t="shared" si="2"/>
        <v>45</v>
      </c>
      <c r="G21" s="294">
        <f t="shared" si="2"/>
        <v>2.4</v>
      </c>
      <c r="H21" s="294">
        <f>'CB '!F8+'CB '!G8</f>
        <v>45</v>
      </c>
      <c r="I21" s="294">
        <f>'CB '!F9+'CB '!G9</f>
        <v>2.4</v>
      </c>
    </row>
    <row r="22" spans="2:10">
      <c r="B22" s="13">
        <v>4</v>
      </c>
      <c r="C22" s="13" t="s">
        <v>11</v>
      </c>
      <c r="D22" s="294">
        <f t="shared" si="1"/>
        <v>22</v>
      </c>
      <c r="E22" s="294">
        <f t="shared" si="1"/>
        <v>0.98999999999999988</v>
      </c>
      <c r="F22" s="294">
        <f t="shared" si="2"/>
        <v>16.666666666666668</v>
      </c>
      <c r="G22" s="294">
        <f t="shared" si="2"/>
        <v>0.75</v>
      </c>
      <c r="H22" s="294">
        <f>'GB '!F8+'GB '!G8</f>
        <v>22</v>
      </c>
      <c r="I22" s="294">
        <f>'GB '!F9+'GB '!G9</f>
        <v>0.99</v>
      </c>
    </row>
    <row r="23" spans="2:10">
      <c r="B23" s="13">
        <v>5</v>
      </c>
      <c r="C23" s="13" t="s">
        <v>12</v>
      </c>
      <c r="D23" s="294">
        <f t="shared" si="1"/>
        <v>17.5</v>
      </c>
      <c r="E23" s="294">
        <f t="shared" si="1"/>
        <v>1</v>
      </c>
      <c r="F23" s="294">
        <f t="shared" si="2"/>
        <v>17.5</v>
      </c>
      <c r="G23" s="294">
        <f t="shared" si="2"/>
        <v>1</v>
      </c>
      <c r="H23" s="294">
        <f>'South '!G10+'South '!H10</f>
        <v>17.5</v>
      </c>
      <c r="I23" s="294">
        <f>'South '!G11+'South '!H11</f>
        <v>1</v>
      </c>
    </row>
    <row r="24" spans="2:10">
      <c r="B24" s="13">
        <v>6</v>
      </c>
      <c r="C24" s="13" t="s">
        <v>13</v>
      </c>
      <c r="D24" s="294">
        <f t="shared" si="1"/>
        <v>15</v>
      </c>
      <c r="E24" s="294">
        <f t="shared" si="1"/>
        <v>1.65</v>
      </c>
      <c r="F24" s="294">
        <f t="shared" si="2"/>
        <v>13.186813186813186</v>
      </c>
      <c r="G24" s="294">
        <f t="shared" si="2"/>
        <v>1.3199999999999998</v>
      </c>
      <c r="H24" s="294">
        <f>'GeoX '!G8+'GeoX '!H8</f>
        <v>15</v>
      </c>
      <c r="I24" s="294">
        <f>'GeoX '!G9+'GeoX '!H9</f>
        <v>1.65</v>
      </c>
    </row>
    <row r="25" spans="2:10">
      <c r="B25" s="13">
        <v>7</v>
      </c>
      <c r="C25" s="13" t="s">
        <v>14</v>
      </c>
      <c r="D25" s="294">
        <f t="shared" si="1"/>
        <v>80</v>
      </c>
      <c r="E25" s="294">
        <f t="shared" si="1"/>
        <v>4</v>
      </c>
      <c r="F25" s="294">
        <f t="shared" si="2"/>
        <v>80</v>
      </c>
      <c r="G25" s="294">
        <f t="shared" si="2"/>
        <v>4</v>
      </c>
      <c r="H25" s="294">
        <v>80</v>
      </c>
      <c r="I25" s="294">
        <v>4</v>
      </c>
    </row>
    <row r="26" spans="2:10">
      <c r="B26" s="13"/>
      <c r="C26" s="13"/>
      <c r="D26" s="294"/>
      <c r="E26" s="294"/>
      <c r="F26" s="294"/>
      <c r="G26" s="294"/>
      <c r="H26" s="294"/>
      <c r="I26" s="294"/>
    </row>
    <row r="27" spans="2:10">
      <c r="B27" s="102"/>
      <c r="C27" s="102" t="s">
        <v>15</v>
      </c>
      <c r="D27" s="295">
        <f t="shared" ref="D27:I27" si="3">SUM(D19:D26)</f>
        <v>552.5</v>
      </c>
      <c r="E27" s="295">
        <f t="shared" si="3"/>
        <v>30.349865470852016</v>
      </c>
      <c r="F27" s="295">
        <f t="shared" si="3"/>
        <v>515.35347985347994</v>
      </c>
      <c r="G27" s="295">
        <f t="shared" si="3"/>
        <v>28.321121076233183</v>
      </c>
      <c r="H27" s="295">
        <f t="shared" si="3"/>
        <v>530.5</v>
      </c>
      <c r="I27" s="295">
        <f t="shared" si="3"/>
        <v>28.639999999999997</v>
      </c>
    </row>
    <row r="29" spans="2:10">
      <c r="B29" s="350" t="s">
        <v>17</v>
      </c>
      <c r="C29" s="350"/>
      <c r="D29" s="350"/>
      <c r="E29" s="350"/>
      <c r="F29" s="350"/>
      <c r="G29" s="350"/>
      <c r="H29" s="350"/>
      <c r="I29" s="350"/>
    </row>
    <row r="30" spans="2:10">
      <c r="B30" s="347" t="s">
        <v>1</v>
      </c>
      <c r="C30" s="347" t="s">
        <v>2</v>
      </c>
      <c r="D30" s="347" t="s">
        <v>3</v>
      </c>
      <c r="E30" s="347"/>
      <c r="F30" s="347" t="s">
        <v>4</v>
      </c>
      <c r="G30" s="347"/>
      <c r="H30" s="347" t="s">
        <v>5</v>
      </c>
      <c r="I30" s="347"/>
    </row>
    <row r="31" spans="2:10">
      <c r="B31" s="347"/>
      <c r="C31" s="347"/>
      <c r="D31" s="101" t="s">
        <v>6</v>
      </c>
      <c r="E31" s="101" t="s">
        <v>7</v>
      </c>
      <c r="F31" s="101" t="s">
        <v>6</v>
      </c>
      <c r="G31" s="101" t="s">
        <v>7</v>
      </c>
      <c r="H31" s="101" t="s">
        <v>6</v>
      </c>
      <c r="I31" s="101" t="s">
        <v>7</v>
      </c>
    </row>
    <row r="32" spans="2:10">
      <c r="B32" s="13">
        <v>1</v>
      </c>
      <c r="C32" s="13" t="s">
        <v>8</v>
      </c>
      <c r="D32" s="294">
        <f t="shared" ref="D32:E38" si="4">H32*D6/H6</f>
        <v>351</v>
      </c>
      <c r="E32" s="294">
        <f t="shared" si="4"/>
        <v>17.55</v>
      </c>
      <c r="F32" s="294">
        <f t="shared" ref="F32:G38" si="5">H32*F6/H6</f>
        <v>306</v>
      </c>
      <c r="G32" s="294">
        <f t="shared" si="5"/>
        <v>15.9</v>
      </c>
      <c r="H32" s="294">
        <f>'S1 '!J8+'S1 '!K8</f>
        <v>318</v>
      </c>
      <c r="I32" s="294">
        <f>'S1 '!J9+'S1 '!K9</f>
        <v>15.9</v>
      </c>
      <c r="J32" s="296"/>
    </row>
    <row r="33" spans="2:15">
      <c r="B33" s="13">
        <v>2</v>
      </c>
      <c r="C33" s="13" t="s">
        <v>9</v>
      </c>
      <c r="D33" s="294">
        <f t="shared" si="4"/>
        <v>161</v>
      </c>
      <c r="E33" s="294">
        <f t="shared" si="4"/>
        <v>15.390134529147984</v>
      </c>
      <c r="F33" s="294">
        <f t="shared" si="5"/>
        <v>161</v>
      </c>
      <c r="G33" s="294">
        <f t="shared" si="5"/>
        <v>14.748878923766817</v>
      </c>
      <c r="H33" s="294">
        <f>'S2 '!I8+'S2 '!J8</f>
        <v>161</v>
      </c>
      <c r="I33" s="294">
        <f>'S2 '!I9+'S2 '!J9</f>
        <v>14.3</v>
      </c>
    </row>
    <row r="34" spans="2:15">
      <c r="B34" s="13">
        <v>3</v>
      </c>
      <c r="C34" s="13" t="s">
        <v>10</v>
      </c>
      <c r="D34" s="294">
        <f t="shared" si="4"/>
        <v>70</v>
      </c>
      <c r="E34" s="294">
        <f t="shared" si="4"/>
        <v>3.6</v>
      </c>
      <c r="F34" s="294">
        <f t="shared" si="5"/>
        <v>70</v>
      </c>
      <c r="G34" s="294">
        <f t="shared" si="5"/>
        <v>3.6</v>
      </c>
      <c r="H34" s="294">
        <f>'CB '!H8+'CB '!I8</f>
        <v>70</v>
      </c>
      <c r="I34" s="294">
        <f>'CB '!H9+'CB '!I9</f>
        <v>3.6</v>
      </c>
    </row>
    <row r="35" spans="2:15">
      <c r="B35" s="13">
        <v>4</v>
      </c>
      <c r="C35" s="13" t="s">
        <v>11</v>
      </c>
      <c r="D35" s="294">
        <f t="shared" si="4"/>
        <v>44</v>
      </c>
      <c r="E35" s="294">
        <f t="shared" si="4"/>
        <v>1.9799999999999998</v>
      </c>
      <c r="F35" s="294">
        <f t="shared" si="5"/>
        <v>33.333333333333336</v>
      </c>
      <c r="G35" s="294">
        <f t="shared" si="5"/>
        <v>1.5</v>
      </c>
      <c r="H35" s="294">
        <f>'GB '!H8+'GB '!I8</f>
        <v>44</v>
      </c>
      <c r="I35" s="294">
        <f>'GB '!H9+'GB '!I9</f>
        <v>1.98</v>
      </c>
    </row>
    <row r="36" spans="2:15">
      <c r="B36" s="13">
        <v>5</v>
      </c>
      <c r="C36" s="13" t="s">
        <v>12</v>
      </c>
      <c r="D36" s="294">
        <f t="shared" si="4"/>
        <v>17.5</v>
      </c>
      <c r="E36" s="294">
        <f t="shared" si="4"/>
        <v>1</v>
      </c>
      <c r="F36" s="294">
        <f t="shared" si="5"/>
        <v>17.5</v>
      </c>
      <c r="G36" s="294">
        <f t="shared" si="5"/>
        <v>1</v>
      </c>
      <c r="H36" s="294">
        <f>'South '!I10+'South '!J10</f>
        <v>17.5</v>
      </c>
      <c r="I36" s="294">
        <f>'South '!I11+'South '!J11</f>
        <v>1</v>
      </c>
    </row>
    <row r="37" spans="2:15">
      <c r="B37" s="13">
        <v>6</v>
      </c>
      <c r="C37" s="13" t="s">
        <v>13</v>
      </c>
      <c r="D37" s="294">
        <f t="shared" si="4"/>
        <v>30.5</v>
      </c>
      <c r="E37" s="294">
        <f t="shared" si="4"/>
        <v>3.35</v>
      </c>
      <c r="F37" s="294">
        <f t="shared" si="5"/>
        <v>26.813186813186814</v>
      </c>
      <c r="G37" s="294">
        <f t="shared" si="5"/>
        <v>2.6799999999999997</v>
      </c>
      <c r="H37" s="294">
        <f>'GeoX '!I8+'GeoX '!J8</f>
        <v>30.5</v>
      </c>
      <c r="I37" s="294">
        <f>'GeoX '!I9+'GeoX '!J9</f>
        <v>3.3499999999999996</v>
      </c>
    </row>
    <row r="38" spans="2:15">
      <c r="B38" s="13">
        <v>7</v>
      </c>
      <c r="C38" s="13" t="s">
        <v>14</v>
      </c>
      <c r="D38" s="294">
        <f t="shared" si="4"/>
        <v>120</v>
      </c>
      <c r="E38" s="294">
        <f t="shared" si="4"/>
        <v>6</v>
      </c>
      <c r="F38" s="294">
        <f t="shared" si="5"/>
        <v>120</v>
      </c>
      <c r="G38" s="294">
        <f t="shared" si="5"/>
        <v>6</v>
      </c>
      <c r="H38" s="294">
        <v>120</v>
      </c>
      <c r="I38" s="294">
        <v>6</v>
      </c>
    </row>
    <row r="39" spans="2:15">
      <c r="B39" s="13"/>
      <c r="C39" s="13"/>
      <c r="D39" s="294"/>
      <c r="E39" s="294"/>
      <c r="F39" s="294"/>
      <c r="G39" s="294"/>
      <c r="H39" s="294"/>
      <c r="I39" s="294"/>
    </row>
    <row r="40" spans="2:15">
      <c r="B40" s="102"/>
      <c r="C40" s="102" t="s">
        <v>15</v>
      </c>
      <c r="D40" s="295">
        <f t="shared" ref="D40:I40" si="6">SUM(D32:D39)</f>
        <v>794</v>
      </c>
      <c r="E40" s="295">
        <f t="shared" si="6"/>
        <v>48.870134529147983</v>
      </c>
      <c r="F40" s="295">
        <f t="shared" si="6"/>
        <v>734.64652014652017</v>
      </c>
      <c r="G40" s="295">
        <f t="shared" si="6"/>
        <v>45.428878923766817</v>
      </c>
      <c r="H40" s="295">
        <f t="shared" si="6"/>
        <v>761</v>
      </c>
      <c r="I40" s="295">
        <f t="shared" si="6"/>
        <v>46.13</v>
      </c>
      <c r="K40" s="296"/>
      <c r="L40" s="296"/>
      <c r="M40" s="296"/>
      <c r="N40" s="296"/>
    </row>
    <row r="42" spans="2:15" s="99" customFormat="1">
      <c r="B42" s="348" t="s">
        <v>1</v>
      </c>
      <c r="C42" s="348" t="s">
        <v>18</v>
      </c>
      <c r="D42" s="345" t="s">
        <v>19</v>
      </c>
      <c r="E42" s="346"/>
      <c r="F42" s="345" t="s">
        <v>20</v>
      </c>
      <c r="G42" s="346"/>
      <c r="H42" s="345" t="s">
        <v>21</v>
      </c>
      <c r="I42" s="346"/>
      <c r="J42" s="345" t="s">
        <v>22</v>
      </c>
      <c r="K42" s="346"/>
      <c r="L42" s="345" t="s">
        <v>23</v>
      </c>
      <c r="M42" s="346"/>
      <c r="N42" s="345" t="s">
        <v>24</v>
      </c>
      <c r="O42" s="346"/>
    </row>
    <row r="43" spans="2:15" s="99" customFormat="1">
      <c r="B43" s="349"/>
      <c r="C43" s="349"/>
      <c r="D43" s="101" t="s">
        <v>3</v>
      </c>
      <c r="E43" s="101" t="s">
        <v>25</v>
      </c>
      <c r="F43" s="101" t="s">
        <v>3</v>
      </c>
      <c r="G43" s="101" t="s">
        <v>25</v>
      </c>
      <c r="H43" s="101" t="s">
        <v>3</v>
      </c>
      <c r="I43" s="101" t="s">
        <v>25</v>
      </c>
      <c r="J43" s="101" t="s">
        <v>3</v>
      </c>
      <c r="K43" s="101" t="s">
        <v>25</v>
      </c>
      <c r="L43" s="101" t="s">
        <v>3</v>
      </c>
      <c r="M43" s="101" t="s">
        <v>25</v>
      </c>
      <c r="N43" s="101" t="s">
        <v>3</v>
      </c>
      <c r="O43" s="101" t="s">
        <v>25</v>
      </c>
    </row>
    <row r="44" spans="2:15">
      <c r="B44" s="13">
        <v>1</v>
      </c>
      <c r="C44" s="13" t="s">
        <v>8</v>
      </c>
      <c r="D44" s="294">
        <f>'S1 '!E124</f>
        <v>455</v>
      </c>
      <c r="E44" s="294">
        <f>'S1 '!F124</f>
        <v>396.66666666666669</v>
      </c>
      <c r="F44" s="294">
        <f>'S1 '!E125</f>
        <v>90</v>
      </c>
      <c r="G44" s="294">
        <f>'S1 '!F125</f>
        <v>78.461538461538467</v>
      </c>
      <c r="H44" s="294">
        <f>'S1 '!E126</f>
        <v>2</v>
      </c>
      <c r="I44" s="294">
        <f>'S1 '!F126</f>
        <v>1.7435897435897436</v>
      </c>
      <c r="J44" s="294">
        <f>'S1 '!E127</f>
        <v>1</v>
      </c>
      <c r="K44" s="294">
        <f>'S1 '!F127</f>
        <v>0.87179487179487181</v>
      </c>
      <c r="L44" s="294">
        <f>'S1 '!E128</f>
        <v>0</v>
      </c>
      <c r="M44" s="294">
        <f>'S1 '!F128</f>
        <v>0</v>
      </c>
      <c r="N44" s="294">
        <f>'S1 '!E129</f>
        <v>37</v>
      </c>
      <c r="O44" s="294">
        <f>'S1 '!F129</f>
        <v>32.256410256410255</v>
      </c>
    </row>
    <row r="45" spans="2:15">
      <c r="B45" s="13">
        <v>2</v>
      </c>
      <c r="C45" s="13" t="s">
        <v>9</v>
      </c>
      <c r="D45" s="294">
        <f>'S2 '!D50</f>
        <v>225</v>
      </c>
      <c r="E45" s="294">
        <f>'S2 '!E50</f>
        <v>225</v>
      </c>
      <c r="F45" s="294">
        <f>'S2 '!D51</f>
        <v>30</v>
      </c>
      <c r="G45" s="294">
        <f>'S2 '!E51</f>
        <v>30</v>
      </c>
      <c r="H45" s="294">
        <f>'S2 '!D52</f>
        <v>3</v>
      </c>
      <c r="I45" s="294">
        <f>'S2 '!E52</f>
        <v>3</v>
      </c>
      <c r="J45" s="294">
        <v>0</v>
      </c>
      <c r="K45" s="294">
        <v>0</v>
      </c>
      <c r="L45" s="294">
        <v>0</v>
      </c>
      <c r="M45" s="294">
        <v>0</v>
      </c>
      <c r="N45" s="294">
        <f>'S2 '!D53</f>
        <v>42</v>
      </c>
      <c r="O45" s="294">
        <f>'S2 '!E53</f>
        <v>42</v>
      </c>
    </row>
    <row r="46" spans="2:15">
      <c r="B46" s="13">
        <v>3</v>
      </c>
      <c r="C46" s="13" t="s">
        <v>10</v>
      </c>
      <c r="D46" s="294">
        <f>'CB '!C27</f>
        <v>40</v>
      </c>
      <c r="E46" s="294">
        <f>D46</f>
        <v>40</v>
      </c>
      <c r="F46" s="294">
        <f>'CB '!C28</f>
        <v>24</v>
      </c>
      <c r="G46" s="294">
        <f>F46</f>
        <v>24</v>
      </c>
      <c r="H46" s="294">
        <f>'CB '!C29</f>
        <v>10</v>
      </c>
      <c r="I46" s="294">
        <f>'CB '!D29</f>
        <v>10</v>
      </c>
      <c r="J46" s="294">
        <f>'CB '!C30</f>
        <v>10</v>
      </c>
      <c r="K46" s="294">
        <f>'CB '!D30</f>
        <v>10</v>
      </c>
      <c r="L46" s="294">
        <f>'CB '!C31</f>
        <v>1</v>
      </c>
      <c r="M46" s="294">
        <f>'CB '!D31</f>
        <v>1</v>
      </c>
      <c r="N46" s="294">
        <f>'CB '!C32</f>
        <v>30</v>
      </c>
      <c r="O46" s="294">
        <f>N46</f>
        <v>30</v>
      </c>
    </row>
    <row r="47" spans="2:15">
      <c r="B47" s="13">
        <v>4</v>
      </c>
      <c r="C47" s="13" t="s">
        <v>11</v>
      </c>
      <c r="D47" s="294">
        <f>'GB '!C40</f>
        <v>20</v>
      </c>
      <c r="E47" s="294">
        <f>'GB '!D40</f>
        <v>15.151515151515152</v>
      </c>
      <c r="F47" s="294">
        <f>'GB '!C41</f>
        <v>11</v>
      </c>
      <c r="G47" s="294">
        <f>'GB '!D41</f>
        <v>8.3333333333333321</v>
      </c>
      <c r="H47" s="294">
        <f>'GB '!C42</f>
        <v>5</v>
      </c>
      <c r="I47" s="294">
        <f>'GB '!D42</f>
        <v>3.7878787878787881</v>
      </c>
      <c r="J47" s="294">
        <f>'GB '!C43</f>
        <v>10</v>
      </c>
      <c r="K47" s="294">
        <f>'GB '!D43</f>
        <v>7.5757575757575761</v>
      </c>
      <c r="L47" s="294">
        <v>0</v>
      </c>
      <c r="M47" s="294">
        <v>0</v>
      </c>
      <c r="N47" s="294">
        <f>'GB '!B35</f>
        <v>20</v>
      </c>
      <c r="O47" s="294">
        <f>'GB '!C35</f>
        <v>15.151515151515152</v>
      </c>
    </row>
    <row r="48" spans="2:15">
      <c r="B48" s="13">
        <v>5</v>
      </c>
      <c r="C48" s="13" t="s">
        <v>12</v>
      </c>
      <c r="D48" s="294">
        <f>'South '!D26</f>
        <v>14</v>
      </c>
      <c r="E48" s="294">
        <f>D48</f>
        <v>14</v>
      </c>
      <c r="F48" s="294">
        <f>'South '!D27</f>
        <v>1</v>
      </c>
      <c r="G48" s="294">
        <f>F48</f>
        <v>1</v>
      </c>
      <c r="H48" s="294">
        <f>'South '!D28</f>
        <v>1</v>
      </c>
      <c r="I48" s="294">
        <f>H48</f>
        <v>1</v>
      </c>
      <c r="J48" s="294">
        <f>'South '!D29</f>
        <v>1</v>
      </c>
      <c r="K48" s="294">
        <f>J48</f>
        <v>1</v>
      </c>
      <c r="L48" s="294">
        <v>0</v>
      </c>
      <c r="M48" s="294">
        <v>0</v>
      </c>
      <c r="N48" s="294">
        <f>'South '!D31</f>
        <v>18</v>
      </c>
      <c r="O48" s="294">
        <f>N48</f>
        <v>18</v>
      </c>
    </row>
    <row r="49" spans="2:15">
      <c r="B49" s="13">
        <v>6</v>
      </c>
      <c r="C49" s="13" t="s">
        <v>13</v>
      </c>
      <c r="D49" s="294">
        <f>'GeoX '!C21</f>
        <v>10</v>
      </c>
      <c r="E49" s="294">
        <f>'GeoX '!D21</f>
        <v>8.791208791208792</v>
      </c>
      <c r="F49" s="294">
        <f>'GeoX '!C22</f>
        <v>20</v>
      </c>
      <c r="G49" s="294">
        <f>'GeoX '!D22</f>
        <v>17.582417582417584</v>
      </c>
      <c r="H49" s="294">
        <f>'GeoX '!C23</f>
        <v>5</v>
      </c>
      <c r="I49" s="294">
        <f>'GeoX '!D23</f>
        <v>4.395604395604396</v>
      </c>
      <c r="J49" s="294">
        <f>'GeoX '!C24</f>
        <v>2</v>
      </c>
      <c r="K49" s="294">
        <f>J49</f>
        <v>2</v>
      </c>
      <c r="L49" s="294">
        <f>'GeoX '!C25</f>
        <v>0.5</v>
      </c>
      <c r="M49" s="294">
        <f>'GeoX '!D25</f>
        <v>0.43956043956043961</v>
      </c>
      <c r="N49" s="294">
        <f>'GeoX '!C26</f>
        <v>8</v>
      </c>
      <c r="O49" s="294">
        <f>'GeoX '!D26</f>
        <v>7.0329670329670337</v>
      </c>
    </row>
    <row r="50" spans="2:15">
      <c r="B50" s="13">
        <v>7</v>
      </c>
      <c r="C50" s="13" t="s">
        <v>14</v>
      </c>
      <c r="D50" s="294">
        <v>200</v>
      </c>
      <c r="E50" s="294">
        <v>200</v>
      </c>
      <c r="F50" s="294">
        <v>0</v>
      </c>
      <c r="G50" s="294">
        <v>0</v>
      </c>
      <c r="H50" s="294">
        <v>0</v>
      </c>
      <c r="I50" s="294">
        <v>0</v>
      </c>
      <c r="J50" s="294">
        <v>0</v>
      </c>
      <c r="K50" s="294">
        <v>0</v>
      </c>
      <c r="L50" s="294">
        <v>0</v>
      </c>
      <c r="M50" s="294">
        <v>0</v>
      </c>
      <c r="N50" s="294">
        <v>0</v>
      </c>
      <c r="O50" s="294">
        <v>0</v>
      </c>
    </row>
    <row r="51" spans="2:15">
      <c r="B51" s="13"/>
      <c r="C51" s="13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</row>
    <row r="52" spans="2:15">
      <c r="B52" s="102"/>
      <c r="C52" s="102" t="s">
        <v>15</v>
      </c>
      <c r="D52" s="295">
        <f t="shared" ref="D52:O52" si="7">SUM(D44:D51)</f>
        <v>964</v>
      </c>
      <c r="E52" s="295">
        <f t="shared" si="7"/>
        <v>899.60939060939063</v>
      </c>
      <c r="F52" s="295">
        <f t="shared" si="7"/>
        <v>176</v>
      </c>
      <c r="G52" s="295">
        <f t="shared" si="7"/>
        <v>159.37728937728937</v>
      </c>
      <c r="H52" s="295">
        <f t="shared" si="7"/>
        <v>26</v>
      </c>
      <c r="I52" s="295">
        <f t="shared" si="7"/>
        <v>23.927072927072928</v>
      </c>
      <c r="J52" s="295">
        <f t="shared" si="7"/>
        <v>24</v>
      </c>
      <c r="K52" s="295">
        <f t="shared" si="7"/>
        <v>21.447552447552447</v>
      </c>
      <c r="L52" s="295">
        <f t="shared" si="7"/>
        <v>1.5</v>
      </c>
      <c r="M52" s="295">
        <f t="shared" si="7"/>
        <v>1.4395604395604396</v>
      </c>
      <c r="N52" s="295">
        <f t="shared" si="7"/>
        <v>155</v>
      </c>
      <c r="O52" s="295">
        <f t="shared" si="7"/>
        <v>144.44089244089244</v>
      </c>
    </row>
    <row r="54" spans="2:15">
      <c r="B54" s="101" t="s">
        <v>26</v>
      </c>
      <c r="C54" s="101" t="s">
        <v>27</v>
      </c>
      <c r="D54" s="101" t="s">
        <v>28</v>
      </c>
    </row>
    <row r="55" spans="2:15">
      <c r="B55" s="13" t="s">
        <v>29</v>
      </c>
      <c r="C55" s="13">
        <f>DCG!C8</f>
        <v>1005</v>
      </c>
      <c r="D55" s="13">
        <f>DCG!D25</f>
        <v>862</v>
      </c>
    </row>
    <row r="56" spans="2:15">
      <c r="B56" s="13" t="s">
        <v>30</v>
      </c>
      <c r="C56" s="13">
        <v>310</v>
      </c>
      <c r="D56" s="13">
        <v>310</v>
      </c>
    </row>
    <row r="57" spans="2:15">
      <c r="B57" s="13" t="s">
        <v>31</v>
      </c>
      <c r="C57" s="13">
        <v>15</v>
      </c>
      <c r="D57" s="13">
        <v>15</v>
      </c>
    </row>
    <row r="58" spans="2:15">
      <c r="B58" s="13" t="s">
        <v>32</v>
      </c>
      <c r="C58" s="13">
        <v>7</v>
      </c>
      <c r="D58" s="13">
        <v>7</v>
      </c>
    </row>
    <row r="59" spans="2:15">
      <c r="B59" s="13"/>
      <c r="C59" s="13"/>
      <c r="D59" s="13"/>
    </row>
    <row r="60" spans="2:15">
      <c r="B60" s="102" t="s">
        <v>15</v>
      </c>
      <c r="C60" s="102">
        <f>SUM(C55:C59)</f>
        <v>1337</v>
      </c>
      <c r="D60" s="102">
        <f>SUM(D55:D59)</f>
        <v>1194</v>
      </c>
    </row>
  </sheetData>
  <mergeCells count="26">
    <mergeCell ref="B3:I3"/>
    <mergeCell ref="B16:I16"/>
    <mergeCell ref="B29:I29"/>
    <mergeCell ref="B30:B31"/>
    <mergeCell ref="C30:C31"/>
    <mergeCell ref="D30:E30"/>
    <mergeCell ref="F30:G30"/>
    <mergeCell ref="H30:I30"/>
    <mergeCell ref="H17:I17"/>
    <mergeCell ref="B17:B18"/>
    <mergeCell ref="C17:C18"/>
    <mergeCell ref="D17:E17"/>
    <mergeCell ref="F17:G17"/>
    <mergeCell ref="B4:B5"/>
    <mergeCell ref="C4:C5"/>
    <mergeCell ref="B42:B43"/>
    <mergeCell ref="C42:C43"/>
    <mergeCell ref="D42:E42"/>
    <mergeCell ref="F42:G42"/>
    <mergeCell ref="H42:I42"/>
    <mergeCell ref="J42:K42"/>
    <mergeCell ref="L42:M42"/>
    <mergeCell ref="N42:O42"/>
    <mergeCell ref="D4:E4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AFDD-FA9F-458A-9F88-8A8F8B0C2F95}">
  <dimension ref="A2:J49"/>
  <sheetViews>
    <sheetView topLeftCell="A17" workbookViewId="0">
      <selection activeCell="G14" sqref="G14"/>
    </sheetView>
  </sheetViews>
  <sheetFormatPr defaultColWidth="10.75" defaultRowHeight="15.6"/>
  <cols>
    <col min="1" max="1" width="12.75" style="1" bestFit="1" customWidth="1"/>
    <col min="2" max="2" width="27.75" style="1" bestFit="1" customWidth="1"/>
    <col min="3" max="3" width="20.375" style="1" bestFit="1" customWidth="1"/>
    <col min="4" max="4" width="21.25" style="1" bestFit="1" customWidth="1"/>
    <col min="5" max="5" width="17.125" style="1" bestFit="1" customWidth="1"/>
    <col min="6" max="6" width="14.875" style="1" bestFit="1" customWidth="1"/>
    <col min="7" max="16384" width="10.75" style="1"/>
  </cols>
  <sheetData>
    <row r="2" spans="1:10">
      <c r="A2" s="7" t="s">
        <v>33</v>
      </c>
      <c r="B2" s="7" t="s">
        <v>19</v>
      </c>
    </row>
    <row r="4" spans="1:10">
      <c r="A4" s="8" t="s">
        <v>34</v>
      </c>
      <c r="B4" s="8" t="s">
        <v>35</v>
      </c>
    </row>
    <row r="6" spans="1:10">
      <c r="A6" s="351" t="s">
        <v>36</v>
      </c>
      <c r="B6" s="352"/>
      <c r="C6" s="353"/>
    </row>
    <row r="7" spans="1:10">
      <c r="A7" s="5" t="s">
        <v>1</v>
      </c>
      <c r="B7" s="5" t="s">
        <v>37</v>
      </c>
      <c r="C7" s="5" t="s">
        <v>38</v>
      </c>
    </row>
    <row r="8" spans="1:10">
      <c r="A8" s="2"/>
      <c r="B8" s="2" t="s">
        <v>39</v>
      </c>
      <c r="C8" s="2">
        <v>1005</v>
      </c>
    </row>
    <row r="9" spans="1:10">
      <c r="A9" s="2"/>
      <c r="B9" s="2" t="s">
        <v>40</v>
      </c>
      <c r="C9" s="12">
        <v>0.05</v>
      </c>
    </row>
    <row r="10" spans="1:10">
      <c r="A10" s="2"/>
      <c r="B10" s="2" t="s">
        <v>41</v>
      </c>
      <c r="C10" s="2">
        <v>15</v>
      </c>
    </row>
    <row r="12" spans="1:10">
      <c r="A12" s="354" t="s">
        <v>42</v>
      </c>
      <c r="B12" s="354"/>
      <c r="C12" s="354"/>
      <c r="D12" s="354"/>
      <c r="E12" s="354"/>
      <c r="F12" s="354"/>
    </row>
    <row r="13" spans="1:10">
      <c r="A13" s="5" t="s">
        <v>1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47</v>
      </c>
      <c r="G13" s="2" t="s">
        <v>48</v>
      </c>
      <c r="H13" s="2" t="s">
        <v>49</v>
      </c>
      <c r="I13" s="2" t="s">
        <v>50</v>
      </c>
      <c r="J13" s="2" t="s">
        <v>51</v>
      </c>
    </row>
    <row r="14" spans="1:10">
      <c r="A14" s="9">
        <v>1</v>
      </c>
      <c r="B14" s="2" t="s">
        <v>52</v>
      </c>
      <c r="C14" s="2" t="s">
        <v>53</v>
      </c>
      <c r="D14" s="13">
        <v>500</v>
      </c>
      <c r="E14" s="2"/>
      <c r="F14" s="2"/>
      <c r="G14" s="2"/>
      <c r="H14" s="2"/>
      <c r="I14" s="2"/>
      <c r="J14" s="2"/>
    </row>
    <row r="15" spans="1:10">
      <c r="A15" s="9">
        <v>2</v>
      </c>
      <c r="B15" s="2" t="s">
        <v>54</v>
      </c>
      <c r="C15" s="2" t="s">
        <v>55</v>
      </c>
      <c r="D15" s="13">
        <v>40</v>
      </c>
      <c r="E15" s="2"/>
      <c r="F15" s="2"/>
      <c r="G15" s="9">
        <v>5</v>
      </c>
      <c r="H15" s="9">
        <v>10</v>
      </c>
      <c r="I15" s="9">
        <v>12.5</v>
      </c>
      <c r="J15" s="9">
        <v>12.5</v>
      </c>
    </row>
    <row r="16" spans="1:10">
      <c r="A16" s="9">
        <v>3</v>
      </c>
      <c r="B16" s="2" t="s">
        <v>56</v>
      </c>
      <c r="C16" s="2" t="s">
        <v>57</v>
      </c>
      <c r="D16" s="13">
        <v>50</v>
      </c>
      <c r="E16" s="2"/>
      <c r="F16" s="2"/>
      <c r="G16" s="9">
        <v>10</v>
      </c>
      <c r="H16" s="9">
        <v>5</v>
      </c>
      <c r="I16" s="9">
        <v>12.5</v>
      </c>
      <c r="J16" s="9">
        <v>12.5</v>
      </c>
    </row>
    <row r="17" spans="1:10">
      <c r="A17" s="9">
        <v>4</v>
      </c>
      <c r="B17" s="2" t="s">
        <v>58</v>
      </c>
      <c r="C17" s="2" t="s">
        <v>57</v>
      </c>
      <c r="D17" s="13">
        <v>40</v>
      </c>
      <c r="E17" s="2"/>
      <c r="F17" s="2"/>
      <c r="G17" s="9">
        <v>8</v>
      </c>
      <c r="H17" s="9">
        <v>5</v>
      </c>
      <c r="I17" s="9">
        <v>12.5</v>
      </c>
      <c r="J17" s="9">
        <v>14.5</v>
      </c>
    </row>
    <row r="18" spans="1:10">
      <c r="A18" s="9">
        <v>5</v>
      </c>
      <c r="B18" s="2" t="s">
        <v>59</v>
      </c>
      <c r="C18" s="2" t="s">
        <v>53</v>
      </c>
      <c r="D18" s="13">
        <v>100</v>
      </c>
      <c r="E18" s="2"/>
      <c r="F18" s="2"/>
      <c r="G18" s="2"/>
      <c r="H18" s="2"/>
      <c r="I18" s="2"/>
      <c r="J18" s="2"/>
    </row>
    <row r="19" spans="1:10">
      <c r="A19" s="9">
        <v>6</v>
      </c>
      <c r="B19" s="2" t="s">
        <v>60</v>
      </c>
      <c r="C19" s="2" t="s">
        <v>57</v>
      </c>
      <c r="D19" s="13">
        <v>10</v>
      </c>
      <c r="E19" s="2"/>
      <c r="F19" s="2"/>
      <c r="G19" s="9">
        <v>2.5</v>
      </c>
      <c r="H19" s="9">
        <v>2.5</v>
      </c>
      <c r="I19" s="9">
        <v>2.5</v>
      </c>
      <c r="J19" s="9">
        <v>2.5</v>
      </c>
    </row>
    <row r="20" spans="1:10">
      <c r="A20" s="9">
        <v>7</v>
      </c>
      <c r="B20" s="2" t="s">
        <v>61</v>
      </c>
      <c r="C20" s="2" t="s">
        <v>57</v>
      </c>
      <c r="D20" s="13">
        <v>40</v>
      </c>
      <c r="E20" s="2"/>
      <c r="F20" s="2"/>
      <c r="G20" s="9">
        <v>5</v>
      </c>
      <c r="H20" s="9">
        <v>12.5</v>
      </c>
      <c r="I20" s="9">
        <v>10</v>
      </c>
      <c r="J20" s="9">
        <v>12.5</v>
      </c>
    </row>
    <row r="21" spans="1:10">
      <c r="A21" s="9">
        <v>8</v>
      </c>
      <c r="B21" s="2" t="s">
        <v>62</v>
      </c>
      <c r="C21" s="2" t="s">
        <v>57</v>
      </c>
      <c r="D21" s="13">
        <v>7</v>
      </c>
      <c r="E21" s="2"/>
      <c r="F21" s="2"/>
      <c r="G21" s="9">
        <v>1</v>
      </c>
      <c r="H21" s="9">
        <v>2</v>
      </c>
      <c r="I21" s="9">
        <v>2</v>
      </c>
      <c r="J21" s="9">
        <v>2</v>
      </c>
    </row>
    <row r="22" spans="1:10">
      <c r="A22" s="9">
        <v>9</v>
      </c>
      <c r="B22" s="2" t="s">
        <v>63</v>
      </c>
      <c r="C22" s="2" t="s">
        <v>57</v>
      </c>
      <c r="D22" s="13">
        <v>30</v>
      </c>
      <c r="E22" s="2"/>
      <c r="F22" s="2"/>
      <c r="G22" s="9">
        <v>0</v>
      </c>
      <c r="H22" s="9">
        <v>10</v>
      </c>
      <c r="I22" s="9">
        <v>10</v>
      </c>
      <c r="J22" s="9">
        <v>10</v>
      </c>
    </row>
    <row r="23" spans="1:10">
      <c r="A23" s="9">
        <v>10</v>
      </c>
      <c r="B23" s="2" t="s">
        <v>64</v>
      </c>
      <c r="C23" s="2" t="s">
        <v>57</v>
      </c>
      <c r="D23" s="13">
        <v>40</v>
      </c>
      <c r="E23" s="2"/>
      <c r="F23" s="2"/>
      <c r="G23" s="9">
        <v>8</v>
      </c>
      <c r="H23" s="9">
        <v>10</v>
      </c>
      <c r="I23" s="9">
        <v>12</v>
      </c>
      <c r="J23" s="9">
        <v>10</v>
      </c>
    </row>
    <row r="24" spans="1:10">
      <c r="A24" s="9">
        <v>11</v>
      </c>
      <c r="B24" s="2" t="s">
        <v>65</v>
      </c>
      <c r="C24" s="2" t="s">
        <v>57</v>
      </c>
      <c r="D24" s="13">
        <v>5</v>
      </c>
      <c r="E24" s="2"/>
      <c r="F24" s="2"/>
      <c r="G24" s="9">
        <v>1</v>
      </c>
      <c r="H24" s="9">
        <v>1</v>
      </c>
      <c r="I24" s="9">
        <v>1.5</v>
      </c>
      <c r="J24" s="9">
        <v>1.5</v>
      </c>
    </row>
    <row r="25" spans="1:10">
      <c r="A25" s="9"/>
      <c r="B25" s="2" t="s">
        <v>15</v>
      </c>
      <c r="C25" s="2"/>
      <c r="D25" s="13">
        <f>SUM(D14:D24)</f>
        <v>862</v>
      </c>
      <c r="E25" s="2"/>
      <c r="F25" s="2"/>
      <c r="G25" s="9"/>
      <c r="H25" s="9"/>
      <c r="I25" s="9"/>
      <c r="J25" s="9"/>
    </row>
    <row r="26" spans="1:10">
      <c r="A26" s="45"/>
      <c r="D26"/>
      <c r="G26" s="45"/>
      <c r="H26" s="45"/>
      <c r="I26" s="45"/>
      <c r="J26" s="45"/>
    </row>
    <row r="28" spans="1:10">
      <c r="A28" s="351" t="s">
        <v>66</v>
      </c>
      <c r="B28" s="352"/>
      <c r="C28" s="353"/>
    </row>
    <row r="29" spans="1:10" ht="31.15">
      <c r="A29" s="5" t="s">
        <v>67</v>
      </c>
      <c r="B29" s="5" t="s">
        <v>68</v>
      </c>
      <c r="C29" s="6" t="s">
        <v>69</v>
      </c>
      <c r="D29" s="3"/>
    </row>
    <row r="30" spans="1:10">
      <c r="A30" s="2"/>
      <c r="B30" s="2" t="s">
        <v>70</v>
      </c>
      <c r="C30" s="2">
        <v>500</v>
      </c>
    </row>
    <row r="31" spans="1:10">
      <c r="A31" s="2"/>
      <c r="B31" s="2" t="s">
        <v>71</v>
      </c>
      <c r="C31" s="2">
        <v>225</v>
      </c>
    </row>
    <row r="32" spans="1:10">
      <c r="A32" s="2"/>
      <c r="B32" s="2" t="s">
        <v>72</v>
      </c>
      <c r="C32" s="2">
        <v>30</v>
      </c>
    </row>
    <row r="33" spans="1:3">
      <c r="A33" s="2"/>
      <c r="B33" s="2" t="s">
        <v>73</v>
      </c>
      <c r="C33" s="2">
        <v>10</v>
      </c>
    </row>
    <row r="34" spans="1:3">
      <c r="A34" s="2"/>
      <c r="B34" s="11" t="s">
        <v>74</v>
      </c>
      <c r="C34" s="2">
        <v>10</v>
      </c>
    </row>
    <row r="35" spans="1:3">
      <c r="A35" s="2"/>
      <c r="B35" s="11" t="s">
        <v>75</v>
      </c>
      <c r="C35" s="2">
        <v>10</v>
      </c>
    </row>
    <row r="36" spans="1:3">
      <c r="A36" s="2"/>
      <c r="B36" s="2" t="s">
        <v>12</v>
      </c>
      <c r="C36" s="2">
        <v>35</v>
      </c>
    </row>
    <row r="37" spans="1:3">
      <c r="A37" s="2"/>
      <c r="B37" s="2" t="s">
        <v>76</v>
      </c>
      <c r="C37" s="2">
        <v>200</v>
      </c>
    </row>
    <row r="38" spans="1:3">
      <c r="A38" s="2"/>
      <c r="B38" s="4" t="s">
        <v>15</v>
      </c>
      <c r="C38" s="4">
        <f>SUM(C30:C37)</f>
        <v>1020</v>
      </c>
    </row>
    <row r="41" spans="1:3">
      <c r="A41" s="351" t="s">
        <v>77</v>
      </c>
      <c r="B41" s="352"/>
      <c r="C41" s="353"/>
    </row>
    <row r="42" spans="1:3">
      <c r="A42" s="5" t="s">
        <v>67</v>
      </c>
      <c r="B42" s="5" t="s">
        <v>78</v>
      </c>
      <c r="C42" s="5" t="s">
        <v>79</v>
      </c>
    </row>
    <row r="43" spans="1:3">
      <c r="A43" s="9">
        <v>1</v>
      </c>
      <c r="B43" s="10" t="s">
        <v>80</v>
      </c>
      <c r="C43" s="2"/>
    </row>
    <row r="44" spans="1:3">
      <c r="A44" s="9">
        <v>2</v>
      </c>
      <c r="B44" s="10" t="s">
        <v>81</v>
      </c>
      <c r="C44" s="2"/>
    </row>
    <row r="45" spans="1:3">
      <c r="A45" s="9">
        <v>3</v>
      </c>
      <c r="B45" s="10" t="s">
        <v>82</v>
      </c>
      <c r="C45" s="2"/>
    </row>
    <row r="46" spans="1:3">
      <c r="A46" s="9">
        <v>4</v>
      </c>
      <c r="B46" s="10" t="s">
        <v>83</v>
      </c>
      <c r="C46" s="2"/>
    </row>
    <row r="47" spans="1:3">
      <c r="A47" s="9">
        <v>5</v>
      </c>
      <c r="B47" s="10" t="s">
        <v>84</v>
      </c>
      <c r="C47" s="2"/>
    </row>
    <row r="48" spans="1:3">
      <c r="A48" s="9">
        <v>6</v>
      </c>
      <c r="B48" s="10" t="s">
        <v>85</v>
      </c>
      <c r="C48" s="2"/>
    </row>
    <row r="49" spans="1:3">
      <c r="A49" s="9">
        <v>7</v>
      </c>
      <c r="B49" s="10" t="s">
        <v>86</v>
      </c>
      <c r="C49" s="2"/>
    </row>
  </sheetData>
  <mergeCells count="4">
    <mergeCell ref="A6:C6"/>
    <mergeCell ref="A28:C28"/>
    <mergeCell ref="A12:F12"/>
    <mergeCell ref="A41:C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817F-C6F3-4EB2-8828-E766AAA091A2}">
  <dimension ref="A2:M46"/>
  <sheetViews>
    <sheetView topLeftCell="A16" zoomScale="80" zoomScaleNormal="80" workbookViewId="0">
      <selection activeCell="D39" sqref="D39"/>
    </sheetView>
  </sheetViews>
  <sheetFormatPr defaultColWidth="8.75" defaultRowHeight="14.45"/>
  <cols>
    <col min="1" max="1" width="8.75" style="29"/>
    <col min="2" max="2" width="20.75" style="30" customWidth="1"/>
    <col min="3" max="3" width="8.25" style="29" bestFit="1" customWidth="1"/>
    <col min="4" max="4" width="14.25" style="28" bestFit="1" customWidth="1"/>
    <col min="5" max="8" width="11.375" style="28" customWidth="1"/>
    <col min="9" max="9" width="13.25" style="29" customWidth="1"/>
    <col min="10" max="10" width="15.625" style="29" customWidth="1"/>
    <col min="11" max="13" width="20.25" style="30" customWidth="1"/>
    <col min="14" max="16384" width="8.75" style="30"/>
  </cols>
  <sheetData>
    <row r="2" spans="1:13" ht="15.6">
      <c r="A2" s="358" t="s">
        <v>87</v>
      </c>
      <c r="B2" s="358"/>
      <c r="C2" s="358"/>
      <c r="D2" s="358"/>
    </row>
    <row r="3" spans="1:13">
      <c r="A3" s="359" t="s">
        <v>88</v>
      </c>
      <c r="B3" s="359"/>
      <c r="C3" s="359"/>
      <c r="D3" s="31" t="s">
        <v>89</v>
      </c>
    </row>
    <row r="4" spans="1:13">
      <c r="A4" s="360" t="s">
        <v>39</v>
      </c>
      <c r="B4" s="360"/>
      <c r="C4" s="360"/>
      <c r="D4" s="32">
        <v>310</v>
      </c>
    </row>
    <row r="5" spans="1:13">
      <c r="A5" s="360" t="s">
        <v>40</v>
      </c>
      <c r="B5" s="360"/>
      <c r="C5" s="360"/>
      <c r="D5" s="33">
        <f>D4*8%</f>
        <v>24.8</v>
      </c>
    </row>
    <row r="6" spans="1:13">
      <c r="A6" s="360" t="s">
        <v>41</v>
      </c>
      <c r="B6" s="360"/>
      <c r="C6" s="360"/>
      <c r="D6" s="33">
        <f>D4*2%</f>
        <v>6.2</v>
      </c>
    </row>
    <row r="8" spans="1:13">
      <c r="B8" s="34"/>
      <c r="K8" s="357" t="s">
        <v>90</v>
      </c>
      <c r="L8" s="357"/>
      <c r="M8" s="357"/>
    </row>
    <row r="9" spans="1:13">
      <c r="A9" s="36" t="s">
        <v>91</v>
      </c>
      <c r="B9" s="37" t="s">
        <v>88</v>
      </c>
      <c r="C9" s="35" t="s">
        <v>92</v>
      </c>
      <c r="D9" s="31" t="s">
        <v>93</v>
      </c>
      <c r="E9" s="31" t="s">
        <v>94</v>
      </c>
      <c r="F9" s="31" t="s">
        <v>95</v>
      </c>
      <c r="G9" s="31" t="s">
        <v>96</v>
      </c>
      <c r="H9" s="31" t="s">
        <v>97</v>
      </c>
      <c r="I9" s="35" t="s">
        <v>98</v>
      </c>
      <c r="J9" s="35" t="s">
        <v>99</v>
      </c>
      <c r="K9" s="38" t="s">
        <v>100</v>
      </c>
      <c r="L9" s="38" t="s">
        <v>101</v>
      </c>
      <c r="M9" s="38" t="s">
        <v>102</v>
      </c>
    </row>
    <row r="10" spans="1:13">
      <c r="A10" s="39">
        <v>1</v>
      </c>
      <c r="B10" s="40" t="s">
        <v>103</v>
      </c>
      <c r="C10" s="39" t="s">
        <v>104</v>
      </c>
      <c r="D10" s="33">
        <v>5</v>
      </c>
      <c r="E10" s="33">
        <f>D10*0.15</f>
        <v>0.75</v>
      </c>
      <c r="F10" s="33">
        <f>D10*0.2</f>
        <v>1</v>
      </c>
      <c r="G10" s="33">
        <f>D10*0.4</f>
        <v>2</v>
      </c>
      <c r="H10" s="33">
        <f>D10*0.25</f>
        <v>1.25</v>
      </c>
      <c r="I10" s="39" t="s">
        <v>105</v>
      </c>
      <c r="J10" s="39" t="s">
        <v>105</v>
      </c>
      <c r="K10" s="40" t="s">
        <v>106</v>
      </c>
      <c r="L10" s="40" t="s">
        <v>107</v>
      </c>
      <c r="M10" s="40" t="s">
        <v>108</v>
      </c>
    </row>
    <row r="11" spans="1:13">
      <c r="A11" s="39">
        <v>2</v>
      </c>
      <c r="B11" s="40" t="s">
        <v>109</v>
      </c>
      <c r="C11" s="39" t="s">
        <v>110</v>
      </c>
      <c r="D11" s="33">
        <v>2.5</v>
      </c>
      <c r="E11" s="33">
        <f>D11*0.15</f>
        <v>0.375</v>
      </c>
      <c r="F11" s="33">
        <f>D11*0.2</f>
        <v>0.5</v>
      </c>
      <c r="G11" s="33">
        <f>D11*0.4</f>
        <v>1</v>
      </c>
      <c r="H11" s="33">
        <f>D11*0.25</f>
        <v>0.625</v>
      </c>
      <c r="I11" s="41" t="s">
        <v>111</v>
      </c>
      <c r="J11" s="39" t="s">
        <v>112</v>
      </c>
      <c r="K11" s="40" t="s">
        <v>113</v>
      </c>
      <c r="L11" s="40" t="s">
        <v>114</v>
      </c>
      <c r="M11" s="40"/>
    </row>
    <row r="12" spans="1:13">
      <c r="A12" s="39">
        <v>3</v>
      </c>
      <c r="B12" s="40" t="s">
        <v>115</v>
      </c>
      <c r="C12" s="39" t="s">
        <v>104</v>
      </c>
      <c r="D12" s="33">
        <v>5</v>
      </c>
      <c r="E12" s="33">
        <f t="shared" ref="E12:E34" si="0">D12*0.15</f>
        <v>0.75</v>
      </c>
      <c r="F12" s="33">
        <f t="shared" ref="F12:F34" si="1">D12*0.2</f>
        <v>1</v>
      </c>
      <c r="G12" s="33">
        <f t="shared" ref="G12:G34" si="2">D12*0.3</f>
        <v>1.5</v>
      </c>
      <c r="H12" s="33">
        <f t="shared" ref="H12:H34" si="3">D12*0.35</f>
        <v>1.75</v>
      </c>
      <c r="I12" s="39" t="s">
        <v>116</v>
      </c>
      <c r="J12" s="39" t="s">
        <v>117</v>
      </c>
      <c r="K12" s="40" t="s">
        <v>118</v>
      </c>
      <c r="L12" s="40" t="s">
        <v>119</v>
      </c>
      <c r="M12" s="40"/>
    </row>
    <row r="13" spans="1:13">
      <c r="A13" s="39">
        <v>4</v>
      </c>
      <c r="B13" s="40" t="s">
        <v>120</v>
      </c>
      <c r="C13" s="39" t="s">
        <v>121</v>
      </c>
      <c r="D13" s="33">
        <v>15</v>
      </c>
      <c r="E13" s="33">
        <f t="shared" si="0"/>
        <v>2.25</v>
      </c>
      <c r="F13" s="33">
        <f t="shared" si="1"/>
        <v>3</v>
      </c>
      <c r="G13" s="33">
        <f t="shared" si="2"/>
        <v>4.5</v>
      </c>
      <c r="H13" s="33">
        <f t="shared" si="3"/>
        <v>5.25</v>
      </c>
      <c r="I13" s="39" t="s">
        <v>122</v>
      </c>
      <c r="J13" s="39" t="s">
        <v>123</v>
      </c>
      <c r="K13" s="40" t="s">
        <v>119</v>
      </c>
      <c r="L13" s="40" t="s">
        <v>124</v>
      </c>
      <c r="M13" s="40"/>
    </row>
    <row r="14" spans="1:13">
      <c r="A14" s="39">
        <v>5</v>
      </c>
      <c r="B14" s="40" t="s">
        <v>125</v>
      </c>
      <c r="C14" s="39" t="s">
        <v>121</v>
      </c>
      <c r="D14" s="33">
        <v>50</v>
      </c>
      <c r="E14" s="33">
        <f t="shared" si="0"/>
        <v>7.5</v>
      </c>
      <c r="F14" s="33">
        <f t="shared" si="1"/>
        <v>10</v>
      </c>
      <c r="G14" s="33">
        <f t="shared" si="2"/>
        <v>15</v>
      </c>
      <c r="H14" s="33">
        <f t="shared" si="3"/>
        <v>17.5</v>
      </c>
      <c r="I14" s="39" t="s">
        <v>105</v>
      </c>
      <c r="J14" s="39" t="s">
        <v>105</v>
      </c>
      <c r="K14" s="40" t="s">
        <v>126</v>
      </c>
      <c r="L14" s="40" t="s">
        <v>127</v>
      </c>
      <c r="M14" s="40" t="s">
        <v>128</v>
      </c>
    </row>
    <row r="15" spans="1:13">
      <c r="A15" s="39">
        <v>6</v>
      </c>
      <c r="B15" s="40" t="s">
        <v>129</v>
      </c>
      <c r="C15" s="39" t="s">
        <v>104</v>
      </c>
      <c r="D15" s="33">
        <v>30</v>
      </c>
      <c r="E15" s="33">
        <f t="shared" si="0"/>
        <v>4.5</v>
      </c>
      <c r="F15" s="33">
        <f t="shared" si="1"/>
        <v>6</v>
      </c>
      <c r="G15" s="33">
        <f t="shared" si="2"/>
        <v>9</v>
      </c>
      <c r="H15" s="33">
        <f t="shared" si="3"/>
        <v>10.5</v>
      </c>
      <c r="I15" s="39" t="s">
        <v>130</v>
      </c>
      <c r="J15" s="39" t="s">
        <v>130</v>
      </c>
      <c r="K15" s="40" t="s">
        <v>131</v>
      </c>
      <c r="L15" s="40" t="s">
        <v>126</v>
      </c>
      <c r="M15" s="40" t="s">
        <v>128</v>
      </c>
    </row>
    <row r="16" spans="1:13">
      <c r="A16" s="39">
        <v>7</v>
      </c>
      <c r="B16" s="40" t="s">
        <v>132</v>
      </c>
      <c r="C16" s="39" t="s">
        <v>110</v>
      </c>
      <c r="D16" s="33">
        <v>20</v>
      </c>
      <c r="E16" s="33">
        <f>D16*0.15</f>
        <v>3</v>
      </c>
      <c r="F16" s="33">
        <f>D16*0.2</f>
        <v>4</v>
      </c>
      <c r="G16" s="33">
        <f>D16*0.4</f>
        <v>8</v>
      </c>
      <c r="H16" s="33">
        <f>D16*0.25</f>
        <v>5</v>
      </c>
      <c r="I16" s="39" t="s">
        <v>133</v>
      </c>
      <c r="J16" s="39" t="s">
        <v>134</v>
      </c>
      <c r="K16" s="40" t="s">
        <v>135</v>
      </c>
      <c r="L16" s="40" t="s">
        <v>136</v>
      </c>
      <c r="M16" s="40"/>
    </row>
    <row r="17" spans="1:13">
      <c r="A17" s="39">
        <v>8</v>
      </c>
      <c r="B17" s="40" t="s">
        <v>137</v>
      </c>
      <c r="C17" s="39" t="s">
        <v>110</v>
      </c>
      <c r="D17" s="33">
        <v>5</v>
      </c>
      <c r="E17" s="33">
        <f>D17*0.15</f>
        <v>0.75</v>
      </c>
      <c r="F17" s="33">
        <f>D17*0.2</f>
        <v>1</v>
      </c>
      <c r="G17" s="33">
        <f>D17*0.4</f>
        <v>2</v>
      </c>
      <c r="H17" s="33">
        <f>D17*0.25</f>
        <v>1.25</v>
      </c>
      <c r="I17" s="41" t="s">
        <v>111</v>
      </c>
      <c r="J17" s="39" t="s">
        <v>116</v>
      </c>
      <c r="K17" s="40" t="s">
        <v>138</v>
      </c>
      <c r="L17" s="40" t="s">
        <v>139</v>
      </c>
      <c r="M17" s="40" t="s">
        <v>140</v>
      </c>
    </row>
    <row r="18" spans="1:13">
      <c r="A18" s="39">
        <v>9</v>
      </c>
      <c r="B18" s="40" t="s">
        <v>141</v>
      </c>
      <c r="C18" s="39" t="s">
        <v>110</v>
      </c>
      <c r="D18" s="33">
        <v>10</v>
      </c>
      <c r="E18" s="33">
        <f t="shared" si="0"/>
        <v>1.5</v>
      </c>
      <c r="F18" s="33">
        <f>D18*0.25</f>
        <v>2.5</v>
      </c>
      <c r="G18" s="33">
        <f>D18*0.25</f>
        <v>2.5</v>
      </c>
      <c r="H18" s="33">
        <f t="shared" si="3"/>
        <v>3.5</v>
      </c>
      <c r="I18" s="41" t="s">
        <v>116</v>
      </c>
      <c r="J18" s="39" t="s">
        <v>122</v>
      </c>
      <c r="K18" s="40" t="s">
        <v>142</v>
      </c>
      <c r="L18" s="40" t="s">
        <v>143</v>
      </c>
      <c r="M18" s="40" t="s">
        <v>108</v>
      </c>
    </row>
    <row r="19" spans="1:13">
      <c r="A19" s="39">
        <v>10</v>
      </c>
      <c r="B19" s="40" t="s">
        <v>144</v>
      </c>
      <c r="C19" s="39" t="s">
        <v>104</v>
      </c>
      <c r="D19" s="33">
        <v>15</v>
      </c>
      <c r="E19" s="33">
        <f>D19*0.15</f>
        <v>2.25</v>
      </c>
      <c r="F19" s="33">
        <f>D19*0.2</f>
        <v>3</v>
      </c>
      <c r="G19" s="33">
        <f>D19*0.4</f>
        <v>6</v>
      </c>
      <c r="H19" s="33">
        <f>D19*0.25</f>
        <v>3.75</v>
      </c>
      <c r="I19" s="39" t="s">
        <v>116</v>
      </c>
      <c r="J19" s="39" t="s">
        <v>145</v>
      </c>
      <c r="K19" s="40" t="s">
        <v>146</v>
      </c>
      <c r="L19" s="40" t="s">
        <v>147</v>
      </c>
      <c r="M19" s="40"/>
    </row>
    <row r="20" spans="1:13">
      <c r="A20" s="39">
        <v>11</v>
      </c>
      <c r="B20" s="40" t="s">
        <v>148</v>
      </c>
      <c r="C20" s="39" t="s">
        <v>104</v>
      </c>
      <c r="D20" s="33">
        <v>10</v>
      </c>
      <c r="E20" s="33">
        <f>D20*0.15</f>
        <v>1.5</v>
      </c>
      <c r="F20" s="33">
        <f>D20*0.2</f>
        <v>2</v>
      </c>
      <c r="G20" s="33">
        <f>D20*0.4</f>
        <v>4</v>
      </c>
      <c r="H20" s="33">
        <f>D20*0.25</f>
        <v>2.5</v>
      </c>
      <c r="I20" s="39" t="s">
        <v>149</v>
      </c>
      <c r="J20" s="39" t="s">
        <v>149</v>
      </c>
      <c r="K20" s="40" t="s">
        <v>126</v>
      </c>
      <c r="L20" s="40" t="s">
        <v>108</v>
      </c>
      <c r="M20" s="40" t="s">
        <v>127</v>
      </c>
    </row>
    <row r="21" spans="1:13">
      <c r="A21" s="39">
        <v>12</v>
      </c>
      <c r="B21" s="40" t="s">
        <v>150</v>
      </c>
      <c r="C21" s="39" t="s">
        <v>104</v>
      </c>
      <c r="D21" s="33">
        <v>10</v>
      </c>
      <c r="E21" s="33">
        <f t="shared" si="0"/>
        <v>1.5</v>
      </c>
      <c r="F21" s="33">
        <f t="shared" si="1"/>
        <v>2</v>
      </c>
      <c r="G21" s="33">
        <f t="shared" si="2"/>
        <v>3</v>
      </c>
      <c r="H21" s="33">
        <f t="shared" si="3"/>
        <v>3.5</v>
      </c>
      <c r="I21" s="39" t="s">
        <v>151</v>
      </c>
      <c r="J21" s="39" t="s">
        <v>152</v>
      </c>
      <c r="K21" s="40" t="s">
        <v>153</v>
      </c>
      <c r="L21" s="40"/>
      <c r="M21" s="40"/>
    </row>
    <row r="22" spans="1:13">
      <c r="A22" s="39">
        <v>13</v>
      </c>
      <c r="B22" s="40" t="s">
        <v>154</v>
      </c>
      <c r="C22" s="39" t="s">
        <v>121</v>
      </c>
      <c r="D22" s="33">
        <v>10</v>
      </c>
      <c r="E22" s="33">
        <f t="shared" si="0"/>
        <v>1.5</v>
      </c>
      <c r="F22" s="33">
        <f t="shared" si="1"/>
        <v>2</v>
      </c>
      <c r="G22" s="33">
        <f t="shared" si="2"/>
        <v>3</v>
      </c>
      <c r="H22" s="33">
        <f t="shared" si="3"/>
        <v>3.5</v>
      </c>
      <c r="I22" s="39" t="s">
        <v>122</v>
      </c>
      <c r="J22" s="39" t="s">
        <v>122</v>
      </c>
      <c r="K22" s="40" t="s">
        <v>155</v>
      </c>
      <c r="L22" s="40" t="s">
        <v>156</v>
      </c>
      <c r="M22" s="40" t="s">
        <v>157</v>
      </c>
    </row>
    <row r="23" spans="1:13">
      <c r="A23" s="39">
        <v>14</v>
      </c>
      <c r="B23" s="40" t="s">
        <v>158</v>
      </c>
      <c r="C23" s="39" t="s">
        <v>110</v>
      </c>
      <c r="D23" s="33">
        <v>15</v>
      </c>
      <c r="E23" s="33">
        <f>D23*0.15</f>
        <v>2.25</v>
      </c>
      <c r="F23" s="33">
        <f>D23*0.2</f>
        <v>3</v>
      </c>
      <c r="G23" s="33">
        <f>D23*0.4</f>
        <v>6</v>
      </c>
      <c r="H23" s="33">
        <f>D23*0.25</f>
        <v>3.75</v>
      </c>
      <c r="I23" s="41" t="s">
        <v>116</v>
      </c>
      <c r="J23" s="39" t="s">
        <v>123</v>
      </c>
      <c r="K23" s="40" t="s">
        <v>128</v>
      </c>
      <c r="L23" s="30" t="s">
        <v>159</v>
      </c>
      <c r="M23" s="40"/>
    </row>
    <row r="24" spans="1:13">
      <c r="A24" s="39">
        <v>15</v>
      </c>
      <c r="B24" s="40" t="s">
        <v>160</v>
      </c>
      <c r="C24" s="39" t="s">
        <v>110</v>
      </c>
      <c r="D24" s="33">
        <v>20</v>
      </c>
      <c r="E24" s="33">
        <f t="shared" si="0"/>
        <v>3</v>
      </c>
      <c r="F24" s="33">
        <f>D24*0.3</f>
        <v>6</v>
      </c>
      <c r="G24" s="33">
        <f>D24*0.2</f>
        <v>4</v>
      </c>
      <c r="H24" s="33">
        <f t="shared" ref="H24" si="4">D24*0.35</f>
        <v>7</v>
      </c>
      <c r="I24" s="39" t="s">
        <v>161</v>
      </c>
      <c r="J24" s="39" t="s">
        <v>161</v>
      </c>
      <c r="K24" s="40" t="s">
        <v>126</v>
      </c>
      <c r="L24" s="40" t="s">
        <v>135</v>
      </c>
      <c r="M24" s="40" t="s">
        <v>128</v>
      </c>
    </row>
    <row r="25" spans="1:13">
      <c r="A25" s="39">
        <v>16</v>
      </c>
      <c r="B25" s="40" t="s">
        <v>162</v>
      </c>
      <c r="C25" s="39" t="s">
        <v>110</v>
      </c>
      <c r="D25" s="33">
        <v>15</v>
      </c>
      <c r="E25" s="33">
        <f>D25*0.15</f>
        <v>2.25</v>
      </c>
      <c r="F25" s="33">
        <f>D25*0.2</f>
        <v>3</v>
      </c>
      <c r="G25" s="33">
        <f>D25*0.4</f>
        <v>6</v>
      </c>
      <c r="H25" s="33">
        <f>D25*0.25</f>
        <v>3.75</v>
      </c>
      <c r="I25" s="41" t="s">
        <v>111</v>
      </c>
      <c r="J25" s="39" t="s">
        <v>163</v>
      </c>
      <c r="K25" s="40" t="s">
        <v>127</v>
      </c>
      <c r="L25" s="40" t="s">
        <v>164</v>
      </c>
      <c r="M25" s="40"/>
    </row>
    <row r="26" spans="1:13">
      <c r="A26" s="39">
        <v>17</v>
      </c>
      <c r="B26" s="40" t="s">
        <v>165</v>
      </c>
      <c r="C26" s="39" t="s">
        <v>121</v>
      </c>
      <c r="D26" s="33">
        <v>5</v>
      </c>
      <c r="E26" s="33">
        <f t="shared" si="0"/>
        <v>0.75</v>
      </c>
      <c r="F26" s="33">
        <f t="shared" si="1"/>
        <v>1</v>
      </c>
      <c r="G26" s="33">
        <f t="shared" si="2"/>
        <v>1.5</v>
      </c>
      <c r="H26" s="33">
        <f t="shared" si="3"/>
        <v>1.75</v>
      </c>
      <c r="I26" s="39" t="s">
        <v>123</v>
      </c>
      <c r="J26" s="39" t="s">
        <v>123</v>
      </c>
      <c r="K26" s="40" t="s">
        <v>166</v>
      </c>
      <c r="L26" s="40" t="s">
        <v>167</v>
      </c>
      <c r="M26" s="40"/>
    </row>
    <row r="27" spans="1:13">
      <c r="A27" s="39">
        <v>18</v>
      </c>
      <c r="B27" s="40" t="s">
        <v>168</v>
      </c>
      <c r="C27" s="39" t="s">
        <v>104</v>
      </c>
      <c r="D27" s="33">
        <v>5</v>
      </c>
      <c r="E27" s="33">
        <f t="shared" si="0"/>
        <v>0.75</v>
      </c>
      <c r="F27" s="33">
        <f t="shared" si="1"/>
        <v>1</v>
      </c>
      <c r="G27" s="33">
        <f t="shared" si="2"/>
        <v>1.5</v>
      </c>
      <c r="H27" s="33">
        <f t="shared" si="3"/>
        <v>1.75</v>
      </c>
      <c r="I27" s="39" t="s">
        <v>122</v>
      </c>
      <c r="J27" s="39" t="s">
        <v>123</v>
      </c>
      <c r="K27" s="40" t="s">
        <v>169</v>
      </c>
      <c r="L27" s="40" t="s">
        <v>170</v>
      </c>
      <c r="M27" s="40"/>
    </row>
    <row r="28" spans="1:13">
      <c r="A28" s="39">
        <v>19</v>
      </c>
      <c r="B28" s="40" t="s">
        <v>171</v>
      </c>
      <c r="C28" s="39" t="s">
        <v>110</v>
      </c>
      <c r="D28" s="33">
        <v>10</v>
      </c>
      <c r="E28" s="33">
        <f>D28*0.15</f>
        <v>1.5</v>
      </c>
      <c r="F28" s="33">
        <f>D28*0.2</f>
        <v>2</v>
      </c>
      <c r="G28" s="33">
        <f>D28*0.4</f>
        <v>4</v>
      </c>
      <c r="H28" s="33">
        <f>D28*0.25</f>
        <v>2.5</v>
      </c>
      <c r="I28" s="39" t="s">
        <v>133</v>
      </c>
      <c r="J28" s="39" t="s">
        <v>172</v>
      </c>
      <c r="K28" s="40" t="s">
        <v>135</v>
      </c>
      <c r="L28" s="40" t="s">
        <v>173</v>
      </c>
      <c r="M28" s="40"/>
    </row>
    <row r="29" spans="1:13">
      <c r="A29" s="39">
        <v>20</v>
      </c>
      <c r="B29" s="40" t="s">
        <v>174</v>
      </c>
      <c r="C29" s="39" t="s">
        <v>110</v>
      </c>
      <c r="D29" s="33">
        <v>2.5</v>
      </c>
      <c r="E29" s="33">
        <f t="shared" si="0"/>
        <v>0.375</v>
      </c>
      <c r="F29" s="33">
        <f t="shared" si="1"/>
        <v>0.5</v>
      </c>
      <c r="G29" s="33">
        <f t="shared" si="2"/>
        <v>0.75</v>
      </c>
      <c r="H29" s="33">
        <f t="shared" si="3"/>
        <v>0.875</v>
      </c>
      <c r="I29" s="39" t="s">
        <v>133</v>
      </c>
      <c r="J29" s="39" t="s">
        <v>175</v>
      </c>
      <c r="K29" s="40" t="s">
        <v>169</v>
      </c>
      <c r="L29" s="40" t="s">
        <v>176</v>
      </c>
      <c r="M29" s="40"/>
    </row>
    <row r="30" spans="1:13">
      <c r="A30" s="39">
        <v>21</v>
      </c>
      <c r="B30" s="40" t="s">
        <v>177</v>
      </c>
      <c r="C30" s="39" t="s">
        <v>104</v>
      </c>
      <c r="D30" s="33">
        <v>15</v>
      </c>
      <c r="E30" s="33">
        <f>D30*0.15</f>
        <v>2.25</v>
      </c>
      <c r="F30" s="33">
        <f>D30*0.2</f>
        <v>3</v>
      </c>
      <c r="G30" s="33">
        <f>D30*0.4</f>
        <v>6</v>
      </c>
      <c r="H30" s="33">
        <f>D30*0.25</f>
        <v>3.75</v>
      </c>
      <c r="I30" s="39" t="s">
        <v>122</v>
      </c>
      <c r="J30" s="39" t="s">
        <v>122</v>
      </c>
      <c r="K30" s="40" t="s">
        <v>135</v>
      </c>
      <c r="L30" s="40" t="s">
        <v>178</v>
      </c>
      <c r="M30" s="40" t="s">
        <v>179</v>
      </c>
    </row>
    <row r="31" spans="1:13">
      <c r="A31" s="39">
        <v>22</v>
      </c>
      <c r="B31" s="40" t="s">
        <v>180</v>
      </c>
      <c r="C31" s="39" t="s">
        <v>110</v>
      </c>
      <c r="D31" s="33">
        <v>5</v>
      </c>
      <c r="E31" s="33">
        <f>D31*0.15</f>
        <v>0.75</v>
      </c>
      <c r="F31" s="33">
        <f>D31*0.2</f>
        <v>1</v>
      </c>
      <c r="G31" s="33">
        <f>D31*0.4</f>
        <v>2</v>
      </c>
      <c r="H31" s="33">
        <f>D31*0.25</f>
        <v>1.25</v>
      </c>
      <c r="I31" s="41" t="s">
        <v>111</v>
      </c>
      <c r="J31" s="39" t="s">
        <v>122</v>
      </c>
      <c r="K31" s="40" t="s">
        <v>147</v>
      </c>
      <c r="L31" s="30" t="s">
        <v>181</v>
      </c>
      <c r="M31" s="40"/>
    </row>
    <row r="32" spans="1:13">
      <c r="A32" s="39">
        <v>23</v>
      </c>
      <c r="B32" s="40" t="s">
        <v>182</v>
      </c>
      <c r="C32" s="39" t="s">
        <v>110</v>
      </c>
      <c r="D32" s="33">
        <v>10</v>
      </c>
      <c r="E32" s="33">
        <f t="shared" si="0"/>
        <v>1.5</v>
      </c>
      <c r="F32" s="33">
        <f>D32*0.3</f>
        <v>3</v>
      </c>
      <c r="G32" s="33">
        <f>D32*0.2</f>
        <v>2</v>
      </c>
      <c r="H32" s="33">
        <f t="shared" si="3"/>
        <v>3.5</v>
      </c>
      <c r="I32" s="39" t="s">
        <v>116</v>
      </c>
      <c r="J32" s="39" t="s">
        <v>183</v>
      </c>
      <c r="K32" s="40" t="s">
        <v>128</v>
      </c>
      <c r="L32" s="40" t="s">
        <v>184</v>
      </c>
      <c r="M32" s="40" t="s">
        <v>147</v>
      </c>
    </row>
    <row r="33" spans="1:13">
      <c r="A33" s="39">
        <v>24</v>
      </c>
      <c r="B33" s="40" t="s">
        <v>185</v>
      </c>
      <c r="C33" s="39" t="s">
        <v>110</v>
      </c>
      <c r="D33" s="33">
        <v>10</v>
      </c>
      <c r="E33" s="33">
        <f t="shared" ref="E33" si="5">D33*0.15</f>
        <v>1.5</v>
      </c>
      <c r="F33" s="33">
        <f>D33*0.3</f>
        <v>3</v>
      </c>
      <c r="G33" s="33">
        <f>D33*0.2</f>
        <v>2</v>
      </c>
      <c r="H33" s="33">
        <f t="shared" ref="H33" si="6">D33*0.35</f>
        <v>3.5</v>
      </c>
      <c r="I33" s="39" t="s">
        <v>186</v>
      </c>
      <c r="J33" s="39" t="s">
        <v>183</v>
      </c>
      <c r="K33" s="40" t="s">
        <v>187</v>
      </c>
      <c r="L33" s="40" t="s">
        <v>187</v>
      </c>
      <c r="M33" s="40" t="s">
        <v>187</v>
      </c>
    </row>
    <row r="34" spans="1:13">
      <c r="A34" s="39">
        <v>25</v>
      </c>
      <c r="B34" s="40" t="s">
        <v>188</v>
      </c>
      <c r="C34" s="39" t="s">
        <v>110</v>
      </c>
      <c r="D34" s="33">
        <v>10</v>
      </c>
      <c r="E34" s="33">
        <f t="shared" si="0"/>
        <v>1.5</v>
      </c>
      <c r="F34" s="33">
        <f t="shared" si="1"/>
        <v>2</v>
      </c>
      <c r="G34" s="33">
        <f t="shared" si="2"/>
        <v>3</v>
      </c>
      <c r="H34" s="33">
        <f t="shared" si="3"/>
        <v>3.5</v>
      </c>
      <c r="I34" s="39" t="s">
        <v>189</v>
      </c>
      <c r="J34" s="39" t="s">
        <v>189</v>
      </c>
      <c r="K34" s="40" t="s">
        <v>190</v>
      </c>
      <c r="L34" s="40" t="s">
        <v>191</v>
      </c>
      <c r="M34" s="40" t="s">
        <v>192</v>
      </c>
    </row>
    <row r="35" spans="1:13" s="34" customFormat="1">
      <c r="A35" s="355" t="s">
        <v>15</v>
      </c>
      <c r="B35" s="355"/>
      <c r="C35" s="355"/>
      <c r="D35" s="42">
        <f>SUM(D10:D34)</f>
        <v>310</v>
      </c>
      <c r="E35" s="42">
        <f t="shared" ref="E35:H35" si="7">SUM(E10:E34)</f>
        <v>46.5</v>
      </c>
      <c r="F35" s="42">
        <f t="shared" si="7"/>
        <v>66.5</v>
      </c>
      <c r="G35" s="42">
        <f t="shared" si="7"/>
        <v>100.25</v>
      </c>
      <c r="H35" s="42">
        <f t="shared" si="7"/>
        <v>96.75</v>
      </c>
      <c r="I35" s="43"/>
      <c r="J35" s="43"/>
    </row>
    <row r="38" spans="1:13">
      <c r="A38" s="356" t="s">
        <v>193</v>
      </c>
      <c r="B38" s="356"/>
      <c r="C38" s="356"/>
      <c r="D38" s="31" t="s">
        <v>93</v>
      </c>
    </row>
    <row r="39" spans="1:13" ht="15.6">
      <c r="A39" s="405" t="s">
        <v>70</v>
      </c>
      <c r="B39" s="405"/>
      <c r="C39" s="405"/>
      <c r="D39" s="33">
        <v>100</v>
      </c>
      <c r="E39" s="44"/>
    </row>
    <row r="40" spans="1:13" ht="15.6">
      <c r="A40" s="406" t="s">
        <v>71</v>
      </c>
      <c r="B40" s="407"/>
      <c r="C40" s="408"/>
      <c r="D40" s="33">
        <v>90</v>
      </c>
      <c r="E40" s="44"/>
    </row>
    <row r="41" spans="1:13" ht="15.6">
      <c r="A41" s="406" t="s">
        <v>72</v>
      </c>
      <c r="B41" s="407"/>
      <c r="C41" s="408"/>
      <c r="D41" s="33">
        <v>50</v>
      </c>
      <c r="E41" s="44"/>
    </row>
    <row r="42" spans="1:13" ht="15.6">
      <c r="A42" s="406" t="s">
        <v>73</v>
      </c>
      <c r="B42" s="407"/>
      <c r="C42" s="408"/>
      <c r="D42" s="33">
        <v>30</v>
      </c>
      <c r="E42" s="44"/>
    </row>
    <row r="43" spans="1:13" ht="15.6">
      <c r="A43" s="406" t="s">
        <v>194</v>
      </c>
      <c r="B43" s="407"/>
      <c r="C43" s="408"/>
      <c r="D43" s="33">
        <v>13</v>
      </c>
      <c r="E43" s="44"/>
    </row>
    <row r="44" spans="1:13" ht="15.6">
      <c r="A44" s="406" t="s">
        <v>195</v>
      </c>
      <c r="B44" s="407"/>
      <c r="C44" s="408"/>
      <c r="D44" s="33">
        <v>15</v>
      </c>
      <c r="E44" s="44"/>
    </row>
    <row r="45" spans="1:13" ht="15.6">
      <c r="A45" s="406" t="s">
        <v>12</v>
      </c>
      <c r="B45" s="407"/>
      <c r="C45" s="408"/>
      <c r="D45" s="33">
        <v>2</v>
      </c>
      <c r="E45" s="44"/>
    </row>
    <row r="46" spans="1:13">
      <c r="A46" s="355" t="s">
        <v>15</v>
      </c>
      <c r="B46" s="355"/>
      <c r="C46" s="355"/>
      <c r="D46" s="42">
        <f>SUM(D39:D45)</f>
        <v>300</v>
      </c>
    </row>
  </sheetData>
  <mergeCells count="16">
    <mergeCell ref="K8:M8"/>
    <mergeCell ref="A2:D2"/>
    <mergeCell ref="A3:C3"/>
    <mergeCell ref="A4:C4"/>
    <mergeCell ref="A5:C5"/>
    <mergeCell ref="A6:C6"/>
    <mergeCell ref="A43:C43"/>
    <mergeCell ref="A44:C44"/>
    <mergeCell ref="A45:C45"/>
    <mergeCell ref="A46:C46"/>
    <mergeCell ref="A35:C35"/>
    <mergeCell ref="A38:C38"/>
    <mergeCell ref="A39:C39"/>
    <mergeCell ref="A40:C40"/>
    <mergeCell ref="A41:C41"/>
    <mergeCell ref="A42:C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0096-4F64-4BB3-BEA7-DE7B4FC79900}">
  <dimension ref="A1:H22"/>
  <sheetViews>
    <sheetView workbookViewId="0">
      <selection activeCell="D2" sqref="D2:D7"/>
    </sheetView>
  </sheetViews>
  <sheetFormatPr defaultColWidth="10.75" defaultRowHeight="15.6"/>
  <cols>
    <col min="1" max="1" width="37.75" bestFit="1" customWidth="1"/>
    <col min="2" max="2" width="15.5" bestFit="1" customWidth="1"/>
    <col min="3" max="4" width="16.75" bestFit="1" customWidth="1"/>
    <col min="6" max="6" width="15.5" bestFit="1" customWidth="1"/>
    <col min="8" max="8" width="12" bestFit="1" customWidth="1"/>
  </cols>
  <sheetData>
    <row r="1" spans="1:8">
      <c r="A1" s="18" t="s">
        <v>196</v>
      </c>
      <c r="B1" s="7" t="s">
        <v>16</v>
      </c>
      <c r="C1" s="7" t="s">
        <v>17</v>
      </c>
      <c r="D1" s="7" t="s">
        <v>15</v>
      </c>
    </row>
    <row r="2" spans="1:8">
      <c r="A2" s="13" t="s">
        <v>197</v>
      </c>
      <c r="B2" s="19">
        <v>8400000</v>
      </c>
      <c r="C2" s="19">
        <v>15600000</v>
      </c>
      <c r="D2" s="19">
        <f>SUM(B2:C2)</f>
        <v>24000000</v>
      </c>
    </row>
    <row r="3" spans="1:8">
      <c r="A3" s="13" t="s">
        <v>198</v>
      </c>
      <c r="B3" s="19">
        <v>18000000</v>
      </c>
      <c r="C3" s="19">
        <v>18000000</v>
      </c>
      <c r="D3" s="19">
        <f t="shared" ref="D3:D8" si="0">SUM(B3:C3)</f>
        <v>36000000</v>
      </c>
    </row>
    <row r="4" spans="1:8">
      <c r="A4" s="13" t="s">
        <v>72</v>
      </c>
      <c r="B4" s="19">
        <v>14400000</v>
      </c>
      <c r="C4" s="19">
        <v>21600000</v>
      </c>
      <c r="D4" s="19">
        <f t="shared" si="0"/>
        <v>36000000</v>
      </c>
    </row>
    <row r="5" spans="1:8">
      <c r="A5" s="13" t="s">
        <v>13</v>
      </c>
      <c r="B5" s="19">
        <v>7200000</v>
      </c>
      <c r="C5" s="19">
        <v>10800000</v>
      </c>
      <c r="D5" s="19">
        <f t="shared" si="0"/>
        <v>18000000</v>
      </c>
    </row>
    <row r="6" spans="1:8">
      <c r="A6" s="13" t="s">
        <v>73</v>
      </c>
      <c r="B6" s="19">
        <v>14400000</v>
      </c>
      <c r="C6" s="19">
        <v>21600000</v>
      </c>
      <c r="D6" s="19">
        <f t="shared" si="0"/>
        <v>36000000</v>
      </c>
      <c r="F6" s="20"/>
      <c r="G6" s="21"/>
      <c r="H6" s="22"/>
    </row>
    <row r="7" spans="1:8">
      <c r="A7" s="13" t="s">
        <v>199</v>
      </c>
      <c r="B7" s="19">
        <v>35000000</v>
      </c>
      <c r="C7" s="19">
        <v>35000000</v>
      </c>
      <c r="D7" s="19">
        <f t="shared" si="0"/>
        <v>70000000</v>
      </c>
      <c r="F7" s="20"/>
      <c r="G7" s="21"/>
      <c r="H7" s="22"/>
    </row>
    <row r="8" spans="1:8">
      <c r="A8" s="23" t="s">
        <v>200</v>
      </c>
      <c r="B8" s="24">
        <v>97400000</v>
      </c>
      <c r="C8" s="24">
        <v>122600000</v>
      </c>
      <c r="D8" s="25">
        <f t="shared" si="0"/>
        <v>220000000</v>
      </c>
      <c r="F8" s="22"/>
    </row>
    <row r="9" spans="1:8">
      <c r="F9" s="22"/>
    </row>
    <row r="10" spans="1:8">
      <c r="A10" s="18" t="s">
        <v>201</v>
      </c>
      <c r="F10" s="22"/>
    </row>
    <row r="11" spans="1:8">
      <c r="A11" s="13" t="s">
        <v>202</v>
      </c>
    </row>
    <row r="12" spans="1:8">
      <c r="A12" s="13" t="s">
        <v>203</v>
      </c>
    </row>
    <row r="13" spans="1:8">
      <c r="A13" s="13" t="s">
        <v>204</v>
      </c>
    </row>
    <row r="14" spans="1:8">
      <c r="A14" s="13" t="s">
        <v>205</v>
      </c>
    </row>
    <row r="15" spans="1:8">
      <c r="A15" s="13" t="s">
        <v>206</v>
      </c>
    </row>
    <row r="17" spans="1:1">
      <c r="A17" s="18" t="s">
        <v>207</v>
      </c>
    </row>
    <row r="18" spans="1:1">
      <c r="A18" s="13" t="s">
        <v>208</v>
      </c>
    </row>
    <row r="19" spans="1:1">
      <c r="A19" s="13" t="s">
        <v>209</v>
      </c>
    </row>
    <row r="20" spans="1:1" ht="31.15">
      <c r="A20" s="26" t="s">
        <v>210</v>
      </c>
    </row>
    <row r="22" spans="1:1">
      <c r="A22" s="27" t="s">
        <v>211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30E1-5259-4E9B-B09E-73A88A02A213}">
  <dimension ref="A2:P152"/>
  <sheetViews>
    <sheetView tabSelected="1" topLeftCell="A101" zoomScaleNormal="100" workbookViewId="0">
      <selection activeCell="H120" sqref="H120"/>
    </sheetView>
  </sheetViews>
  <sheetFormatPr defaultColWidth="10.75" defaultRowHeight="13.15"/>
  <cols>
    <col min="1" max="1" width="8" style="67" customWidth="1"/>
    <col min="2" max="2" width="20.25" style="49" customWidth="1"/>
    <col min="3" max="3" width="24" style="46" bestFit="1" customWidth="1"/>
    <col min="4" max="4" width="26.75" style="53" customWidth="1"/>
    <col min="5" max="5" width="12.25" style="48" customWidth="1"/>
    <col min="6" max="6" width="22.125" style="48" bestFit="1" customWidth="1"/>
    <col min="7" max="7" width="15.5" style="49" bestFit="1" customWidth="1"/>
    <col min="8" max="11" width="12.75" style="300" bestFit="1" customWidth="1"/>
    <col min="12" max="12" width="18.5" style="275" customWidth="1"/>
    <col min="13" max="15" width="11.5" style="49" bestFit="1" customWidth="1"/>
    <col min="16" max="16" width="21" style="49" customWidth="1"/>
    <col min="17" max="16384" width="10.75" style="49"/>
  </cols>
  <sheetData>
    <row r="2" spans="1:12">
      <c r="C2" s="84" t="s">
        <v>70</v>
      </c>
      <c r="D2" s="50"/>
    </row>
    <row r="4" spans="1:12">
      <c r="C4" s="84" t="s">
        <v>35</v>
      </c>
      <c r="D4" s="50"/>
    </row>
    <row r="6" spans="1:12">
      <c r="C6" s="343"/>
      <c r="D6" s="343"/>
      <c r="E6" s="343"/>
      <c r="G6" s="107"/>
      <c r="H6" s="344" t="s">
        <v>212</v>
      </c>
      <c r="I6" s="344"/>
      <c r="J6" s="344" t="s">
        <v>213</v>
      </c>
      <c r="K6" s="344"/>
    </row>
    <row r="7" spans="1:12">
      <c r="C7" s="84" t="s">
        <v>37</v>
      </c>
      <c r="D7" s="307"/>
      <c r="E7" s="308" t="s">
        <v>38</v>
      </c>
      <c r="F7" s="308" t="s">
        <v>214</v>
      </c>
      <c r="G7" s="106" t="s">
        <v>215</v>
      </c>
      <c r="H7" s="273" t="s">
        <v>94</v>
      </c>
      <c r="I7" s="273" t="s">
        <v>95</v>
      </c>
      <c r="J7" s="273" t="s">
        <v>96</v>
      </c>
      <c r="K7" s="273" t="s">
        <v>97</v>
      </c>
    </row>
    <row r="8" spans="1:12">
      <c r="C8" s="46" t="s">
        <v>39</v>
      </c>
      <c r="E8" s="274">
        <v>585</v>
      </c>
      <c r="F8" s="274">
        <v>510</v>
      </c>
      <c r="G8" s="108">
        <v>530</v>
      </c>
      <c r="H8" s="273">
        <v>100</v>
      </c>
      <c r="I8" s="273">
        <v>112</v>
      </c>
      <c r="J8" s="273">
        <v>140</v>
      </c>
      <c r="K8" s="273">
        <v>178</v>
      </c>
    </row>
    <row r="9" spans="1:12">
      <c r="C9" s="46" t="s">
        <v>216</v>
      </c>
      <c r="E9" s="274">
        <f>E8*5%</f>
        <v>29.25</v>
      </c>
      <c r="F9" s="103">
        <v>26.5</v>
      </c>
      <c r="G9" s="108">
        <v>26.5</v>
      </c>
      <c r="H9" s="273">
        <f>H8*5%</f>
        <v>5</v>
      </c>
      <c r="I9" s="273">
        <f t="shared" ref="I9:K9" si="0">I8*5%</f>
        <v>5.6000000000000005</v>
      </c>
      <c r="J9" s="273">
        <f t="shared" si="0"/>
        <v>7</v>
      </c>
      <c r="K9" s="273">
        <f t="shared" si="0"/>
        <v>8.9</v>
      </c>
    </row>
    <row r="11" spans="1:12">
      <c r="C11" s="343"/>
      <c r="D11" s="343"/>
      <c r="E11" s="343"/>
      <c r="F11" s="343"/>
      <c r="G11" s="105"/>
      <c r="H11" s="344" t="s">
        <v>212</v>
      </c>
      <c r="I11" s="344"/>
      <c r="J11" s="344" t="s">
        <v>213</v>
      </c>
      <c r="K11" s="344"/>
      <c r="L11" s="275" t="s">
        <v>217</v>
      </c>
    </row>
    <row r="12" spans="1:12">
      <c r="A12" s="52" t="s">
        <v>218</v>
      </c>
      <c r="B12" s="69" t="s">
        <v>219</v>
      </c>
      <c r="C12" s="46" t="s">
        <v>78</v>
      </c>
      <c r="D12" s="50"/>
      <c r="E12" s="51" t="s">
        <v>44</v>
      </c>
      <c r="F12" s="51" t="s">
        <v>45</v>
      </c>
      <c r="G12" s="106" t="s">
        <v>220</v>
      </c>
      <c r="H12" s="273" t="s">
        <v>94</v>
      </c>
      <c r="I12" s="273" t="s">
        <v>95</v>
      </c>
      <c r="J12" s="273" t="s">
        <v>96</v>
      </c>
      <c r="K12" s="273" t="s">
        <v>97</v>
      </c>
    </row>
    <row r="13" spans="1:12">
      <c r="A13" s="67">
        <v>1</v>
      </c>
      <c r="B13" s="49" t="s">
        <v>221</v>
      </c>
      <c r="C13" s="338" t="s">
        <v>222</v>
      </c>
      <c r="D13" s="54"/>
      <c r="E13" s="48" t="s">
        <v>223</v>
      </c>
      <c r="F13" s="276">
        <v>180</v>
      </c>
      <c r="G13" s="277">
        <f>F13</f>
        <v>180</v>
      </c>
      <c r="H13" s="273"/>
      <c r="I13" s="273"/>
      <c r="J13" s="273"/>
      <c r="K13" s="273"/>
    </row>
    <row r="14" spans="1:12">
      <c r="A14" s="67">
        <v>2</v>
      </c>
      <c r="B14" s="49" t="s">
        <v>221</v>
      </c>
      <c r="C14" s="338"/>
      <c r="D14" s="54" t="s">
        <v>224</v>
      </c>
      <c r="E14" s="53"/>
      <c r="G14" s="107"/>
      <c r="H14" s="273">
        <v>25</v>
      </c>
      <c r="I14" s="273">
        <v>64.5</v>
      </c>
      <c r="J14" s="273">
        <v>44.75</v>
      </c>
      <c r="K14" s="273">
        <v>44.75</v>
      </c>
    </row>
    <row r="15" spans="1:12" ht="26.45">
      <c r="A15" s="67">
        <v>3</v>
      </c>
      <c r="B15" s="49" t="s">
        <v>221</v>
      </c>
      <c r="C15" s="338"/>
      <c r="D15" s="54" t="s">
        <v>225</v>
      </c>
      <c r="E15" s="53"/>
      <c r="G15" s="107"/>
      <c r="H15" s="273"/>
      <c r="I15" s="273"/>
      <c r="J15" s="273"/>
      <c r="K15" s="273"/>
      <c r="L15" s="275" t="s">
        <v>226</v>
      </c>
    </row>
    <row r="16" spans="1:12" ht="26.45">
      <c r="A16" s="67">
        <v>4</v>
      </c>
      <c r="B16" s="49" t="s">
        <v>221</v>
      </c>
      <c r="C16" s="338"/>
      <c r="D16" s="54" t="s">
        <v>227</v>
      </c>
      <c r="E16" s="53"/>
      <c r="G16" s="107"/>
      <c r="H16" s="273"/>
      <c r="I16" s="273"/>
      <c r="J16" s="273"/>
      <c r="K16" s="273"/>
      <c r="L16" s="275" t="s">
        <v>226</v>
      </c>
    </row>
    <row r="17" spans="1:12" ht="22.9" customHeight="1">
      <c r="A17" s="67">
        <v>5</v>
      </c>
      <c r="B17" s="49" t="s">
        <v>221</v>
      </c>
      <c r="C17" s="338"/>
      <c r="D17" s="54" t="s">
        <v>228</v>
      </c>
      <c r="E17" s="53"/>
      <c r="G17" s="107"/>
      <c r="H17" s="273"/>
      <c r="I17" s="273"/>
      <c r="J17" s="273"/>
      <c r="K17" s="273"/>
      <c r="L17" s="275" t="s">
        <v>226</v>
      </c>
    </row>
    <row r="18" spans="1:12" ht="26.45">
      <c r="A18" s="67">
        <v>6</v>
      </c>
      <c r="B18" s="49" t="s">
        <v>221</v>
      </c>
      <c r="C18" s="338"/>
      <c r="D18" s="54" t="s">
        <v>229</v>
      </c>
      <c r="E18" s="53"/>
      <c r="G18" s="107"/>
      <c r="H18" s="273">
        <v>0.05</v>
      </c>
      <c r="I18" s="273">
        <v>0.75</v>
      </c>
      <c r="J18" s="273">
        <v>0.05</v>
      </c>
      <c r="K18" s="273">
        <v>0.05</v>
      </c>
    </row>
    <row r="19" spans="1:12" ht="26.45">
      <c r="A19" s="67">
        <v>7</v>
      </c>
      <c r="B19" s="49" t="s">
        <v>221</v>
      </c>
      <c r="C19" s="338"/>
      <c r="D19" s="54" t="s">
        <v>230</v>
      </c>
      <c r="E19" s="53"/>
      <c r="G19" s="107"/>
      <c r="H19" s="278"/>
      <c r="I19" s="278"/>
      <c r="J19" s="278"/>
      <c r="K19" s="278"/>
      <c r="L19" s="275" t="s">
        <v>226</v>
      </c>
    </row>
    <row r="20" spans="1:12">
      <c r="A20" s="67">
        <v>8</v>
      </c>
      <c r="B20" s="49" t="s">
        <v>221</v>
      </c>
      <c r="C20" s="338"/>
      <c r="D20" s="54" t="s">
        <v>231</v>
      </c>
      <c r="E20" s="53"/>
      <c r="G20" s="107"/>
      <c r="H20" s="278">
        <v>2.5000000000000001E-2</v>
      </c>
      <c r="I20" s="278">
        <v>2.5000000000000001E-2</v>
      </c>
      <c r="J20" s="278">
        <v>2.5000000000000001E-2</v>
      </c>
      <c r="K20" s="278">
        <v>2.5000000000000001E-2</v>
      </c>
    </row>
    <row r="21" spans="1:12" ht="26.45">
      <c r="A21" s="67">
        <v>9</v>
      </c>
      <c r="B21" s="49" t="s">
        <v>221</v>
      </c>
      <c r="C21" s="338"/>
      <c r="D21" s="54" t="s">
        <v>232</v>
      </c>
      <c r="E21" s="53"/>
      <c r="G21" s="107"/>
      <c r="H21" s="273"/>
      <c r="I21" s="273"/>
      <c r="J21" s="273"/>
      <c r="K21" s="273"/>
      <c r="L21" s="275" t="s">
        <v>226</v>
      </c>
    </row>
    <row r="22" spans="1:12" ht="26.45">
      <c r="A22" s="67">
        <v>10</v>
      </c>
      <c r="B22" s="49" t="s">
        <v>221</v>
      </c>
      <c r="C22" s="338"/>
      <c r="D22" s="54" t="s">
        <v>233</v>
      </c>
      <c r="E22" s="53"/>
      <c r="G22" s="107"/>
      <c r="H22" s="273"/>
      <c r="I22" s="273"/>
      <c r="J22" s="273"/>
      <c r="K22" s="273"/>
      <c r="L22" s="275" t="s">
        <v>226</v>
      </c>
    </row>
    <row r="23" spans="1:12">
      <c r="A23" s="67">
        <v>11</v>
      </c>
      <c r="B23" s="49" t="s">
        <v>221</v>
      </c>
      <c r="C23" s="46" t="s">
        <v>234</v>
      </c>
      <c r="D23" s="46" t="s">
        <v>234</v>
      </c>
      <c r="E23" s="53" t="s">
        <v>57</v>
      </c>
      <c r="F23" s="48">
        <v>15</v>
      </c>
      <c r="G23" s="277">
        <f>F23</f>
        <v>15</v>
      </c>
      <c r="H23" s="273">
        <v>3.75</v>
      </c>
      <c r="I23" s="273">
        <v>3.75</v>
      </c>
      <c r="J23" s="273">
        <v>3.75</v>
      </c>
      <c r="K23" s="273">
        <v>3.75</v>
      </c>
    </row>
    <row r="24" spans="1:12">
      <c r="A24" s="67">
        <v>12</v>
      </c>
      <c r="B24" s="49" t="s">
        <v>221</v>
      </c>
      <c r="C24" s="46" t="s">
        <v>235</v>
      </c>
      <c r="D24" s="46" t="s">
        <v>235</v>
      </c>
      <c r="E24" s="48" t="s">
        <v>236</v>
      </c>
      <c r="F24" s="48">
        <v>10</v>
      </c>
      <c r="G24" s="277">
        <f>F24</f>
        <v>10</v>
      </c>
      <c r="H24" s="273">
        <v>0</v>
      </c>
      <c r="I24" s="273">
        <v>5</v>
      </c>
      <c r="J24" s="273">
        <v>0</v>
      </c>
      <c r="K24" s="273">
        <v>5</v>
      </c>
    </row>
    <row r="25" spans="1:12">
      <c r="A25" s="67">
        <v>13</v>
      </c>
      <c r="B25" s="49" t="s">
        <v>221</v>
      </c>
      <c r="C25" s="46" t="s">
        <v>237</v>
      </c>
      <c r="D25" s="46" t="s">
        <v>237</v>
      </c>
      <c r="E25" s="48" t="s">
        <v>236</v>
      </c>
      <c r="F25" s="48">
        <v>20</v>
      </c>
      <c r="G25" s="277">
        <f>F25</f>
        <v>20</v>
      </c>
      <c r="H25" s="273">
        <v>5</v>
      </c>
      <c r="I25" s="273">
        <v>5</v>
      </c>
      <c r="J25" s="273">
        <v>5</v>
      </c>
      <c r="K25" s="273">
        <v>5</v>
      </c>
    </row>
    <row r="26" spans="1:12">
      <c r="A26" s="67">
        <v>14</v>
      </c>
      <c r="B26" s="49" t="s">
        <v>221</v>
      </c>
      <c r="C26" s="338" t="s">
        <v>238</v>
      </c>
      <c r="E26" s="48" t="s">
        <v>236</v>
      </c>
      <c r="F26" s="48">
        <v>30</v>
      </c>
      <c r="G26" s="277">
        <f>F26</f>
        <v>30</v>
      </c>
      <c r="H26" s="273"/>
      <c r="I26" s="273"/>
      <c r="J26" s="273"/>
      <c r="K26" s="273"/>
    </row>
    <row r="27" spans="1:12">
      <c r="A27" s="67">
        <v>15</v>
      </c>
      <c r="B27" s="49" t="s">
        <v>221</v>
      </c>
      <c r="C27" s="338"/>
      <c r="D27" s="53" t="s">
        <v>239</v>
      </c>
      <c r="G27" s="107"/>
      <c r="H27" s="273">
        <v>0</v>
      </c>
      <c r="I27" s="273">
        <v>2.5</v>
      </c>
      <c r="J27" s="273">
        <v>1.25</v>
      </c>
      <c r="K27" s="273">
        <v>1.25</v>
      </c>
    </row>
    <row r="28" spans="1:12">
      <c r="A28" s="67">
        <v>16</v>
      </c>
      <c r="B28" s="49" t="s">
        <v>221</v>
      </c>
      <c r="C28" s="338"/>
      <c r="D28" s="53" t="s">
        <v>240</v>
      </c>
      <c r="G28" s="107"/>
      <c r="H28" s="273">
        <v>0</v>
      </c>
      <c r="I28" s="273">
        <v>6.5</v>
      </c>
      <c r="J28" s="273">
        <v>2.75</v>
      </c>
      <c r="K28" s="273">
        <v>2.75</v>
      </c>
    </row>
    <row r="29" spans="1:12">
      <c r="A29" s="67">
        <v>17</v>
      </c>
      <c r="B29" s="49" t="s">
        <v>221</v>
      </c>
      <c r="C29" s="338"/>
      <c r="D29" s="53" t="s">
        <v>241</v>
      </c>
      <c r="G29" s="107"/>
      <c r="H29" s="273">
        <v>0</v>
      </c>
      <c r="I29" s="273">
        <v>1</v>
      </c>
      <c r="J29" s="273">
        <v>1</v>
      </c>
      <c r="K29" s="273">
        <v>1</v>
      </c>
    </row>
    <row r="30" spans="1:12">
      <c r="A30" s="67">
        <v>18</v>
      </c>
      <c r="B30" s="49" t="s">
        <v>221</v>
      </c>
      <c r="C30" s="338"/>
      <c r="D30" s="53" t="s">
        <v>242</v>
      </c>
      <c r="G30" s="107"/>
      <c r="H30" s="273">
        <v>0</v>
      </c>
      <c r="I30" s="273">
        <v>2.5</v>
      </c>
      <c r="J30" s="273">
        <v>1.25</v>
      </c>
      <c r="K30" s="273">
        <v>1.25</v>
      </c>
    </row>
    <row r="31" spans="1:12">
      <c r="A31" s="67">
        <v>19</v>
      </c>
      <c r="B31" s="49" t="s">
        <v>221</v>
      </c>
      <c r="C31" s="338"/>
      <c r="D31" s="53" t="s">
        <v>243</v>
      </c>
      <c r="G31" s="107"/>
      <c r="H31" s="273">
        <v>1.25</v>
      </c>
      <c r="I31" s="273">
        <v>1.25</v>
      </c>
      <c r="J31" s="273">
        <v>1.25</v>
      </c>
      <c r="K31" s="273">
        <v>1.25</v>
      </c>
    </row>
    <row r="32" spans="1:12">
      <c r="A32" s="67">
        <v>20</v>
      </c>
      <c r="B32" s="49" t="s">
        <v>221</v>
      </c>
      <c r="C32" s="46" t="s">
        <v>244</v>
      </c>
      <c r="D32" s="46" t="s">
        <v>244</v>
      </c>
      <c r="E32" s="48" t="s">
        <v>236</v>
      </c>
      <c r="F32" s="48">
        <v>5</v>
      </c>
      <c r="G32" s="277">
        <f>F32</f>
        <v>5</v>
      </c>
      <c r="H32" s="273">
        <v>0</v>
      </c>
      <c r="I32" s="273">
        <v>2.5</v>
      </c>
      <c r="J32" s="273">
        <v>1.25</v>
      </c>
      <c r="K32" s="273">
        <v>1.25</v>
      </c>
    </row>
    <row r="33" spans="1:12">
      <c r="A33" s="67">
        <v>21</v>
      </c>
      <c r="B33" s="49" t="s">
        <v>245</v>
      </c>
      <c r="C33" s="46" t="s">
        <v>246</v>
      </c>
      <c r="D33" s="46" t="s">
        <v>246</v>
      </c>
      <c r="E33" s="48" t="s">
        <v>236</v>
      </c>
      <c r="F33" s="48">
        <v>5</v>
      </c>
      <c r="G33" s="277">
        <f>F33</f>
        <v>5</v>
      </c>
      <c r="H33" s="273">
        <v>0</v>
      </c>
      <c r="I33" s="273">
        <v>1</v>
      </c>
      <c r="J33" s="273">
        <v>2</v>
      </c>
      <c r="K33" s="273">
        <v>2</v>
      </c>
    </row>
    <row r="34" spans="1:12">
      <c r="A34" s="67">
        <v>22</v>
      </c>
      <c r="B34" s="49" t="s">
        <v>245</v>
      </c>
      <c r="C34" s="46" t="s">
        <v>247</v>
      </c>
      <c r="D34" s="46" t="s">
        <v>247</v>
      </c>
      <c r="E34" s="48" t="s">
        <v>236</v>
      </c>
      <c r="F34" s="48">
        <v>5</v>
      </c>
      <c r="G34" s="277">
        <f>F34</f>
        <v>5</v>
      </c>
      <c r="H34" s="273">
        <v>0</v>
      </c>
      <c r="I34" s="273">
        <v>0</v>
      </c>
      <c r="J34" s="273">
        <v>2.5</v>
      </c>
      <c r="K34" s="273">
        <v>2.5</v>
      </c>
    </row>
    <row r="35" spans="1:12">
      <c r="A35" s="67">
        <v>23</v>
      </c>
      <c r="B35" s="49" t="s">
        <v>245</v>
      </c>
      <c r="C35" s="46" t="s">
        <v>248</v>
      </c>
      <c r="D35" s="46" t="s">
        <v>248</v>
      </c>
      <c r="E35" s="48" t="s">
        <v>57</v>
      </c>
      <c r="F35" s="48">
        <v>40</v>
      </c>
      <c r="G35" s="277">
        <f>F35</f>
        <v>40</v>
      </c>
      <c r="H35" s="273">
        <v>10</v>
      </c>
      <c r="I35" s="273">
        <v>10</v>
      </c>
      <c r="J35" s="273">
        <v>10</v>
      </c>
      <c r="K35" s="273">
        <v>10</v>
      </c>
    </row>
    <row r="36" spans="1:12" ht="12.4" customHeight="1">
      <c r="A36" s="67">
        <v>24</v>
      </c>
      <c r="B36" s="49" t="s">
        <v>245</v>
      </c>
      <c r="C36" s="340" t="s">
        <v>249</v>
      </c>
      <c r="D36" s="54"/>
      <c r="E36" s="48" t="s">
        <v>57</v>
      </c>
      <c r="F36" s="48">
        <v>30</v>
      </c>
      <c r="G36" s="277">
        <f>F36</f>
        <v>30</v>
      </c>
      <c r="H36" s="273"/>
      <c r="I36" s="273"/>
      <c r="J36" s="273"/>
      <c r="K36" s="273"/>
    </row>
    <row r="37" spans="1:12" ht="26.45">
      <c r="A37" s="67">
        <v>25</v>
      </c>
      <c r="B37" s="49" t="s">
        <v>245</v>
      </c>
      <c r="C37" s="341"/>
      <c r="D37" s="54" t="s">
        <v>250</v>
      </c>
      <c r="G37" s="107"/>
      <c r="H37" s="273"/>
      <c r="I37" s="273">
        <v>2.5</v>
      </c>
      <c r="J37" s="273">
        <v>3</v>
      </c>
      <c r="K37" s="273">
        <v>3</v>
      </c>
    </row>
    <row r="38" spans="1:12" ht="25.15" customHeight="1">
      <c r="A38" s="67">
        <v>26</v>
      </c>
      <c r="B38" s="49" t="s">
        <v>245</v>
      </c>
      <c r="C38" s="341"/>
      <c r="D38" s="54" t="s">
        <v>251</v>
      </c>
      <c r="G38" s="107"/>
      <c r="H38" s="273"/>
      <c r="I38" s="273">
        <v>1</v>
      </c>
      <c r="J38" s="273">
        <v>2</v>
      </c>
      <c r="K38" s="273">
        <v>2</v>
      </c>
    </row>
    <row r="39" spans="1:12" ht="12.4" customHeight="1">
      <c r="A39" s="67">
        <v>27</v>
      </c>
      <c r="B39" s="49" t="s">
        <v>245</v>
      </c>
      <c r="C39" s="341"/>
      <c r="D39" s="54" t="s">
        <v>252</v>
      </c>
      <c r="G39" s="107"/>
      <c r="H39" s="273"/>
      <c r="I39" s="273">
        <v>1</v>
      </c>
      <c r="J39" s="273">
        <v>2</v>
      </c>
      <c r="K39" s="273">
        <v>2</v>
      </c>
    </row>
    <row r="40" spans="1:12" ht="26.45">
      <c r="A40" s="67">
        <v>28</v>
      </c>
      <c r="B40" s="49" t="s">
        <v>245</v>
      </c>
      <c r="C40" s="341"/>
      <c r="D40" s="54" t="s">
        <v>253</v>
      </c>
      <c r="G40" s="107"/>
      <c r="H40" s="273"/>
      <c r="I40" s="273">
        <v>1</v>
      </c>
      <c r="J40" s="273">
        <v>2</v>
      </c>
      <c r="K40" s="273">
        <v>2</v>
      </c>
    </row>
    <row r="41" spans="1:12" ht="13.15" customHeight="1">
      <c r="A41" s="67">
        <v>29</v>
      </c>
      <c r="B41" s="49" t="s">
        <v>245</v>
      </c>
      <c r="C41" s="342"/>
      <c r="D41" s="54" t="s">
        <v>254</v>
      </c>
      <c r="G41" s="107"/>
      <c r="H41" s="273"/>
      <c r="I41" s="273">
        <v>1.5</v>
      </c>
      <c r="J41" s="273">
        <v>2.5</v>
      </c>
      <c r="K41" s="273">
        <v>2.5</v>
      </c>
    </row>
    <row r="42" spans="1:12">
      <c r="A42" s="67">
        <v>30</v>
      </c>
      <c r="B42" s="49" t="s">
        <v>245</v>
      </c>
      <c r="C42" s="46" t="s">
        <v>255</v>
      </c>
      <c r="D42" s="46" t="s">
        <v>255</v>
      </c>
      <c r="E42" s="48" t="s">
        <v>223</v>
      </c>
      <c r="F42" s="48">
        <v>40</v>
      </c>
      <c r="G42" s="277">
        <f>F42</f>
        <v>40</v>
      </c>
      <c r="H42" s="273">
        <v>10</v>
      </c>
      <c r="I42" s="273">
        <v>20</v>
      </c>
      <c r="J42" s="273">
        <v>10</v>
      </c>
      <c r="K42" s="273"/>
    </row>
    <row r="43" spans="1:12" ht="13.15" customHeight="1">
      <c r="A43" s="67">
        <v>31</v>
      </c>
      <c r="B43" s="49" t="s">
        <v>256</v>
      </c>
      <c r="C43" s="340" t="s">
        <v>257</v>
      </c>
      <c r="D43" s="53" t="s">
        <v>257</v>
      </c>
      <c r="E43" s="48" t="s">
        <v>236</v>
      </c>
      <c r="F43" s="48">
        <v>10</v>
      </c>
      <c r="G43" s="277">
        <f>F43</f>
        <v>10</v>
      </c>
      <c r="H43" s="273">
        <v>1.25</v>
      </c>
      <c r="I43" s="273">
        <v>1.25</v>
      </c>
      <c r="J43" s="273">
        <v>2</v>
      </c>
      <c r="K43" s="273">
        <v>3.5</v>
      </c>
    </row>
    <row r="44" spans="1:12" ht="13.15" customHeight="1">
      <c r="A44" s="67">
        <v>32</v>
      </c>
      <c r="B44" s="49" t="s">
        <v>256</v>
      </c>
      <c r="C44" s="342"/>
      <c r="D44" s="53" t="s">
        <v>258</v>
      </c>
      <c r="E44" s="48" t="s">
        <v>236</v>
      </c>
      <c r="G44" s="277"/>
      <c r="H44" s="273">
        <v>0.25</v>
      </c>
      <c r="I44" s="273">
        <v>0.25</v>
      </c>
      <c r="J44" s="273">
        <v>0.75</v>
      </c>
      <c r="K44" s="273">
        <v>0.75</v>
      </c>
    </row>
    <row r="45" spans="1:12" ht="15.4" customHeight="1">
      <c r="A45" s="67">
        <v>33</v>
      </c>
      <c r="B45" s="49" t="s">
        <v>256</v>
      </c>
      <c r="C45" s="340" t="s">
        <v>259</v>
      </c>
      <c r="D45" s="53" t="s">
        <v>259</v>
      </c>
      <c r="E45" s="48" t="s">
        <v>236</v>
      </c>
      <c r="F45" s="48">
        <v>35</v>
      </c>
      <c r="G45" s="277">
        <f>F45</f>
        <v>35</v>
      </c>
      <c r="H45" s="273">
        <v>10</v>
      </c>
      <c r="I45" s="273">
        <v>5</v>
      </c>
      <c r="J45" s="273">
        <v>5</v>
      </c>
      <c r="K45" s="273">
        <v>10</v>
      </c>
    </row>
    <row r="46" spans="1:12" ht="12.4" customHeight="1">
      <c r="A46" s="67">
        <v>34</v>
      </c>
      <c r="B46" s="49" t="s">
        <v>256</v>
      </c>
      <c r="C46" s="341"/>
      <c r="D46" s="55" t="s">
        <v>260</v>
      </c>
      <c r="E46" s="48" t="s">
        <v>236</v>
      </c>
      <c r="G46" s="277"/>
      <c r="H46" s="277">
        <v>1</v>
      </c>
      <c r="I46" s="273">
        <v>1</v>
      </c>
      <c r="J46" s="273">
        <v>1</v>
      </c>
      <c r="K46" s="273">
        <v>1.5</v>
      </c>
    </row>
    <row r="47" spans="1:12" ht="12.4" customHeight="1">
      <c r="A47" s="67">
        <v>35</v>
      </c>
      <c r="B47" s="49" t="s">
        <v>256</v>
      </c>
      <c r="C47" s="341"/>
      <c r="D47" s="55" t="s">
        <v>261</v>
      </c>
      <c r="G47" s="107"/>
      <c r="H47" s="273"/>
      <c r="I47" s="273"/>
      <c r="J47" s="273"/>
      <c r="K47" s="273">
        <v>0.5</v>
      </c>
    </row>
    <row r="48" spans="1:12" ht="26.45">
      <c r="A48" s="67">
        <v>36</v>
      </c>
      <c r="B48" s="49" t="s">
        <v>256</v>
      </c>
      <c r="C48" s="341"/>
      <c r="D48" s="279" t="s">
        <v>262</v>
      </c>
      <c r="G48" s="107"/>
      <c r="H48" s="273"/>
      <c r="I48" s="273"/>
      <c r="J48" s="273"/>
      <c r="K48" s="273"/>
      <c r="L48" s="275" t="s">
        <v>263</v>
      </c>
    </row>
    <row r="49" spans="1:12" ht="26.45">
      <c r="A49" s="67">
        <v>37</v>
      </c>
      <c r="B49" s="49" t="s">
        <v>256</v>
      </c>
      <c r="C49" s="341"/>
      <c r="D49" s="279" t="s">
        <v>264</v>
      </c>
      <c r="G49" s="107"/>
      <c r="H49" s="273"/>
      <c r="I49" s="273"/>
      <c r="J49" s="273"/>
      <c r="K49" s="273"/>
      <c r="L49" s="275" t="s">
        <v>263</v>
      </c>
    </row>
    <row r="50" spans="1:12" ht="26.45">
      <c r="A50" s="67">
        <v>38</v>
      </c>
      <c r="B50" s="49" t="s">
        <v>256</v>
      </c>
      <c r="C50" s="341"/>
      <c r="D50" s="279" t="s">
        <v>265</v>
      </c>
      <c r="G50" s="107"/>
      <c r="H50" s="273"/>
      <c r="I50" s="273"/>
      <c r="J50" s="273"/>
      <c r="K50" s="273"/>
      <c r="L50" s="275" t="s">
        <v>263</v>
      </c>
    </row>
    <row r="51" spans="1:12" ht="26.45">
      <c r="A51" s="67">
        <v>39</v>
      </c>
      <c r="B51" s="49" t="s">
        <v>256</v>
      </c>
      <c r="C51" s="341"/>
      <c r="D51" s="279" t="s">
        <v>266</v>
      </c>
      <c r="G51" s="107"/>
      <c r="H51" s="273"/>
      <c r="I51" s="273"/>
      <c r="J51" s="273"/>
      <c r="K51" s="273"/>
      <c r="L51" s="275" t="s">
        <v>263</v>
      </c>
    </row>
    <row r="52" spans="1:12" ht="26.45">
      <c r="A52" s="67">
        <v>40</v>
      </c>
      <c r="B52" s="49" t="s">
        <v>256</v>
      </c>
      <c r="C52" s="341"/>
      <c r="D52" s="279" t="s">
        <v>267</v>
      </c>
      <c r="G52" s="107"/>
      <c r="H52" s="273"/>
      <c r="I52" s="273"/>
      <c r="J52" s="273"/>
      <c r="K52" s="273"/>
      <c r="L52" s="275" t="s">
        <v>263</v>
      </c>
    </row>
    <row r="53" spans="1:12" ht="26.45">
      <c r="A53" s="67">
        <v>41</v>
      </c>
      <c r="B53" s="49" t="s">
        <v>256</v>
      </c>
      <c r="C53" s="341"/>
      <c r="D53" s="279" t="s">
        <v>268</v>
      </c>
      <c r="G53" s="107"/>
      <c r="H53" s="273"/>
      <c r="I53" s="273"/>
      <c r="J53" s="273"/>
      <c r="K53" s="273"/>
      <c r="L53" s="275" t="s">
        <v>263</v>
      </c>
    </row>
    <row r="54" spans="1:12" ht="26.45">
      <c r="A54" s="67">
        <v>42</v>
      </c>
      <c r="B54" s="49" t="s">
        <v>256</v>
      </c>
      <c r="C54" s="341"/>
      <c r="D54" s="279" t="s">
        <v>269</v>
      </c>
      <c r="G54" s="107"/>
      <c r="H54" s="273"/>
      <c r="I54" s="273"/>
      <c r="J54" s="273"/>
      <c r="K54" s="273"/>
      <c r="L54" s="275" t="s">
        <v>263</v>
      </c>
    </row>
    <row r="55" spans="1:12" ht="26.45">
      <c r="A55" s="67">
        <v>43</v>
      </c>
      <c r="B55" s="49" t="s">
        <v>256</v>
      </c>
      <c r="C55" s="341"/>
      <c r="D55" s="279" t="s">
        <v>270</v>
      </c>
      <c r="G55" s="107"/>
      <c r="H55" s="273"/>
      <c r="I55" s="273"/>
      <c r="J55" s="273"/>
      <c r="K55" s="273"/>
      <c r="L55" s="275" t="s">
        <v>263</v>
      </c>
    </row>
    <row r="56" spans="1:12" ht="26.45">
      <c r="A56" s="67">
        <v>44</v>
      </c>
      <c r="B56" s="49" t="s">
        <v>256</v>
      </c>
      <c r="C56" s="341"/>
      <c r="D56" s="279" t="s">
        <v>271</v>
      </c>
      <c r="G56" s="107"/>
      <c r="H56" s="273"/>
      <c r="I56" s="273"/>
      <c r="J56" s="273"/>
      <c r="K56" s="273"/>
      <c r="L56" s="275" t="s">
        <v>263</v>
      </c>
    </row>
    <row r="57" spans="1:12" ht="26.45">
      <c r="A57" s="67">
        <v>45</v>
      </c>
      <c r="B57" s="49" t="s">
        <v>256</v>
      </c>
      <c r="C57" s="341"/>
      <c r="D57" s="279" t="s">
        <v>272</v>
      </c>
      <c r="G57" s="107"/>
      <c r="H57" s="273"/>
      <c r="I57" s="273"/>
      <c r="J57" s="273"/>
      <c r="K57" s="273"/>
      <c r="L57" s="275" t="s">
        <v>263</v>
      </c>
    </row>
    <row r="58" spans="1:12" ht="26.45">
      <c r="A58" s="67">
        <v>46</v>
      </c>
      <c r="B58" s="49" t="s">
        <v>256</v>
      </c>
      <c r="C58" s="341"/>
      <c r="D58" s="279" t="s">
        <v>273</v>
      </c>
      <c r="G58" s="107"/>
      <c r="H58" s="273"/>
      <c r="I58" s="273"/>
      <c r="J58" s="273"/>
      <c r="K58" s="273"/>
      <c r="L58" s="275" t="s">
        <v>263</v>
      </c>
    </row>
    <row r="59" spans="1:12" ht="26.45">
      <c r="A59" s="67">
        <v>47</v>
      </c>
      <c r="B59" s="49" t="s">
        <v>256</v>
      </c>
      <c r="C59" s="341"/>
      <c r="D59" s="279" t="s">
        <v>274</v>
      </c>
      <c r="G59" s="107"/>
      <c r="H59" s="273"/>
      <c r="I59" s="273"/>
      <c r="J59" s="273"/>
      <c r="K59" s="273"/>
      <c r="L59" s="275" t="s">
        <v>263</v>
      </c>
    </row>
    <row r="60" spans="1:12" ht="26.45">
      <c r="A60" s="67">
        <v>48</v>
      </c>
      <c r="B60" s="49" t="s">
        <v>256</v>
      </c>
      <c r="C60" s="341"/>
      <c r="D60" s="279" t="s">
        <v>275</v>
      </c>
      <c r="G60" s="107"/>
      <c r="H60" s="273"/>
      <c r="I60" s="273"/>
      <c r="J60" s="273"/>
      <c r="K60" s="273"/>
      <c r="L60" s="275" t="s">
        <v>263</v>
      </c>
    </row>
    <row r="61" spans="1:12" ht="26.45">
      <c r="A61" s="67">
        <v>49</v>
      </c>
      <c r="B61" s="49" t="s">
        <v>256</v>
      </c>
      <c r="C61" s="341"/>
      <c r="D61" s="279" t="s">
        <v>276</v>
      </c>
      <c r="G61" s="107"/>
      <c r="H61" s="273"/>
      <c r="I61" s="273"/>
      <c r="J61" s="273"/>
      <c r="K61" s="273"/>
      <c r="L61" s="275" t="s">
        <v>263</v>
      </c>
    </row>
    <row r="62" spans="1:12" ht="26.45">
      <c r="A62" s="67">
        <v>50</v>
      </c>
      <c r="B62" s="49" t="s">
        <v>256</v>
      </c>
      <c r="C62" s="341"/>
      <c r="D62" s="279" t="s">
        <v>277</v>
      </c>
      <c r="G62" s="107"/>
      <c r="H62" s="273"/>
      <c r="I62" s="273"/>
      <c r="J62" s="273"/>
      <c r="K62" s="273"/>
      <c r="L62" s="275" t="s">
        <v>263</v>
      </c>
    </row>
    <row r="63" spans="1:12" ht="26.45">
      <c r="A63" s="67">
        <v>51</v>
      </c>
      <c r="B63" s="49" t="s">
        <v>256</v>
      </c>
      <c r="C63" s="341"/>
      <c r="D63" s="279" t="s">
        <v>278</v>
      </c>
      <c r="G63" s="107"/>
      <c r="H63" s="273"/>
      <c r="I63" s="273"/>
      <c r="J63" s="273"/>
      <c r="K63" s="273"/>
      <c r="L63" s="275" t="s">
        <v>263</v>
      </c>
    </row>
    <row r="64" spans="1:12" ht="26.45">
      <c r="A64" s="67">
        <v>52</v>
      </c>
      <c r="B64" s="49" t="s">
        <v>256</v>
      </c>
      <c r="C64" s="342"/>
      <c r="D64" s="279" t="s">
        <v>279</v>
      </c>
      <c r="G64" s="107"/>
      <c r="H64" s="273"/>
      <c r="I64" s="273"/>
      <c r="J64" s="273"/>
      <c r="K64" s="273"/>
      <c r="L64" s="275" t="s">
        <v>263</v>
      </c>
    </row>
    <row r="65" spans="1:12">
      <c r="A65" s="67">
        <v>53</v>
      </c>
      <c r="B65" s="49" t="s">
        <v>256</v>
      </c>
      <c r="D65" s="55" t="s">
        <v>280</v>
      </c>
      <c r="E65" s="48" t="s">
        <v>236</v>
      </c>
      <c r="F65" s="48">
        <v>15</v>
      </c>
      <c r="G65" s="277">
        <f>F65</f>
        <v>15</v>
      </c>
      <c r="H65" s="273">
        <v>0.25</v>
      </c>
      <c r="I65" s="273">
        <v>1.5</v>
      </c>
      <c r="J65" s="273">
        <v>3</v>
      </c>
      <c r="K65" s="273">
        <v>3</v>
      </c>
    </row>
    <row r="66" spans="1:12" ht="12.4" customHeight="1">
      <c r="A66" s="67">
        <v>54</v>
      </c>
      <c r="B66" s="49" t="s">
        <v>256</v>
      </c>
      <c r="C66" s="340" t="s">
        <v>280</v>
      </c>
      <c r="D66" s="313" t="s">
        <v>281</v>
      </c>
      <c r="G66" s="277"/>
      <c r="H66" s="273">
        <v>0.25</v>
      </c>
      <c r="I66" s="273">
        <v>1</v>
      </c>
      <c r="J66" s="273">
        <v>3</v>
      </c>
      <c r="K66" s="273">
        <v>3</v>
      </c>
    </row>
    <row r="67" spans="1:12" ht="26.45">
      <c r="A67" s="67">
        <v>55</v>
      </c>
      <c r="B67" s="49" t="s">
        <v>256</v>
      </c>
      <c r="C67" s="341"/>
      <c r="D67" s="313" t="s">
        <v>282</v>
      </c>
      <c r="G67" s="107"/>
      <c r="H67" s="273"/>
      <c r="I67" s="273"/>
      <c r="J67" s="273"/>
      <c r="K67" s="273"/>
      <c r="L67" s="275" t="s">
        <v>283</v>
      </c>
    </row>
    <row r="68" spans="1:12" ht="26.45">
      <c r="A68" s="67">
        <v>56</v>
      </c>
      <c r="B68" s="49" t="s">
        <v>256</v>
      </c>
      <c r="C68" s="341"/>
      <c r="D68" s="313" t="s">
        <v>284</v>
      </c>
      <c r="G68" s="107"/>
      <c r="H68" s="273"/>
      <c r="I68" s="273"/>
      <c r="J68" s="273"/>
      <c r="K68" s="273"/>
      <c r="L68" s="275" t="s">
        <v>283</v>
      </c>
    </row>
    <row r="69" spans="1:12" ht="26.45">
      <c r="A69" s="67">
        <v>57</v>
      </c>
      <c r="B69" s="49" t="s">
        <v>256</v>
      </c>
      <c r="C69" s="341"/>
      <c r="D69" s="313" t="s">
        <v>285</v>
      </c>
      <c r="G69" s="107"/>
      <c r="H69" s="273"/>
      <c r="I69" s="273"/>
      <c r="J69" s="273"/>
      <c r="K69" s="273"/>
      <c r="L69" s="275" t="s">
        <v>283</v>
      </c>
    </row>
    <row r="70" spans="1:12" ht="26.45">
      <c r="A70" s="67">
        <v>58</v>
      </c>
      <c r="B70" s="49" t="s">
        <v>256</v>
      </c>
      <c r="C70" s="341"/>
      <c r="D70" s="313" t="s">
        <v>286</v>
      </c>
      <c r="G70" s="107"/>
      <c r="H70" s="273"/>
      <c r="I70" s="273"/>
      <c r="J70" s="273"/>
      <c r="K70" s="273"/>
      <c r="L70" s="275" t="s">
        <v>283</v>
      </c>
    </row>
    <row r="71" spans="1:12" ht="26.45">
      <c r="A71" s="67">
        <v>59</v>
      </c>
      <c r="B71" s="49" t="s">
        <v>256</v>
      </c>
      <c r="C71" s="342"/>
      <c r="D71" s="313" t="s">
        <v>287</v>
      </c>
      <c r="G71" s="107"/>
      <c r="H71" s="273"/>
      <c r="I71" s="273"/>
      <c r="J71" s="273"/>
      <c r="K71" s="273"/>
      <c r="L71" s="275" t="s">
        <v>283</v>
      </c>
    </row>
    <row r="72" spans="1:12">
      <c r="A72" s="67">
        <v>60</v>
      </c>
      <c r="B72" s="49" t="s">
        <v>288</v>
      </c>
      <c r="D72" s="311" t="s">
        <v>289</v>
      </c>
      <c r="E72" s="48" t="s">
        <v>57</v>
      </c>
      <c r="F72" s="48">
        <v>25</v>
      </c>
      <c r="G72" s="277">
        <f>F72</f>
        <v>25</v>
      </c>
      <c r="H72" s="273"/>
      <c r="I72" s="273"/>
      <c r="J72" s="273"/>
      <c r="K72" s="273"/>
    </row>
    <row r="73" spans="1:12" ht="12.4" customHeight="1">
      <c r="A73" s="67">
        <v>61</v>
      </c>
      <c r="B73" s="49" t="s">
        <v>288</v>
      </c>
      <c r="C73" s="340" t="s">
        <v>290</v>
      </c>
      <c r="D73" s="53" t="s">
        <v>291</v>
      </c>
      <c r="G73" s="277"/>
      <c r="H73" s="273"/>
      <c r="I73" s="273"/>
      <c r="J73" s="273">
        <v>0.4</v>
      </c>
      <c r="K73" s="273"/>
    </row>
    <row r="74" spans="1:12" ht="12.4" customHeight="1">
      <c r="A74" s="67">
        <v>62</v>
      </c>
      <c r="B74" s="49" t="s">
        <v>288</v>
      </c>
      <c r="C74" s="341"/>
      <c r="D74" s="53" t="s">
        <v>292</v>
      </c>
      <c r="G74" s="107"/>
      <c r="H74" s="273"/>
      <c r="I74" s="273">
        <v>0.5</v>
      </c>
      <c r="J74" s="273">
        <v>0.4</v>
      </c>
      <c r="K74" s="273">
        <v>0.2</v>
      </c>
    </row>
    <row r="75" spans="1:12" ht="12.4" customHeight="1">
      <c r="A75" s="67">
        <v>63</v>
      </c>
      <c r="B75" s="49" t="s">
        <v>288</v>
      </c>
      <c r="C75" s="341"/>
      <c r="D75" s="53" t="s">
        <v>293</v>
      </c>
      <c r="G75" s="107"/>
      <c r="H75" s="273"/>
      <c r="I75" s="273"/>
      <c r="J75" s="273">
        <v>0.5</v>
      </c>
      <c r="K75" s="273"/>
    </row>
    <row r="76" spans="1:12" ht="12.4" customHeight="1">
      <c r="A76" s="67">
        <v>64</v>
      </c>
      <c r="B76" s="49" t="s">
        <v>288</v>
      </c>
      <c r="C76" s="341"/>
      <c r="D76" s="53" t="s">
        <v>294</v>
      </c>
      <c r="G76" s="107"/>
      <c r="H76" s="273"/>
      <c r="I76" s="273"/>
      <c r="J76" s="273">
        <v>0.3</v>
      </c>
      <c r="K76" s="273"/>
    </row>
    <row r="77" spans="1:12" ht="12.4" customHeight="1">
      <c r="A77" s="67">
        <v>65</v>
      </c>
      <c r="B77" s="49" t="s">
        <v>288</v>
      </c>
      <c r="C77" s="341"/>
      <c r="D77" s="53" t="s">
        <v>295</v>
      </c>
      <c r="G77" s="107"/>
      <c r="H77" s="273"/>
      <c r="I77" s="273">
        <v>0.4</v>
      </c>
      <c r="J77" s="273">
        <v>0.2</v>
      </c>
      <c r="K77" s="273">
        <v>0.5</v>
      </c>
    </row>
    <row r="78" spans="1:12" ht="12.4" customHeight="1">
      <c r="A78" s="67">
        <v>66</v>
      </c>
      <c r="B78" s="49" t="s">
        <v>288</v>
      </c>
      <c r="C78" s="341"/>
      <c r="D78" s="53" t="s">
        <v>296</v>
      </c>
      <c r="G78" s="107"/>
      <c r="H78" s="273"/>
      <c r="I78" s="273">
        <v>0.5</v>
      </c>
      <c r="J78" s="273">
        <v>0.5</v>
      </c>
      <c r="K78" s="273">
        <v>0.5</v>
      </c>
    </row>
    <row r="79" spans="1:12" ht="12.4" customHeight="1">
      <c r="A79" s="67">
        <v>67</v>
      </c>
      <c r="B79" s="49" t="s">
        <v>288</v>
      </c>
      <c r="C79" s="341"/>
      <c r="D79" s="53" t="s">
        <v>297</v>
      </c>
      <c r="G79" s="107"/>
      <c r="H79" s="273">
        <v>3</v>
      </c>
      <c r="I79" s="273"/>
      <c r="J79" s="273">
        <v>5</v>
      </c>
      <c r="K79" s="273">
        <v>2</v>
      </c>
    </row>
    <row r="80" spans="1:12" ht="12.4" customHeight="1">
      <c r="A80" s="67">
        <v>68</v>
      </c>
      <c r="B80" s="49" t="s">
        <v>288</v>
      </c>
      <c r="C80" s="341"/>
      <c r="D80" s="53" t="s">
        <v>298</v>
      </c>
      <c r="G80" s="107"/>
      <c r="H80" s="273"/>
      <c r="I80" s="273">
        <v>0.5</v>
      </c>
      <c r="J80" s="273">
        <v>0.5</v>
      </c>
      <c r="K80" s="273">
        <v>0.2</v>
      </c>
    </row>
    <row r="81" spans="1:11" ht="12.4" customHeight="1">
      <c r="A81" s="67">
        <v>69</v>
      </c>
      <c r="B81" s="49" t="s">
        <v>288</v>
      </c>
      <c r="C81" s="341"/>
      <c r="D81" s="53" t="s">
        <v>299</v>
      </c>
      <c r="G81" s="107"/>
      <c r="H81" s="273">
        <v>0.3</v>
      </c>
      <c r="I81" s="273">
        <v>0.5</v>
      </c>
      <c r="J81" s="273">
        <v>0.5</v>
      </c>
      <c r="K81" s="273">
        <v>0.3</v>
      </c>
    </row>
    <row r="82" spans="1:11" ht="12.4" customHeight="1">
      <c r="A82" s="67">
        <v>70</v>
      </c>
      <c r="B82" s="49" t="s">
        <v>288</v>
      </c>
      <c r="C82" s="341"/>
      <c r="D82" s="53" t="s">
        <v>300</v>
      </c>
      <c r="G82" s="107"/>
      <c r="H82" s="273"/>
      <c r="I82" s="273">
        <v>0.3</v>
      </c>
      <c r="J82" s="273">
        <v>0.3</v>
      </c>
      <c r="K82" s="273">
        <v>0.2</v>
      </c>
    </row>
    <row r="83" spans="1:11" ht="12.4" customHeight="1">
      <c r="A83" s="67">
        <v>71</v>
      </c>
      <c r="B83" s="49" t="s">
        <v>288</v>
      </c>
      <c r="C83" s="341"/>
      <c r="D83" s="53" t="s">
        <v>301</v>
      </c>
      <c r="G83" s="107"/>
      <c r="H83" s="273">
        <v>0.5</v>
      </c>
      <c r="I83" s="273">
        <v>0.5</v>
      </c>
      <c r="J83" s="273">
        <v>0.5</v>
      </c>
      <c r="K83" s="273">
        <v>0.5</v>
      </c>
    </row>
    <row r="84" spans="1:11" ht="12.4" customHeight="1">
      <c r="A84" s="67">
        <v>72</v>
      </c>
      <c r="B84" s="49" t="s">
        <v>288</v>
      </c>
      <c r="C84" s="341"/>
      <c r="D84" s="53" t="s">
        <v>302</v>
      </c>
      <c r="G84" s="107"/>
      <c r="H84" s="273">
        <v>2</v>
      </c>
      <c r="I84" s="273">
        <v>1</v>
      </c>
      <c r="J84" s="273">
        <v>1</v>
      </c>
      <c r="K84" s="273">
        <v>0.5</v>
      </c>
    </row>
    <row r="85" spans="1:11" ht="13.5" customHeight="1" thickBot="1">
      <c r="A85" s="67">
        <v>73</v>
      </c>
      <c r="B85" s="49" t="s">
        <v>288</v>
      </c>
      <c r="C85" s="341"/>
      <c r="D85" s="309" t="s">
        <v>303</v>
      </c>
      <c r="G85" s="107"/>
      <c r="H85" s="273"/>
      <c r="I85" s="310">
        <v>0.25</v>
      </c>
      <c r="J85" s="273"/>
      <c r="K85" s="273"/>
    </row>
    <row r="86" spans="1:11" ht="13.5" customHeight="1" thickBot="1">
      <c r="A86" s="67">
        <v>74</v>
      </c>
      <c r="B86" s="49" t="s">
        <v>288</v>
      </c>
      <c r="C86" s="341"/>
      <c r="D86" s="309" t="s">
        <v>304</v>
      </c>
      <c r="G86" s="107"/>
      <c r="H86" s="273"/>
      <c r="I86" s="273"/>
      <c r="J86" s="310">
        <v>0.2</v>
      </c>
      <c r="K86" s="273"/>
    </row>
    <row r="87" spans="1:11" ht="13.5" customHeight="1" thickBot="1">
      <c r="A87" s="67">
        <v>75</v>
      </c>
      <c r="B87" s="49" t="s">
        <v>288</v>
      </c>
      <c r="C87" s="341"/>
      <c r="D87" s="309" t="s">
        <v>305</v>
      </c>
      <c r="G87" s="107"/>
      <c r="H87" s="273"/>
      <c r="I87" s="273"/>
      <c r="J87" s="310">
        <v>0.2</v>
      </c>
      <c r="K87" s="273"/>
    </row>
    <row r="88" spans="1:11" ht="13.5" customHeight="1" thickBot="1">
      <c r="A88" s="67">
        <v>76</v>
      </c>
      <c r="B88" s="49" t="s">
        <v>288</v>
      </c>
      <c r="C88" s="341"/>
      <c r="D88" s="309" t="s">
        <v>306</v>
      </c>
      <c r="G88" s="107"/>
      <c r="H88" s="273"/>
      <c r="I88" s="273"/>
      <c r="J88" s="310">
        <v>0.2</v>
      </c>
      <c r="K88" s="273"/>
    </row>
    <row r="89" spans="1:11" ht="13.5" customHeight="1" thickBot="1">
      <c r="A89" s="67">
        <v>77</v>
      </c>
      <c r="B89" s="49" t="s">
        <v>288</v>
      </c>
      <c r="C89" s="341"/>
      <c r="D89" s="309" t="s">
        <v>307</v>
      </c>
      <c r="G89" s="107"/>
      <c r="H89" s="273"/>
      <c r="I89" s="273"/>
      <c r="J89" s="310">
        <v>0.1</v>
      </c>
      <c r="K89" s="273"/>
    </row>
    <row r="90" spans="1:11" ht="13.5" customHeight="1" thickBot="1">
      <c r="A90" s="67">
        <v>78</v>
      </c>
      <c r="B90" s="49" t="s">
        <v>288</v>
      </c>
      <c r="C90" s="341"/>
      <c r="D90" s="309" t="s">
        <v>308</v>
      </c>
      <c r="G90" s="107"/>
      <c r="H90" s="273"/>
      <c r="I90" s="273"/>
      <c r="J90" s="310">
        <v>0.2</v>
      </c>
      <c r="K90" s="273"/>
    </row>
    <row r="91" spans="1:11" ht="13.5" customHeight="1" thickBot="1">
      <c r="A91" s="67">
        <v>79</v>
      </c>
      <c r="B91" s="49" t="s">
        <v>288</v>
      </c>
      <c r="C91" s="341"/>
      <c r="D91" s="309" t="s">
        <v>309</v>
      </c>
      <c r="G91" s="107"/>
      <c r="H91" s="273"/>
      <c r="I91" s="273"/>
      <c r="J91" s="273"/>
      <c r="K91" s="273"/>
    </row>
    <row r="92" spans="1:11" ht="13.5" customHeight="1" thickBot="1">
      <c r="A92" s="67">
        <v>80</v>
      </c>
      <c r="B92" s="49" t="s">
        <v>288</v>
      </c>
      <c r="C92" s="341"/>
      <c r="D92" s="309" t="s">
        <v>310</v>
      </c>
      <c r="G92" s="107"/>
      <c r="H92" s="273"/>
      <c r="I92" s="273"/>
      <c r="J92" s="273"/>
      <c r="K92" s="310">
        <v>0.1</v>
      </c>
    </row>
    <row r="93" spans="1:11" ht="13.5" customHeight="1" thickBot="1">
      <c r="A93" s="67">
        <v>81</v>
      </c>
      <c r="B93" s="49" t="s">
        <v>288</v>
      </c>
      <c r="C93" s="341"/>
      <c r="D93" s="309" t="s">
        <v>311</v>
      </c>
      <c r="G93" s="107"/>
      <c r="H93" s="273"/>
      <c r="I93" s="273"/>
      <c r="J93" s="273"/>
      <c r="K93" s="310">
        <v>0.2</v>
      </c>
    </row>
    <row r="94" spans="1:11" ht="13.5" customHeight="1" thickBot="1">
      <c r="A94" s="67">
        <v>82</v>
      </c>
      <c r="B94" s="49" t="s">
        <v>288</v>
      </c>
      <c r="C94" s="342"/>
      <c r="D94" s="309" t="s">
        <v>312</v>
      </c>
      <c r="G94" s="107"/>
      <c r="H94" s="273"/>
      <c r="I94" s="273"/>
      <c r="J94" s="273"/>
      <c r="K94" s="273"/>
    </row>
    <row r="95" spans="1:11">
      <c r="A95" s="67">
        <v>83</v>
      </c>
      <c r="B95" s="49" t="s">
        <v>288</v>
      </c>
      <c r="D95" s="107" t="s">
        <v>313</v>
      </c>
      <c r="E95" s="48" t="s">
        <v>57</v>
      </c>
      <c r="F95" s="48">
        <v>35</v>
      </c>
      <c r="G95" s="277">
        <f>F95</f>
        <v>35</v>
      </c>
      <c r="H95" s="273"/>
      <c r="I95" s="273"/>
      <c r="J95" s="273"/>
      <c r="K95" s="273"/>
    </row>
    <row r="96" spans="1:11">
      <c r="A96" s="67">
        <v>84</v>
      </c>
      <c r="B96" s="49" t="s">
        <v>288</v>
      </c>
      <c r="C96" s="338" t="s">
        <v>314</v>
      </c>
      <c r="D96" s="53" t="s">
        <v>315</v>
      </c>
      <c r="G96" s="277"/>
      <c r="H96" s="273">
        <v>0.8</v>
      </c>
      <c r="I96" s="273">
        <v>3</v>
      </c>
      <c r="J96" s="273">
        <v>3</v>
      </c>
      <c r="K96" s="273">
        <v>3</v>
      </c>
    </row>
    <row r="97" spans="1:11">
      <c r="A97" s="67">
        <v>85</v>
      </c>
      <c r="B97" s="49" t="s">
        <v>288</v>
      </c>
      <c r="C97" s="338"/>
      <c r="D97" s="53" t="s">
        <v>316</v>
      </c>
      <c r="G97" s="107"/>
      <c r="H97" s="273">
        <v>0.5</v>
      </c>
      <c r="I97" s="273">
        <v>2.5</v>
      </c>
      <c r="J97" s="273">
        <v>1.4</v>
      </c>
      <c r="K97" s="273">
        <v>0.8</v>
      </c>
    </row>
    <row r="98" spans="1:11">
      <c r="A98" s="67">
        <v>86</v>
      </c>
      <c r="B98" s="49" t="s">
        <v>288</v>
      </c>
      <c r="C98" s="338"/>
      <c r="D98" s="53" t="s">
        <v>317</v>
      </c>
      <c r="G98" s="107"/>
      <c r="H98" s="273">
        <v>0.5</v>
      </c>
      <c r="I98" s="273">
        <v>3</v>
      </c>
      <c r="J98" s="273">
        <v>3</v>
      </c>
      <c r="K98" s="273">
        <v>2</v>
      </c>
    </row>
    <row r="99" spans="1:11">
      <c r="A99" s="67">
        <v>87</v>
      </c>
      <c r="B99" s="49" t="s">
        <v>288</v>
      </c>
      <c r="C99" s="338"/>
      <c r="D99" s="53" t="s">
        <v>318</v>
      </c>
      <c r="G99" s="107"/>
      <c r="H99" s="273">
        <v>0.5</v>
      </c>
      <c r="I99" s="273">
        <v>0.7</v>
      </c>
      <c r="J99" s="273">
        <v>0.5</v>
      </c>
      <c r="K99" s="273">
        <v>0.5</v>
      </c>
    </row>
    <row r="100" spans="1:11">
      <c r="A100" s="67">
        <v>88</v>
      </c>
      <c r="B100" s="49" t="s">
        <v>288</v>
      </c>
      <c r="C100" s="338"/>
      <c r="D100" s="53" t="s">
        <v>319</v>
      </c>
      <c r="G100" s="107"/>
      <c r="H100" s="273"/>
      <c r="I100" s="273"/>
      <c r="J100" s="273">
        <v>0.1</v>
      </c>
      <c r="K100" s="273"/>
    </row>
    <row r="101" spans="1:11">
      <c r="A101" s="67">
        <v>89</v>
      </c>
      <c r="B101" s="49" t="s">
        <v>288</v>
      </c>
      <c r="C101" s="338"/>
      <c r="D101" s="53" t="s">
        <v>320</v>
      </c>
      <c r="G101" s="107"/>
      <c r="H101" s="273"/>
      <c r="I101" s="273">
        <v>0.5</v>
      </c>
      <c r="J101" s="273">
        <v>0.2</v>
      </c>
      <c r="K101" s="273">
        <v>0.5</v>
      </c>
    </row>
    <row r="102" spans="1:11">
      <c r="A102" s="67">
        <v>90</v>
      </c>
      <c r="B102" s="49" t="s">
        <v>288</v>
      </c>
      <c r="C102" s="338"/>
      <c r="D102" s="53" t="s">
        <v>321</v>
      </c>
      <c r="G102" s="107"/>
      <c r="H102" s="273"/>
      <c r="I102" s="273">
        <v>0.5</v>
      </c>
      <c r="J102" s="273"/>
      <c r="K102" s="273">
        <v>0.2</v>
      </c>
    </row>
    <row r="103" spans="1:11">
      <c r="A103" s="67">
        <v>91</v>
      </c>
      <c r="B103" s="49" t="s">
        <v>288</v>
      </c>
      <c r="C103" s="338"/>
      <c r="D103" s="53" t="s">
        <v>322</v>
      </c>
      <c r="G103" s="107"/>
      <c r="H103" s="273"/>
      <c r="I103" s="273"/>
      <c r="J103" s="273"/>
      <c r="K103" s="273"/>
    </row>
    <row r="104" spans="1:11">
      <c r="A104" s="67">
        <v>92</v>
      </c>
      <c r="B104" s="49" t="s">
        <v>288</v>
      </c>
      <c r="C104" s="338"/>
      <c r="D104" s="53" t="s">
        <v>323</v>
      </c>
      <c r="G104" s="107"/>
      <c r="H104" s="273"/>
      <c r="I104" s="273"/>
      <c r="J104" s="273"/>
      <c r="K104" s="273">
        <v>0.2</v>
      </c>
    </row>
    <row r="105" spans="1:11">
      <c r="A105" s="67">
        <v>93</v>
      </c>
      <c r="B105" s="49" t="s">
        <v>288</v>
      </c>
      <c r="C105" s="338"/>
      <c r="D105" s="53" t="s">
        <v>324</v>
      </c>
      <c r="G105" s="107"/>
      <c r="H105" s="273"/>
      <c r="I105" s="273">
        <v>0.5</v>
      </c>
      <c r="J105" s="273">
        <v>0.2</v>
      </c>
      <c r="K105" s="273">
        <v>0.5</v>
      </c>
    </row>
    <row r="106" spans="1:11">
      <c r="A106" s="67">
        <v>94</v>
      </c>
      <c r="B106" s="49" t="s">
        <v>288</v>
      </c>
      <c r="C106" s="338"/>
      <c r="D106" s="53" t="s">
        <v>325</v>
      </c>
      <c r="G106" s="107"/>
      <c r="H106" s="273">
        <v>0.1</v>
      </c>
      <c r="I106" s="273">
        <v>0.5</v>
      </c>
      <c r="J106" s="273">
        <v>0.5</v>
      </c>
      <c r="K106" s="273">
        <v>0.5</v>
      </c>
    </row>
    <row r="107" spans="1:11">
      <c r="A107" s="67">
        <v>95</v>
      </c>
      <c r="B107" s="49" t="s">
        <v>288</v>
      </c>
      <c r="C107" s="338"/>
      <c r="D107" s="53" t="s">
        <v>326</v>
      </c>
      <c r="G107" s="107"/>
      <c r="H107" s="273"/>
      <c r="I107" s="273">
        <v>0.1</v>
      </c>
      <c r="J107" s="273">
        <v>0.1</v>
      </c>
      <c r="K107" s="273">
        <v>0.1</v>
      </c>
    </row>
    <row r="108" spans="1:11">
      <c r="A108" s="67">
        <v>96</v>
      </c>
      <c r="B108" s="49" t="s">
        <v>288</v>
      </c>
      <c r="C108" s="338"/>
      <c r="D108" s="53" t="s">
        <v>327</v>
      </c>
      <c r="G108" s="107"/>
      <c r="H108" s="273"/>
      <c r="I108" s="273">
        <v>0.2</v>
      </c>
      <c r="J108" s="273">
        <v>0.5</v>
      </c>
      <c r="K108" s="273">
        <v>0.2</v>
      </c>
    </row>
    <row r="109" spans="1:11">
      <c r="A109" s="67">
        <v>97</v>
      </c>
      <c r="B109" s="49" t="s">
        <v>288</v>
      </c>
      <c r="C109" s="338"/>
      <c r="D109" s="53" t="s">
        <v>328</v>
      </c>
      <c r="G109" s="107"/>
      <c r="H109" s="273"/>
      <c r="I109" s="273">
        <v>0.5</v>
      </c>
      <c r="J109" s="273">
        <v>0.8</v>
      </c>
      <c r="K109" s="273">
        <v>0.5</v>
      </c>
    </row>
    <row r="110" spans="1:11">
      <c r="A110" s="67">
        <v>98</v>
      </c>
      <c r="B110" s="49" t="s">
        <v>288</v>
      </c>
      <c r="C110" s="338"/>
      <c r="D110" s="53" t="s">
        <v>329</v>
      </c>
      <c r="G110" s="107"/>
      <c r="H110" s="273">
        <v>0.1</v>
      </c>
      <c r="I110" s="273">
        <v>0.5</v>
      </c>
      <c r="J110" s="273">
        <v>0.2</v>
      </c>
      <c r="K110" s="273">
        <v>0.5</v>
      </c>
    </row>
    <row r="111" spans="1:11">
      <c r="A111" s="67">
        <v>99</v>
      </c>
      <c r="B111" s="49" t="s">
        <v>330</v>
      </c>
      <c r="C111" s="338" t="s">
        <v>331</v>
      </c>
      <c r="D111" s="53" t="s">
        <v>332</v>
      </c>
      <c r="E111" s="48" t="s">
        <v>57</v>
      </c>
      <c r="F111" s="48">
        <v>15</v>
      </c>
      <c r="G111" s="277">
        <f>F111</f>
        <v>15</v>
      </c>
      <c r="H111" s="273">
        <v>5</v>
      </c>
      <c r="I111" s="273">
        <v>0</v>
      </c>
      <c r="J111" s="273">
        <v>4</v>
      </c>
      <c r="K111" s="273">
        <v>4</v>
      </c>
    </row>
    <row r="112" spans="1:11">
      <c r="A112" s="67">
        <v>100</v>
      </c>
      <c r="B112" s="49" t="s">
        <v>330</v>
      </c>
      <c r="C112" s="338"/>
      <c r="D112" s="53" t="s">
        <v>333</v>
      </c>
      <c r="G112" s="107"/>
      <c r="H112" s="273"/>
      <c r="I112" s="273"/>
      <c r="J112" s="273">
        <v>0.5</v>
      </c>
      <c r="K112" s="273"/>
    </row>
    <row r="113" spans="1:11">
      <c r="A113" s="67">
        <v>101</v>
      </c>
      <c r="B113" s="49" t="s">
        <v>330</v>
      </c>
      <c r="C113" s="338"/>
      <c r="D113" s="53" t="s">
        <v>334</v>
      </c>
      <c r="G113" s="107"/>
      <c r="H113" s="273"/>
      <c r="I113" s="273"/>
      <c r="J113" s="273"/>
      <c r="K113" s="273">
        <v>0.5</v>
      </c>
    </row>
    <row r="114" spans="1:11">
      <c r="A114" s="67">
        <v>102</v>
      </c>
      <c r="B114" s="49" t="s">
        <v>330</v>
      </c>
      <c r="C114" s="338"/>
      <c r="D114" s="53" t="s">
        <v>335</v>
      </c>
      <c r="G114" s="107"/>
      <c r="H114" s="273"/>
      <c r="I114" s="273"/>
      <c r="J114" s="273">
        <v>0.5</v>
      </c>
      <c r="K114" s="273"/>
    </row>
    <row r="115" spans="1:11">
      <c r="A115" s="67">
        <v>103</v>
      </c>
      <c r="B115" s="49" t="s">
        <v>330</v>
      </c>
      <c r="C115" s="338"/>
      <c r="D115" s="53" t="s">
        <v>336</v>
      </c>
      <c r="G115" s="107"/>
      <c r="H115" s="273"/>
      <c r="I115" s="273"/>
      <c r="J115" s="273">
        <v>0.5</v>
      </c>
      <c r="K115" s="273"/>
    </row>
    <row r="116" spans="1:11">
      <c r="A116" s="67">
        <v>104</v>
      </c>
      <c r="B116" s="49" t="s">
        <v>330</v>
      </c>
      <c r="C116" s="46" t="s">
        <v>337</v>
      </c>
      <c r="E116" s="48" t="s">
        <v>236</v>
      </c>
      <c r="F116" s="48">
        <v>5</v>
      </c>
      <c r="G116" s="277">
        <f>F116</f>
        <v>5</v>
      </c>
      <c r="H116" s="273">
        <v>0</v>
      </c>
      <c r="I116" s="273">
        <v>2.5</v>
      </c>
      <c r="J116" s="273">
        <v>0</v>
      </c>
      <c r="K116" s="273">
        <v>2.5</v>
      </c>
    </row>
    <row r="117" spans="1:11">
      <c r="A117" s="67">
        <v>105</v>
      </c>
      <c r="B117" s="49" t="s">
        <v>330</v>
      </c>
      <c r="C117" s="46" t="s">
        <v>338</v>
      </c>
      <c r="E117" s="48" t="s">
        <v>236</v>
      </c>
      <c r="F117" s="48">
        <v>10</v>
      </c>
      <c r="G117" s="277">
        <f>F117</f>
        <v>10</v>
      </c>
      <c r="H117" s="273">
        <v>2.5</v>
      </c>
      <c r="I117" s="273">
        <v>2.5</v>
      </c>
      <c r="J117" s="273">
        <v>2.5</v>
      </c>
      <c r="K117" s="273">
        <v>2.5</v>
      </c>
    </row>
    <row r="118" spans="1:11">
      <c r="A118" s="67">
        <v>106</v>
      </c>
      <c r="B118" s="49" t="s">
        <v>339</v>
      </c>
      <c r="C118" s="46" t="s">
        <v>340</v>
      </c>
      <c r="E118" s="48" t="s">
        <v>57</v>
      </c>
      <c r="F118" s="48">
        <v>45</v>
      </c>
      <c r="G118" s="277">
        <f>F118</f>
        <v>45</v>
      </c>
      <c r="H118" s="273">
        <v>5</v>
      </c>
      <c r="I118" s="273">
        <v>20</v>
      </c>
      <c r="J118" s="273">
        <v>10</v>
      </c>
      <c r="K118" s="273">
        <v>10</v>
      </c>
    </row>
    <row r="119" spans="1:11">
      <c r="A119" s="67">
        <v>107</v>
      </c>
      <c r="B119" s="49" t="s">
        <v>341</v>
      </c>
      <c r="C119" s="46" t="s">
        <v>342</v>
      </c>
      <c r="E119" s="48" t="s">
        <v>236</v>
      </c>
      <c r="F119" s="48">
        <v>10</v>
      </c>
      <c r="G119" s="277">
        <f>F119</f>
        <v>10</v>
      </c>
      <c r="H119" s="273">
        <v>3</v>
      </c>
      <c r="I119" s="273">
        <v>2</v>
      </c>
      <c r="J119" s="273">
        <v>2.5</v>
      </c>
      <c r="K119" s="273">
        <v>2.5</v>
      </c>
    </row>
    <row r="120" spans="1:11">
      <c r="A120" s="67">
        <v>108</v>
      </c>
      <c r="B120" s="49" t="s">
        <v>343</v>
      </c>
      <c r="C120" s="53" t="s">
        <v>344</v>
      </c>
      <c r="D120" s="53" t="s">
        <v>345</v>
      </c>
      <c r="F120" s="48">
        <v>150</v>
      </c>
      <c r="G120" s="277">
        <f>F120</f>
        <v>150</v>
      </c>
      <c r="H120" s="273"/>
      <c r="I120" s="273"/>
      <c r="J120" s="273"/>
      <c r="K120" s="273"/>
    </row>
    <row r="121" spans="1:11">
      <c r="C121" s="280" t="s">
        <v>346</v>
      </c>
      <c r="F121" s="48">
        <f>SUM(F13:F120)</f>
        <v>735</v>
      </c>
      <c r="G121" s="281">
        <f>SUM(G13:G120)</f>
        <v>735</v>
      </c>
      <c r="H121" s="281">
        <f t="shared" ref="H121:K121" si="1">SUM(H13:H119)</f>
        <v>91.874999999999986</v>
      </c>
      <c r="I121" s="281">
        <f t="shared" si="1"/>
        <v>187.22499999999999</v>
      </c>
      <c r="J121" s="281">
        <f t="shared" si="1"/>
        <v>155.07499999999996</v>
      </c>
      <c r="K121" s="281">
        <f t="shared" si="1"/>
        <v>152.27499999999998</v>
      </c>
    </row>
    <row r="122" spans="1:11">
      <c r="D122" s="299"/>
      <c r="E122" s="299"/>
      <c r="G122" s="337">
        <f>G121-G120</f>
        <v>585</v>
      </c>
    </row>
    <row r="123" spans="1:11" ht="39.6">
      <c r="C123" s="46" t="s">
        <v>347</v>
      </c>
      <c r="D123" s="50"/>
      <c r="E123" s="56" t="s">
        <v>69</v>
      </c>
      <c r="F123" s="51" t="s">
        <v>348</v>
      </c>
    </row>
    <row r="124" spans="1:11">
      <c r="C124" s="46" t="s">
        <v>19</v>
      </c>
      <c r="E124" s="48">
        <v>455</v>
      </c>
      <c r="F124" s="48">
        <f t="shared" ref="F124:F130" si="2">E124/$E$130*$F$8</f>
        <v>396.66666666666669</v>
      </c>
    </row>
    <row r="125" spans="1:11">
      <c r="C125" s="46" t="s">
        <v>20</v>
      </c>
      <c r="E125" s="48">
        <v>90</v>
      </c>
      <c r="F125" s="48">
        <f t="shared" si="2"/>
        <v>78.461538461538467</v>
      </c>
    </row>
    <row r="126" spans="1:11">
      <c r="C126" s="46" t="s">
        <v>21</v>
      </c>
      <c r="E126" s="48">
        <v>2</v>
      </c>
      <c r="F126" s="48">
        <f t="shared" si="2"/>
        <v>1.7435897435897436</v>
      </c>
    </row>
    <row r="127" spans="1:11">
      <c r="C127" s="46" t="s">
        <v>22</v>
      </c>
      <c r="E127" s="48">
        <v>1</v>
      </c>
      <c r="F127" s="48">
        <f t="shared" si="2"/>
        <v>0.87179487179487181</v>
      </c>
    </row>
    <row r="128" spans="1:11">
      <c r="C128" s="46" t="s">
        <v>23</v>
      </c>
      <c r="F128" s="48">
        <f t="shared" si="2"/>
        <v>0</v>
      </c>
    </row>
    <row r="129" spans="1:16">
      <c r="C129" s="46" t="s">
        <v>24</v>
      </c>
      <c r="E129" s="48">
        <v>37</v>
      </c>
      <c r="F129" s="48">
        <f t="shared" si="2"/>
        <v>32.256410256410255</v>
      </c>
    </row>
    <row r="130" spans="1:16">
      <c r="C130" s="46" t="s">
        <v>15</v>
      </c>
      <c r="E130" s="57">
        <f>SUM(E124:E129)</f>
        <v>585</v>
      </c>
      <c r="F130" s="57">
        <f t="shared" si="2"/>
        <v>510</v>
      </c>
    </row>
    <row r="132" spans="1:16">
      <c r="D132" s="299"/>
      <c r="E132" s="299"/>
    </row>
    <row r="133" spans="1:16">
      <c r="C133" s="297"/>
      <c r="D133" s="50"/>
      <c r="E133" s="51" t="s">
        <v>349</v>
      </c>
    </row>
    <row r="134" spans="1:16">
      <c r="C134" s="46" t="s">
        <v>37</v>
      </c>
      <c r="E134" s="48">
        <v>2</v>
      </c>
    </row>
    <row r="135" spans="1:16">
      <c r="C135" s="46" t="s">
        <v>350</v>
      </c>
      <c r="E135" s="48">
        <v>7</v>
      </c>
    </row>
    <row r="136" spans="1:16">
      <c r="C136" s="46" t="s">
        <v>351</v>
      </c>
      <c r="E136" s="48" t="s">
        <v>352</v>
      </c>
    </row>
    <row r="137" spans="1:16">
      <c r="C137" s="46" t="s">
        <v>353</v>
      </c>
      <c r="E137" s="48" t="s">
        <v>354</v>
      </c>
    </row>
    <row r="138" spans="1:16">
      <c r="C138" s="46" t="s">
        <v>355</v>
      </c>
    </row>
    <row r="140" spans="1:16">
      <c r="D140" s="58"/>
      <c r="E140" s="301"/>
      <c r="F140" s="58"/>
      <c r="G140" s="339" t="s">
        <v>356</v>
      </c>
      <c r="H140" s="339"/>
      <c r="I140" s="339"/>
      <c r="J140" s="302" t="s">
        <v>357</v>
      </c>
      <c r="K140" s="302"/>
    </row>
    <row r="141" spans="1:16" s="58" customFormat="1" ht="39.6">
      <c r="A141" s="306"/>
      <c r="C141" s="14" t="s">
        <v>358</v>
      </c>
      <c r="D141" s="14" t="s">
        <v>359</v>
      </c>
      <c r="E141" s="15" t="s">
        <v>360</v>
      </c>
      <c r="F141" s="14" t="s">
        <v>361</v>
      </c>
      <c r="G141" s="303" t="s">
        <v>362</v>
      </c>
      <c r="H141" s="282" t="s">
        <v>363</v>
      </c>
      <c r="I141" s="282" t="s">
        <v>364</v>
      </c>
      <c r="J141" s="283" t="s">
        <v>365</v>
      </c>
      <c r="K141" s="283" t="s">
        <v>366</v>
      </c>
      <c r="L141" s="286" t="s">
        <v>367</v>
      </c>
      <c r="M141" s="14" t="s">
        <v>368</v>
      </c>
      <c r="N141" s="14" t="s">
        <v>17</v>
      </c>
      <c r="O141" s="15" t="s">
        <v>369</v>
      </c>
      <c r="P141" s="15" t="s">
        <v>370</v>
      </c>
    </row>
    <row r="142" spans="1:16" s="58" customFormat="1" ht="26.45">
      <c r="A142" s="306"/>
      <c r="C142" s="314">
        <v>90</v>
      </c>
      <c r="D142" s="16" t="s">
        <v>371</v>
      </c>
      <c r="E142" s="16" t="s">
        <v>372</v>
      </c>
      <c r="F142" s="16" t="s">
        <v>373</v>
      </c>
      <c r="G142" s="17">
        <v>3840126</v>
      </c>
      <c r="H142" s="284">
        <v>2560080</v>
      </c>
      <c r="I142" s="284">
        <v>6400206</v>
      </c>
      <c r="J142" s="285">
        <f>(L142/10)*6</f>
        <v>4608148.32</v>
      </c>
      <c r="K142" s="285">
        <f>(L142/10)*4</f>
        <v>3072098.88</v>
      </c>
      <c r="L142" s="304">
        <f>I142*1.2</f>
        <v>7680247.1999999993</v>
      </c>
      <c r="M142" s="58" t="s">
        <v>189</v>
      </c>
      <c r="N142" s="58" t="s">
        <v>189</v>
      </c>
      <c r="O142" s="58" t="s">
        <v>189</v>
      </c>
      <c r="P142" s="58" t="s">
        <v>189</v>
      </c>
    </row>
    <row r="143" spans="1:16" s="58" customFormat="1" ht="26.45">
      <c r="A143" s="306"/>
      <c r="C143" s="314">
        <v>1720</v>
      </c>
      <c r="D143" s="16" t="s">
        <v>374</v>
      </c>
      <c r="E143" s="16" t="s">
        <v>375</v>
      </c>
      <c r="F143" s="16" t="s">
        <v>373</v>
      </c>
      <c r="G143" s="17">
        <v>1485444</v>
      </c>
      <c r="H143" s="284">
        <v>990293</v>
      </c>
      <c r="I143" s="284">
        <v>2475737</v>
      </c>
      <c r="J143" s="285">
        <f>(L143/10)*6</f>
        <v>1856802.75</v>
      </c>
      <c r="K143" s="285">
        <f>(L143/10)*4</f>
        <v>1237868.5</v>
      </c>
      <c r="L143" s="304">
        <f>I143*1.25</f>
        <v>3094671.25</v>
      </c>
      <c r="M143" s="58" t="s">
        <v>189</v>
      </c>
      <c r="N143" s="58" t="s">
        <v>189</v>
      </c>
      <c r="O143" s="58" t="s">
        <v>189</v>
      </c>
      <c r="P143" s="58" t="s">
        <v>189</v>
      </c>
    </row>
    <row r="144" spans="1:16" s="58" customFormat="1" ht="79.150000000000006">
      <c r="A144" s="306"/>
      <c r="C144" s="314">
        <v>1895</v>
      </c>
      <c r="D144" s="16" t="s">
        <v>376</v>
      </c>
      <c r="E144" s="16" t="s">
        <v>377</v>
      </c>
      <c r="F144" s="16" t="s">
        <v>373</v>
      </c>
      <c r="G144" s="17">
        <v>1838856</v>
      </c>
      <c r="H144" s="284">
        <v>1225900</v>
      </c>
      <c r="I144" s="284">
        <v>3064756</v>
      </c>
      <c r="J144" s="287"/>
      <c r="K144" s="287"/>
      <c r="L144" s="60"/>
      <c r="M144" s="59">
        <v>500000000</v>
      </c>
      <c r="N144" s="59">
        <v>700000000</v>
      </c>
      <c r="O144" s="59">
        <f>M144</f>
        <v>500000000</v>
      </c>
      <c r="P144" s="60" t="s">
        <v>378</v>
      </c>
    </row>
    <row r="145" spans="1:16" s="58" customFormat="1" ht="79.150000000000006">
      <c r="A145" s="306"/>
      <c r="C145" s="314">
        <v>2276</v>
      </c>
      <c r="D145" s="16" t="s">
        <v>379</v>
      </c>
      <c r="E145" s="16" t="s">
        <v>380</v>
      </c>
      <c r="F145" s="16" t="s">
        <v>373</v>
      </c>
      <c r="G145" s="17">
        <v>1552500</v>
      </c>
      <c r="H145" s="284">
        <v>1035000</v>
      </c>
      <c r="I145" s="284">
        <v>2587500</v>
      </c>
      <c r="J145" s="287"/>
      <c r="K145" s="287"/>
      <c r="L145" s="60"/>
      <c r="M145" s="59">
        <v>250000000</v>
      </c>
      <c r="N145" s="59">
        <v>350000000</v>
      </c>
      <c r="O145" s="59">
        <f>M145</f>
        <v>250000000</v>
      </c>
      <c r="P145" s="60" t="s">
        <v>378</v>
      </c>
    </row>
    <row r="146" spans="1:16" s="58" customFormat="1" ht="79.150000000000006">
      <c r="A146" s="306"/>
      <c r="C146" s="314">
        <v>2339</v>
      </c>
      <c r="D146" s="16" t="s">
        <v>381</v>
      </c>
      <c r="E146" s="16" t="s">
        <v>380</v>
      </c>
      <c r="F146" s="16" t="s">
        <v>373</v>
      </c>
      <c r="G146" s="17">
        <v>1680000</v>
      </c>
      <c r="H146" s="284">
        <v>1120000</v>
      </c>
      <c r="I146" s="284">
        <v>2800000</v>
      </c>
      <c r="J146" s="287"/>
      <c r="K146" s="287"/>
      <c r="L146" s="60"/>
      <c r="M146" s="59">
        <v>250000000</v>
      </c>
      <c r="N146" s="59">
        <v>350000000</v>
      </c>
      <c r="O146" s="59">
        <f>M146</f>
        <v>250000000</v>
      </c>
      <c r="P146" s="60" t="s">
        <v>378</v>
      </c>
    </row>
    <row r="147" spans="1:16" s="58" customFormat="1" ht="52.9">
      <c r="A147" s="306"/>
      <c r="C147" s="314">
        <v>2015</v>
      </c>
      <c r="D147" s="16" t="s">
        <v>382</v>
      </c>
      <c r="E147" s="16" t="s">
        <v>383</v>
      </c>
      <c r="F147" s="16" t="s">
        <v>373</v>
      </c>
      <c r="G147" s="17">
        <v>840014</v>
      </c>
      <c r="H147" s="284">
        <v>560004</v>
      </c>
      <c r="I147" s="284">
        <v>1400018</v>
      </c>
      <c r="J147" s="287">
        <f>(L147/10)*6</f>
        <v>924011.88000000012</v>
      </c>
      <c r="K147" s="287">
        <f>(L147/10)*4</f>
        <v>616007.92000000004</v>
      </c>
      <c r="L147" s="60">
        <f>I147*1.1</f>
        <v>1540019.8</v>
      </c>
      <c r="M147" s="59">
        <v>50000000</v>
      </c>
      <c r="N147" s="59">
        <v>50000000</v>
      </c>
      <c r="O147" s="59">
        <v>50000000</v>
      </c>
      <c r="P147" s="60" t="s">
        <v>384</v>
      </c>
    </row>
    <row r="148" spans="1:16" s="58" customFormat="1">
      <c r="A148" s="306"/>
      <c r="C148" s="314">
        <v>2082</v>
      </c>
      <c r="D148" s="16" t="s">
        <v>385</v>
      </c>
      <c r="E148" s="16" t="s">
        <v>386</v>
      </c>
      <c r="F148" s="16" t="s">
        <v>373</v>
      </c>
      <c r="G148" s="17">
        <v>632510</v>
      </c>
      <c r="H148" s="284">
        <v>0</v>
      </c>
      <c r="I148" s="284">
        <v>632510</v>
      </c>
      <c r="J148" s="285"/>
      <c r="K148" s="285"/>
      <c r="L148" s="304">
        <v>720000</v>
      </c>
      <c r="M148" s="58" t="s">
        <v>189</v>
      </c>
      <c r="N148" s="58" t="s">
        <v>189</v>
      </c>
      <c r="O148" s="58" t="s">
        <v>189</v>
      </c>
      <c r="P148" s="58" t="s">
        <v>189</v>
      </c>
    </row>
    <row r="149" spans="1:16" s="58" customFormat="1">
      <c r="A149" s="306"/>
      <c r="C149" s="314">
        <v>2472</v>
      </c>
      <c r="D149" s="16" t="s">
        <v>387</v>
      </c>
      <c r="E149" s="16" t="s">
        <v>388</v>
      </c>
      <c r="F149" s="16" t="s">
        <v>373</v>
      </c>
      <c r="G149" s="17">
        <v>481850</v>
      </c>
      <c r="H149" s="284">
        <v>0</v>
      </c>
      <c r="I149" s="284">
        <v>481850</v>
      </c>
      <c r="J149" s="285" t="s">
        <v>189</v>
      </c>
      <c r="K149" s="285"/>
      <c r="L149" s="304">
        <f>I149</f>
        <v>481850</v>
      </c>
      <c r="M149" s="58" t="s">
        <v>189</v>
      </c>
      <c r="N149" s="58" t="s">
        <v>189</v>
      </c>
      <c r="O149" s="58" t="s">
        <v>189</v>
      </c>
      <c r="P149" s="58" t="s">
        <v>189</v>
      </c>
    </row>
    <row r="150" spans="1:16" s="58" customFormat="1">
      <c r="A150" s="306"/>
      <c r="E150" s="301"/>
      <c r="H150" s="305"/>
      <c r="I150" s="305"/>
      <c r="J150" s="305"/>
      <c r="K150" s="305"/>
    </row>
    <row r="151" spans="1:16" s="58" customFormat="1">
      <c r="A151" s="306"/>
      <c r="E151" s="301"/>
      <c r="H151" s="305"/>
      <c r="I151" s="305"/>
      <c r="J151" s="305"/>
      <c r="K151" s="305"/>
      <c r="L151" s="301"/>
    </row>
    <row r="152" spans="1:16" s="58" customFormat="1">
      <c r="A152" s="306"/>
      <c r="D152" s="53"/>
      <c r="E152" s="48"/>
      <c r="F152" s="48"/>
      <c r="G152" s="49"/>
      <c r="H152" s="300"/>
      <c r="I152" s="300"/>
      <c r="J152" s="300"/>
      <c r="K152" s="300"/>
      <c r="L152" s="301"/>
    </row>
  </sheetData>
  <mergeCells count="16">
    <mergeCell ref="C6:E6"/>
    <mergeCell ref="H6:I6"/>
    <mergeCell ref="J6:K6"/>
    <mergeCell ref="C11:F11"/>
    <mergeCell ref="H11:I11"/>
    <mergeCell ref="J11:K11"/>
    <mergeCell ref="C96:C110"/>
    <mergeCell ref="C111:C115"/>
    <mergeCell ref="G140:I140"/>
    <mergeCell ref="C13:C22"/>
    <mergeCell ref="C26:C31"/>
    <mergeCell ref="C66:C71"/>
    <mergeCell ref="C73:C94"/>
    <mergeCell ref="C36:C41"/>
    <mergeCell ref="C43:C44"/>
    <mergeCell ref="C45:C6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84CF-18F0-451B-9EC8-DE32106CBF65}">
  <dimension ref="A2:J110"/>
  <sheetViews>
    <sheetView zoomScaleNormal="100" workbookViewId="0">
      <selection activeCell="D52" sqref="D52"/>
    </sheetView>
  </sheetViews>
  <sheetFormatPr defaultColWidth="8.625" defaultRowHeight="13.15"/>
  <cols>
    <col min="1" max="1" width="14" style="151" customWidth="1"/>
    <col min="2" max="2" width="15.25" style="151" customWidth="1"/>
    <col min="3" max="3" width="31" style="172" customWidth="1"/>
    <col min="4" max="4" width="17.75" style="151" customWidth="1"/>
    <col min="5" max="5" width="18.25" style="151" bestFit="1" customWidth="1"/>
    <col min="6" max="6" width="18.625" style="151" bestFit="1" customWidth="1"/>
    <col min="7" max="7" width="8.75" style="151" bestFit="1" customWidth="1"/>
    <col min="8" max="8" width="13.625" style="151" bestFit="1" customWidth="1"/>
    <col min="9" max="16384" width="8.625" style="151"/>
  </cols>
  <sheetData>
    <row r="2" spans="1:10">
      <c r="A2" s="149" t="s">
        <v>389</v>
      </c>
      <c r="B2" s="149"/>
      <c r="C2" s="150" t="s">
        <v>71</v>
      </c>
    </row>
    <row r="4" spans="1:10">
      <c r="A4" s="152" t="s">
        <v>390</v>
      </c>
      <c r="B4" s="152"/>
      <c r="C4" s="153" t="s">
        <v>35</v>
      </c>
    </row>
    <row r="6" spans="1:10">
      <c r="A6" s="154" t="s">
        <v>36</v>
      </c>
      <c r="B6" s="155"/>
      <c r="C6" s="156"/>
      <c r="D6" s="157"/>
      <c r="E6" s="158"/>
      <c r="F6" s="159"/>
      <c r="G6" s="367" t="s">
        <v>212</v>
      </c>
      <c r="H6" s="367"/>
      <c r="I6" s="367" t="s">
        <v>213</v>
      </c>
      <c r="J6" s="367"/>
    </row>
    <row r="7" spans="1:10">
      <c r="A7" s="160" t="s">
        <v>1</v>
      </c>
      <c r="B7" s="160"/>
      <c r="C7" s="161" t="s">
        <v>37</v>
      </c>
      <c r="D7" s="162" t="s">
        <v>38</v>
      </c>
      <c r="E7" s="51" t="s">
        <v>214</v>
      </c>
      <c r="F7" s="106" t="s">
        <v>215</v>
      </c>
      <c r="G7" s="104" t="s">
        <v>94</v>
      </c>
      <c r="H7" s="104" t="s">
        <v>95</v>
      </c>
      <c r="I7" s="104" t="s">
        <v>96</v>
      </c>
      <c r="J7" s="104" t="s">
        <v>97</v>
      </c>
    </row>
    <row r="8" spans="1:10">
      <c r="A8" s="163"/>
      <c r="B8" s="163"/>
      <c r="C8" s="164" t="s">
        <v>39</v>
      </c>
      <c r="D8" s="165">
        <v>300</v>
      </c>
      <c r="E8" s="166">
        <v>300</v>
      </c>
      <c r="F8" s="167">
        <v>300</v>
      </c>
      <c r="G8" s="168">
        <v>54.850000000000016</v>
      </c>
      <c r="H8" s="168">
        <v>84.149999999999991</v>
      </c>
      <c r="I8" s="168">
        <v>70.449999999999989</v>
      </c>
      <c r="J8" s="168">
        <v>90.55</v>
      </c>
    </row>
    <row r="9" spans="1:10">
      <c r="A9" s="163"/>
      <c r="B9" s="163"/>
      <c r="C9" s="164" t="s">
        <v>216</v>
      </c>
      <c r="D9" s="165">
        <v>24</v>
      </c>
      <c r="E9" s="166">
        <v>23</v>
      </c>
      <c r="F9" s="167">
        <v>22.3</v>
      </c>
      <c r="G9" s="107">
        <v>3</v>
      </c>
      <c r="H9" s="107">
        <v>5</v>
      </c>
      <c r="I9" s="107">
        <v>7</v>
      </c>
      <c r="J9" s="107">
        <v>7.3</v>
      </c>
    </row>
    <row r="11" spans="1:10">
      <c r="A11" s="169" t="s">
        <v>391</v>
      </c>
      <c r="B11" s="169"/>
      <c r="C11" s="170"/>
      <c r="D11" s="169"/>
      <c r="E11" s="169"/>
      <c r="F11" s="105"/>
      <c r="G11" s="367" t="s">
        <v>212</v>
      </c>
      <c r="H11" s="367"/>
      <c r="I11" s="367" t="s">
        <v>213</v>
      </c>
      <c r="J11" s="367"/>
    </row>
    <row r="12" spans="1:10" s="172" customFormat="1" ht="26.45">
      <c r="A12" s="171" t="s">
        <v>1</v>
      </c>
      <c r="B12" s="171" t="s">
        <v>392</v>
      </c>
      <c r="C12" s="171" t="s">
        <v>78</v>
      </c>
      <c r="D12" s="171" t="s">
        <v>44</v>
      </c>
      <c r="E12" s="171" t="s">
        <v>393</v>
      </c>
      <c r="F12" s="106" t="s">
        <v>220</v>
      </c>
      <c r="G12" s="104" t="s">
        <v>94</v>
      </c>
      <c r="H12" s="104" t="s">
        <v>95</v>
      </c>
      <c r="I12" s="104" t="s">
        <v>96</v>
      </c>
      <c r="J12" s="104" t="s">
        <v>97</v>
      </c>
    </row>
    <row r="13" spans="1:10" ht="13.9" thickBot="1">
      <c r="A13" s="173">
        <v>1</v>
      </c>
      <c r="B13" s="173" t="s">
        <v>394</v>
      </c>
      <c r="C13" s="174" t="s">
        <v>395</v>
      </c>
      <c r="D13" s="175" t="s">
        <v>53</v>
      </c>
      <c r="E13" s="176">
        <v>120</v>
      </c>
      <c r="F13" s="177">
        <f t="shared" ref="F13:F45" si="0">E13</f>
        <v>120</v>
      </c>
      <c r="G13" s="178">
        <v>25</v>
      </c>
      <c r="H13" s="178">
        <v>50</v>
      </c>
      <c r="I13" s="178">
        <v>20</v>
      </c>
      <c r="J13" s="178">
        <v>25</v>
      </c>
    </row>
    <row r="14" spans="1:10" ht="13.9" thickBot="1">
      <c r="A14" s="173">
        <v>2</v>
      </c>
      <c r="B14" s="173" t="s">
        <v>394</v>
      </c>
      <c r="C14" s="174" t="s">
        <v>396</v>
      </c>
      <c r="D14" s="175" t="s">
        <v>53</v>
      </c>
      <c r="E14" s="176">
        <v>15</v>
      </c>
      <c r="F14" s="110">
        <f t="shared" si="0"/>
        <v>15</v>
      </c>
      <c r="G14" s="179">
        <v>4</v>
      </c>
      <c r="H14" s="179">
        <v>3</v>
      </c>
      <c r="I14" s="179">
        <v>3</v>
      </c>
      <c r="J14" s="178">
        <v>5</v>
      </c>
    </row>
    <row r="15" spans="1:10">
      <c r="A15" s="173">
        <v>3</v>
      </c>
      <c r="B15" s="173" t="s">
        <v>397</v>
      </c>
      <c r="C15" s="174" t="s">
        <v>398</v>
      </c>
      <c r="D15" s="180" t="s">
        <v>399</v>
      </c>
      <c r="E15" s="176">
        <v>2</v>
      </c>
      <c r="F15" s="110">
        <f t="shared" si="0"/>
        <v>2</v>
      </c>
      <c r="G15" s="110">
        <v>0.3</v>
      </c>
      <c r="H15" s="110">
        <v>0.7</v>
      </c>
      <c r="I15" s="110">
        <v>0.5</v>
      </c>
      <c r="J15" s="177">
        <v>0.5</v>
      </c>
    </row>
    <row r="16" spans="1:10">
      <c r="A16" s="173">
        <v>4</v>
      </c>
      <c r="B16" s="173" t="s">
        <v>397</v>
      </c>
      <c r="C16" s="174" t="s">
        <v>400</v>
      </c>
      <c r="D16" s="180" t="s">
        <v>399</v>
      </c>
      <c r="E16" s="176">
        <v>2</v>
      </c>
      <c r="F16" s="177">
        <f t="shared" si="0"/>
        <v>2</v>
      </c>
      <c r="G16" s="177">
        <v>0.6</v>
      </c>
      <c r="H16" s="177">
        <v>0.4</v>
      </c>
      <c r="I16" s="110">
        <v>0.5</v>
      </c>
      <c r="J16" s="177">
        <v>0.5</v>
      </c>
    </row>
    <row r="17" spans="1:10">
      <c r="A17" s="173">
        <v>5</v>
      </c>
      <c r="B17" s="173" t="s">
        <v>397</v>
      </c>
      <c r="C17" s="174" t="s">
        <v>401</v>
      </c>
      <c r="D17" s="180" t="s">
        <v>399</v>
      </c>
      <c r="E17" s="176">
        <v>2</v>
      </c>
      <c r="F17" s="177">
        <f t="shared" si="0"/>
        <v>2</v>
      </c>
      <c r="G17" s="177">
        <v>0.6</v>
      </c>
      <c r="H17" s="177">
        <v>0.4</v>
      </c>
      <c r="I17" s="110">
        <v>0.5</v>
      </c>
      <c r="J17" s="177">
        <v>0.5</v>
      </c>
    </row>
    <row r="18" spans="1:10">
      <c r="A18" s="173">
        <v>6</v>
      </c>
      <c r="B18" s="173" t="s">
        <v>397</v>
      </c>
      <c r="C18" s="181" t="s">
        <v>402</v>
      </c>
      <c r="D18" s="180" t="s">
        <v>403</v>
      </c>
      <c r="E18" s="176">
        <v>28</v>
      </c>
      <c r="F18" s="177">
        <f t="shared" si="0"/>
        <v>28</v>
      </c>
      <c r="G18" s="177">
        <v>1</v>
      </c>
      <c r="H18" s="177">
        <v>5</v>
      </c>
      <c r="I18" s="177">
        <v>5</v>
      </c>
      <c r="J18" s="177">
        <v>17</v>
      </c>
    </row>
    <row r="19" spans="1:10">
      <c r="A19" s="173">
        <v>7</v>
      </c>
      <c r="B19" s="173" t="s">
        <v>397</v>
      </c>
      <c r="C19" s="181" t="s">
        <v>404</v>
      </c>
      <c r="D19" s="182" t="s">
        <v>399</v>
      </c>
      <c r="E19" s="176">
        <v>25</v>
      </c>
      <c r="F19" s="177">
        <f t="shared" si="0"/>
        <v>25</v>
      </c>
      <c r="G19" s="177">
        <v>3</v>
      </c>
      <c r="H19" s="177">
        <v>2</v>
      </c>
      <c r="I19" s="177">
        <v>10</v>
      </c>
      <c r="J19" s="177">
        <v>10</v>
      </c>
    </row>
    <row r="20" spans="1:10">
      <c r="A20" s="173">
        <v>8</v>
      </c>
      <c r="B20" s="173" t="s">
        <v>397</v>
      </c>
      <c r="C20" s="181" t="s">
        <v>405</v>
      </c>
      <c r="D20" s="182" t="s">
        <v>399</v>
      </c>
      <c r="E20" s="176">
        <v>5</v>
      </c>
      <c r="F20" s="177">
        <f t="shared" si="0"/>
        <v>5</v>
      </c>
      <c r="G20" s="177">
        <v>1.5</v>
      </c>
      <c r="H20" s="177">
        <v>0.5</v>
      </c>
      <c r="I20" s="177">
        <v>1.5</v>
      </c>
      <c r="J20" s="177">
        <v>1.5</v>
      </c>
    </row>
    <row r="21" spans="1:10">
      <c r="A21" s="173">
        <v>9</v>
      </c>
      <c r="B21" s="173" t="s">
        <v>397</v>
      </c>
      <c r="C21" s="181" t="s">
        <v>406</v>
      </c>
      <c r="D21" s="180" t="s">
        <v>403</v>
      </c>
      <c r="E21" s="176">
        <v>5</v>
      </c>
      <c r="F21" s="177">
        <f t="shared" si="0"/>
        <v>5</v>
      </c>
      <c r="G21" s="177">
        <v>1</v>
      </c>
      <c r="H21" s="177">
        <v>1</v>
      </c>
      <c r="I21" s="177">
        <v>1.5</v>
      </c>
      <c r="J21" s="177">
        <v>1.5</v>
      </c>
    </row>
    <row r="22" spans="1:10">
      <c r="A22" s="173">
        <v>10</v>
      </c>
      <c r="B22" s="173" t="s">
        <v>407</v>
      </c>
      <c r="C22" s="183" t="s">
        <v>408</v>
      </c>
      <c r="D22" s="180" t="s">
        <v>403</v>
      </c>
      <c r="E22" s="176">
        <v>5</v>
      </c>
      <c r="F22" s="177">
        <f t="shared" si="0"/>
        <v>5</v>
      </c>
      <c r="G22" s="177">
        <v>0.5</v>
      </c>
      <c r="H22" s="177">
        <v>0.5</v>
      </c>
      <c r="I22" s="177">
        <v>2</v>
      </c>
      <c r="J22" s="177">
        <v>2</v>
      </c>
    </row>
    <row r="23" spans="1:10">
      <c r="A23" s="173">
        <v>11</v>
      </c>
      <c r="B23" s="173" t="s">
        <v>407</v>
      </c>
      <c r="C23" s="184" t="s">
        <v>409</v>
      </c>
      <c r="D23" s="180" t="s">
        <v>403</v>
      </c>
      <c r="E23" s="176">
        <v>1</v>
      </c>
      <c r="F23" s="177">
        <f t="shared" si="0"/>
        <v>1</v>
      </c>
      <c r="G23" s="177">
        <v>0.2</v>
      </c>
      <c r="H23" s="177">
        <v>0.2</v>
      </c>
      <c r="I23" s="177">
        <v>0.3</v>
      </c>
      <c r="J23" s="177">
        <v>0.3</v>
      </c>
    </row>
    <row r="24" spans="1:10">
      <c r="A24" s="173">
        <v>12</v>
      </c>
      <c r="B24" s="173" t="s">
        <v>407</v>
      </c>
      <c r="C24" s="184" t="s">
        <v>410</v>
      </c>
      <c r="D24" s="180" t="s">
        <v>403</v>
      </c>
      <c r="E24" s="176">
        <v>2</v>
      </c>
      <c r="F24" s="177">
        <f t="shared" si="0"/>
        <v>2</v>
      </c>
      <c r="G24" s="177">
        <v>0.5</v>
      </c>
      <c r="H24" s="177">
        <v>0.5</v>
      </c>
      <c r="I24" s="177">
        <v>0.5</v>
      </c>
      <c r="J24" s="177">
        <v>0.5</v>
      </c>
    </row>
    <row r="25" spans="1:10">
      <c r="A25" s="173">
        <v>13</v>
      </c>
      <c r="B25" s="173" t="s">
        <v>407</v>
      </c>
      <c r="C25" s="184" t="s">
        <v>411</v>
      </c>
      <c r="D25" s="180" t="s">
        <v>403</v>
      </c>
      <c r="E25" s="176">
        <v>2</v>
      </c>
      <c r="F25" s="177">
        <f t="shared" si="0"/>
        <v>2</v>
      </c>
      <c r="G25" s="177">
        <v>0.2</v>
      </c>
      <c r="H25" s="177">
        <v>0.8</v>
      </c>
      <c r="I25" s="177">
        <v>0.5</v>
      </c>
      <c r="J25" s="177">
        <v>0.5</v>
      </c>
    </row>
    <row r="26" spans="1:10">
      <c r="A26" s="173">
        <v>14</v>
      </c>
      <c r="B26" s="173" t="s">
        <v>412</v>
      </c>
      <c r="C26" s="183" t="s">
        <v>413</v>
      </c>
      <c r="D26" s="182" t="s">
        <v>399</v>
      </c>
      <c r="E26" s="176">
        <v>20</v>
      </c>
      <c r="F26" s="177">
        <f t="shared" si="0"/>
        <v>20</v>
      </c>
      <c r="G26" s="177">
        <v>5</v>
      </c>
      <c r="H26" s="177">
        <v>5</v>
      </c>
      <c r="I26" s="177">
        <v>5</v>
      </c>
      <c r="J26" s="177">
        <v>5</v>
      </c>
    </row>
    <row r="27" spans="1:10" ht="26.45">
      <c r="A27" s="173">
        <v>15</v>
      </c>
      <c r="B27" s="173" t="s">
        <v>407</v>
      </c>
      <c r="C27" s="184" t="s">
        <v>414</v>
      </c>
      <c r="D27" s="180" t="s">
        <v>403</v>
      </c>
      <c r="E27" s="176">
        <v>1</v>
      </c>
      <c r="F27" s="177">
        <f t="shared" si="0"/>
        <v>1</v>
      </c>
      <c r="G27" s="177">
        <v>0.2</v>
      </c>
      <c r="H27" s="177">
        <v>0.3</v>
      </c>
      <c r="I27" s="177">
        <v>0.3</v>
      </c>
      <c r="J27" s="177">
        <v>0.2</v>
      </c>
    </row>
    <row r="28" spans="1:10">
      <c r="A28" s="173">
        <v>16</v>
      </c>
      <c r="B28" s="173" t="s">
        <v>407</v>
      </c>
      <c r="C28" s="184" t="s">
        <v>415</v>
      </c>
      <c r="D28" s="180" t="s">
        <v>403</v>
      </c>
      <c r="E28" s="176">
        <v>0.5</v>
      </c>
      <c r="F28" s="177">
        <f t="shared" si="0"/>
        <v>0.5</v>
      </c>
      <c r="G28" s="177">
        <v>0.1</v>
      </c>
      <c r="H28" s="177">
        <v>0.1</v>
      </c>
      <c r="I28" s="177">
        <v>0.15</v>
      </c>
      <c r="J28" s="177">
        <v>0.15</v>
      </c>
    </row>
    <row r="29" spans="1:10">
      <c r="A29" s="173">
        <v>17</v>
      </c>
      <c r="B29" s="173" t="s">
        <v>407</v>
      </c>
      <c r="C29" s="184" t="s">
        <v>416</v>
      </c>
      <c r="D29" s="180" t="s">
        <v>403</v>
      </c>
      <c r="E29" s="176">
        <v>2</v>
      </c>
      <c r="F29" s="177">
        <f t="shared" si="0"/>
        <v>2</v>
      </c>
      <c r="G29" s="177">
        <v>0.2</v>
      </c>
      <c r="H29" s="177">
        <v>0.8</v>
      </c>
      <c r="I29" s="177">
        <v>0.5</v>
      </c>
      <c r="J29" s="177">
        <v>0.5</v>
      </c>
    </row>
    <row r="30" spans="1:10">
      <c r="A30" s="173">
        <v>18</v>
      </c>
      <c r="B30" s="173" t="s">
        <v>407</v>
      </c>
      <c r="C30" s="183" t="s">
        <v>417</v>
      </c>
      <c r="D30" s="182" t="s">
        <v>399</v>
      </c>
      <c r="E30" s="176">
        <v>5</v>
      </c>
      <c r="F30" s="177">
        <f t="shared" si="0"/>
        <v>5</v>
      </c>
      <c r="G30" s="177">
        <v>0.2</v>
      </c>
      <c r="H30" s="177">
        <v>0.8</v>
      </c>
      <c r="I30" s="177">
        <v>2</v>
      </c>
      <c r="J30" s="177">
        <v>2</v>
      </c>
    </row>
    <row r="31" spans="1:10">
      <c r="A31" s="173">
        <v>19</v>
      </c>
      <c r="B31" s="173" t="s">
        <v>407</v>
      </c>
      <c r="C31" s="185" t="s">
        <v>418</v>
      </c>
      <c r="D31" s="180" t="s">
        <v>403</v>
      </c>
      <c r="E31" s="176">
        <v>2</v>
      </c>
      <c r="F31" s="177">
        <f t="shared" si="0"/>
        <v>2</v>
      </c>
      <c r="G31" s="177">
        <v>0.2</v>
      </c>
      <c r="H31" s="177">
        <v>0.8</v>
      </c>
      <c r="I31" s="177">
        <v>0.5</v>
      </c>
      <c r="J31" s="177">
        <v>0.5</v>
      </c>
    </row>
    <row r="32" spans="1:10">
      <c r="A32" s="175">
        <v>20</v>
      </c>
      <c r="B32" s="173" t="s">
        <v>419</v>
      </c>
      <c r="C32" s="183" t="s">
        <v>420</v>
      </c>
      <c r="D32" s="175" t="s">
        <v>403</v>
      </c>
      <c r="E32" s="176">
        <v>25</v>
      </c>
      <c r="F32" s="177">
        <f t="shared" si="0"/>
        <v>25</v>
      </c>
      <c r="G32" s="177">
        <v>5</v>
      </c>
      <c r="H32" s="177">
        <v>5</v>
      </c>
      <c r="I32" s="177">
        <v>7.5</v>
      </c>
      <c r="J32" s="177">
        <v>7.5</v>
      </c>
    </row>
    <row r="33" spans="1:10">
      <c r="A33" s="175">
        <v>21</v>
      </c>
      <c r="B33" s="173" t="s">
        <v>419</v>
      </c>
      <c r="C33" s="186" t="s">
        <v>421</v>
      </c>
      <c r="D33" s="175" t="s">
        <v>403</v>
      </c>
      <c r="E33" s="176">
        <v>2.5</v>
      </c>
      <c r="F33" s="177">
        <f t="shared" si="0"/>
        <v>2.5</v>
      </c>
      <c r="G33" s="177">
        <v>0.5</v>
      </c>
      <c r="H33" s="177">
        <v>0.5</v>
      </c>
      <c r="I33" s="177">
        <v>0.75</v>
      </c>
      <c r="J33" s="177">
        <v>0.75</v>
      </c>
    </row>
    <row r="34" spans="1:10">
      <c r="A34" s="175">
        <v>22</v>
      </c>
      <c r="B34" s="173" t="s">
        <v>419</v>
      </c>
      <c r="C34" s="185" t="s">
        <v>422</v>
      </c>
      <c r="D34" s="175" t="s">
        <v>403</v>
      </c>
      <c r="E34" s="176">
        <v>2</v>
      </c>
      <c r="F34" s="177">
        <f t="shared" si="0"/>
        <v>2</v>
      </c>
      <c r="G34" s="177">
        <v>0.5</v>
      </c>
      <c r="H34" s="177">
        <v>0.5</v>
      </c>
      <c r="I34" s="177">
        <v>0.5</v>
      </c>
      <c r="J34" s="177">
        <v>0.5</v>
      </c>
    </row>
    <row r="35" spans="1:10">
      <c r="A35" s="175">
        <v>23</v>
      </c>
      <c r="B35" s="173" t="s">
        <v>419</v>
      </c>
      <c r="C35" s="185" t="s">
        <v>423</v>
      </c>
      <c r="D35" s="175" t="s">
        <v>403</v>
      </c>
      <c r="E35" s="176">
        <v>1</v>
      </c>
      <c r="F35" s="177">
        <f t="shared" si="0"/>
        <v>1</v>
      </c>
      <c r="G35" s="177">
        <v>0.25</v>
      </c>
      <c r="H35" s="177">
        <v>0.25</v>
      </c>
      <c r="I35" s="177">
        <v>0.25</v>
      </c>
      <c r="J35" s="177">
        <v>0.25</v>
      </c>
    </row>
    <row r="36" spans="1:10">
      <c r="A36" s="175">
        <v>24</v>
      </c>
      <c r="B36" s="173" t="s">
        <v>419</v>
      </c>
      <c r="C36" s="185" t="s">
        <v>424</v>
      </c>
      <c r="D36" s="175" t="s">
        <v>403</v>
      </c>
      <c r="E36" s="176">
        <v>1</v>
      </c>
      <c r="F36" s="177">
        <f t="shared" si="0"/>
        <v>1</v>
      </c>
      <c r="G36" s="177">
        <v>0.25</v>
      </c>
      <c r="H36" s="177">
        <v>0.25</v>
      </c>
      <c r="I36" s="177">
        <v>0.25</v>
      </c>
      <c r="J36" s="177">
        <v>0.25</v>
      </c>
    </row>
    <row r="37" spans="1:10">
      <c r="A37" s="175">
        <v>25</v>
      </c>
      <c r="B37" s="173" t="s">
        <v>419</v>
      </c>
      <c r="C37" s="174" t="s">
        <v>425</v>
      </c>
      <c r="D37" s="175" t="s">
        <v>403</v>
      </c>
      <c r="E37" s="176">
        <v>1</v>
      </c>
      <c r="F37" s="177">
        <f t="shared" si="0"/>
        <v>1</v>
      </c>
      <c r="G37" s="177">
        <v>0.25</v>
      </c>
      <c r="H37" s="177">
        <v>0.25</v>
      </c>
      <c r="I37" s="177">
        <v>0.25</v>
      </c>
      <c r="J37" s="177">
        <v>0.25</v>
      </c>
    </row>
    <row r="38" spans="1:10">
      <c r="A38" s="173">
        <v>26</v>
      </c>
      <c r="B38" s="173" t="s">
        <v>426</v>
      </c>
      <c r="C38" s="181" t="s">
        <v>427</v>
      </c>
      <c r="D38" s="175" t="s">
        <v>403</v>
      </c>
      <c r="E38" s="176">
        <v>2</v>
      </c>
      <c r="F38" s="177">
        <f t="shared" si="0"/>
        <v>2</v>
      </c>
      <c r="G38" s="177">
        <v>0.3</v>
      </c>
      <c r="H38" s="177">
        <v>0.7</v>
      </c>
      <c r="I38" s="177">
        <v>0.4</v>
      </c>
      <c r="J38" s="177">
        <v>0.6</v>
      </c>
    </row>
    <row r="39" spans="1:10">
      <c r="A39" s="173">
        <v>27</v>
      </c>
      <c r="B39" s="173" t="s">
        <v>426</v>
      </c>
      <c r="C39" s="187" t="s">
        <v>428</v>
      </c>
      <c r="D39" s="175" t="s">
        <v>403</v>
      </c>
      <c r="E39" s="176">
        <v>1</v>
      </c>
      <c r="F39" s="177">
        <f t="shared" si="0"/>
        <v>1</v>
      </c>
      <c r="G39" s="177">
        <v>0.2</v>
      </c>
      <c r="H39" s="177">
        <v>0.25</v>
      </c>
      <c r="I39" s="177">
        <v>0.2</v>
      </c>
      <c r="J39" s="177">
        <v>0.35</v>
      </c>
    </row>
    <row r="40" spans="1:10">
      <c r="A40" s="173">
        <v>28</v>
      </c>
      <c r="B40" s="173" t="s">
        <v>426</v>
      </c>
      <c r="C40" s="187" t="s">
        <v>429</v>
      </c>
      <c r="D40" s="175" t="s">
        <v>403</v>
      </c>
      <c r="E40" s="176">
        <v>2</v>
      </c>
      <c r="F40" s="177">
        <f t="shared" si="0"/>
        <v>2</v>
      </c>
      <c r="G40" s="177">
        <v>0.3</v>
      </c>
      <c r="H40" s="177">
        <v>0.7</v>
      </c>
      <c r="I40" s="177">
        <v>0.5</v>
      </c>
      <c r="J40" s="177">
        <v>0.5</v>
      </c>
    </row>
    <row r="41" spans="1:10">
      <c r="A41" s="173">
        <v>29</v>
      </c>
      <c r="B41" s="173" t="s">
        <v>426</v>
      </c>
      <c r="C41" s="187" t="s">
        <v>430</v>
      </c>
      <c r="D41" s="175" t="s">
        <v>403</v>
      </c>
      <c r="E41" s="176">
        <v>1</v>
      </c>
      <c r="F41" s="177">
        <f t="shared" si="0"/>
        <v>1</v>
      </c>
      <c r="G41" s="177">
        <v>0.25</v>
      </c>
      <c r="H41" s="177">
        <v>0.2</v>
      </c>
      <c r="I41" s="177">
        <v>0.35</v>
      </c>
      <c r="J41" s="177">
        <v>0.2</v>
      </c>
    </row>
    <row r="42" spans="1:10">
      <c r="A42" s="173">
        <v>30</v>
      </c>
      <c r="B42" s="173" t="s">
        <v>431</v>
      </c>
      <c r="C42" s="187" t="s">
        <v>432</v>
      </c>
      <c r="D42" s="175" t="s">
        <v>403</v>
      </c>
      <c r="E42" s="176">
        <v>5</v>
      </c>
      <c r="F42" s="177">
        <f t="shared" si="0"/>
        <v>5</v>
      </c>
      <c r="G42" s="177">
        <v>0.75</v>
      </c>
      <c r="H42" s="177">
        <v>0.75</v>
      </c>
      <c r="I42" s="177">
        <v>1.75</v>
      </c>
      <c r="J42" s="177">
        <v>1.75</v>
      </c>
    </row>
    <row r="43" spans="1:10">
      <c r="A43" s="173">
        <v>31</v>
      </c>
      <c r="B43" s="173" t="s">
        <v>431</v>
      </c>
      <c r="C43" s="187" t="s">
        <v>433</v>
      </c>
      <c r="D43" s="175" t="s">
        <v>403</v>
      </c>
      <c r="E43" s="176">
        <v>5</v>
      </c>
      <c r="F43" s="177">
        <f t="shared" si="0"/>
        <v>5</v>
      </c>
      <c r="G43" s="177">
        <v>0.75</v>
      </c>
      <c r="H43" s="177">
        <v>0.75</v>
      </c>
      <c r="I43" s="177">
        <v>1.75</v>
      </c>
      <c r="J43" s="177">
        <v>1.75</v>
      </c>
    </row>
    <row r="44" spans="1:10">
      <c r="A44" s="173">
        <v>32</v>
      </c>
      <c r="B44" s="173" t="s">
        <v>431</v>
      </c>
      <c r="C44" s="187" t="s">
        <v>434</v>
      </c>
      <c r="D44" s="175" t="s">
        <v>403</v>
      </c>
      <c r="E44" s="176">
        <v>2</v>
      </c>
      <c r="F44" s="177">
        <f t="shared" si="0"/>
        <v>2</v>
      </c>
      <c r="G44" s="177">
        <v>0.25</v>
      </c>
      <c r="H44" s="177">
        <v>0.25</v>
      </c>
      <c r="I44" s="177">
        <v>0.75</v>
      </c>
      <c r="J44" s="177">
        <v>0.75</v>
      </c>
    </row>
    <row r="45" spans="1:10">
      <c r="A45" s="173">
        <v>33</v>
      </c>
      <c r="B45" s="173" t="s">
        <v>431</v>
      </c>
      <c r="C45" s="187" t="s">
        <v>435</v>
      </c>
      <c r="D45" s="175" t="s">
        <v>403</v>
      </c>
      <c r="E45" s="176">
        <v>5</v>
      </c>
      <c r="F45" s="177">
        <f t="shared" si="0"/>
        <v>5</v>
      </c>
      <c r="G45" s="177">
        <v>1</v>
      </c>
      <c r="H45" s="177">
        <v>1</v>
      </c>
      <c r="I45" s="177">
        <v>1</v>
      </c>
      <c r="J45" s="177">
        <v>2</v>
      </c>
    </row>
    <row r="46" spans="1:10">
      <c r="D46" s="188" t="s">
        <v>15</v>
      </c>
      <c r="E46" s="189">
        <f t="shared" ref="E46:J46" si="1">SUM(E13:E45)</f>
        <v>300</v>
      </c>
      <c r="F46" s="190">
        <f t="shared" si="1"/>
        <v>300</v>
      </c>
      <c r="G46" s="191">
        <f t="shared" si="1"/>
        <v>54.850000000000016</v>
      </c>
      <c r="H46" s="191">
        <f t="shared" si="1"/>
        <v>84.149999999999991</v>
      </c>
      <c r="I46" s="191">
        <f t="shared" si="1"/>
        <v>70.449999999999989</v>
      </c>
      <c r="J46" s="191">
        <f t="shared" si="1"/>
        <v>90.55</v>
      </c>
    </row>
    <row r="49" spans="1:8" ht="26.45">
      <c r="A49" s="160" t="s">
        <v>67</v>
      </c>
      <c r="B49" s="160"/>
      <c r="C49" s="162" t="s">
        <v>347</v>
      </c>
      <c r="D49" s="161" t="s">
        <v>69</v>
      </c>
      <c r="E49" s="51" t="s">
        <v>348</v>
      </c>
    </row>
    <row r="50" spans="1:8">
      <c r="A50" s="163"/>
      <c r="B50" s="163"/>
      <c r="C50" s="192" t="s">
        <v>19</v>
      </c>
      <c r="D50" s="193">
        <v>225</v>
      </c>
      <c r="E50" s="158">
        <f>D50</f>
        <v>225</v>
      </c>
    </row>
    <row r="51" spans="1:8">
      <c r="A51" s="163"/>
      <c r="B51" s="163"/>
      <c r="C51" s="192" t="s">
        <v>20</v>
      </c>
      <c r="D51" s="193">
        <v>30</v>
      </c>
      <c r="E51" s="158">
        <f>D51</f>
        <v>30</v>
      </c>
    </row>
    <row r="52" spans="1:8">
      <c r="A52" s="163"/>
      <c r="B52" s="163"/>
      <c r="C52" s="192" t="s">
        <v>436</v>
      </c>
      <c r="D52" s="193">
        <v>3</v>
      </c>
      <c r="E52" s="158">
        <f>D52</f>
        <v>3</v>
      </c>
    </row>
    <row r="53" spans="1:8">
      <c r="A53" s="163"/>
      <c r="B53" s="163"/>
      <c r="C53" s="192" t="s">
        <v>24</v>
      </c>
      <c r="D53" s="193">
        <v>42</v>
      </c>
      <c r="E53" s="158">
        <f>D53</f>
        <v>42</v>
      </c>
    </row>
    <row r="54" spans="1:8">
      <c r="A54" s="163"/>
      <c r="B54" s="163"/>
      <c r="C54" s="194" t="s">
        <v>15</v>
      </c>
      <c r="D54" s="162">
        <f>SUM(D50:D53)</f>
        <v>300</v>
      </c>
      <c r="E54" s="158">
        <f>SUM(E50:E53)</f>
        <v>300</v>
      </c>
    </row>
    <row r="56" spans="1:8">
      <c r="A56" s="361" t="s">
        <v>437</v>
      </c>
      <c r="B56" s="362"/>
      <c r="C56" s="362"/>
      <c r="D56" s="363"/>
    </row>
    <row r="57" spans="1:8">
      <c r="A57" s="160" t="s">
        <v>67</v>
      </c>
      <c r="B57" s="160"/>
      <c r="C57" s="162" t="s">
        <v>37</v>
      </c>
      <c r="D57" s="162" t="s">
        <v>349</v>
      </c>
    </row>
    <row r="58" spans="1:8">
      <c r="A58" s="163"/>
      <c r="B58" s="163"/>
      <c r="C58" s="192" t="s">
        <v>438</v>
      </c>
      <c r="D58" s="193">
        <v>2</v>
      </c>
    </row>
    <row r="59" spans="1:8">
      <c r="A59" s="163"/>
      <c r="B59" s="163"/>
      <c r="C59" s="192" t="s">
        <v>351</v>
      </c>
      <c r="D59" s="193">
        <v>7</v>
      </c>
    </row>
    <row r="60" spans="1:8">
      <c r="A60" s="163"/>
      <c r="B60" s="163"/>
      <c r="C60" s="192" t="s">
        <v>353</v>
      </c>
      <c r="D60" s="195">
        <f>D54/6</f>
        <v>50</v>
      </c>
    </row>
    <row r="61" spans="1:8">
      <c r="A61" s="163"/>
      <c r="B61" s="163"/>
      <c r="C61" s="192" t="s">
        <v>355</v>
      </c>
      <c r="D61" s="196" t="s">
        <v>439</v>
      </c>
    </row>
    <row r="63" spans="1:8">
      <c r="A63" s="197" t="s">
        <v>1</v>
      </c>
      <c r="B63" s="197" t="s">
        <v>392</v>
      </c>
      <c r="C63" s="197" t="s">
        <v>78</v>
      </c>
      <c r="D63" s="197" t="s">
        <v>44</v>
      </c>
      <c r="E63" s="198" t="s">
        <v>440</v>
      </c>
      <c r="F63" s="198" t="s">
        <v>16</v>
      </c>
      <c r="G63" s="198" t="s">
        <v>17</v>
      </c>
      <c r="H63" s="199" t="s">
        <v>366</v>
      </c>
    </row>
    <row r="64" spans="1:8">
      <c r="A64" s="158">
        <v>1</v>
      </c>
      <c r="B64" s="158" t="s">
        <v>394</v>
      </c>
      <c r="C64" s="158" t="s">
        <v>395</v>
      </c>
      <c r="D64" s="158" t="s">
        <v>53</v>
      </c>
      <c r="E64" s="200">
        <v>120</v>
      </c>
      <c r="F64" s="200">
        <v>70</v>
      </c>
      <c r="G64" s="200">
        <v>50</v>
      </c>
      <c r="H64" s="364">
        <v>569250</v>
      </c>
    </row>
    <row r="65" spans="1:8">
      <c r="A65" s="158">
        <v>2</v>
      </c>
      <c r="B65" s="158" t="s">
        <v>394</v>
      </c>
      <c r="C65" s="158" t="s">
        <v>396</v>
      </c>
      <c r="D65" s="158" t="s">
        <v>53</v>
      </c>
      <c r="E65" s="200">
        <v>15</v>
      </c>
      <c r="F65" s="200">
        <v>6</v>
      </c>
      <c r="G65" s="200">
        <v>9</v>
      </c>
      <c r="H65" s="365"/>
    </row>
    <row r="66" spans="1:8">
      <c r="A66" s="158"/>
      <c r="B66" s="158"/>
      <c r="C66" s="158"/>
      <c r="D66" s="158" t="s">
        <v>15</v>
      </c>
      <c r="E66" s="200">
        <v>135</v>
      </c>
      <c r="F66" s="200"/>
      <c r="G66" s="200"/>
      <c r="H66" s="366"/>
    </row>
    <row r="67" spans="1:8">
      <c r="A67" s="158"/>
      <c r="B67" s="158"/>
      <c r="C67" s="158"/>
      <c r="D67" s="158"/>
      <c r="E67" s="200"/>
      <c r="F67" s="200"/>
      <c r="G67" s="200"/>
      <c r="H67" s="201"/>
    </row>
    <row r="68" spans="1:8">
      <c r="A68" s="158">
        <v>3</v>
      </c>
      <c r="B68" s="158" t="s">
        <v>397</v>
      </c>
      <c r="C68" s="158" t="s">
        <v>398</v>
      </c>
      <c r="D68" s="158" t="s">
        <v>399</v>
      </c>
      <c r="E68" s="200">
        <v>2</v>
      </c>
      <c r="F68" s="200">
        <v>1</v>
      </c>
      <c r="G68" s="200">
        <v>1</v>
      </c>
      <c r="H68" s="364">
        <v>1018899.9999999999</v>
      </c>
    </row>
    <row r="69" spans="1:8">
      <c r="A69" s="158">
        <v>4</v>
      </c>
      <c r="B69" s="158" t="s">
        <v>397</v>
      </c>
      <c r="C69" s="158" t="s">
        <v>400</v>
      </c>
      <c r="D69" s="158" t="s">
        <v>399</v>
      </c>
      <c r="E69" s="200">
        <v>2</v>
      </c>
      <c r="F69" s="200">
        <v>1</v>
      </c>
      <c r="G69" s="200">
        <v>1</v>
      </c>
      <c r="H69" s="365"/>
    </row>
    <row r="70" spans="1:8">
      <c r="A70" s="158">
        <v>5</v>
      </c>
      <c r="B70" s="158" t="s">
        <v>397</v>
      </c>
      <c r="C70" s="158" t="s">
        <v>401</v>
      </c>
      <c r="D70" s="158" t="s">
        <v>399</v>
      </c>
      <c r="E70" s="200">
        <v>2</v>
      </c>
      <c r="F70" s="200">
        <v>1</v>
      </c>
      <c r="G70" s="200">
        <v>1</v>
      </c>
      <c r="H70" s="365"/>
    </row>
    <row r="71" spans="1:8">
      <c r="A71" s="158">
        <v>6</v>
      </c>
      <c r="B71" s="158" t="s">
        <v>397</v>
      </c>
      <c r="C71" s="158" t="s">
        <v>402</v>
      </c>
      <c r="D71" s="158" t="s">
        <v>403</v>
      </c>
      <c r="E71" s="200">
        <v>28</v>
      </c>
      <c r="F71" s="200">
        <v>5</v>
      </c>
      <c r="G71" s="200">
        <v>23</v>
      </c>
      <c r="H71" s="365"/>
    </row>
    <row r="72" spans="1:8">
      <c r="A72" s="158">
        <v>7</v>
      </c>
      <c r="B72" s="158" t="s">
        <v>397</v>
      </c>
      <c r="C72" s="158" t="s">
        <v>404</v>
      </c>
      <c r="D72" s="158" t="s">
        <v>399</v>
      </c>
      <c r="E72" s="200">
        <v>25</v>
      </c>
      <c r="F72" s="200">
        <v>8</v>
      </c>
      <c r="G72" s="200">
        <v>17</v>
      </c>
      <c r="H72" s="365"/>
    </row>
    <row r="73" spans="1:8">
      <c r="A73" s="158">
        <v>8</v>
      </c>
      <c r="B73" s="158" t="s">
        <v>397</v>
      </c>
      <c r="C73" s="158" t="s">
        <v>405</v>
      </c>
      <c r="D73" s="158" t="s">
        <v>399</v>
      </c>
      <c r="E73" s="200">
        <v>5</v>
      </c>
      <c r="F73" s="200">
        <v>2</v>
      </c>
      <c r="G73" s="200">
        <v>3</v>
      </c>
      <c r="H73" s="365"/>
    </row>
    <row r="74" spans="1:8">
      <c r="A74" s="158">
        <v>9</v>
      </c>
      <c r="B74" s="158" t="s">
        <v>397</v>
      </c>
      <c r="C74" s="158" t="s">
        <v>406</v>
      </c>
      <c r="D74" s="158" t="s">
        <v>403</v>
      </c>
      <c r="E74" s="200">
        <v>5</v>
      </c>
      <c r="F74" s="200">
        <v>2</v>
      </c>
      <c r="G74" s="200">
        <v>3</v>
      </c>
      <c r="H74" s="365"/>
    </row>
    <row r="75" spans="1:8">
      <c r="A75" s="158"/>
      <c r="B75" s="158"/>
      <c r="C75" s="158"/>
      <c r="D75" s="158" t="s">
        <v>15</v>
      </c>
      <c r="E75" s="200">
        <v>69</v>
      </c>
      <c r="F75" s="200">
        <v>22</v>
      </c>
      <c r="G75" s="200">
        <v>49</v>
      </c>
      <c r="H75" s="366"/>
    </row>
    <row r="76" spans="1:8">
      <c r="A76" s="158"/>
      <c r="B76" s="158"/>
      <c r="C76" s="158"/>
      <c r="D76" s="158"/>
      <c r="E76" s="200"/>
      <c r="F76" s="200"/>
      <c r="G76" s="200"/>
      <c r="H76" s="201"/>
    </row>
    <row r="77" spans="1:8">
      <c r="A77" s="158">
        <v>10</v>
      </c>
      <c r="B77" s="158" t="s">
        <v>407</v>
      </c>
      <c r="C77" s="158" t="s">
        <v>408</v>
      </c>
      <c r="D77" s="158" t="s">
        <v>403</v>
      </c>
      <c r="E77" s="200">
        <v>5</v>
      </c>
      <c r="F77" s="200">
        <v>2</v>
      </c>
      <c r="G77" s="200">
        <v>3</v>
      </c>
      <c r="H77" s="364">
        <v>1000000</v>
      </c>
    </row>
    <row r="78" spans="1:8">
      <c r="A78" s="158">
        <v>11</v>
      </c>
      <c r="B78" s="158" t="s">
        <v>407</v>
      </c>
      <c r="C78" s="158" t="s">
        <v>409</v>
      </c>
      <c r="D78" s="158" t="s">
        <v>403</v>
      </c>
      <c r="E78" s="200">
        <v>1</v>
      </c>
      <c r="F78" s="200">
        <v>0.5</v>
      </c>
      <c r="G78" s="200">
        <v>0.5</v>
      </c>
      <c r="H78" s="365"/>
    </row>
    <row r="79" spans="1:8">
      <c r="A79" s="158">
        <v>12</v>
      </c>
      <c r="B79" s="158" t="s">
        <v>407</v>
      </c>
      <c r="C79" s="158" t="s">
        <v>410</v>
      </c>
      <c r="D79" s="158" t="s">
        <v>403</v>
      </c>
      <c r="E79" s="200">
        <v>2</v>
      </c>
      <c r="F79" s="200">
        <v>1</v>
      </c>
      <c r="G79" s="200">
        <v>1</v>
      </c>
      <c r="H79" s="365"/>
    </row>
    <row r="80" spans="1:8">
      <c r="A80" s="158">
        <v>13</v>
      </c>
      <c r="B80" s="158" t="s">
        <v>407</v>
      </c>
      <c r="C80" s="158" t="s">
        <v>411</v>
      </c>
      <c r="D80" s="158" t="s">
        <v>403</v>
      </c>
      <c r="E80" s="200">
        <v>2</v>
      </c>
      <c r="F80" s="200">
        <v>1</v>
      </c>
      <c r="G80" s="200">
        <v>1</v>
      </c>
      <c r="H80" s="365"/>
    </row>
    <row r="81" spans="1:8">
      <c r="A81" s="158">
        <v>14</v>
      </c>
      <c r="B81" s="158" t="s">
        <v>412</v>
      </c>
      <c r="C81" s="158" t="s">
        <v>413</v>
      </c>
      <c r="D81" s="158" t="s">
        <v>399</v>
      </c>
      <c r="E81" s="200">
        <v>20</v>
      </c>
      <c r="F81" s="200">
        <v>10</v>
      </c>
      <c r="G81" s="200">
        <v>10</v>
      </c>
      <c r="H81" s="365"/>
    </row>
    <row r="82" spans="1:8">
      <c r="A82" s="158">
        <v>15</v>
      </c>
      <c r="B82" s="158" t="s">
        <v>407</v>
      </c>
      <c r="C82" s="158" t="s">
        <v>414</v>
      </c>
      <c r="D82" s="158" t="s">
        <v>403</v>
      </c>
      <c r="E82" s="200">
        <v>1</v>
      </c>
      <c r="F82" s="200">
        <v>0.5</v>
      </c>
      <c r="G82" s="200">
        <v>0.5</v>
      </c>
      <c r="H82" s="365"/>
    </row>
    <row r="83" spans="1:8">
      <c r="A83" s="158">
        <v>16</v>
      </c>
      <c r="B83" s="158" t="s">
        <v>407</v>
      </c>
      <c r="C83" s="158" t="s">
        <v>415</v>
      </c>
      <c r="D83" s="158" t="s">
        <v>403</v>
      </c>
      <c r="E83" s="200">
        <v>0.5</v>
      </c>
      <c r="F83" s="200">
        <v>0.3</v>
      </c>
      <c r="G83" s="200">
        <v>0.2</v>
      </c>
      <c r="H83" s="365"/>
    </row>
    <row r="84" spans="1:8">
      <c r="A84" s="158">
        <v>17</v>
      </c>
      <c r="B84" s="158" t="s">
        <v>407</v>
      </c>
      <c r="C84" s="158" t="s">
        <v>416</v>
      </c>
      <c r="D84" s="158" t="s">
        <v>403</v>
      </c>
      <c r="E84" s="200">
        <v>2</v>
      </c>
      <c r="F84" s="200">
        <v>1</v>
      </c>
      <c r="G84" s="200">
        <v>1</v>
      </c>
      <c r="H84" s="365"/>
    </row>
    <row r="85" spans="1:8">
      <c r="A85" s="158">
        <v>18</v>
      </c>
      <c r="B85" s="158" t="s">
        <v>407</v>
      </c>
      <c r="C85" s="158" t="s">
        <v>417</v>
      </c>
      <c r="D85" s="158" t="s">
        <v>399</v>
      </c>
      <c r="E85" s="200">
        <v>5</v>
      </c>
      <c r="F85" s="200">
        <v>3.5</v>
      </c>
      <c r="G85" s="200">
        <v>1.5</v>
      </c>
      <c r="H85" s="365"/>
    </row>
    <row r="86" spans="1:8">
      <c r="A86" s="158">
        <v>19</v>
      </c>
      <c r="B86" s="158" t="s">
        <v>407</v>
      </c>
      <c r="C86" s="158" t="s">
        <v>418</v>
      </c>
      <c r="D86" s="158" t="s">
        <v>403</v>
      </c>
      <c r="E86" s="200">
        <v>2</v>
      </c>
      <c r="F86" s="200">
        <v>0.5</v>
      </c>
      <c r="G86" s="200">
        <v>1.5</v>
      </c>
      <c r="H86" s="366"/>
    </row>
    <row r="87" spans="1:8">
      <c r="A87" s="158"/>
      <c r="B87" s="158"/>
      <c r="C87" s="158"/>
      <c r="D87" s="158" t="s">
        <v>15</v>
      </c>
      <c r="E87" s="200">
        <v>40.5</v>
      </c>
      <c r="F87" s="200">
        <v>20.3</v>
      </c>
      <c r="G87" s="200">
        <v>20.2</v>
      </c>
      <c r="H87" s="201"/>
    </row>
    <row r="88" spans="1:8">
      <c r="A88" s="158"/>
      <c r="B88" s="158"/>
      <c r="C88" s="158"/>
      <c r="D88" s="158"/>
      <c r="E88" s="200"/>
      <c r="F88" s="200"/>
      <c r="G88" s="200"/>
      <c r="H88" s="201"/>
    </row>
    <row r="89" spans="1:8">
      <c r="A89" s="158">
        <v>20</v>
      </c>
      <c r="B89" s="158" t="s">
        <v>419</v>
      </c>
      <c r="C89" s="158" t="s">
        <v>420</v>
      </c>
      <c r="D89" s="158" t="s">
        <v>403</v>
      </c>
      <c r="E89" s="200">
        <v>25</v>
      </c>
      <c r="F89" s="200">
        <v>5</v>
      </c>
      <c r="G89" s="200">
        <v>20</v>
      </c>
      <c r="H89" s="364">
        <v>833333</v>
      </c>
    </row>
    <row r="90" spans="1:8">
      <c r="A90" s="158">
        <v>21</v>
      </c>
      <c r="B90" s="158" t="s">
        <v>419</v>
      </c>
      <c r="C90" s="158" t="s">
        <v>421</v>
      </c>
      <c r="D90" s="158" t="s">
        <v>403</v>
      </c>
      <c r="E90" s="200">
        <v>2.5</v>
      </c>
      <c r="F90" s="200">
        <v>1</v>
      </c>
      <c r="G90" s="200">
        <v>1.5</v>
      </c>
      <c r="H90" s="365"/>
    </row>
    <row r="91" spans="1:8">
      <c r="A91" s="158">
        <v>22</v>
      </c>
      <c r="B91" s="158" t="s">
        <v>419</v>
      </c>
      <c r="C91" s="158" t="s">
        <v>422</v>
      </c>
      <c r="D91" s="158" t="s">
        <v>403</v>
      </c>
      <c r="E91" s="200">
        <v>2</v>
      </c>
      <c r="F91" s="200">
        <v>0.5</v>
      </c>
      <c r="G91" s="200">
        <v>1.5</v>
      </c>
      <c r="H91" s="365"/>
    </row>
    <row r="92" spans="1:8">
      <c r="A92" s="158">
        <v>23</v>
      </c>
      <c r="B92" s="158" t="s">
        <v>419</v>
      </c>
      <c r="C92" s="158" t="s">
        <v>423</v>
      </c>
      <c r="D92" s="158" t="s">
        <v>403</v>
      </c>
      <c r="E92" s="200">
        <v>1</v>
      </c>
      <c r="F92" s="200">
        <v>0.5</v>
      </c>
      <c r="G92" s="200">
        <v>0.5</v>
      </c>
      <c r="H92" s="365"/>
    </row>
    <row r="93" spans="1:8">
      <c r="A93" s="158">
        <v>24</v>
      </c>
      <c r="B93" s="158" t="s">
        <v>419</v>
      </c>
      <c r="C93" s="158" t="s">
        <v>424</v>
      </c>
      <c r="D93" s="158" t="s">
        <v>403</v>
      </c>
      <c r="E93" s="200">
        <v>1</v>
      </c>
      <c r="F93" s="200">
        <v>0.5</v>
      </c>
      <c r="G93" s="200">
        <v>0.5</v>
      </c>
      <c r="H93" s="365"/>
    </row>
    <row r="94" spans="1:8">
      <c r="A94" s="158">
        <v>25</v>
      </c>
      <c r="B94" s="158" t="s">
        <v>419</v>
      </c>
      <c r="C94" s="158" t="s">
        <v>425</v>
      </c>
      <c r="D94" s="158" t="s">
        <v>403</v>
      </c>
      <c r="E94" s="200">
        <v>1</v>
      </c>
      <c r="F94" s="200">
        <v>0.5</v>
      </c>
      <c r="G94" s="200">
        <v>0.5</v>
      </c>
      <c r="H94" s="365"/>
    </row>
    <row r="95" spans="1:8">
      <c r="A95" s="158"/>
      <c r="B95" s="158"/>
      <c r="C95" s="158"/>
      <c r="D95" s="158" t="s">
        <v>15</v>
      </c>
      <c r="E95" s="200">
        <v>32.5</v>
      </c>
      <c r="F95" s="200">
        <v>8</v>
      </c>
      <c r="G95" s="200">
        <v>24.5</v>
      </c>
      <c r="H95" s="366"/>
    </row>
    <row r="96" spans="1:8">
      <c r="A96" s="158"/>
      <c r="B96" s="158"/>
      <c r="C96" s="158"/>
      <c r="D96" s="158"/>
      <c r="E96" s="200"/>
      <c r="F96" s="200"/>
      <c r="G96" s="200"/>
      <c r="H96" s="201"/>
    </row>
    <row r="97" spans="1:8">
      <c r="A97" s="158">
        <v>26</v>
      </c>
      <c r="B97" s="158" t="s">
        <v>426</v>
      </c>
      <c r="C97" s="158" t="s">
        <v>427</v>
      </c>
      <c r="D97" s="158" t="s">
        <v>403</v>
      </c>
      <c r="E97" s="200">
        <v>2</v>
      </c>
      <c r="F97" s="200">
        <v>1</v>
      </c>
      <c r="G97" s="200">
        <v>1</v>
      </c>
      <c r="H97" s="364">
        <v>660000</v>
      </c>
    </row>
    <row r="98" spans="1:8">
      <c r="A98" s="158">
        <v>27</v>
      </c>
      <c r="B98" s="158" t="s">
        <v>426</v>
      </c>
      <c r="C98" s="158" t="s">
        <v>428</v>
      </c>
      <c r="D98" s="158" t="s">
        <v>403</v>
      </c>
      <c r="E98" s="200">
        <v>1</v>
      </c>
      <c r="F98" s="200">
        <v>0.5</v>
      </c>
      <c r="G98" s="200">
        <v>0.5</v>
      </c>
      <c r="H98" s="365"/>
    </row>
    <row r="99" spans="1:8">
      <c r="A99" s="158">
        <v>28</v>
      </c>
      <c r="B99" s="158" t="s">
        <v>426</v>
      </c>
      <c r="C99" s="158" t="s">
        <v>429</v>
      </c>
      <c r="D99" s="158" t="s">
        <v>403</v>
      </c>
      <c r="E99" s="200">
        <v>2</v>
      </c>
      <c r="F99" s="200">
        <v>1</v>
      </c>
      <c r="G99" s="200">
        <v>1</v>
      </c>
      <c r="H99" s="365"/>
    </row>
    <row r="100" spans="1:8">
      <c r="A100" s="158">
        <v>29</v>
      </c>
      <c r="B100" s="158" t="s">
        <v>426</v>
      </c>
      <c r="C100" s="158" t="s">
        <v>430</v>
      </c>
      <c r="D100" s="158" t="s">
        <v>403</v>
      </c>
      <c r="E100" s="200">
        <v>1</v>
      </c>
      <c r="F100" s="200">
        <v>0.5</v>
      </c>
      <c r="G100" s="200">
        <v>0.5</v>
      </c>
      <c r="H100" s="365"/>
    </row>
    <row r="101" spans="1:8">
      <c r="A101" s="158"/>
      <c r="B101" s="158"/>
      <c r="C101" s="158"/>
      <c r="D101" s="158" t="s">
        <v>15</v>
      </c>
      <c r="E101" s="200">
        <v>6</v>
      </c>
      <c r="F101" s="200">
        <v>4</v>
      </c>
      <c r="G101" s="200">
        <v>4</v>
      </c>
      <c r="H101" s="366"/>
    </row>
    <row r="102" spans="1:8">
      <c r="A102" s="158"/>
      <c r="B102" s="158"/>
      <c r="C102" s="158"/>
      <c r="D102" s="158"/>
      <c r="E102" s="200"/>
      <c r="F102" s="200"/>
      <c r="G102" s="200"/>
      <c r="H102" s="201"/>
    </row>
    <row r="103" spans="1:8">
      <c r="A103" s="158">
        <v>30</v>
      </c>
      <c r="B103" s="158" t="s">
        <v>431</v>
      </c>
      <c r="C103" s="158" t="s">
        <v>432</v>
      </c>
      <c r="D103" s="158" t="s">
        <v>403</v>
      </c>
      <c r="E103" s="200">
        <v>5</v>
      </c>
      <c r="F103" s="200">
        <v>2</v>
      </c>
      <c r="G103" s="200">
        <v>3</v>
      </c>
      <c r="H103" s="364" t="s">
        <v>441</v>
      </c>
    </row>
    <row r="104" spans="1:8">
      <c r="A104" s="158">
        <v>31</v>
      </c>
      <c r="B104" s="158" t="s">
        <v>431</v>
      </c>
      <c r="C104" s="158" t="s">
        <v>433</v>
      </c>
      <c r="D104" s="158" t="s">
        <v>403</v>
      </c>
      <c r="E104" s="200">
        <v>5</v>
      </c>
      <c r="F104" s="200">
        <v>2</v>
      </c>
      <c r="G104" s="200">
        <v>3</v>
      </c>
      <c r="H104" s="365"/>
    </row>
    <row r="105" spans="1:8">
      <c r="A105" s="158">
        <v>32</v>
      </c>
      <c r="B105" s="158" t="s">
        <v>431</v>
      </c>
      <c r="C105" s="158" t="s">
        <v>434</v>
      </c>
      <c r="D105" s="158" t="s">
        <v>403</v>
      </c>
      <c r="E105" s="200">
        <v>2</v>
      </c>
      <c r="F105" s="200">
        <v>0.75</v>
      </c>
      <c r="G105" s="200">
        <v>1.25</v>
      </c>
      <c r="H105" s="365"/>
    </row>
    <row r="106" spans="1:8">
      <c r="A106" s="158">
        <v>33</v>
      </c>
      <c r="B106" s="158" t="s">
        <v>431</v>
      </c>
      <c r="C106" s="158" t="s">
        <v>435</v>
      </c>
      <c r="D106" s="158" t="s">
        <v>403</v>
      </c>
      <c r="E106" s="200">
        <v>5</v>
      </c>
      <c r="F106" s="200">
        <v>2</v>
      </c>
      <c r="G106" s="200">
        <v>3</v>
      </c>
      <c r="H106" s="365"/>
    </row>
    <row r="107" spans="1:8">
      <c r="A107" s="158"/>
      <c r="B107" s="158"/>
      <c r="C107" s="158"/>
      <c r="D107" s="158" t="s">
        <v>15</v>
      </c>
      <c r="E107" s="200">
        <v>17</v>
      </c>
      <c r="F107" s="200">
        <v>6.75</v>
      </c>
      <c r="G107" s="200">
        <v>10.25</v>
      </c>
      <c r="H107" s="366"/>
    </row>
    <row r="108" spans="1:8">
      <c r="A108" s="158"/>
      <c r="B108" s="158"/>
      <c r="C108" s="158"/>
      <c r="D108" s="158"/>
      <c r="E108" s="200"/>
      <c r="F108" s="200"/>
      <c r="G108" s="200"/>
      <c r="H108" s="201"/>
    </row>
    <row r="109" spans="1:8">
      <c r="A109" s="158">
        <v>34</v>
      </c>
      <c r="B109" s="158"/>
      <c r="C109" s="158" t="s">
        <v>442</v>
      </c>
      <c r="D109" s="158" t="s">
        <v>403</v>
      </c>
      <c r="E109" s="200">
        <v>2</v>
      </c>
      <c r="F109" s="200"/>
      <c r="G109" s="200"/>
      <c r="H109" s="201"/>
    </row>
    <row r="110" spans="1:8">
      <c r="C110" s="151"/>
      <c r="E110" s="202"/>
      <c r="F110" s="202"/>
      <c r="G110" s="202"/>
      <c r="H110" s="203"/>
    </row>
  </sheetData>
  <mergeCells count="11">
    <mergeCell ref="G6:H6"/>
    <mergeCell ref="I6:J6"/>
    <mergeCell ref="G11:H11"/>
    <mergeCell ref="I11:J11"/>
    <mergeCell ref="H103:H107"/>
    <mergeCell ref="A56:D56"/>
    <mergeCell ref="H68:H75"/>
    <mergeCell ref="H77:H86"/>
    <mergeCell ref="H89:H95"/>
    <mergeCell ref="H97:H101"/>
    <mergeCell ref="H64:H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1ACE-47E8-4559-BECC-955E8F1B1689}">
  <dimension ref="A2:I55"/>
  <sheetViews>
    <sheetView topLeftCell="A26" workbookViewId="0">
      <selection activeCell="D16" sqref="D16"/>
    </sheetView>
  </sheetViews>
  <sheetFormatPr defaultColWidth="10.75" defaultRowHeight="13.15"/>
  <cols>
    <col min="1" max="1" width="16.25" style="47" bestFit="1" customWidth="1"/>
    <col min="2" max="2" width="16.75" style="47" customWidth="1"/>
    <col min="3" max="3" width="18" style="47" bestFit="1" customWidth="1"/>
    <col min="4" max="4" width="20.75" style="47" bestFit="1" customWidth="1"/>
    <col min="5" max="5" width="21.625" style="47" bestFit="1" customWidth="1"/>
    <col min="6" max="6" width="15" style="47" bestFit="1" customWidth="1"/>
    <col min="7" max="7" width="45.25" style="47" bestFit="1" customWidth="1"/>
    <col min="8" max="8" width="13.625" style="47" customWidth="1"/>
    <col min="9" max="9" width="15" style="47" bestFit="1" customWidth="1"/>
    <col min="10" max="10" width="10.75" style="47"/>
    <col min="11" max="11" width="9" style="47" customWidth="1"/>
    <col min="12" max="12" width="12.75" style="47" bestFit="1" customWidth="1"/>
    <col min="13" max="13" width="12.25" style="47" bestFit="1" customWidth="1"/>
    <col min="14" max="16384" width="10.75" style="47"/>
  </cols>
  <sheetData>
    <row r="2" spans="1:9">
      <c r="A2" s="65" t="s">
        <v>389</v>
      </c>
      <c r="B2" s="65" t="s">
        <v>72</v>
      </c>
    </row>
    <row r="4" spans="1:9">
      <c r="A4" s="66" t="s">
        <v>390</v>
      </c>
      <c r="B4" s="66" t="s">
        <v>35</v>
      </c>
    </row>
    <row r="6" spans="1:9">
      <c r="A6" s="368" t="s">
        <v>36</v>
      </c>
      <c r="B6" s="369"/>
      <c r="C6" s="369"/>
      <c r="D6" s="369"/>
      <c r="E6" s="369"/>
      <c r="F6" s="367" t="s">
        <v>212</v>
      </c>
      <c r="G6" s="367"/>
      <c r="H6" s="367" t="s">
        <v>213</v>
      </c>
      <c r="I6" s="367"/>
    </row>
    <row r="7" spans="1:9">
      <c r="A7" s="52" t="s">
        <v>1</v>
      </c>
      <c r="B7" s="52" t="s">
        <v>37</v>
      </c>
      <c r="C7" s="52" t="s">
        <v>38</v>
      </c>
      <c r="D7" s="51" t="s">
        <v>214</v>
      </c>
      <c r="E7" s="106" t="s">
        <v>215</v>
      </c>
      <c r="F7" s="104" t="s">
        <v>94</v>
      </c>
      <c r="G7" s="104" t="s">
        <v>95</v>
      </c>
      <c r="H7" s="104" t="s">
        <v>96</v>
      </c>
      <c r="I7" s="104" t="s">
        <v>97</v>
      </c>
    </row>
    <row r="8" spans="1:9">
      <c r="A8" s="49"/>
      <c r="B8" s="49" t="s">
        <v>39</v>
      </c>
      <c r="C8" s="67">
        <v>115</v>
      </c>
      <c r="D8" s="288">
        <v>115</v>
      </c>
      <c r="E8" s="288">
        <v>115</v>
      </c>
      <c r="F8" s="49">
        <v>20</v>
      </c>
      <c r="G8" s="49">
        <v>25</v>
      </c>
      <c r="H8" s="49">
        <v>30</v>
      </c>
      <c r="I8" s="49">
        <v>40</v>
      </c>
    </row>
    <row r="9" spans="1:9">
      <c r="A9" s="49"/>
      <c r="B9" s="49" t="s">
        <v>216</v>
      </c>
      <c r="C9" s="67">
        <v>6</v>
      </c>
      <c r="D9" s="288">
        <v>6</v>
      </c>
      <c r="E9" s="288">
        <v>6</v>
      </c>
      <c r="F9" s="49">
        <v>1</v>
      </c>
      <c r="G9" s="49">
        <v>1.4</v>
      </c>
      <c r="H9" s="49">
        <v>1.6</v>
      </c>
      <c r="I9" s="49">
        <v>2</v>
      </c>
    </row>
    <row r="11" spans="1:9">
      <c r="A11" s="49"/>
      <c r="B11" s="49"/>
      <c r="C11" s="367" t="s">
        <v>212</v>
      </c>
      <c r="D11" s="367"/>
      <c r="E11" s="367" t="s">
        <v>213</v>
      </c>
      <c r="F11" s="367"/>
    </row>
    <row r="12" spans="1:9" s="71" customFormat="1">
      <c r="A12" s="61" t="s">
        <v>443</v>
      </c>
      <c r="B12" s="106" t="s">
        <v>215</v>
      </c>
      <c r="C12" s="104" t="s">
        <v>94</v>
      </c>
      <c r="D12" s="104" t="s">
        <v>95</v>
      </c>
      <c r="E12" s="104" t="s">
        <v>96</v>
      </c>
      <c r="F12" s="104" t="s">
        <v>97</v>
      </c>
    </row>
    <row r="13" spans="1:9" s="71" customFormat="1">
      <c r="A13" s="63" t="s">
        <v>444</v>
      </c>
      <c r="B13" s="72">
        <v>16</v>
      </c>
      <c r="C13" s="289">
        <v>3</v>
      </c>
      <c r="D13" s="289">
        <v>4</v>
      </c>
      <c r="E13" s="289">
        <v>3</v>
      </c>
      <c r="F13" s="289">
        <v>6</v>
      </c>
    </row>
    <row r="14" spans="1:9" s="71" customFormat="1">
      <c r="A14" s="63" t="s">
        <v>445</v>
      </c>
      <c r="B14" s="72">
        <v>33</v>
      </c>
      <c r="C14" s="289">
        <v>7.5</v>
      </c>
      <c r="D14" s="289">
        <v>7.5</v>
      </c>
      <c r="E14" s="289">
        <v>8</v>
      </c>
      <c r="F14" s="289">
        <v>10</v>
      </c>
    </row>
    <row r="15" spans="1:9" s="71" customFormat="1">
      <c r="A15" s="63" t="s">
        <v>446</v>
      </c>
      <c r="B15" s="72">
        <v>40</v>
      </c>
      <c r="C15" s="289">
        <v>5</v>
      </c>
      <c r="D15" s="289">
        <v>10</v>
      </c>
      <c r="E15" s="289">
        <v>10</v>
      </c>
      <c r="F15" s="289">
        <v>15</v>
      </c>
    </row>
    <row r="16" spans="1:9" s="71" customFormat="1">
      <c r="A16" s="63" t="s">
        <v>447</v>
      </c>
      <c r="B16" s="72">
        <v>45</v>
      </c>
      <c r="C16" s="289">
        <v>5</v>
      </c>
      <c r="D16" s="289">
        <v>10</v>
      </c>
      <c r="E16" s="289">
        <v>10</v>
      </c>
      <c r="F16" s="289">
        <v>20</v>
      </c>
    </row>
    <row r="17" spans="1:6" s="71" customFormat="1">
      <c r="A17" s="64" t="s">
        <v>15</v>
      </c>
      <c r="B17" s="64">
        <f>SUM(B13:B16)</f>
        <v>134</v>
      </c>
      <c r="C17" s="289">
        <f>SUM(C13:C16)</f>
        <v>20.5</v>
      </c>
      <c r="D17" s="289">
        <f>SUM(D13:D16)</f>
        <v>31.5</v>
      </c>
      <c r="E17" s="289">
        <f>SUM(E13:E16)</f>
        <v>31</v>
      </c>
      <c r="F17" s="289">
        <f>SUM(F13:F16)</f>
        <v>51</v>
      </c>
    </row>
    <row r="18" spans="1:6" s="71" customFormat="1"/>
    <row r="19" spans="1:6" s="71" customFormat="1">
      <c r="A19" s="111" t="s">
        <v>448</v>
      </c>
      <c r="B19" s="106" t="s">
        <v>215</v>
      </c>
      <c r="C19" s="367" t="s">
        <v>212</v>
      </c>
      <c r="D19" s="367"/>
      <c r="E19" s="367" t="s">
        <v>213</v>
      </c>
      <c r="F19" s="367"/>
    </row>
    <row r="20" spans="1:6" s="71" customFormat="1">
      <c r="A20" s="111"/>
      <c r="B20" s="106"/>
      <c r="C20" s="104" t="s">
        <v>94</v>
      </c>
      <c r="D20" s="104" t="s">
        <v>95</v>
      </c>
      <c r="E20" s="104" t="s">
        <v>96</v>
      </c>
      <c r="F20" s="104" t="s">
        <v>97</v>
      </c>
    </row>
    <row r="21" spans="1:6" s="71" customFormat="1">
      <c r="A21" s="63" t="s">
        <v>449</v>
      </c>
      <c r="B21" s="72">
        <v>9.5</v>
      </c>
      <c r="C21" s="75">
        <v>1</v>
      </c>
      <c r="D21" s="75">
        <v>2</v>
      </c>
      <c r="E21" s="75">
        <v>3</v>
      </c>
      <c r="F21" s="75">
        <v>3.5</v>
      </c>
    </row>
    <row r="22" spans="1:6" s="71" customFormat="1">
      <c r="A22" s="75" t="s">
        <v>330</v>
      </c>
      <c r="B22" s="72">
        <v>9.5</v>
      </c>
      <c r="C22" s="75">
        <v>1</v>
      </c>
      <c r="D22" s="75">
        <v>2</v>
      </c>
      <c r="E22" s="75">
        <v>3</v>
      </c>
      <c r="F22" s="75">
        <v>3.5</v>
      </c>
    </row>
    <row r="25" spans="1:6">
      <c r="A25" s="368" t="s">
        <v>450</v>
      </c>
      <c r="B25" s="369"/>
      <c r="C25" s="369"/>
      <c r="D25" s="369"/>
    </row>
    <row r="26" spans="1:6" ht="26.45">
      <c r="A26" s="52" t="s">
        <v>67</v>
      </c>
      <c r="B26" s="52" t="s">
        <v>347</v>
      </c>
      <c r="C26" s="68" t="s">
        <v>69</v>
      </c>
      <c r="D26" s="68" t="s">
        <v>348</v>
      </c>
    </row>
    <row r="27" spans="1:6">
      <c r="A27" s="67">
        <v>1</v>
      </c>
      <c r="B27" s="49" t="s">
        <v>19</v>
      </c>
      <c r="C27" s="49">
        <v>40</v>
      </c>
      <c r="D27" s="49">
        <v>40</v>
      </c>
    </row>
    <row r="28" spans="1:6">
      <c r="A28" s="67">
        <v>2</v>
      </c>
      <c r="B28" s="49" t="s">
        <v>20</v>
      </c>
      <c r="C28" s="49">
        <v>24</v>
      </c>
      <c r="D28" s="49">
        <v>24</v>
      </c>
    </row>
    <row r="29" spans="1:6">
      <c r="A29" s="67">
        <v>3</v>
      </c>
      <c r="B29" s="49" t="s">
        <v>21</v>
      </c>
      <c r="C29" s="49">
        <v>10</v>
      </c>
      <c r="D29" s="49">
        <v>10</v>
      </c>
    </row>
    <row r="30" spans="1:6">
      <c r="A30" s="67">
        <v>4</v>
      </c>
      <c r="B30" s="49" t="s">
        <v>22</v>
      </c>
      <c r="C30" s="49">
        <v>10</v>
      </c>
      <c r="D30" s="49">
        <v>10</v>
      </c>
    </row>
    <row r="31" spans="1:6">
      <c r="A31" s="67">
        <v>5</v>
      </c>
      <c r="B31" s="49" t="s">
        <v>23</v>
      </c>
      <c r="C31" s="49">
        <v>1</v>
      </c>
      <c r="D31" s="49">
        <v>1</v>
      </c>
    </row>
    <row r="32" spans="1:6">
      <c r="A32" s="67">
        <v>6</v>
      </c>
      <c r="B32" s="49" t="s">
        <v>24</v>
      </c>
      <c r="C32" s="49">
        <v>30</v>
      </c>
      <c r="D32" s="49">
        <v>30</v>
      </c>
    </row>
    <row r="33" spans="1:9">
      <c r="A33" s="67"/>
      <c r="B33" s="69" t="s">
        <v>15</v>
      </c>
      <c r="C33" s="69">
        <f>SUM(C27:C32)</f>
        <v>115</v>
      </c>
      <c r="D33" s="69">
        <f>SUM(D27:D32)</f>
        <v>115</v>
      </c>
    </row>
    <row r="35" spans="1:9">
      <c r="A35" s="370" t="s">
        <v>437</v>
      </c>
      <c r="B35" s="371"/>
      <c r="C35" s="372"/>
    </row>
    <row r="36" spans="1:9">
      <c r="A36" s="52" t="s">
        <v>67</v>
      </c>
      <c r="B36" s="52" t="s">
        <v>37</v>
      </c>
      <c r="C36" s="52" t="s">
        <v>349</v>
      </c>
    </row>
    <row r="37" spans="1:9">
      <c r="A37" s="67">
        <v>1</v>
      </c>
      <c r="B37" s="49" t="s">
        <v>350</v>
      </c>
      <c r="C37" s="49">
        <v>2</v>
      </c>
    </row>
    <row r="38" spans="1:9">
      <c r="A38" s="67">
        <v>2</v>
      </c>
      <c r="B38" s="49" t="s">
        <v>351</v>
      </c>
      <c r="C38" s="49">
        <v>7</v>
      </c>
    </row>
    <row r="39" spans="1:9">
      <c r="A39" s="67">
        <v>3</v>
      </c>
      <c r="B39" s="49" t="s">
        <v>451</v>
      </c>
      <c r="C39" s="49">
        <v>20</v>
      </c>
    </row>
    <row r="41" spans="1:9">
      <c r="B41" s="69" t="s">
        <v>452</v>
      </c>
      <c r="C41" s="69">
        <v>7</v>
      </c>
    </row>
    <row r="42" spans="1:9">
      <c r="B42" s="69" t="s">
        <v>453</v>
      </c>
      <c r="C42" s="69">
        <v>5</v>
      </c>
    </row>
    <row r="43" spans="1:9">
      <c r="A43" s="70"/>
      <c r="B43" s="70"/>
      <c r="H43" s="334" t="s">
        <v>454</v>
      </c>
    </row>
    <row r="44" spans="1:9" s="71" customFormat="1">
      <c r="A44" s="61" t="s">
        <v>443</v>
      </c>
      <c r="B44" s="62" t="s">
        <v>455</v>
      </c>
      <c r="C44" s="62" t="s">
        <v>456</v>
      </c>
      <c r="D44" s="62" t="s">
        <v>457</v>
      </c>
      <c r="E44" s="62" t="s">
        <v>458</v>
      </c>
      <c r="F44" s="62" t="s">
        <v>459</v>
      </c>
      <c r="G44" s="322" t="s">
        <v>460</v>
      </c>
      <c r="H44" s="326" t="s">
        <v>461</v>
      </c>
    </row>
    <row r="45" spans="1:9" s="71" customFormat="1">
      <c r="A45" s="63" t="s">
        <v>444</v>
      </c>
      <c r="B45" s="72">
        <v>160000000</v>
      </c>
      <c r="C45" s="72">
        <v>1280850</v>
      </c>
      <c r="D45" s="73">
        <v>0.1</v>
      </c>
      <c r="E45" s="72">
        <f>C45*1.1</f>
        <v>1408935</v>
      </c>
      <c r="F45" s="74">
        <v>45691</v>
      </c>
      <c r="G45" s="323" t="s">
        <v>462</v>
      </c>
      <c r="H45" s="316">
        <v>563600</v>
      </c>
      <c r="I45" s="312"/>
    </row>
    <row r="46" spans="1:9" s="71" customFormat="1">
      <c r="A46" s="63" t="s">
        <v>445</v>
      </c>
      <c r="B46" s="72">
        <v>330000000</v>
      </c>
      <c r="C46" s="72">
        <v>3000000</v>
      </c>
      <c r="D46" s="73">
        <v>0.1</v>
      </c>
      <c r="E46" s="72">
        <f>C46*1.1</f>
        <v>3300000.0000000005</v>
      </c>
      <c r="F46" s="74">
        <v>45761</v>
      </c>
      <c r="G46" s="323" t="s">
        <v>462</v>
      </c>
      <c r="H46" s="316">
        <v>1320000</v>
      </c>
      <c r="I46" s="312"/>
    </row>
    <row r="47" spans="1:9" s="71" customFormat="1">
      <c r="A47" s="63" t="s">
        <v>446</v>
      </c>
      <c r="B47" s="72">
        <v>400000000</v>
      </c>
      <c r="C47" s="72">
        <v>3500000</v>
      </c>
      <c r="D47" s="73">
        <v>0.2</v>
      </c>
      <c r="E47" s="72">
        <f>C47*1.2</f>
        <v>4200000</v>
      </c>
      <c r="F47" s="74">
        <v>45810</v>
      </c>
      <c r="G47" s="323" t="s">
        <v>463</v>
      </c>
      <c r="H47" s="316">
        <v>1680000</v>
      </c>
      <c r="I47" s="312"/>
    </row>
    <row r="48" spans="1:9" s="71" customFormat="1">
      <c r="A48" s="63" t="s">
        <v>447</v>
      </c>
      <c r="B48" s="72">
        <v>500000000</v>
      </c>
      <c r="C48" s="72">
        <v>2212506</v>
      </c>
      <c r="D48" s="73">
        <v>0.25</v>
      </c>
      <c r="E48" s="72">
        <f>C48*1.25+C52+C53</f>
        <v>4665632.5</v>
      </c>
      <c r="F48" s="74">
        <v>44564</v>
      </c>
      <c r="G48" s="323"/>
      <c r="H48" s="316">
        <v>1106000</v>
      </c>
      <c r="I48" s="312"/>
    </row>
    <row r="49" spans="1:8" s="71" customFormat="1">
      <c r="A49" s="64" t="s">
        <v>15</v>
      </c>
      <c r="B49" s="64">
        <f>SUM(B45:B48)</f>
        <v>1390000000</v>
      </c>
      <c r="C49" s="76"/>
      <c r="D49" s="76"/>
      <c r="E49" s="77">
        <f>SUM(E45:E48)</f>
        <v>13574567.5</v>
      </c>
      <c r="F49" s="76"/>
      <c r="G49" s="324"/>
      <c r="H49" s="326">
        <f>SUM(H45:H48)</f>
        <v>4669600</v>
      </c>
    </row>
    <row r="50" spans="1:8" s="71" customFormat="1">
      <c r="H50" s="316"/>
    </row>
    <row r="51" spans="1:8" s="71" customFormat="1">
      <c r="A51" s="78" t="s">
        <v>448</v>
      </c>
      <c r="H51" s="316"/>
    </row>
    <row r="52" spans="1:8" s="71" customFormat="1">
      <c r="A52" s="63" t="s">
        <v>449</v>
      </c>
      <c r="B52" s="72">
        <v>95000000</v>
      </c>
      <c r="C52" s="72">
        <v>950000</v>
      </c>
      <c r="D52" s="73"/>
      <c r="E52" s="72">
        <f>C52</f>
        <v>950000</v>
      </c>
      <c r="F52" s="74">
        <v>46097</v>
      </c>
      <c r="G52" s="323"/>
      <c r="H52" s="316">
        <v>380000</v>
      </c>
    </row>
    <row r="53" spans="1:8" s="71" customFormat="1">
      <c r="A53" s="75" t="s">
        <v>330</v>
      </c>
      <c r="B53" s="72">
        <v>95000000</v>
      </c>
      <c r="C53" s="72">
        <v>950000</v>
      </c>
      <c r="D53" s="73"/>
      <c r="E53" s="72">
        <f>C53</f>
        <v>950000</v>
      </c>
      <c r="F53" s="74"/>
      <c r="G53" s="323"/>
      <c r="H53" s="316"/>
    </row>
    <row r="54" spans="1:8" s="71" customFormat="1"/>
    <row r="55" spans="1:8">
      <c r="F55" s="290"/>
    </row>
  </sheetData>
  <mergeCells count="9">
    <mergeCell ref="A25:D25"/>
    <mergeCell ref="A35:C35"/>
    <mergeCell ref="A6:E6"/>
    <mergeCell ref="F6:G6"/>
    <mergeCell ref="H6:I6"/>
    <mergeCell ref="C11:D11"/>
    <mergeCell ref="E11:F11"/>
    <mergeCell ref="C19:D19"/>
    <mergeCell ref="E19:F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6815-78BB-4ED0-9063-668C1D5719EC}">
  <dimension ref="A1:I80"/>
  <sheetViews>
    <sheetView topLeftCell="A38" zoomScale="105" workbookViewId="0">
      <selection activeCell="C40" sqref="C40"/>
    </sheetView>
  </sheetViews>
  <sheetFormatPr defaultColWidth="8.75" defaultRowHeight="13.15"/>
  <cols>
    <col min="1" max="1" width="19.625" style="233" customWidth="1"/>
    <col min="2" max="2" width="14.25" style="233" customWidth="1"/>
    <col min="3" max="3" width="18.125" style="233" customWidth="1"/>
    <col min="4" max="4" width="17.625" style="233" customWidth="1"/>
    <col min="5" max="5" width="16.25" style="233" bestFit="1" customWidth="1"/>
    <col min="6" max="6" width="15.25" style="233" bestFit="1" customWidth="1"/>
    <col min="7" max="7" width="12.75" style="233" bestFit="1" customWidth="1"/>
    <col min="8" max="8" width="12.5" style="233" customWidth="1"/>
    <col min="9" max="16384" width="8.75" style="233"/>
  </cols>
  <sheetData>
    <row r="1" spans="1:9">
      <c r="A1" s="232"/>
      <c r="B1" s="232"/>
      <c r="C1" s="232"/>
      <c r="D1" s="232"/>
    </row>
    <row r="2" spans="1:9">
      <c r="A2" s="234" t="s">
        <v>389</v>
      </c>
      <c r="B2" s="234" t="s">
        <v>73</v>
      </c>
      <c r="C2" s="232"/>
      <c r="D2" s="232"/>
    </row>
    <row r="3" spans="1:9">
      <c r="A3" s="232"/>
      <c r="B3" s="232"/>
      <c r="C3" s="232"/>
      <c r="D3" s="232"/>
    </row>
    <row r="4" spans="1:9">
      <c r="A4" s="235" t="s">
        <v>390</v>
      </c>
      <c r="B4" s="235" t="s">
        <v>35</v>
      </c>
      <c r="C4" s="232"/>
      <c r="D4" s="232"/>
    </row>
    <row r="5" spans="1:9">
      <c r="A5" s="232"/>
      <c r="B5" s="232"/>
      <c r="C5" s="232"/>
      <c r="D5" s="232"/>
    </row>
    <row r="6" spans="1:9">
      <c r="A6" s="378" t="s">
        <v>36</v>
      </c>
      <c r="B6" s="378"/>
      <c r="C6" s="378"/>
      <c r="D6" s="378"/>
      <c r="E6" s="236"/>
      <c r="F6" s="367" t="s">
        <v>212</v>
      </c>
      <c r="G6" s="367"/>
      <c r="H6" s="367" t="s">
        <v>213</v>
      </c>
      <c r="I6" s="367"/>
    </row>
    <row r="7" spans="1:9">
      <c r="A7" s="237" t="s">
        <v>1</v>
      </c>
      <c r="B7" s="237" t="s">
        <v>37</v>
      </c>
      <c r="C7" s="237" t="s">
        <v>38</v>
      </c>
      <c r="D7" s="238" t="s">
        <v>464</v>
      </c>
      <c r="E7" s="239" t="s">
        <v>465</v>
      </c>
      <c r="F7" s="104" t="s">
        <v>94</v>
      </c>
      <c r="G7" s="104" t="s">
        <v>95</v>
      </c>
      <c r="H7" s="104" t="s">
        <v>96</v>
      </c>
      <c r="I7" s="104" t="s">
        <v>97</v>
      </c>
    </row>
    <row r="8" spans="1:9">
      <c r="A8" s="240"/>
      <c r="B8" s="240" t="s">
        <v>39</v>
      </c>
      <c r="C8" s="241">
        <v>66</v>
      </c>
      <c r="D8" s="112">
        <v>50</v>
      </c>
      <c r="E8" s="242">
        <v>66</v>
      </c>
      <c r="F8" s="109">
        <v>9</v>
      </c>
      <c r="G8" s="109">
        <v>13</v>
      </c>
      <c r="H8" s="109">
        <v>20</v>
      </c>
      <c r="I8" s="109">
        <v>24</v>
      </c>
    </row>
    <row r="9" spans="1:9">
      <c r="A9" s="240"/>
      <c r="B9" s="240" t="s">
        <v>216</v>
      </c>
      <c r="C9" s="241">
        <f>C8*4.5%</f>
        <v>2.9699999999999998</v>
      </c>
      <c r="D9" s="112">
        <v>2.25</v>
      </c>
      <c r="E9" s="242">
        <v>2.97</v>
      </c>
      <c r="F9" s="109">
        <v>0.4</v>
      </c>
      <c r="G9" s="109">
        <v>0.59</v>
      </c>
      <c r="H9" s="109">
        <v>0.9</v>
      </c>
      <c r="I9" s="109">
        <v>1.08</v>
      </c>
    </row>
    <row r="10" spans="1:9">
      <c r="A10" s="232"/>
      <c r="B10" s="232"/>
      <c r="C10" s="232"/>
      <c r="D10" s="232"/>
    </row>
    <row r="11" spans="1:9">
      <c r="A11" s="243" t="s">
        <v>16</v>
      </c>
      <c r="B11" s="243" t="s">
        <v>17</v>
      </c>
      <c r="C11" s="232"/>
      <c r="D11" s="232"/>
    </row>
    <row r="12" spans="1:9">
      <c r="A12" s="244"/>
      <c r="B12" s="244"/>
      <c r="C12" s="232"/>
      <c r="D12" s="232"/>
    </row>
    <row r="13" spans="1:9">
      <c r="A13" s="244">
        <v>26</v>
      </c>
      <c r="B13" s="244">
        <v>40</v>
      </c>
      <c r="C13" s="232"/>
      <c r="D13" s="232"/>
    </row>
    <row r="14" spans="1:9" ht="12" customHeight="1">
      <c r="A14" s="232"/>
      <c r="B14" s="232"/>
      <c r="C14" s="232"/>
      <c r="D14" s="232"/>
    </row>
    <row r="15" spans="1:9" ht="12" customHeight="1">
      <c r="A15" s="240"/>
      <c r="B15" s="236"/>
      <c r="C15" s="367" t="s">
        <v>212</v>
      </c>
      <c r="D15" s="367"/>
      <c r="E15" s="367" t="s">
        <v>213</v>
      </c>
      <c r="F15" s="367"/>
      <c r="G15" s="245"/>
      <c r="H15" s="333" t="s">
        <v>466</v>
      </c>
    </row>
    <row r="16" spans="1:9">
      <c r="A16" s="236"/>
      <c r="B16" s="239" t="s">
        <v>465</v>
      </c>
      <c r="C16" s="104" t="s">
        <v>94</v>
      </c>
      <c r="D16" s="104" t="s">
        <v>95</v>
      </c>
      <c r="E16" s="104" t="s">
        <v>96</v>
      </c>
      <c r="F16" s="329" t="s">
        <v>97</v>
      </c>
      <c r="G16" s="330" t="s">
        <v>467</v>
      </c>
      <c r="H16" s="331" t="s">
        <v>454</v>
      </c>
    </row>
    <row r="17" spans="1:8">
      <c r="A17" s="236" t="s">
        <v>468</v>
      </c>
      <c r="B17" s="244">
        <v>8</v>
      </c>
      <c r="C17" s="242">
        <v>3</v>
      </c>
      <c r="D17" s="242">
        <v>1</v>
      </c>
      <c r="E17" s="242">
        <v>1</v>
      </c>
      <c r="F17" s="242">
        <v>3</v>
      </c>
      <c r="G17" s="236" t="s">
        <v>469</v>
      </c>
      <c r="H17" s="316">
        <v>100000</v>
      </c>
    </row>
    <row r="18" spans="1:8">
      <c r="A18" s="236" t="s">
        <v>470</v>
      </c>
      <c r="B18" s="244">
        <v>8</v>
      </c>
      <c r="C18" s="242">
        <v>1</v>
      </c>
      <c r="D18" s="242">
        <v>2</v>
      </c>
      <c r="E18" s="242">
        <v>2</v>
      </c>
      <c r="F18" s="242">
        <v>3</v>
      </c>
      <c r="G18" s="236" t="s">
        <v>469</v>
      </c>
      <c r="H18" s="316">
        <v>90000</v>
      </c>
    </row>
    <row r="19" spans="1:8">
      <c r="A19" s="236" t="s">
        <v>330</v>
      </c>
      <c r="B19" s="244">
        <v>8</v>
      </c>
      <c r="C19" s="242"/>
      <c r="D19" s="242"/>
      <c r="E19" s="242"/>
      <c r="F19" s="242"/>
      <c r="G19" s="236" t="s">
        <v>469</v>
      </c>
      <c r="H19" s="316">
        <v>0</v>
      </c>
    </row>
    <row r="20" spans="1:8">
      <c r="A20" s="236" t="s">
        <v>330</v>
      </c>
      <c r="B20" s="244">
        <v>8</v>
      </c>
      <c r="C20" s="242"/>
      <c r="D20" s="242"/>
      <c r="E20" s="242"/>
      <c r="F20" s="242"/>
      <c r="G20" s="236" t="s">
        <v>469</v>
      </c>
      <c r="H20" s="316">
        <v>0</v>
      </c>
    </row>
    <row r="21" spans="1:8">
      <c r="A21" s="236" t="s">
        <v>471</v>
      </c>
      <c r="B21" s="244">
        <v>12</v>
      </c>
      <c r="C21" s="242">
        <v>1</v>
      </c>
      <c r="D21" s="242">
        <v>2</v>
      </c>
      <c r="E21" s="242">
        <v>4</v>
      </c>
      <c r="F21" s="242">
        <v>5</v>
      </c>
      <c r="G21" s="236" t="s">
        <v>472</v>
      </c>
      <c r="H21" s="316">
        <v>800000</v>
      </c>
    </row>
    <row r="22" spans="1:8">
      <c r="A22" s="236" t="s">
        <v>473</v>
      </c>
      <c r="B22" s="244">
        <v>15</v>
      </c>
      <c r="C22" s="242">
        <v>2</v>
      </c>
      <c r="D22" s="242">
        <v>3</v>
      </c>
      <c r="E22" s="242">
        <v>5</v>
      </c>
      <c r="F22" s="242">
        <v>6</v>
      </c>
      <c r="G22" s="236" t="s">
        <v>472</v>
      </c>
      <c r="H22" s="316">
        <v>857000</v>
      </c>
    </row>
    <row r="23" spans="1:8">
      <c r="A23" s="236" t="s">
        <v>474</v>
      </c>
      <c r="B23" s="244">
        <v>2</v>
      </c>
      <c r="C23" s="242">
        <v>0.1</v>
      </c>
      <c r="D23" s="242">
        <v>0.5</v>
      </c>
      <c r="E23" s="242">
        <v>0.5</v>
      </c>
      <c r="F23" s="242">
        <v>0.9</v>
      </c>
      <c r="G23" s="236" t="s">
        <v>475</v>
      </c>
      <c r="H23" s="316">
        <v>100000</v>
      </c>
    </row>
    <row r="24" spans="1:8">
      <c r="A24" s="236" t="s">
        <v>476</v>
      </c>
      <c r="B24" s="244">
        <v>2</v>
      </c>
      <c r="C24" s="242">
        <v>0.1</v>
      </c>
      <c r="D24" s="242">
        <v>0.5</v>
      </c>
      <c r="E24" s="242">
        <v>0.5</v>
      </c>
      <c r="F24" s="242">
        <v>0.9</v>
      </c>
      <c r="G24" s="236" t="s">
        <v>475</v>
      </c>
      <c r="H24" s="316">
        <v>100000</v>
      </c>
    </row>
    <row r="25" spans="1:8">
      <c r="A25" s="236" t="s">
        <v>477</v>
      </c>
      <c r="B25" s="244">
        <v>5</v>
      </c>
      <c r="C25" s="242"/>
      <c r="D25" s="242"/>
      <c r="E25" s="242"/>
      <c r="F25" s="242"/>
      <c r="G25" s="236" t="s">
        <v>475</v>
      </c>
      <c r="H25" s="316">
        <v>0</v>
      </c>
    </row>
    <row r="26" spans="1:8">
      <c r="A26" s="236" t="s">
        <v>478</v>
      </c>
      <c r="B26" s="244">
        <v>15</v>
      </c>
      <c r="C26" s="242">
        <v>2</v>
      </c>
      <c r="D26" s="242">
        <v>3</v>
      </c>
      <c r="E26" s="242">
        <v>5</v>
      </c>
      <c r="F26" s="242">
        <v>5</v>
      </c>
      <c r="G26" s="236" t="s">
        <v>479</v>
      </c>
      <c r="H26" s="316">
        <v>838501</v>
      </c>
    </row>
    <row r="27" spans="1:8">
      <c r="A27" s="236" t="s">
        <v>480</v>
      </c>
      <c r="B27" s="244">
        <v>5</v>
      </c>
      <c r="C27" s="242">
        <v>0.5</v>
      </c>
      <c r="D27" s="242">
        <v>1</v>
      </c>
      <c r="E27" s="242">
        <v>1.5</v>
      </c>
      <c r="F27" s="242">
        <v>2</v>
      </c>
      <c r="G27" s="236" t="s">
        <v>479</v>
      </c>
      <c r="H27" s="316">
        <v>100000</v>
      </c>
    </row>
    <row r="28" spans="1:8">
      <c r="A28" s="236" t="s">
        <v>330</v>
      </c>
      <c r="B28" s="246">
        <v>5</v>
      </c>
      <c r="C28" s="242"/>
      <c r="D28" s="242"/>
      <c r="E28" s="242"/>
      <c r="F28" s="242"/>
      <c r="G28" s="236" t="s">
        <v>479</v>
      </c>
      <c r="H28" s="316">
        <v>0</v>
      </c>
    </row>
    <row r="29" spans="1:8">
      <c r="A29" s="236" t="s">
        <v>15</v>
      </c>
      <c r="B29" s="246">
        <f>SUM(B17:B28)</f>
        <v>93</v>
      </c>
      <c r="C29" s="242">
        <f>SUM(C17:C28)</f>
        <v>9.6999999999999993</v>
      </c>
      <c r="D29" s="242">
        <f t="shared" ref="D29:F29" si="0">SUM(D17:D28)</f>
        <v>13</v>
      </c>
      <c r="E29" s="242">
        <f t="shared" si="0"/>
        <v>19.5</v>
      </c>
      <c r="F29" s="242">
        <f t="shared" si="0"/>
        <v>25.799999999999997</v>
      </c>
      <c r="G29" s="236"/>
      <c r="H29" s="236"/>
    </row>
    <row r="30" spans="1:8">
      <c r="A30" s="247"/>
      <c r="B30" s="248"/>
    </row>
    <row r="31" spans="1:8">
      <c r="A31" s="247"/>
      <c r="B31" s="248"/>
    </row>
    <row r="32" spans="1:8">
      <c r="A32" s="247"/>
      <c r="B32" s="248"/>
    </row>
    <row r="33" spans="1:4">
      <c r="A33" s="373" t="s">
        <v>481</v>
      </c>
      <c r="B33" s="374"/>
      <c r="C33" s="374"/>
      <c r="D33" s="374"/>
    </row>
    <row r="34" spans="1:4" ht="39.6">
      <c r="A34" s="237" t="s">
        <v>67</v>
      </c>
      <c r="B34" s="249" t="s">
        <v>69</v>
      </c>
      <c r="C34" s="249" t="s">
        <v>482</v>
      </c>
      <c r="D34" s="245" t="s">
        <v>467</v>
      </c>
    </row>
    <row r="35" spans="1:4">
      <c r="A35" s="250" t="s">
        <v>483</v>
      </c>
      <c r="B35" s="251">
        <v>20</v>
      </c>
      <c r="C35" s="252">
        <f>B35/$C$52*$D$8</f>
        <v>15.151515151515152</v>
      </c>
      <c r="D35" s="240" t="s">
        <v>484</v>
      </c>
    </row>
    <row r="36" spans="1:4">
      <c r="A36" s="250" t="s">
        <v>485</v>
      </c>
      <c r="B36" s="253">
        <v>5</v>
      </c>
      <c r="C36" s="237"/>
      <c r="D36" s="237"/>
    </row>
    <row r="37" spans="1:4">
      <c r="A37" s="254"/>
      <c r="B37" s="232"/>
      <c r="C37" s="232"/>
      <c r="D37" s="232"/>
    </row>
    <row r="38" spans="1:4">
      <c r="A38" s="373" t="s">
        <v>486</v>
      </c>
      <c r="B38" s="374"/>
      <c r="C38" s="374"/>
      <c r="D38" s="374"/>
    </row>
    <row r="39" spans="1:4" ht="26.45">
      <c r="A39" s="237" t="s">
        <v>67</v>
      </c>
      <c r="B39" s="237" t="s">
        <v>487</v>
      </c>
      <c r="C39" s="249" t="s">
        <v>69</v>
      </c>
      <c r="D39" s="249" t="s">
        <v>482</v>
      </c>
    </row>
    <row r="40" spans="1:4">
      <c r="A40" s="240">
        <v>1</v>
      </c>
      <c r="B40" s="240" t="s">
        <v>488</v>
      </c>
      <c r="C40" s="251">
        <v>20</v>
      </c>
      <c r="D40" s="252">
        <f>C40/$C$52*$D$8</f>
        <v>15.151515151515152</v>
      </c>
    </row>
    <row r="41" spans="1:4">
      <c r="A41" s="240">
        <v>2</v>
      </c>
      <c r="B41" s="240" t="s">
        <v>19</v>
      </c>
      <c r="C41" s="251">
        <v>11</v>
      </c>
      <c r="D41" s="252">
        <f>C41/$C$52*$D$8</f>
        <v>8.3333333333333321</v>
      </c>
    </row>
    <row r="42" spans="1:4">
      <c r="A42" s="240">
        <v>3</v>
      </c>
      <c r="B42" s="240" t="s">
        <v>21</v>
      </c>
      <c r="C42" s="251">
        <v>5</v>
      </c>
      <c r="D42" s="252">
        <f>C42/$C$52*$D$8</f>
        <v>3.7878787878787881</v>
      </c>
    </row>
    <row r="43" spans="1:4">
      <c r="A43" s="240">
        <v>4</v>
      </c>
      <c r="B43" s="240" t="s">
        <v>489</v>
      </c>
      <c r="C43" s="251">
        <v>10</v>
      </c>
      <c r="D43" s="252">
        <f>C43/$C$52*$D$8</f>
        <v>7.5757575757575761</v>
      </c>
    </row>
    <row r="44" spans="1:4">
      <c r="A44" s="240"/>
      <c r="B44" s="240"/>
      <c r="C44" s="240"/>
      <c r="D44" s="240"/>
    </row>
    <row r="45" spans="1:4">
      <c r="A45" s="240"/>
      <c r="B45" s="238" t="s">
        <v>15</v>
      </c>
      <c r="C45" s="255">
        <f>SUM(C40:C44)</f>
        <v>46</v>
      </c>
      <c r="D45" s="252">
        <f>SUM(D40:D44)</f>
        <v>34.848484848484851</v>
      </c>
    </row>
    <row r="46" spans="1:4">
      <c r="A46" s="232"/>
      <c r="B46" s="232"/>
      <c r="C46" s="232"/>
      <c r="D46" s="232"/>
    </row>
    <row r="47" spans="1:4">
      <c r="A47" s="232" t="s">
        <v>490</v>
      </c>
      <c r="B47" s="232"/>
      <c r="C47" s="232"/>
      <c r="D47" s="232"/>
    </row>
    <row r="48" spans="1:4" ht="26.45">
      <c r="A48" s="237" t="s">
        <v>67</v>
      </c>
      <c r="B48" s="237" t="s">
        <v>491</v>
      </c>
      <c r="C48" s="249" t="s">
        <v>69</v>
      </c>
      <c r="D48" s="249" t="s">
        <v>482</v>
      </c>
    </row>
    <row r="49" spans="1:5">
      <c r="A49" s="240">
        <v>1</v>
      </c>
      <c r="B49" s="253" t="s">
        <v>492</v>
      </c>
      <c r="C49" s="252">
        <f>B35</f>
        <v>20</v>
      </c>
      <c r="D49" s="252">
        <f>C35</f>
        <v>15.151515151515152</v>
      </c>
    </row>
    <row r="50" spans="1:5">
      <c r="A50" s="240">
        <v>2</v>
      </c>
      <c r="B50" s="253" t="s">
        <v>493</v>
      </c>
      <c r="C50" s="252">
        <f>C45</f>
        <v>46</v>
      </c>
      <c r="D50" s="79">
        <f>D45</f>
        <v>34.848484848484851</v>
      </c>
    </row>
    <row r="51" spans="1:5">
      <c r="A51" s="240"/>
      <c r="B51" s="240"/>
      <c r="C51" s="240"/>
      <c r="D51" s="240"/>
    </row>
    <row r="52" spans="1:5">
      <c r="A52" s="240"/>
      <c r="B52" s="240" t="s">
        <v>15</v>
      </c>
      <c r="C52" s="252">
        <f>SUM(C49:C51)</f>
        <v>66</v>
      </c>
      <c r="D52" s="252">
        <f>SUM(D49:D51)</f>
        <v>50</v>
      </c>
    </row>
    <row r="53" spans="1:5">
      <c r="A53" s="232"/>
      <c r="B53" s="232"/>
      <c r="C53" s="232"/>
      <c r="D53" s="232"/>
    </row>
    <row r="54" spans="1:5">
      <c r="A54" s="375" t="s">
        <v>437</v>
      </c>
      <c r="B54" s="376"/>
      <c r="C54" s="377"/>
      <c r="D54" s="232"/>
    </row>
    <row r="55" spans="1:5">
      <c r="A55" s="237" t="s">
        <v>67</v>
      </c>
      <c r="B55" s="237" t="s">
        <v>37</v>
      </c>
      <c r="C55" s="237" t="s">
        <v>349</v>
      </c>
      <c r="D55" s="232"/>
    </row>
    <row r="56" spans="1:5">
      <c r="A56" s="240"/>
      <c r="B56" s="240" t="s">
        <v>350</v>
      </c>
      <c r="C56" s="240" t="s">
        <v>494</v>
      </c>
      <c r="D56" s="232"/>
    </row>
    <row r="57" spans="1:5">
      <c r="A57" s="240"/>
      <c r="B57" s="240" t="s">
        <v>355</v>
      </c>
      <c r="C57" s="240" t="s">
        <v>495</v>
      </c>
      <c r="D57" s="232"/>
    </row>
    <row r="61" spans="1:5">
      <c r="A61" s="233" t="s">
        <v>496</v>
      </c>
    </row>
    <row r="63" spans="1:5">
      <c r="A63" s="236" t="s">
        <v>469</v>
      </c>
      <c r="B63" s="236" t="s">
        <v>497</v>
      </c>
      <c r="C63" s="236" t="s">
        <v>365</v>
      </c>
      <c r="D63" s="327" t="s">
        <v>366</v>
      </c>
      <c r="E63" s="236" t="s">
        <v>498</v>
      </c>
    </row>
    <row r="64" spans="1:5">
      <c r="A64" s="236" t="s">
        <v>468</v>
      </c>
      <c r="B64" s="244">
        <v>80000000</v>
      </c>
      <c r="C64" s="244">
        <v>500000</v>
      </c>
      <c r="D64" s="328">
        <v>100000</v>
      </c>
      <c r="E64" s="256">
        <f>C64+D64</f>
        <v>600000</v>
      </c>
    </row>
    <row r="65" spans="1:6">
      <c r="A65" s="236" t="s">
        <v>470</v>
      </c>
      <c r="B65" s="244">
        <v>80000000</v>
      </c>
      <c r="C65" s="244">
        <v>360000</v>
      </c>
      <c r="D65" s="328">
        <v>90000</v>
      </c>
      <c r="E65" s="256">
        <f>C65+D65</f>
        <v>450000</v>
      </c>
    </row>
    <row r="66" spans="1:6">
      <c r="A66" s="236" t="s">
        <v>330</v>
      </c>
      <c r="B66" s="244">
        <v>80000000</v>
      </c>
      <c r="C66" s="244"/>
      <c r="D66" s="328"/>
      <c r="E66" s="236"/>
    </row>
    <row r="67" spans="1:6">
      <c r="A67" s="236" t="s">
        <v>330</v>
      </c>
      <c r="B67" s="244">
        <v>80000000</v>
      </c>
      <c r="C67" s="244"/>
      <c r="D67" s="328"/>
      <c r="E67" s="236"/>
    </row>
    <row r="68" spans="1:6">
      <c r="A68" s="236" t="s">
        <v>472</v>
      </c>
      <c r="B68" s="244"/>
      <c r="C68" s="244"/>
      <c r="D68" s="328"/>
      <c r="E68" s="236"/>
    </row>
    <row r="69" spans="1:6">
      <c r="A69" s="236" t="s">
        <v>471</v>
      </c>
      <c r="B69" s="244">
        <v>120000000</v>
      </c>
      <c r="C69" s="244">
        <v>1400000</v>
      </c>
      <c r="D69" s="328">
        <v>800000</v>
      </c>
      <c r="E69" s="256">
        <f>C69+D69</f>
        <v>2200000</v>
      </c>
    </row>
    <row r="70" spans="1:6">
      <c r="A70" s="236" t="s">
        <v>473</v>
      </c>
      <c r="B70" s="244">
        <v>150000000</v>
      </c>
      <c r="C70" s="244">
        <v>2000000</v>
      </c>
      <c r="D70" s="328">
        <v>857000</v>
      </c>
      <c r="E70" s="256">
        <f>C70+D70</f>
        <v>2857000</v>
      </c>
      <c r="F70" s="257"/>
    </row>
    <row r="71" spans="1:6">
      <c r="A71" s="236"/>
      <c r="B71" s="244"/>
      <c r="C71" s="244"/>
      <c r="D71" s="328"/>
      <c r="E71" s="236"/>
    </row>
    <row r="72" spans="1:6">
      <c r="A72" s="236" t="s">
        <v>475</v>
      </c>
      <c r="B72" s="244"/>
      <c r="C72" s="244"/>
      <c r="D72" s="328"/>
      <c r="E72" s="236"/>
    </row>
    <row r="73" spans="1:6">
      <c r="A73" s="236" t="s">
        <v>474</v>
      </c>
      <c r="B73" s="244">
        <v>20000000</v>
      </c>
      <c r="C73" s="244">
        <v>600000</v>
      </c>
      <c r="D73" s="328">
        <v>100000</v>
      </c>
      <c r="E73" s="256">
        <f>C73+D73</f>
        <v>700000</v>
      </c>
    </row>
    <row r="74" spans="1:6">
      <c r="A74" s="236" t="s">
        <v>476</v>
      </c>
      <c r="B74" s="244">
        <v>20000000</v>
      </c>
      <c r="C74" s="244">
        <v>600000</v>
      </c>
      <c r="D74" s="328">
        <v>100000</v>
      </c>
      <c r="E74" s="256">
        <f>C74+D74</f>
        <v>700000</v>
      </c>
    </row>
    <row r="75" spans="1:6">
      <c r="A75" s="236" t="s">
        <v>477</v>
      </c>
      <c r="B75" s="244">
        <v>50000000</v>
      </c>
      <c r="C75" s="236"/>
      <c r="D75" s="328"/>
      <c r="E75" s="236"/>
    </row>
    <row r="76" spans="1:6">
      <c r="A76" s="236"/>
      <c r="B76" s="236"/>
      <c r="C76" s="236"/>
      <c r="D76" s="328"/>
      <c r="E76" s="236"/>
    </row>
    <row r="77" spans="1:6">
      <c r="A77" s="236" t="s">
        <v>479</v>
      </c>
      <c r="B77" s="236"/>
      <c r="C77" s="236"/>
      <c r="D77" s="328"/>
      <c r="E77" s="236"/>
    </row>
    <row r="78" spans="1:6">
      <c r="A78" s="236" t="s">
        <v>478</v>
      </c>
      <c r="B78" s="244">
        <v>150000000</v>
      </c>
      <c r="C78" s="244">
        <v>1820000</v>
      </c>
      <c r="D78" s="328">
        <v>838501</v>
      </c>
      <c r="E78" s="256">
        <f>C78+D78</f>
        <v>2658501</v>
      </c>
    </row>
    <row r="79" spans="1:6">
      <c r="A79" s="236" t="s">
        <v>480</v>
      </c>
      <c r="B79" s="244">
        <v>50000000</v>
      </c>
      <c r="C79" s="244">
        <v>600000</v>
      </c>
      <c r="D79" s="328">
        <v>100000</v>
      </c>
      <c r="E79" s="256">
        <f>C79+D79</f>
        <v>700000</v>
      </c>
    </row>
    <row r="80" spans="1:6">
      <c r="A80" s="236" t="s">
        <v>330</v>
      </c>
      <c r="B80" s="246">
        <v>50000000</v>
      </c>
      <c r="C80" s="236"/>
      <c r="D80" s="327"/>
      <c r="E80" s="236"/>
    </row>
  </sheetData>
  <mergeCells count="8">
    <mergeCell ref="A38:D38"/>
    <mergeCell ref="A54:C54"/>
    <mergeCell ref="A6:D6"/>
    <mergeCell ref="F6:G6"/>
    <mergeCell ref="H6:I6"/>
    <mergeCell ref="C15:D15"/>
    <mergeCell ref="E15:F15"/>
    <mergeCell ref="A33:D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FDB5-6C5D-4132-9820-8EAC1AB84A29}">
  <dimension ref="B2:J38"/>
  <sheetViews>
    <sheetView topLeftCell="A9" workbookViewId="0">
      <selection activeCell="D27" sqref="D27"/>
    </sheetView>
  </sheetViews>
  <sheetFormatPr defaultColWidth="8.75" defaultRowHeight="13.15"/>
  <cols>
    <col min="1" max="1" width="8.75" style="259"/>
    <col min="2" max="2" width="19.75" style="259" customWidth="1"/>
    <col min="3" max="3" width="22.75" style="259" customWidth="1"/>
    <col min="4" max="4" width="18.625" style="259" customWidth="1"/>
    <col min="5" max="5" width="16.375" style="259" bestFit="1" customWidth="1"/>
    <col min="6" max="6" width="12.875" style="259" bestFit="1" customWidth="1"/>
    <col min="7" max="7" width="10.5" style="259" customWidth="1"/>
    <col min="8" max="8" width="14.25" style="259" customWidth="1"/>
    <col min="9" max="9" width="9.75" style="259" customWidth="1"/>
    <col min="10" max="10" width="11.25" style="259" customWidth="1"/>
    <col min="11" max="16384" width="8.75" style="259"/>
  </cols>
  <sheetData>
    <row r="2" spans="2:10">
      <c r="B2" s="258"/>
      <c r="C2" s="258"/>
    </row>
    <row r="3" spans="2:10">
      <c r="B3" s="260" t="s">
        <v>389</v>
      </c>
      <c r="C3" s="260" t="s">
        <v>499</v>
      </c>
    </row>
    <row r="4" spans="2:10">
      <c r="B4" s="258"/>
      <c r="C4" s="258"/>
    </row>
    <row r="5" spans="2:10">
      <c r="B5" s="260" t="s">
        <v>390</v>
      </c>
      <c r="C5" s="260" t="s">
        <v>35</v>
      </c>
    </row>
    <row r="6" spans="2:10">
      <c r="B6" s="261"/>
      <c r="C6" s="261"/>
    </row>
    <row r="7" spans="2:10">
      <c r="B7" s="261"/>
      <c r="C7" s="261"/>
      <c r="D7" s="261"/>
    </row>
    <row r="8" spans="2:10" ht="12.4" customHeight="1">
      <c r="B8" s="380" t="s">
        <v>36</v>
      </c>
      <c r="C8" s="380"/>
      <c r="D8" s="380"/>
      <c r="E8" s="380"/>
      <c r="F8" s="380"/>
      <c r="G8" s="367" t="s">
        <v>212</v>
      </c>
      <c r="H8" s="367"/>
      <c r="I8" s="367" t="s">
        <v>213</v>
      </c>
      <c r="J8" s="367"/>
    </row>
    <row r="9" spans="2:10">
      <c r="B9" s="262" t="s">
        <v>1</v>
      </c>
      <c r="C9" s="262" t="s">
        <v>37</v>
      </c>
      <c r="D9" s="262" t="s">
        <v>38</v>
      </c>
      <c r="E9" s="263" t="s">
        <v>464</v>
      </c>
      <c r="F9" s="264" t="s">
        <v>465</v>
      </c>
      <c r="G9" s="104" t="s">
        <v>94</v>
      </c>
      <c r="H9" s="104" t="s">
        <v>95</v>
      </c>
      <c r="I9" s="104" t="s">
        <v>96</v>
      </c>
      <c r="J9" s="104" t="s">
        <v>97</v>
      </c>
    </row>
    <row r="10" spans="2:10">
      <c r="B10" s="260">
        <v>1</v>
      </c>
      <c r="C10" s="258" t="s">
        <v>39</v>
      </c>
      <c r="D10" s="265">
        <v>35</v>
      </c>
      <c r="E10" s="100">
        <v>35</v>
      </c>
      <c r="F10" s="266">
        <v>35</v>
      </c>
      <c r="G10" s="109">
        <f>F10/4</f>
        <v>8.75</v>
      </c>
      <c r="H10" s="109">
        <v>8.75</v>
      </c>
      <c r="I10" s="109">
        <v>8.75</v>
      </c>
      <c r="J10" s="109">
        <v>8.75</v>
      </c>
    </row>
    <row r="11" spans="2:10">
      <c r="B11" s="260">
        <v>2</v>
      </c>
      <c r="C11" s="258" t="s">
        <v>216</v>
      </c>
      <c r="D11" s="265">
        <v>2</v>
      </c>
      <c r="E11" s="100">
        <v>2</v>
      </c>
      <c r="F11" s="266">
        <v>2</v>
      </c>
      <c r="G11" s="109">
        <v>0.5</v>
      </c>
      <c r="H11" s="109">
        <v>0.5</v>
      </c>
      <c r="I11" s="109">
        <v>0.5</v>
      </c>
      <c r="J11" s="109">
        <v>0.5</v>
      </c>
    </row>
    <row r="12" spans="2:10">
      <c r="B12" s="258"/>
      <c r="C12" s="258"/>
      <c r="D12" s="258"/>
      <c r="E12" s="266"/>
      <c r="F12" s="266"/>
      <c r="G12" s="266"/>
      <c r="H12" s="266"/>
      <c r="I12" s="266"/>
      <c r="J12" s="266"/>
    </row>
    <row r="13" spans="2:10">
      <c r="B13" s="267"/>
      <c r="C13" s="268"/>
      <c r="D13" s="268"/>
      <c r="E13" s="267"/>
      <c r="F13" s="267"/>
      <c r="G13" s="267"/>
    </row>
    <row r="14" spans="2:10" ht="12" customHeight="1">
      <c r="B14" s="269"/>
      <c r="C14" s="266"/>
      <c r="D14" s="367" t="s">
        <v>212</v>
      </c>
      <c r="E14" s="367"/>
      <c r="F14" s="367" t="s">
        <v>213</v>
      </c>
      <c r="G14" s="367"/>
      <c r="H14" s="315" t="s">
        <v>466</v>
      </c>
    </row>
    <row r="15" spans="2:10">
      <c r="B15" s="270" t="s">
        <v>500</v>
      </c>
      <c r="C15" s="264" t="s">
        <v>465</v>
      </c>
      <c r="D15" s="104" t="s">
        <v>94</v>
      </c>
      <c r="E15" s="104" t="s">
        <v>95</v>
      </c>
      <c r="F15" s="104" t="s">
        <v>96</v>
      </c>
      <c r="G15" s="104" t="s">
        <v>97</v>
      </c>
      <c r="H15" s="332" t="s">
        <v>454</v>
      </c>
    </row>
    <row r="16" spans="2:10">
      <c r="B16" s="266" t="s">
        <v>501</v>
      </c>
      <c r="C16" s="271">
        <v>8</v>
      </c>
      <c r="D16" s="266">
        <v>2</v>
      </c>
      <c r="E16" s="266">
        <v>2</v>
      </c>
      <c r="F16" s="266">
        <v>2</v>
      </c>
      <c r="G16" s="266">
        <v>2</v>
      </c>
      <c r="H16" s="325">
        <v>302400</v>
      </c>
    </row>
    <row r="17" spans="2:8">
      <c r="B17" s="266" t="s">
        <v>502</v>
      </c>
      <c r="C17" s="271">
        <v>10</v>
      </c>
      <c r="D17" s="266">
        <v>2.5</v>
      </c>
      <c r="E17" s="266">
        <v>2.5</v>
      </c>
      <c r="F17" s="266">
        <v>2.5</v>
      </c>
      <c r="G17" s="266">
        <v>2.5</v>
      </c>
      <c r="H17" s="325">
        <v>421200</v>
      </c>
    </row>
    <row r="18" spans="2:8">
      <c r="B18" s="266" t="s">
        <v>503</v>
      </c>
      <c r="C18" s="271">
        <v>12</v>
      </c>
      <c r="D18" s="266">
        <v>3</v>
      </c>
      <c r="E18" s="266">
        <v>3</v>
      </c>
      <c r="F18" s="266">
        <v>3</v>
      </c>
      <c r="G18" s="266">
        <v>3</v>
      </c>
      <c r="H18" s="325">
        <v>1060000</v>
      </c>
    </row>
    <row r="19" spans="2:8">
      <c r="B19" s="266" t="s">
        <v>504</v>
      </c>
      <c r="C19" s="271">
        <v>12</v>
      </c>
      <c r="D19" s="266">
        <v>3</v>
      </c>
      <c r="E19" s="266">
        <v>3</v>
      </c>
      <c r="F19" s="266">
        <v>3</v>
      </c>
      <c r="G19" s="266">
        <v>3</v>
      </c>
      <c r="H19" s="325">
        <v>819020</v>
      </c>
    </row>
    <row r="20" spans="2:8">
      <c r="B20" s="266" t="s">
        <v>505</v>
      </c>
      <c r="C20" s="271">
        <v>8</v>
      </c>
      <c r="D20" s="266">
        <v>2</v>
      </c>
      <c r="E20" s="266">
        <v>2</v>
      </c>
      <c r="F20" s="266">
        <v>2</v>
      </c>
      <c r="G20" s="266">
        <v>2</v>
      </c>
      <c r="H20" s="335">
        <v>0</v>
      </c>
    </row>
    <row r="21" spans="2:8">
      <c r="B21" s="266"/>
      <c r="C21" s="272"/>
      <c r="D21" s="266"/>
      <c r="E21" s="266"/>
      <c r="F21" s="266"/>
      <c r="G21" s="266"/>
      <c r="H21" s="336"/>
    </row>
    <row r="22" spans="2:8">
      <c r="B22" s="266" t="s">
        <v>15</v>
      </c>
      <c r="C22" s="272">
        <f>SUM(C16:C20)</f>
        <v>50</v>
      </c>
      <c r="D22" s="272">
        <f>SUM(D16:D20)</f>
        <v>12.5</v>
      </c>
      <c r="E22" s="272">
        <f t="shared" ref="E22:H22" si="0">SUM(E16:E20)</f>
        <v>12.5</v>
      </c>
      <c r="F22" s="272">
        <f t="shared" si="0"/>
        <v>12.5</v>
      </c>
      <c r="G22" s="272">
        <f t="shared" si="0"/>
        <v>12.5</v>
      </c>
      <c r="H22" s="272">
        <f t="shared" si="0"/>
        <v>2602620</v>
      </c>
    </row>
    <row r="23" spans="2:8">
      <c r="B23" s="261"/>
      <c r="C23" s="261"/>
      <c r="D23" s="261"/>
    </row>
    <row r="24" spans="2:8">
      <c r="B24" s="261"/>
      <c r="C24" s="261"/>
      <c r="D24" s="261"/>
    </row>
    <row r="25" spans="2:8" ht="26.45">
      <c r="B25" s="260" t="s">
        <v>67</v>
      </c>
      <c r="C25" s="260" t="s">
        <v>347</v>
      </c>
      <c r="D25" s="260" t="s">
        <v>69</v>
      </c>
      <c r="E25" s="263" t="s">
        <v>464</v>
      </c>
    </row>
    <row r="26" spans="2:8">
      <c r="B26" s="258"/>
      <c r="C26" s="258" t="s">
        <v>19</v>
      </c>
      <c r="D26" s="265">
        <v>14</v>
      </c>
      <c r="E26" s="266">
        <f t="shared" ref="E26:E31" si="1">D26</f>
        <v>14</v>
      </c>
    </row>
    <row r="27" spans="2:8">
      <c r="B27" s="258"/>
      <c r="C27" s="258" t="s">
        <v>20</v>
      </c>
      <c r="D27" s="265">
        <v>1</v>
      </c>
      <c r="E27" s="266">
        <f t="shared" si="1"/>
        <v>1</v>
      </c>
    </row>
    <row r="28" spans="2:8">
      <c r="B28" s="258"/>
      <c r="C28" s="258" t="s">
        <v>21</v>
      </c>
      <c r="D28" s="265">
        <v>1</v>
      </c>
      <c r="E28" s="266">
        <f t="shared" si="1"/>
        <v>1</v>
      </c>
    </row>
    <row r="29" spans="2:8">
      <c r="B29" s="258"/>
      <c r="C29" s="258" t="s">
        <v>22</v>
      </c>
      <c r="D29" s="265">
        <v>1</v>
      </c>
      <c r="E29" s="266">
        <f t="shared" si="1"/>
        <v>1</v>
      </c>
    </row>
    <row r="30" spans="2:8">
      <c r="B30" s="258"/>
      <c r="C30" s="258" t="s">
        <v>23</v>
      </c>
      <c r="D30" s="258"/>
      <c r="E30" s="266">
        <f t="shared" si="1"/>
        <v>0</v>
      </c>
    </row>
    <row r="31" spans="2:8">
      <c r="B31" s="258"/>
      <c r="C31" s="258" t="s">
        <v>24</v>
      </c>
      <c r="D31" s="265">
        <v>18</v>
      </c>
      <c r="E31" s="266">
        <f t="shared" si="1"/>
        <v>18</v>
      </c>
    </row>
    <row r="32" spans="2:8">
      <c r="B32" s="258"/>
      <c r="C32" s="258" t="s">
        <v>15</v>
      </c>
      <c r="D32" s="265">
        <f>SUM(D26:D31)</f>
        <v>35</v>
      </c>
      <c r="E32" s="266">
        <f>SUM(E26:E31)</f>
        <v>35</v>
      </c>
    </row>
    <row r="34" spans="2:5">
      <c r="B34" s="379" t="s">
        <v>437</v>
      </c>
      <c r="C34" s="379"/>
      <c r="D34" s="379"/>
      <c r="E34" s="80"/>
    </row>
    <row r="35" spans="2:5">
      <c r="B35" s="81" t="s">
        <v>67</v>
      </c>
      <c r="C35" s="81" t="s">
        <v>37</v>
      </c>
      <c r="D35" s="81" t="s">
        <v>349</v>
      </c>
      <c r="E35" s="81"/>
    </row>
    <row r="36" spans="2:5">
      <c r="B36" s="82"/>
      <c r="C36" s="82" t="s">
        <v>350</v>
      </c>
      <c r="D36" s="82">
        <v>3</v>
      </c>
      <c r="E36" s="82"/>
    </row>
    <row r="37" spans="2:5">
      <c r="B37" s="82"/>
      <c r="C37" s="82" t="s">
        <v>351</v>
      </c>
      <c r="D37" s="82">
        <v>4</v>
      </c>
      <c r="E37" s="82"/>
    </row>
    <row r="38" spans="2:5">
      <c r="B38" s="82"/>
      <c r="C38" s="82" t="s">
        <v>353</v>
      </c>
      <c r="D38" s="82"/>
      <c r="E38" s="82"/>
    </row>
  </sheetData>
  <mergeCells count="6">
    <mergeCell ref="B34:D34"/>
    <mergeCell ref="B8:F8"/>
    <mergeCell ref="G8:H8"/>
    <mergeCell ref="I8:J8"/>
    <mergeCell ref="D14:E14"/>
    <mergeCell ref="F14:G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CEAC-5EB0-4158-A9AA-B716A189EE34}">
  <dimension ref="A2:M45"/>
  <sheetViews>
    <sheetView workbookViewId="0">
      <selection activeCell="A14" sqref="A14"/>
    </sheetView>
  </sheetViews>
  <sheetFormatPr defaultColWidth="10.75" defaultRowHeight="13.15"/>
  <cols>
    <col min="1" max="1" width="14.75" style="85" bestFit="1" customWidth="1"/>
    <col min="2" max="2" width="24" style="85" bestFit="1" customWidth="1"/>
    <col min="3" max="3" width="26.75" style="85" bestFit="1" customWidth="1"/>
    <col min="4" max="4" width="20.25" style="85" customWidth="1"/>
    <col min="5" max="5" width="25.625" style="85" bestFit="1" customWidth="1"/>
    <col min="6" max="6" width="21.625" style="85" bestFit="1" customWidth="1"/>
    <col min="7" max="7" width="23.125" style="85" customWidth="1"/>
    <col min="8" max="8" width="15" style="85" bestFit="1" customWidth="1"/>
    <col min="9" max="9" width="12.625" style="85" bestFit="1" customWidth="1"/>
    <col min="10" max="10" width="15" style="85" bestFit="1" customWidth="1"/>
    <col min="11" max="11" width="10.75" style="85"/>
    <col min="12" max="12" width="16.25" style="85" customWidth="1"/>
    <col min="13" max="13" width="12.75" style="85" bestFit="1" customWidth="1"/>
    <col min="14" max="14" width="12.25" style="85" bestFit="1" customWidth="1"/>
    <col min="15" max="16384" width="10.75" style="85"/>
  </cols>
  <sheetData>
    <row r="2" spans="1:13">
      <c r="A2" s="84" t="s">
        <v>389</v>
      </c>
      <c r="B2" s="84" t="s">
        <v>13</v>
      </c>
    </row>
    <row r="4" spans="1:13">
      <c r="A4" s="86" t="s">
        <v>390</v>
      </c>
      <c r="B4" s="86" t="s">
        <v>35</v>
      </c>
    </row>
    <row r="6" spans="1:13">
      <c r="A6" s="389" t="s">
        <v>36</v>
      </c>
      <c r="B6" s="390"/>
      <c r="C6" s="390"/>
      <c r="D6" s="391"/>
      <c r="E6" s="114" t="s">
        <v>506</v>
      </c>
      <c r="F6" s="115" t="s">
        <v>507</v>
      </c>
      <c r="G6" s="381" t="s">
        <v>212</v>
      </c>
      <c r="H6" s="381"/>
      <c r="I6" s="381" t="s">
        <v>213</v>
      </c>
      <c r="J6" s="381"/>
    </row>
    <row r="7" spans="1:13" ht="26.45">
      <c r="A7" s="81" t="s">
        <v>1</v>
      </c>
      <c r="B7" s="81" t="s">
        <v>37</v>
      </c>
      <c r="C7" s="81" t="s">
        <v>38</v>
      </c>
      <c r="D7" s="81" t="s">
        <v>348</v>
      </c>
      <c r="E7" s="89" t="s">
        <v>508</v>
      </c>
      <c r="F7" s="113" t="s">
        <v>465</v>
      </c>
      <c r="G7" s="104" t="s">
        <v>94</v>
      </c>
      <c r="H7" s="104" t="s">
        <v>95</v>
      </c>
      <c r="I7" s="104" t="s">
        <v>96</v>
      </c>
      <c r="J7" s="104" t="s">
        <v>97</v>
      </c>
    </row>
    <row r="8" spans="1:13">
      <c r="A8" s="382" t="s">
        <v>455</v>
      </c>
      <c r="B8" s="82" t="s">
        <v>39</v>
      </c>
      <c r="C8" s="87">
        <f>C27</f>
        <v>45.5</v>
      </c>
      <c r="D8" s="82">
        <v>40</v>
      </c>
      <c r="E8" s="87">
        <v>60</v>
      </c>
      <c r="F8" s="82">
        <v>45.5</v>
      </c>
      <c r="G8" s="109">
        <v>5</v>
      </c>
      <c r="H8" s="109">
        <v>10</v>
      </c>
      <c r="I8" s="109">
        <v>15</v>
      </c>
      <c r="J8" s="109">
        <v>15.5</v>
      </c>
      <c r="L8" s="291"/>
    </row>
    <row r="9" spans="1:13">
      <c r="A9" s="382"/>
      <c r="B9" s="82" t="s">
        <v>216</v>
      </c>
      <c r="C9" s="87">
        <v>5</v>
      </c>
      <c r="D9" s="82">
        <v>4</v>
      </c>
      <c r="E9" s="87">
        <v>6</v>
      </c>
      <c r="F9" s="82">
        <v>5</v>
      </c>
      <c r="G9" s="109">
        <v>0.5</v>
      </c>
      <c r="H9" s="109">
        <v>1.1499999999999999</v>
      </c>
      <c r="I9" s="109">
        <v>1.65</v>
      </c>
      <c r="J9" s="109">
        <v>1.7</v>
      </c>
    </row>
    <row r="10" spans="1:13">
      <c r="A10" s="82"/>
      <c r="B10" s="82"/>
      <c r="C10" s="87"/>
      <c r="D10" s="87"/>
      <c r="E10" s="82"/>
      <c r="F10" s="82"/>
      <c r="G10" s="292"/>
      <c r="H10" s="292"/>
      <c r="I10" s="292"/>
      <c r="J10" s="292"/>
    </row>
    <row r="11" spans="1:13">
      <c r="C11" s="88"/>
      <c r="D11" s="88"/>
    </row>
    <row r="12" spans="1:13">
      <c r="A12" s="82"/>
      <c r="B12" s="116"/>
      <c r="C12" s="381" t="s">
        <v>212</v>
      </c>
      <c r="D12" s="381"/>
      <c r="E12" s="381" t="s">
        <v>213</v>
      </c>
      <c r="F12" s="381"/>
      <c r="G12" s="117"/>
      <c r="H12" s="383" t="s">
        <v>212</v>
      </c>
      <c r="I12" s="383"/>
      <c r="J12" s="383" t="s">
        <v>213</v>
      </c>
      <c r="K12" s="383"/>
      <c r="L12" s="317" t="s">
        <v>466</v>
      </c>
    </row>
    <row r="13" spans="1:13">
      <c r="A13" s="90" t="s">
        <v>509</v>
      </c>
      <c r="B13" s="113" t="s">
        <v>510</v>
      </c>
      <c r="C13" s="104" t="s">
        <v>94</v>
      </c>
      <c r="D13" s="104" t="s">
        <v>95</v>
      </c>
      <c r="E13" s="104" t="s">
        <v>96</v>
      </c>
      <c r="F13" s="104" t="s">
        <v>97</v>
      </c>
      <c r="G13" s="117" t="s">
        <v>511</v>
      </c>
      <c r="H13" s="118" t="s">
        <v>94</v>
      </c>
      <c r="I13" s="118" t="s">
        <v>95</v>
      </c>
      <c r="J13" s="118" t="s">
        <v>96</v>
      </c>
      <c r="K13" s="118" t="s">
        <v>97</v>
      </c>
      <c r="L13" s="319" t="s">
        <v>454</v>
      </c>
    </row>
    <row r="14" spans="1:13">
      <c r="A14" s="94" t="s">
        <v>512</v>
      </c>
      <c r="B14" s="95">
        <v>25.5</v>
      </c>
      <c r="C14" s="82">
        <v>2.5</v>
      </c>
      <c r="D14" s="82">
        <v>5</v>
      </c>
      <c r="E14" s="82">
        <v>9</v>
      </c>
      <c r="F14" s="82">
        <v>9</v>
      </c>
      <c r="G14" s="96">
        <v>2.6</v>
      </c>
      <c r="H14" s="82">
        <v>0.1</v>
      </c>
      <c r="I14" s="82">
        <v>0.5</v>
      </c>
      <c r="J14" s="82">
        <v>1</v>
      </c>
      <c r="K14" s="82">
        <v>1</v>
      </c>
      <c r="L14" s="320">
        <v>0</v>
      </c>
    </row>
    <row r="15" spans="1:13">
      <c r="A15" s="94" t="s">
        <v>513</v>
      </c>
      <c r="B15" s="95">
        <v>20</v>
      </c>
      <c r="C15" s="82">
        <v>2.5</v>
      </c>
      <c r="D15" s="82">
        <v>5</v>
      </c>
      <c r="E15" s="82">
        <v>6.5</v>
      </c>
      <c r="F15" s="82">
        <v>6</v>
      </c>
      <c r="G15" s="96">
        <v>2.4</v>
      </c>
      <c r="H15" s="82">
        <v>0.4</v>
      </c>
      <c r="I15" s="82">
        <v>0.65</v>
      </c>
      <c r="J15" s="82">
        <v>0.65</v>
      </c>
      <c r="K15" s="82">
        <v>0.7</v>
      </c>
      <c r="L15" s="321">
        <v>855470</v>
      </c>
      <c r="M15" s="318"/>
    </row>
    <row r="16" spans="1:13">
      <c r="A16" s="94" t="s">
        <v>330</v>
      </c>
      <c r="B16" s="95">
        <v>14.5</v>
      </c>
      <c r="C16" s="82">
        <v>0.5</v>
      </c>
      <c r="D16" s="82">
        <v>3</v>
      </c>
      <c r="E16" s="82">
        <v>5</v>
      </c>
      <c r="F16" s="82">
        <v>6</v>
      </c>
      <c r="G16" s="95">
        <v>1</v>
      </c>
      <c r="H16" s="82">
        <v>0</v>
      </c>
      <c r="I16" s="82">
        <v>0.2</v>
      </c>
      <c r="J16" s="82">
        <v>0.4</v>
      </c>
      <c r="K16" s="82">
        <v>0.4</v>
      </c>
      <c r="L16" s="320">
        <v>0</v>
      </c>
    </row>
    <row r="17" spans="1:12">
      <c r="A17" s="90" t="s">
        <v>15</v>
      </c>
      <c r="B17" s="97">
        <f>SUM(B14:B16)</f>
        <v>60</v>
      </c>
      <c r="C17" s="97">
        <f t="shared" ref="C17:F17" si="0">SUM(C14:C16)</f>
        <v>5.5</v>
      </c>
      <c r="D17" s="97">
        <f t="shared" si="0"/>
        <v>13</v>
      </c>
      <c r="E17" s="97">
        <f t="shared" si="0"/>
        <v>20.5</v>
      </c>
      <c r="F17" s="97">
        <f t="shared" si="0"/>
        <v>21</v>
      </c>
      <c r="G17" s="98">
        <f>SUM(G14:G16)</f>
        <v>6</v>
      </c>
      <c r="H17" s="98">
        <f t="shared" ref="H17:K17" si="1">SUM(H14:H16)</f>
        <v>0.5</v>
      </c>
      <c r="I17" s="98">
        <f t="shared" si="1"/>
        <v>1.3499999999999999</v>
      </c>
      <c r="J17" s="98">
        <f t="shared" si="1"/>
        <v>2.0499999999999998</v>
      </c>
      <c r="K17" s="98">
        <f t="shared" si="1"/>
        <v>2.1</v>
      </c>
      <c r="L17" s="320"/>
    </row>
    <row r="19" spans="1:12">
      <c r="A19" s="384"/>
      <c r="B19" s="385"/>
      <c r="C19" s="386"/>
    </row>
    <row r="20" spans="1:12">
      <c r="A20" s="81" t="s">
        <v>67</v>
      </c>
      <c r="B20" s="81" t="s">
        <v>347</v>
      </c>
      <c r="C20" s="89" t="s">
        <v>69</v>
      </c>
      <c r="D20" s="89" t="s">
        <v>348</v>
      </c>
      <c r="E20" s="81" t="s">
        <v>514</v>
      </c>
    </row>
    <row r="21" spans="1:12">
      <c r="A21" s="82"/>
      <c r="B21" s="82" t="s">
        <v>19</v>
      </c>
      <c r="C21" s="82">
        <v>10</v>
      </c>
      <c r="D21" s="91">
        <f t="shared" ref="D21:D26" si="2">C21/$C$27*$D$8</f>
        <v>8.791208791208792</v>
      </c>
      <c r="E21" s="82">
        <v>15</v>
      </c>
    </row>
    <row r="22" spans="1:12">
      <c r="A22" s="82"/>
      <c r="B22" s="82" t="s">
        <v>20</v>
      </c>
      <c r="C22" s="82">
        <v>20</v>
      </c>
      <c r="D22" s="91">
        <f t="shared" si="2"/>
        <v>17.582417582417584</v>
      </c>
      <c r="E22" s="82">
        <v>20</v>
      </c>
    </row>
    <row r="23" spans="1:12">
      <c r="A23" s="82"/>
      <c r="B23" s="82" t="s">
        <v>21</v>
      </c>
      <c r="C23" s="82">
        <v>5</v>
      </c>
      <c r="D23" s="91">
        <f t="shared" si="2"/>
        <v>4.395604395604396</v>
      </c>
      <c r="E23" s="82">
        <v>8</v>
      </c>
    </row>
    <row r="24" spans="1:12">
      <c r="A24" s="82"/>
      <c r="B24" s="82" t="s">
        <v>22</v>
      </c>
      <c r="C24" s="82">
        <v>2</v>
      </c>
      <c r="D24" s="91">
        <f t="shared" si="2"/>
        <v>1.7582417582417584</v>
      </c>
      <c r="E24" s="82">
        <v>3</v>
      </c>
    </row>
    <row r="25" spans="1:12">
      <c r="A25" s="82"/>
      <c r="B25" s="82" t="s">
        <v>23</v>
      </c>
      <c r="C25" s="82">
        <v>0.5</v>
      </c>
      <c r="D25" s="91">
        <f t="shared" si="2"/>
        <v>0.43956043956043961</v>
      </c>
      <c r="E25" s="82">
        <v>0.5</v>
      </c>
    </row>
    <row r="26" spans="1:12">
      <c r="A26" s="82"/>
      <c r="B26" s="82" t="s">
        <v>24</v>
      </c>
      <c r="C26" s="82">
        <v>8</v>
      </c>
      <c r="D26" s="91">
        <f t="shared" si="2"/>
        <v>7.0329670329670337</v>
      </c>
      <c r="E26" s="82">
        <v>13.5</v>
      </c>
    </row>
    <row r="27" spans="1:12">
      <c r="A27" s="82"/>
      <c r="B27" s="90" t="s">
        <v>15</v>
      </c>
      <c r="C27" s="90">
        <f>SUM(C21:C26)</f>
        <v>45.5</v>
      </c>
      <c r="D27" s="293">
        <f>SUM(D21:D26)</f>
        <v>40.000000000000007</v>
      </c>
      <c r="E27" s="90">
        <f>SUM(E21:E26)</f>
        <v>60</v>
      </c>
    </row>
    <row r="28" spans="1:12">
      <c r="D28" s="93"/>
      <c r="E28" s="92"/>
    </row>
    <row r="29" spans="1:12">
      <c r="B29" s="387" t="s">
        <v>515</v>
      </c>
      <c r="C29" s="387"/>
      <c r="D29" s="93"/>
      <c r="E29" s="92"/>
    </row>
    <row r="30" spans="1:12">
      <c r="B30" s="90" t="s">
        <v>452</v>
      </c>
      <c r="C30" s="90">
        <v>5</v>
      </c>
    </row>
    <row r="31" spans="1:12">
      <c r="B31" s="90" t="s">
        <v>453</v>
      </c>
      <c r="C31" s="90">
        <v>1</v>
      </c>
    </row>
    <row r="33" spans="1:4">
      <c r="A33" s="379" t="s">
        <v>437</v>
      </c>
      <c r="B33" s="379"/>
      <c r="C33" s="379"/>
      <c r="D33" s="80"/>
    </row>
    <row r="34" spans="1:4">
      <c r="A34" s="81" t="s">
        <v>67</v>
      </c>
      <c r="B34" s="81" t="s">
        <v>37</v>
      </c>
      <c r="C34" s="81" t="s">
        <v>349</v>
      </c>
      <c r="D34" s="81"/>
    </row>
    <row r="35" spans="1:4">
      <c r="A35" s="82"/>
      <c r="B35" s="82" t="s">
        <v>350</v>
      </c>
      <c r="C35" s="82">
        <v>1</v>
      </c>
      <c r="D35" s="82">
        <v>1</v>
      </c>
    </row>
    <row r="36" spans="1:4">
      <c r="A36" s="82"/>
      <c r="B36" s="82" t="s">
        <v>351</v>
      </c>
      <c r="C36" s="82">
        <v>5</v>
      </c>
      <c r="D36" s="82">
        <v>6</v>
      </c>
    </row>
    <row r="37" spans="1:4">
      <c r="A37" s="82"/>
      <c r="B37" s="82" t="s">
        <v>353</v>
      </c>
      <c r="C37" s="82"/>
      <c r="D37" s="82"/>
    </row>
    <row r="38" spans="1:4">
      <c r="A38" s="82"/>
      <c r="B38" s="82" t="s">
        <v>355</v>
      </c>
      <c r="C38" s="82">
        <v>3.5</v>
      </c>
      <c r="D38" s="82">
        <v>4</v>
      </c>
    </row>
    <row r="40" spans="1:4">
      <c r="B40" s="388" t="s">
        <v>516</v>
      </c>
      <c r="C40" s="388"/>
    </row>
    <row r="41" spans="1:4">
      <c r="A41" s="90" t="s">
        <v>509</v>
      </c>
      <c r="B41" s="90" t="s">
        <v>39</v>
      </c>
      <c r="C41" s="90" t="s">
        <v>216</v>
      </c>
    </row>
    <row r="42" spans="1:4">
      <c r="A42" s="83" t="s">
        <v>513</v>
      </c>
      <c r="B42" s="95">
        <v>20</v>
      </c>
      <c r="C42" s="96">
        <f>B42*5/45.5</f>
        <v>2.197802197802198</v>
      </c>
    </row>
    <row r="43" spans="1:4">
      <c r="A43" s="83" t="s">
        <v>512</v>
      </c>
      <c r="B43" s="95">
        <v>25.5</v>
      </c>
      <c r="C43" s="96">
        <f>B43*5/45.5</f>
        <v>2.802197802197802</v>
      </c>
    </row>
    <row r="44" spans="1:4">
      <c r="A44" s="94" t="s">
        <v>330</v>
      </c>
      <c r="B44" s="95">
        <v>14.5</v>
      </c>
      <c r="C44" s="95">
        <v>1</v>
      </c>
    </row>
    <row r="45" spans="1:4">
      <c r="A45" s="90" t="s">
        <v>15</v>
      </c>
      <c r="B45" s="97">
        <f>SUM(B42:B44)</f>
        <v>60</v>
      </c>
      <c r="C45" s="98">
        <f>SUM(C42:C44)</f>
        <v>6</v>
      </c>
    </row>
  </sheetData>
  <mergeCells count="12">
    <mergeCell ref="A19:C19"/>
    <mergeCell ref="B29:C29"/>
    <mergeCell ref="A33:C33"/>
    <mergeCell ref="B40:C40"/>
    <mergeCell ref="A6:D6"/>
    <mergeCell ref="G6:H6"/>
    <mergeCell ref="I6:J6"/>
    <mergeCell ref="A8:A9"/>
    <mergeCell ref="C12:D12"/>
    <mergeCell ref="E12:F12"/>
    <mergeCell ref="H12:I12"/>
    <mergeCell ref="J12:K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9B43-5595-4616-BBA7-8DA00F43A268}">
  <dimension ref="A1:N75"/>
  <sheetViews>
    <sheetView zoomScale="93" zoomScaleNormal="93" workbookViewId="0">
      <selection activeCell="B36" sqref="B36"/>
    </sheetView>
  </sheetViews>
  <sheetFormatPr defaultRowHeight="15.6"/>
  <cols>
    <col min="1" max="1" width="8.75" style="127"/>
    <col min="2" max="2" width="28.75" customWidth="1"/>
    <col min="3" max="3" width="30.75" bestFit="1" customWidth="1"/>
    <col min="4" max="4" width="60.5" customWidth="1"/>
    <col min="5" max="5" width="27.25" customWidth="1"/>
  </cols>
  <sheetData>
    <row r="1" spans="1:14">
      <c r="B1" s="145" t="s">
        <v>517</v>
      </c>
    </row>
    <row r="2" spans="1:14">
      <c r="B2" s="128"/>
      <c r="C2" s="128"/>
      <c r="D2" s="128"/>
      <c r="E2" s="128"/>
      <c r="F2" s="129"/>
      <c r="G2" s="129"/>
      <c r="H2" s="129"/>
      <c r="I2" s="129"/>
      <c r="J2" s="129"/>
      <c r="K2" s="129"/>
      <c r="L2" s="129"/>
      <c r="M2" s="129"/>
      <c r="N2" s="129"/>
    </row>
    <row r="3" spans="1:14" s="1" customFormat="1">
      <c r="A3" s="130">
        <v>1</v>
      </c>
      <c r="B3" s="146" t="s">
        <v>518</v>
      </c>
      <c r="D3" s="131"/>
    </row>
    <row r="4" spans="1:14" s="1" customFormat="1">
      <c r="A4" s="130"/>
      <c r="B4" s="125" t="s">
        <v>16</v>
      </c>
      <c r="C4" s="126">
        <v>0.35</v>
      </c>
      <c r="D4" s="125" t="s">
        <v>519</v>
      </c>
    </row>
    <row r="5" spans="1:14" s="1" customFormat="1">
      <c r="A5" s="130"/>
      <c r="B5" s="125" t="s">
        <v>17</v>
      </c>
      <c r="C5" s="126">
        <v>0.35</v>
      </c>
      <c r="D5" s="125" t="s">
        <v>519</v>
      </c>
    </row>
    <row r="6" spans="1:14" s="1" customFormat="1">
      <c r="A6" s="130"/>
      <c r="B6" s="125" t="s">
        <v>520</v>
      </c>
      <c r="C6" s="126">
        <v>0.1</v>
      </c>
      <c r="D6" s="125" t="s">
        <v>519</v>
      </c>
    </row>
    <row r="7" spans="1:14" s="1" customFormat="1">
      <c r="A7" s="130"/>
      <c r="B7" s="125" t="s">
        <v>521</v>
      </c>
      <c r="C7" s="126">
        <v>0.15</v>
      </c>
      <c r="D7" s="125" t="s">
        <v>519</v>
      </c>
    </row>
    <row r="8" spans="1:14" s="1" customFormat="1" ht="55.9">
      <c r="A8" s="130"/>
      <c r="B8" s="125" t="s">
        <v>522</v>
      </c>
      <c r="C8" s="126">
        <v>0.05</v>
      </c>
      <c r="D8" s="228" t="s">
        <v>523</v>
      </c>
    </row>
    <row r="9" spans="1:14" s="1" customFormat="1">
      <c r="A9" s="130"/>
      <c r="B9" s="131"/>
      <c r="C9" s="132"/>
      <c r="D9" s="133"/>
    </row>
    <row r="10" spans="1:14">
      <c r="A10" s="127">
        <v>2</v>
      </c>
      <c r="B10" t="s">
        <v>524</v>
      </c>
    </row>
    <row r="12" spans="1:14">
      <c r="A12" s="127">
        <v>3</v>
      </c>
      <c r="B12" s="396" t="s">
        <v>525</v>
      </c>
      <c r="C12" s="396"/>
      <c r="D12" s="396"/>
      <c r="E12" s="396"/>
      <c r="F12" s="129"/>
      <c r="G12" s="129"/>
      <c r="H12" s="129"/>
      <c r="I12" s="129"/>
      <c r="J12" s="129"/>
      <c r="K12" s="129"/>
      <c r="L12" s="129"/>
      <c r="M12" s="129"/>
      <c r="N12" s="129"/>
    </row>
    <row r="13" spans="1:14">
      <c r="B13" s="137"/>
      <c r="C13" s="137"/>
      <c r="D13" s="137"/>
      <c r="E13" s="137"/>
      <c r="F13" s="129"/>
      <c r="G13" s="129"/>
      <c r="H13" s="129"/>
      <c r="I13" s="129"/>
      <c r="J13" s="129"/>
      <c r="K13" s="129"/>
      <c r="L13" s="129"/>
      <c r="M13" s="129"/>
      <c r="N13" s="129"/>
    </row>
    <row r="14" spans="1:14" s="1" customFormat="1">
      <c r="A14" s="130">
        <v>4</v>
      </c>
      <c r="B14" s="146" t="s">
        <v>526</v>
      </c>
      <c r="D14" s="131"/>
    </row>
    <row r="15" spans="1:14" s="1" customFormat="1">
      <c r="A15" s="130"/>
      <c r="B15" s="125" t="s">
        <v>527</v>
      </c>
      <c r="C15" s="9" t="s">
        <v>528</v>
      </c>
      <c r="D15" s="131"/>
    </row>
    <row r="16" spans="1:14" s="1" customFormat="1">
      <c r="A16" s="130"/>
      <c r="B16" s="125" t="s">
        <v>529</v>
      </c>
      <c r="C16" s="9" t="s">
        <v>530</v>
      </c>
      <c r="D16" s="131"/>
    </row>
    <row r="17" spans="1:7" s="1" customFormat="1">
      <c r="A17" s="130"/>
      <c r="B17" s="125" t="s">
        <v>531</v>
      </c>
      <c r="C17" s="9" t="s">
        <v>532</v>
      </c>
      <c r="D17" s="131"/>
    </row>
    <row r="18" spans="1:7" s="1" customFormat="1">
      <c r="A18" s="130"/>
      <c r="B18" s="131"/>
      <c r="D18" s="131"/>
    </row>
    <row r="19" spans="1:7">
      <c r="A19" s="127">
        <v>5</v>
      </c>
      <c r="B19" s="144" t="s">
        <v>533</v>
      </c>
    </row>
    <row r="20" spans="1:7">
      <c r="B20" s="148" t="s">
        <v>201</v>
      </c>
      <c r="C20" s="148" t="s">
        <v>526</v>
      </c>
      <c r="G20" s="22"/>
    </row>
    <row r="21" spans="1:7">
      <c r="B21" s="13" t="s">
        <v>202</v>
      </c>
      <c r="C21" s="13" t="s">
        <v>534</v>
      </c>
    </row>
    <row r="22" spans="1:7">
      <c r="B22" s="13" t="s">
        <v>203</v>
      </c>
      <c r="C22" s="13" t="s">
        <v>534</v>
      </c>
    </row>
    <row r="23" spans="1:7">
      <c r="B23" s="13" t="s">
        <v>204</v>
      </c>
      <c r="C23" s="13" t="s">
        <v>534</v>
      </c>
    </row>
    <row r="24" spans="1:7">
      <c r="B24" s="13" t="s">
        <v>205</v>
      </c>
      <c r="C24" s="13" t="s">
        <v>534</v>
      </c>
    </row>
    <row r="25" spans="1:7">
      <c r="B25" s="13" t="s">
        <v>206</v>
      </c>
      <c r="C25" s="13" t="s">
        <v>534</v>
      </c>
    </row>
    <row r="26" spans="1:7">
      <c r="B26" s="148" t="s">
        <v>207</v>
      </c>
      <c r="C26" s="148" t="s">
        <v>526</v>
      </c>
    </row>
    <row r="27" spans="1:7">
      <c r="B27" s="13" t="s">
        <v>208</v>
      </c>
      <c r="C27" s="13" t="s">
        <v>535</v>
      </c>
    </row>
    <row r="28" spans="1:7">
      <c r="B28" s="13" t="s">
        <v>209</v>
      </c>
      <c r="C28" s="13" t="s">
        <v>535</v>
      </c>
    </row>
    <row r="29" spans="1:7" ht="31.15">
      <c r="B29" s="26" t="s">
        <v>210</v>
      </c>
      <c r="C29" s="13" t="s">
        <v>535</v>
      </c>
    </row>
    <row r="30" spans="1:7" ht="31.15">
      <c r="B30" s="26" t="s">
        <v>536</v>
      </c>
      <c r="C30" s="13" t="s">
        <v>535</v>
      </c>
    </row>
    <row r="31" spans="1:7">
      <c r="B31" s="134"/>
    </row>
    <row r="32" spans="1:7">
      <c r="A32" s="127">
        <v>6</v>
      </c>
      <c r="B32" t="s">
        <v>537</v>
      </c>
    </row>
    <row r="34" spans="1:14">
      <c r="A34" s="127">
        <v>7</v>
      </c>
      <c r="B34" s="144" t="s">
        <v>538</v>
      </c>
    </row>
    <row r="35" spans="1:14">
      <c r="B35" s="147" t="s">
        <v>539</v>
      </c>
      <c r="C35" s="147" t="s">
        <v>540</v>
      </c>
      <c r="D35" s="147" t="s">
        <v>467</v>
      </c>
    </row>
    <row r="36" spans="1:14" ht="46.9">
      <c r="B36" s="13" t="s">
        <v>541</v>
      </c>
      <c r="C36" s="13" t="s">
        <v>542</v>
      </c>
      <c r="D36" s="26" t="s">
        <v>543</v>
      </c>
    </row>
    <row r="37" spans="1:14">
      <c r="B37" s="13" t="s">
        <v>151</v>
      </c>
      <c r="C37" s="13" t="s">
        <v>542</v>
      </c>
      <c r="D37" s="13"/>
    </row>
    <row r="38" spans="1:14">
      <c r="B38" s="13" t="s">
        <v>544</v>
      </c>
      <c r="C38" s="13" t="s">
        <v>542</v>
      </c>
      <c r="D38" s="13"/>
    </row>
    <row r="39" spans="1:14">
      <c r="B39" s="13" t="s">
        <v>545</v>
      </c>
      <c r="C39" s="13" t="s">
        <v>546</v>
      </c>
      <c r="D39" s="13" t="s">
        <v>547</v>
      </c>
    </row>
    <row r="41" spans="1:14">
      <c r="A41" s="127">
        <v>8</v>
      </c>
      <c r="B41" s="135" t="s">
        <v>548</v>
      </c>
      <c r="C41" s="135"/>
      <c r="D41" s="135"/>
      <c r="E41" s="135"/>
      <c r="F41" s="129"/>
      <c r="G41" s="129"/>
      <c r="H41" s="129"/>
      <c r="I41" s="129"/>
      <c r="J41" s="129"/>
      <c r="K41" s="129"/>
      <c r="L41" s="129"/>
      <c r="M41" s="129"/>
      <c r="N41" s="129"/>
    </row>
    <row r="42" spans="1:14">
      <c r="B42" s="119" t="s">
        <v>549</v>
      </c>
      <c r="C42" s="398" t="s">
        <v>550</v>
      </c>
      <c r="D42" s="398"/>
      <c r="E42" s="398"/>
      <c r="F42" s="129"/>
      <c r="G42" s="129"/>
      <c r="H42" s="129"/>
      <c r="I42" s="129"/>
      <c r="J42" s="129"/>
      <c r="K42" s="129"/>
      <c r="L42" s="129"/>
      <c r="M42" s="129"/>
      <c r="N42" s="129"/>
    </row>
    <row r="43" spans="1:14">
      <c r="B43" s="120" t="s">
        <v>551</v>
      </c>
      <c r="C43" s="392" t="s">
        <v>552</v>
      </c>
      <c r="D43" s="392"/>
      <c r="E43" s="392"/>
      <c r="F43" s="129"/>
      <c r="G43" s="129"/>
      <c r="H43" s="129"/>
      <c r="I43" s="129"/>
      <c r="J43" s="129"/>
      <c r="K43" s="129"/>
      <c r="L43" s="129"/>
      <c r="M43" s="129"/>
      <c r="N43" s="129"/>
    </row>
    <row r="44" spans="1:14">
      <c r="B44" s="120" t="s">
        <v>553</v>
      </c>
      <c r="C44" s="392" t="s">
        <v>554</v>
      </c>
      <c r="D44" s="392"/>
      <c r="E44" s="392"/>
      <c r="F44" s="129"/>
      <c r="G44" s="129"/>
      <c r="H44" s="129"/>
      <c r="I44" s="129"/>
      <c r="J44" s="129"/>
      <c r="K44" s="129"/>
      <c r="L44" s="129"/>
      <c r="M44" s="129"/>
      <c r="N44" s="129"/>
    </row>
    <row r="45" spans="1:14">
      <c r="B45" s="120" t="s">
        <v>555</v>
      </c>
      <c r="C45" s="392" t="s">
        <v>556</v>
      </c>
      <c r="D45" s="392"/>
      <c r="E45" s="392"/>
      <c r="F45" s="129"/>
      <c r="G45" s="129"/>
      <c r="H45" s="129"/>
      <c r="I45" s="129"/>
      <c r="J45" s="129"/>
      <c r="K45" s="129"/>
      <c r="L45" s="129"/>
      <c r="M45" s="129"/>
      <c r="N45" s="129"/>
    </row>
    <row r="46" spans="1:14">
      <c r="B46" s="120" t="s">
        <v>557</v>
      </c>
      <c r="C46" s="392" t="s">
        <v>558</v>
      </c>
      <c r="D46" s="392"/>
      <c r="E46" s="392"/>
      <c r="F46" s="129"/>
      <c r="G46" s="129"/>
      <c r="H46" s="129"/>
      <c r="I46" s="129"/>
      <c r="J46" s="129"/>
      <c r="K46" s="129"/>
      <c r="L46" s="129"/>
      <c r="M46" s="129"/>
      <c r="N46" s="129"/>
    </row>
    <row r="47" spans="1:14">
      <c r="B47" s="120" t="s">
        <v>559</v>
      </c>
      <c r="C47" s="392" t="s">
        <v>560</v>
      </c>
      <c r="D47" s="392"/>
      <c r="E47" s="392"/>
      <c r="F47" s="129"/>
      <c r="G47" s="129"/>
      <c r="H47" s="129"/>
      <c r="I47" s="129"/>
      <c r="J47" s="129"/>
      <c r="K47" s="129"/>
      <c r="L47" s="129"/>
      <c r="M47" s="129"/>
      <c r="N47" s="129"/>
    </row>
    <row r="48" spans="1:14">
      <c r="B48" s="129"/>
      <c r="C48" s="136"/>
      <c r="D48" s="136"/>
      <c r="E48" s="136"/>
      <c r="F48" s="129"/>
      <c r="G48" s="129"/>
      <c r="H48" s="129"/>
      <c r="I48" s="129"/>
      <c r="J48" s="129"/>
      <c r="K48" s="129"/>
      <c r="L48" s="129"/>
      <c r="M48" s="129"/>
      <c r="N48" s="129"/>
    </row>
    <row r="49" spans="1:14">
      <c r="A49" s="127">
        <v>9</v>
      </c>
      <c r="B49" s="397" t="s">
        <v>561</v>
      </c>
      <c r="C49" s="397"/>
      <c r="D49" s="397"/>
      <c r="E49" s="397"/>
      <c r="F49" s="129"/>
      <c r="G49" s="129"/>
      <c r="H49" s="129"/>
      <c r="I49" s="129"/>
      <c r="J49" s="129"/>
      <c r="K49" s="129"/>
      <c r="L49" s="129"/>
      <c r="M49" s="129"/>
      <c r="N49" s="129"/>
    </row>
    <row r="50" spans="1:14">
      <c r="B50" s="136"/>
      <c r="C50" s="136"/>
      <c r="D50" s="136"/>
      <c r="E50" s="136"/>
      <c r="F50" s="129"/>
      <c r="G50" s="129"/>
      <c r="H50" s="129"/>
      <c r="I50" s="129"/>
      <c r="J50" s="129"/>
      <c r="K50" s="129"/>
      <c r="L50" s="129"/>
      <c r="M50" s="129"/>
      <c r="N50" s="129"/>
    </row>
    <row r="51" spans="1:14">
      <c r="A51" s="127">
        <v>10</v>
      </c>
      <c r="B51" s="138" t="s">
        <v>562</v>
      </c>
      <c r="C51" s="139"/>
      <c r="D51" s="139"/>
      <c r="E51" s="139"/>
      <c r="F51" s="129"/>
      <c r="G51" s="129"/>
      <c r="H51" s="129"/>
      <c r="I51" s="129"/>
      <c r="J51" s="129"/>
      <c r="K51" s="129"/>
      <c r="L51" s="129"/>
      <c r="M51" s="129"/>
      <c r="N51" s="129"/>
    </row>
    <row r="52" spans="1:14">
      <c r="B52" s="120" t="s">
        <v>563</v>
      </c>
      <c r="C52" s="392" t="s">
        <v>564</v>
      </c>
      <c r="D52" s="392"/>
      <c r="E52" s="392"/>
      <c r="F52" s="129"/>
      <c r="G52" s="129"/>
      <c r="H52" s="129"/>
      <c r="I52" s="129"/>
      <c r="J52" s="129"/>
      <c r="K52" s="129"/>
      <c r="L52" s="129"/>
      <c r="M52" s="129"/>
      <c r="N52" s="129"/>
    </row>
    <row r="53" spans="1:14">
      <c r="B53" s="120" t="s">
        <v>565</v>
      </c>
      <c r="C53" s="392" t="s">
        <v>566</v>
      </c>
      <c r="D53" s="392"/>
      <c r="E53" s="392"/>
      <c r="F53" s="129"/>
      <c r="G53" s="129"/>
      <c r="H53" s="129"/>
      <c r="I53" s="129"/>
      <c r="J53" s="129"/>
      <c r="K53" s="129"/>
      <c r="L53" s="129"/>
      <c r="M53" s="129"/>
      <c r="N53" s="129"/>
    </row>
    <row r="54" spans="1:14">
      <c r="B54" s="120" t="s">
        <v>567</v>
      </c>
      <c r="C54" s="392" t="s">
        <v>568</v>
      </c>
      <c r="D54" s="392"/>
      <c r="E54" s="392"/>
      <c r="F54" s="129"/>
      <c r="G54" s="129"/>
      <c r="H54" s="129"/>
      <c r="I54" s="129"/>
      <c r="J54" s="129"/>
      <c r="K54" s="129"/>
      <c r="L54" s="129"/>
      <c r="M54" s="129"/>
      <c r="N54" s="129"/>
    </row>
    <row r="55" spans="1:14">
      <c r="B55" s="120" t="s">
        <v>569</v>
      </c>
      <c r="C55" s="392" t="s">
        <v>570</v>
      </c>
      <c r="D55" s="392"/>
      <c r="E55" s="392"/>
      <c r="F55" s="129"/>
      <c r="G55" s="129"/>
      <c r="H55" s="129"/>
      <c r="I55" s="129"/>
      <c r="J55" s="129"/>
      <c r="K55" s="129"/>
      <c r="L55" s="129"/>
      <c r="M55" s="129"/>
      <c r="N55" s="129"/>
    </row>
    <row r="56" spans="1:14">
      <c r="B56" s="120" t="s">
        <v>571</v>
      </c>
      <c r="C56" s="392" t="s">
        <v>572</v>
      </c>
      <c r="D56" s="392"/>
      <c r="E56" s="392"/>
      <c r="F56" s="129"/>
      <c r="G56" s="129"/>
      <c r="H56" s="129"/>
      <c r="I56" s="129"/>
      <c r="J56" s="129"/>
      <c r="K56" s="129"/>
      <c r="L56" s="129"/>
      <c r="M56" s="129"/>
      <c r="N56" s="129"/>
    </row>
    <row r="57" spans="1:14">
      <c r="B57" s="120" t="s">
        <v>573</v>
      </c>
      <c r="C57" s="392" t="s">
        <v>574</v>
      </c>
      <c r="D57" s="392"/>
      <c r="E57" s="392"/>
      <c r="F57" s="129"/>
      <c r="G57" s="129"/>
      <c r="H57" s="129"/>
      <c r="I57" s="129"/>
      <c r="J57" s="129"/>
      <c r="K57" s="129"/>
      <c r="L57" s="129"/>
      <c r="M57" s="129"/>
      <c r="N57" s="129"/>
    </row>
    <row r="58" spans="1:14">
      <c r="B58" s="129"/>
      <c r="C58" s="136"/>
      <c r="D58" s="136"/>
      <c r="E58" s="136"/>
      <c r="F58" s="129"/>
      <c r="G58" s="129"/>
      <c r="H58" s="129"/>
      <c r="I58" s="129"/>
      <c r="J58" s="129"/>
      <c r="K58" s="129"/>
      <c r="L58" s="129"/>
      <c r="M58" s="129"/>
      <c r="N58" s="129"/>
    </row>
    <row r="59" spans="1:14">
      <c r="A59" s="127">
        <v>11</v>
      </c>
      <c r="B59" s="396" t="s">
        <v>575</v>
      </c>
      <c r="C59" s="396"/>
      <c r="D59" s="396"/>
      <c r="E59" s="396"/>
      <c r="F59" s="129"/>
      <c r="G59" s="129"/>
      <c r="H59" s="129"/>
      <c r="I59" s="129"/>
      <c r="J59" s="129"/>
      <c r="K59" s="129"/>
      <c r="L59" s="129"/>
      <c r="M59" s="129"/>
      <c r="N59" s="129"/>
    </row>
    <row r="60" spans="1:14">
      <c r="B60" s="137"/>
      <c r="C60" s="137"/>
      <c r="D60" s="137"/>
      <c r="E60" s="137"/>
      <c r="F60" s="129"/>
      <c r="G60" s="129"/>
      <c r="H60" s="129"/>
      <c r="I60" s="129"/>
      <c r="J60" s="129"/>
      <c r="K60" s="129"/>
      <c r="L60" s="129"/>
      <c r="M60" s="129"/>
      <c r="N60" s="129"/>
    </row>
    <row r="61" spans="1:14">
      <c r="A61" s="127">
        <v>12</v>
      </c>
      <c r="B61" s="140" t="s">
        <v>576</v>
      </c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</row>
    <row r="62" spans="1:14">
      <c r="B62" s="121" t="s">
        <v>577</v>
      </c>
      <c r="C62" s="121" t="s">
        <v>578</v>
      </c>
      <c r="D62" s="122" t="s">
        <v>579</v>
      </c>
      <c r="E62" s="229" t="s">
        <v>580</v>
      </c>
      <c r="F62" s="129"/>
      <c r="G62" s="129"/>
      <c r="H62" s="129"/>
      <c r="I62" s="129"/>
      <c r="J62" s="129"/>
      <c r="K62" s="129"/>
      <c r="L62" s="129"/>
      <c r="M62" s="129"/>
    </row>
    <row r="63" spans="1:14" ht="31.15">
      <c r="B63" s="123" t="s">
        <v>581</v>
      </c>
      <c r="C63" s="123" t="s">
        <v>582</v>
      </c>
      <c r="D63" s="123" t="s">
        <v>583</v>
      </c>
      <c r="E63" s="393" t="s">
        <v>584</v>
      </c>
      <c r="F63" s="129"/>
      <c r="G63" s="129"/>
      <c r="H63" s="129"/>
      <c r="I63" s="129"/>
      <c r="J63" s="129"/>
      <c r="K63" s="129"/>
      <c r="L63" s="129"/>
      <c r="M63" s="129"/>
    </row>
    <row r="64" spans="1:14" ht="88.15" customHeight="1">
      <c r="B64" s="124" t="s">
        <v>585</v>
      </c>
      <c r="C64" s="124" t="s">
        <v>586</v>
      </c>
      <c r="D64" s="124" t="s">
        <v>587</v>
      </c>
      <c r="E64" s="394"/>
      <c r="F64" s="129"/>
      <c r="G64" s="129"/>
      <c r="H64" s="129"/>
      <c r="I64" s="129"/>
      <c r="J64" s="129"/>
      <c r="K64" s="129"/>
      <c r="L64" s="129"/>
      <c r="M64" s="129"/>
    </row>
    <row r="65" spans="1:14" ht="95.65" customHeight="1">
      <c r="B65" s="124" t="s">
        <v>588</v>
      </c>
      <c r="C65" s="124" t="s">
        <v>589</v>
      </c>
      <c r="D65" s="124" t="s">
        <v>589</v>
      </c>
      <c r="E65" s="395"/>
      <c r="F65" s="129"/>
      <c r="G65" s="129"/>
      <c r="H65" s="129"/>
      <c r="I65" s="129"/>
      <c r="J65" s="129"/>
      <c r="K65" s="129"/>
      <c r="L65" s="129"/>
      <c r="M65" s="129"/>
    </row>
    <row r="66" spans="1:14">
      <c r="B66" s="141"/>
      <c r="C66" s="141"/>
      <c r="D66" s="141"/>
      <c r="E66" s="129"/>
      <c r="F66" s="129"/>
      <c r="G66" s="129"/>
      <c r="H66" s="129"/>
      <c r="I66" s="129"/>
      <c r="J66" s="129"/>
      <c r="K66" s="129"/>
      <c r="L66" s="129"/>
      <c r="M66" s="129"/>
    </row>
    <row r="67" spans="1:14">
      <c r="A67" s="127">
        <v>13</v>
      </c>
      <c r="B67" t="s">
        <v>590</v>
      </c>
    </row>
    <row r="69" spans="1:14" s="231" customFormat="1" ht="13.9">
      <c r="A69" s="230">
        <v>14</v>
      </c>
      <c r="B69" s="231" t="s">
        <v>591</v>
      </c>
    </row>
    <row r="70" spans="1:14" s="231" customFormat="1" ht="13.9">
      <c r="A70" s="230"/>
    </row>
    <row r="71" spans="1:14">
      <c r="A71" s="127">
        <v>15</v>
      </c>
      <c r="B71" s="399" t="s">
        <v>592</v>
      </c>
      <c r="C71" s="399"/>
      <c r="D71" s="399"/>
      <c r="E71" s="399"/>
      <c r="F71" s="143"/>
      <c r="G71" s="143"/>
      <c r="H71" s="143"/>
      <c r="I71" s="143"/>
      <c r="J71" s="143"/>
      <c r="K71" s="143"/>
      <c r="L71" s="143"/>
      <c r="M71" s="143"/>
      <c r="N71" s="143"/>
    </row>
    <row r="72" spans="1:14">
      <c r="B72" s="142"/>
      <c r="C72" s="142"/>
      <c r="D72" s="142"/>
      <c r="E72" s="142"/>
      <c r="F72" s="143"/>
      <c r="G72" s="143"/>
      <c r="H72" s="143"/>
      <c r="I72" s="143"/>
      <c r="J72" s="143"/>
      <c r="K72" s="143"/>
      <c r="L72" s="143"/>
      <c r="M72" s="143"/>
      <c r="N72" s="143"/>
    </row>
    <row r="73" spans="1:14">
      <c r="A73" s="127">
        <v>16</v>
      </c>
      <c r="B73" s="396" t="s">
        <v>593</v>
      </c>
      <c r="C73" s="396"/>
      <c r="D73" s="396"/>
      <c r="E73" s="396"/>
      <c r="F73" s="129"/>
      <c r="G73" s="129"/>
      <c r="H73" s="129"/>
      <c r="I73" s="129"/>
      <c r="J73" s="129"/>
      <c r="K73" s="129"/>
      <c r="L73" s="129"/>
      <c r="M73" s="129"/>
      <c r="N73" s="129"/>
    </row>
    <row r="74" spans="1:14">
      <c r="B74" s="137"/>
      <c r="C74" s="137"/>
      <c r="D74" s="137"/>
      <c r="E74" s="137"/>
      <c r="F74" s="129"/>
      <c r="G74" s="129"/>
      <c r="H74" s="129"/>
      <c r="I74" s="129"/>
      <c r="J74" s="129"/>
      <c r="K74" s="129"/>
      <c r="L74" s="129"/>
      <c r="M74" s="129"/>
      <c r="N74" s="129"/>
    </row>
    <row r="75" spans="1:14">
      <c r="A75" s="127">
        <v>17</v>
      </c>
      <c r="B75" s="397" t="s">
        <v>594</v>
      </c>
      <c r="C75" s="397"/>
      <c r="D75" s="397"/>
      <c r="E75" s="397"/>
      <c r="F75" s="129"/>
      <c r="G75" s="129"/>
      <c r="H75" s="129"/>
      <c r="I75" s="129"/>
      <c r="J75" s="129"/>
      <c r="K75" s="129"/>
      <c r="L75" s="129"/>
      <c r="M75" s="129"/>
      <c r="N75" s="129"/>
    </row>
  </sheetData>
  <mergeCells count="19">
    <mergeCell ref="B75:E75"/>
    <mergeCell ref="B71:E71"/>
    <mergeCell ref="C55:E55"/>
    <mergeCell ref="C56:E56"/>
    <mergeCell ref="C57:E57"/>
    <mergeCell ref="B59:E59"/>
    <mergeCell ref="B73:E73"/>
    <mergeCell ref="C46:E46"/>
    <mergeCell ref="C47:E47"/>
    <mergeCell ref="E63:E65"/>
    <mergeCell ref="B12:E12"/>
    <mergeCell ref="B49:E49"/>
    <mergeCell ref="C52:E52"/>
    <mergeCell ref="C53:E53"/>
    <mergeCell ref="C54:E54"/>
    <mergeCell ref="C42:E42"/>
    <mergeCell ref="C43:E43"/>
    <mergeCell ref="C44:E44"/>
    <mergeCell ref="C45:E4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845A-FEE4-4221-B2AD-384191EEB280}">
  <dimension ref="B2:F13"/>
  <sheetViews>
    <sheetView workbookViewId="0">
      <selection activeCell="E8" sqref="E8"/>
    </sheetView>
  </sheetViews>
  <sheetFormatPr defaultRowHeight="15.6"/>
  <cols>
    <col min="3" max="3" width="30.25" bestFit="1" customWidth="1"/>
    <col min="4" max="4" width="48.75" bestFit="1" customWidth="1"/>
    <col min="5" max="6" width="54.5" bestFit="1" customWidth="1"/>
  </cols>
  <sheetData>
    <row r="2" spans="2:6">
      <c r="B2" s="127" t="s">
        <v>67</v>
      </c>
      <c r="C2" s="127" t="s">
        <v>595</v>
      </c>
      <c r="E2" s="127"/>
      <c r="F2" s="127"/>
    </row>
    <row r="3" spans="2:6">
      <c r="B3">
        <v>1</v>
      </c>
      <c r="C3" t="s">
        <v>596</v>
      </c>
    </row>
    <row r="4" spans="2:6">
      <c r="B4">
        <v>2</v>
      </c>
      <c r="C4" t="s">
        <v>597</v>
      </c>
    </row>
    <row r="5" spans="2:6">
      <c r="B5">
        <v>3</v>
      </c>
      <c r="C5" t="s">
        <v>598</v>
      </c>
    </row>
    <row r="6" spans="2:6">
      <c r="B6">
        <v>4</v>
      </c>
      <c r="C6" t="s">
        <v>599</v>
      </c>
    </row>
    <row r="8" spans="2:6">
      <c r="C8" s="298" t="s">
        <v>467</v>
      </c>
    </row>
    <row r="9" spans="2:6" ht="15.4" customHeight="1">
      <c r="B9">
        <v>1</v>
      </c>
      <c r="C9" t="s">
        <v>600</v>
      </c>
    </row>
    <row r="10" spans="2:6" ht="15.4" customHeight="1">
      <c r="B10">
        <v>2</v>
      </c>
      <c r="C10" t="s">
        <v>601</v>
      </c>
    </row>
    <row r="11" spans="2:6">
      <c r="B11">
        <v>3</v>
      </c>
      <c r="C11" t="s">
        <v>602</v>
      </c>
    </row>
    <row r="12" spans="2:6">
      <c r="B12">
        <v>4</v>
      </c>
      <c r="C12" t="s">
        <v>603</v>
      </c>
    </row>
    <row r="13" spans="2:6">
      <c r="C13" s="13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DCCC-5747-4A53-92C2-3D2BF6BD4B84}">
  <dimension ref="D2:H24"/>
  <sheetViews>
    <sheetView topLeftCell="T1" zoomScale="115" zoomScaleNormal="115" workbookViewId="0">
      <selection activeCell="D21" sqref="D21"/>
    </sheetView>
  </sheetViews>
  <sheetFormatPr defaultColWidth="10.75" defaultRowHeight="15.6"/>
  <cols>
    <col min="4" max="4" width="25.75" bestFit="1" customWidth="1"/>
    <col min="5" max="7" width="25" bestFit="1" customWidth="1"/>
    <col min="8" max="8" width="27.25" bestFit="1" customWidth="1"/>
  </cols>
  <sheetData>
    <row r="2" spans="4:8" ht="16.149999999999999" thickBot="1"/>
    <row r="3" spans="4:8" ht="16.149999999999999" thickBot="1">
      <c r="D3" s="204" t="s">
        <v>604</v>
      </c>
      <c r="E3" s="204" t="s">
        <v>541</v>
      </c>
      <c r="F3" s="204" t="s">
        <v>151</v>
      </c>
      <c r="G3" s="204" t="s">
        <v>172</v>
      </c>
      <c r="H3" s="205" t="s">
        <v>545</v>
      </c>
    </row>
    <row r="4" spans="4:8" ht="16.899999999999999" thickTop="1" thickBot="1">
      <c r="D4" s="206" t="s">
        <v>605</v>
      </c>
      <c r="E4" s="207" t="s">
        <v>606</v>
      </c>
      <c r="F4" s="207" t="s">
        <v>607</v>
      </c>
      <c r="G4" s="207" t="s">
        <v>608</v>
      </c>
      <c r="H4" s="207" t="s">
        <v>609</v>
      </c>
    </row>
    <row r="5" spans="4:8" ht="16.149999999999999" thickBot="1">
      <c r="D5" s="208" t="s">
        <v>610</v>
      </c>
      <c r="E5" s="209" t="s">
        <v>611</v>
      </c>
      <c r="F5" s="209" t="s">
        <v>612</v>
      </c>
      <c r="G5" s="209" t="s">
        <v>613</v>
      </c>
      <c r="H5" s="209" t="s">
        <v>609</v>
      </c>
    </row>
    <row r="6" spans="4:8" ht="16.149999999999999" thickBot="1">
      <c r="D6" s="400" t="s">
        <v>614</v>
      </c>
      <c r="E6" s="401"/>
      <c r="F6" s="401"/>
      <c r="G6" s="401"/>
      <c r="H6" s="401"/>
    </row>
    <row r="7" spans="4:8" ht="16.149999999999999" thickBot="1">
      <c r="D7" s="208" t="s">
        <v>615</v>
      </c>
      <c r="E7" s="209" t="s">
        <v>616</v>
      </c>
      <c r="F7" s="209" t="s">
        <v>616</v>
      </c>
      <c r="G7" s="209" t="s">
        <v>616</v>
      </c>
      <c r="H7" s="209" t="s">
        <v>617</v>
      </c>
    </row>
    <row r="8" spans="4:8" ht="16.899999999999999" thickTop="1" thickBot="1">
      <c r="D8" s="206" t="s">
        <v>618</v>
      </c>
      <c r="E8" s="207" t="s">
        <v>619</v>
      </c>
      <c r="F8" s="207" t="s">
        <v>619</v>
      </c>
      <c r="G8" s="207" t="s">
        <v>619</v>
      </c>
      <c r="H8" s="207" t="s">
        <v>620</v>
      </c>
    </row>
    <row r="9" spans="4:8" s="210" customFormat="1" ht="16.149999999999999" thickBot="1">
      <c r="D9" s="208" t="s">
        <v>621</v>
      </c>
      <c r="E9" s="209" t="s">
        <v>622</v>
      </c>
      <c r="F9" s="209" t="s">
        <v>622</v>
      </c>
      <c r="G9" s="209" t="s">
        <v>622</v>
      </c>
      <c r="H9" s="209" t="s">
        <v>623</v>
      </c>
    </row>
    <row r="10" spans="4:8" ht="16.149999999999999" thickBot="1">
      <c r="D10" s="400" t="s">
        <v>624</v>
      </c>
      <c r="E10" s="401"/>
      <c r="F10" s="401"/>
      <c r="G10" s="401"/>
      <c r="H10" s="401"/>
    </row>
    <row r="11" spans="4:8" ht="31.9" thickBot="1">
      <c r="D11" s="208" t="s">
        <v>625</v>
      </c>
      <c r="E11" s="211" t="s">
        <v>626</v>
      </c>
      <c r="F11" s="211" t="s">
        <v>626</v>
      </c>
      <c r="G11" s="211" t="s">
        <v>626</v>
      </c>
      <c r="H11" s="402" t="s">
        <v>627</v>
      </c>
    </row>
    <row r="12" spans="4:8" ht="16.899999999999999" thickTop="1" thickBot="1">
      <c r="D12" s="206" t="s">
        <v>628</v>
      </c>
      <c r="E12" s="207" t="s">
        <v>629</v>
      </c>
      <c r="F12" s="207" t="s">
        <v>630</v>
      </c>
      <c r="G12" s="207" t="s">
        <v>630</v>
      </c>
      <c r="H12" s="402"/>
    </row>
    <row r="13" spans="4:8" ht="16.149999999999999" thickBot="1">
      <c r="D13" s="208" t="s">
        <v>631</v>
      </c>
      <c r="E13" s="209"/>
      <c r="F13" s="209" t="s">
        <v>632</v>
      </c>
      <c r="G13" s="209" t="s">
        <v>633</v>
      </c>
      <c r="H13" s="402"/>
    </row>
    <row r="14" spans="4:8" s="210" customFormat="1" ht="16.899999999999999" thickTop="1" thickBot="1">
      <c r="D14" s="206" t="s">
        <v>634</v>
      </c>
      <c r="E14" s="207"/>
      <c r="F14" s="207" t="s">
        <v>612</v>
      </c>
      <c r="G14" s="207" t="s">
        <v>613</v>
      </c>
      <c r="H14" s="402"/>
    </row>
    <row r="15" spans="4:8" ht="16.149999999999999" thickBot="1">
      <c r="D15" s="208" t="s">
        <v>635</v>
      </c>
      <c r="E15" s="209"/>
      <c r="F15" s="209" t="s">
        <v>632</v>
      </c>
      <c r="G15" s="209" t="s">
        <v>632</v>
      </c>
      <c r="H15" s="402"/>
    </row>
    <row r="16" spans="4:8" ht="16.899999999999999" thickTop="1" thickBot="1">
      <c r="D16" s="206" t="s">
        <v>636</v>
      </c>
      <c r="E16" s="207"/>
      <c r="F16" s="207"/>
      <c r="G16" s="207" t="s">
        <v>637</v>
      </c>
      <c r="H16" s="402"/>
    </row>
    <row r="17" spans="4:8" ht="16.149999999999999" thickBot="1">
      <c r="D17" s="212" t="s">
        <v>638</v>
      </c>
      <c r="E17" s="213"/>
      <c r="F17" s="213"/>
      <c r="G17" s="213" t="s">
        <v>639</v>
      </c>
      <c r="H17" s="402"/>
    </row>
    <row r="18" spans="4:8" ht="16.899999999999999" thickTop="1" thickBot="1">
      <c r="D18" s="214" t="s">
        <v>640</v>
      </c>
      <c r="E18" s="215">
        <v>10</v>
      </c>
      <c r="F18" s="215">
        <v>15</v>
      </c>
      <c r="G18" s="215">
        <v>20</v>
      </c>
      <c r="H18" s="215" t="s">
        <v>641</v>
      </c>
    </row>
    <row r="19" spans="4:8" ht="16.149999999999999" thickBot="1">
      <c r="D19" s="403" t="s">
        <v>642</v>
      </c>
      <c r="E19" s="404"/>
      <c r="F19" s="404"/>
      <c r="G19" s="404"/>
      <c r="H19" s="404"/>
    </row>
    <row r="20" spans="4:8" ht="16.899999999999999" thickTop="1" thickBot="1">
      <c r="D20" s="206" t="s">
        <v>643</v>
      </c>
      <c r="E20" s="216">
        <f>700*$E$18</f>
        <v>7000</v>
      </c>
      <c r="F20" s="216">
        <f>675*$F$18</f>
        <v>10125</v>
      </c>
      <c r="G20" s="216">
        <f>650*$G$18</f>
        <v>13000</v>
      </c>
      <c r="H20" s="402" t="s">
        <v>644</v>
      </c>
    </row>
    <row r="21" spans="4:8" ht="16.149999999999999" thickBot="1">
      <c r="D21" s="208" t="s">
        <v>645</v>
      </c>
      <c r="E21" s="217">
        <f>600*$E$18</f>
        <v>6000</v>
      </c>
      <c r="F21" s="217">
        <f>575*$F$18</f>
        <v>8625</v>
      </c>
      <c r="G21" s="217">
        <f>550*$G$18</f>
        <v>11000</v>
      </c>
      <c r="H21" s="402"/>
    </row>
    <row r="22" spans="4:8" ht="16.899999999999999" thickTop="1" thickBot="1">
      <c r="D22" s="206" t="s">
        <v>646</v>
      </c>
      <c r="E22" s="216">
        <f>600*$E$18</f>
        <v>6000</v>
      </c>
      <c r="F22" s="216">
        <f>575*$F$18</f>
        <v>8625</v>
      </c>
      <c r="G22" s="216">
        <f>550*$G$18</f>
        <v>11000</v>
      </c>
      <c r="H22" s="402"/>
    </row>
    <row r="23" spans="4:8" ht="16.149999999999999" thickBot="1">
      <c r="D23" s="208" t="s">
        <v>647</v>
      </c>
      <c r="E23" s="217">
        <f>1000*$E$18</f>
        <v>10000</v>
      </c>
      <c r="F23" s="217">
        <f>950*$F$18</f>
        <v>14250</v>
      </c>
      <c r="G23" s="217">
        <f>$G$18*900</f>
        <v>18000</v>
      </c>
      <c r="H23" s="402"/>
    </row>
    <row r="24" spans="4:8" ht="16.899999999999999" thickTop="1" thickBot="1">
      <c r="D24" s="206" t="s">
        <v>648</v>
      </c>
      <c r="E24" s="216">
        <f>1000*$E$18</f>
        <v>10000</v>
      </c>
      <c r="F24" s="216">
        <f>950*$F$18</f>
        <v>14250</v>
      </c>
      <c r="G24" s="216">
        <f>$G$18*900</f>
        <v>18000</v>
      </c>
      <c r="H24" s="402"/>
    </row>
  </sheetData>
  <mergeCells count="5">
    <mergeCell ref="D6:H6"/>
    <mergeCell ref="D10:H10"/>
    <mergeCell ref="H11:H17"/>
    <mergeCell ref="D19:H19"/>
    <mergeCell ref="H20:H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3EF4-1721-489F-BC27-1EC2BD69339C}">
  <dimension ref="A2:H27"/>
  <sheetViews>
    <sheetView topLeftCell="D12" zoomScaleNormal="100" workbookViewId="0">
      <selection activeCell="E27" sqref="E27"/>
    </sheetView>
  </sheetViews>
  <sheetFormatPr defaultColWidth="10.75" defaultRowHeight="15.6"/>
  <cols>
    <col min="4" max="4" width="41.5" bestFit="1" customWidth="1"/>
    <col min="5" max="5" width="24.25" customWidth="1"/>
    <col min="6" max="6" width="25.75" customWidth="1"/>
    <col min="7" max="7" width="24.75" customWidth="1"/>
    <col min="8" max="8" width="27.25" bestFit="1" customWidth="1"/>
  </cols>
  <sheetData>
    <row r="2" spans="1:8" ht="16.149999999999999" thickBot="1"/>
    <row r="3" spans="1:8" ht="16.149999999999999" thickBot="1">
      <c r="D3" s="218" t="s">
        <v>649</v>
      </c>
      <c r="E3" s="218" t="s">
        <v>541</v>
      </c>
      <c r="F3" s="218" t="s">
        <v>151</v>
      </c>
      <c r="G3" s="218" t="s">
        <v>172</v>
      </c>
      <c r="H3" s="205" t="s">
        <v>545</v>
      </c>
    </row>
    <row r="4" spans="1:8" ht="16.899999999999999" thickTop="1" thickBot="1">
      <c r="D4" s="206" t="s">
        <v>605</v>
      </c>
      <c r="E4" s="219" t="s">
        <v>650</v>
      </c>
      <c r="F4" s="219" t="s">
        <v>651</v>
      </c>
      <c r="G4" s="219" t="s">
        <v>608</v>
      </c>
      <c r="H4" s="207" t="s">
        <v>609</v>
      </c>
    </row>
    <row r="5" spans="1:8" ht="16.149999999999999" thickBot="1">
      <c r="D5" s="208" t="s">
        <v>610</v>
      </c>
      <c r="E5" s="220" t="s">
        <v>611</v>
      </c>
      <c r="F5" s="220" t="s">
        <v>612</v>
      </c>
      <c r="G5" s="220" t="s">
        <v>613</v>
      </c>
      <c r="H5" s="209" t="s">
        <v>609</v>
      </c>
    </row>
    <row r="6" spans="1:8" ht="16.149999999999999" thickBot="1">
      <c r="D6" s="400" t="s">
        <v>652</v>
      </c>
      <c r="E6" s="401"/>
      <c r="F6" s="401"/>
      <c r="G6" s="401"/>
      <c r="H6" s="401"/>
    </row>
    <row r="7" spans="1:8" ht="16.899999999999999" thickTop="1" thickBot="1">
      <c r="D7" s="206" t="s">
        <v>615</v>
      </c>
      <c r="E7" s="219" t="s">
        <v>619</v>
      </c>
      <c r="F7" s="219" t="s">
        <v>616</v>
      </c>
      <c r="G7" s="219" t="s">
        <v>616</v>
      </c>
      <c r="H7" s="209" t="s">
        <v>617</v>
      </c>
    </row>
    <row r="8" spans="1:8" ht="16.899999999999999" thickTop="1" thickBot="1">
      <c r="D8" s="208" t="s">
        <v>618</v>
      </c>
      <c r="E8" s="220" t="s">
        <v>622</v>
      </c>
      <c r="F8" s="220" t="s">
        <v>619</v>
      </c>
      <c r="G8" s="220" t="s">
        <v>619</v>
      </c>
      <c r="H8" s="207" t="s">
        <v>620</v>
      </c>
    </row>
    <row r="9" spans="1:8" s="210" customFormat="1" ht="16.899999999999999" thickTop="1" thickBot="1">
      <c r="D9" s="206" t="s">
        <v>621</v>
      </c>
      <c r="E9" s="219" t="s">
        <v>653</v>
      </c>
      <c r="F9" s="219" t="s">
        <v>622</v>
      </c>
      <c r="G9" s="219" t="s">
        <v>622</v>
      </c>
      <c r="H9" s="209" t="s">
        <v>623</v>
      </c>
    </row>
    <row r="10" spans="1:8" ht="16.149999999999999" thickBot="1">
      <c r="A10" s="221"/>
      <c r="D10" s="400" t="s">
        <v>624</v>
      </c>
      <c r="E10" s="401"/>
      <c r="F10" s="401"/>
      <c r="G10" s="401"/>
      <c r="H10" s="401"/>
    </row>
    <row r="11" spans="1:8" ht="31.9" thickBot="1">
      <c r="D11" s="208" t="s">
        <v>625</v>
      </c>
      <c r="E11" s="211" t="s">
        <v>654</v>
      </c>
      <c r="F11" s="211" t="s">
        <v>654</v>
      </c>
      <c r="G11" s="211" t="s">
        <v>654</v>
      </c>
      <c r="H11" s="402" t="s">
        <v>627</v>
      </c>
    </row>
    <row r="12" spans="1:8" ht="16.899999999999999" thickTop="1" thickBot="1">
      <c r="D12" s="206" t="s">
        <v>628</v>
      </c>
      <c r="E12" s="207" t="s">
        <v>629</v>
      </c>
      <c r="F12" s="207" t="s">
        <v>655</v>
      </c>
      <c r="G12" s="207" t="s">
        <v>655</v>
      </c>
      <c r="H12" s="402"/>
    </row>
    <row r="13" spans="1:8" ht="16.149999999999999" thickBot="1">
      <c r="D13" s="208" t="s">
        <v>631</v>
      </c>
      <c r="E13" s="209"/>
      <c r="F13" s="209" t="s">
        <v>632</v>
      </c>
      <c r="G13" s="209" t="s">
        <v>633</v>
      </c>
      <c r="H13" s="402"/>
    </row>
    <row r="14" spans="1:8" s="210" customFormat="1" ht="16.899999999999999" thickTop="1" thickBot="1">
      <c r="A14"/>
      <c r="D14" s="206" t="s">
        <v>634</v>
      </c>
      <c r="E14" s="207"/>
      <c r="F14" s="207" t="s">
        <v>612</v>
      </c>
      <c r="G14" s="207" t="s">
        <v>613</v>
      </c>
      <c r="H14" s="402"/>
    </row>
    <row r="15" spans="1:8" ht="16.149999999999999" thickBot="1">
      <c r="D15" s="208" t="s">
        <v>635</v>
      </c>
      <c r="E15" s="209"/>
      <c r="F15" s="209" t="s">
        <v>632</v>
      </c>
      <c r="G15" s="209" t="s">
        <v>632</v>
      </c>
      <c r="H15" s="402"/>
    </row>
    <row r="16" spans="1:8" ht="16.899999999999999" thickTop="1" thickBot="1">
      <c r="D16" s="206" t="s">
        <v>636</v>
      </c>
      <c r="E16" s="207"/>
      <c r="F16" s="207"/>
      <c r="G16" s="207" t="s">
        <v>637</v>
      </c>
      <c r="H16" s="402"/>
    </row>
    <row r="17" spans="4:8" ht="16.149999999999999" thickBot="1">
      <c r="D17" s="212" t="s">
        <v>638</v>
      </c>
      <c r="E17" s="213"/>
      <c r="F17" s="213"/>
      <c r="G17" s="213" t="s">
        <v>639</v>
      </c>
      <c r="H17" s="402"/>
    </row>
    <row r="18" spans="4:8" ht="16.899999999999999" thickTop="1" thickBot="1">
      <c r="D18" s="206" t="s">
        <v>656</v>
      </c>
      <c r="E18" s="207"/>
      <c r="F18" s="207" t="s">
        <v>657</v>
      </c>
      <c r="G18" s="207" t="s">
        <v>658</v>
      </c>
      <c r="H18" s="402"/>
    </row>
    <row r="19" spans="4:8">
      <c r="D19" s="222" t="s">
        <v>659</v>
      </c>
      <c r="E19" s="223">
        <v>25</v>
      </c>
      <c r="F19" s="223">
        <v>50</v>
      </c>
      <c r="G19" s="223">
        <v>100</v>
      </c>
      <c r="H19" s="127" t="s">
        <v>641</v>
      </c>
    </row>
    <row r="20" spans="4:8" ht="16.149999999999999" thickBot="1">
      <c r="D20" s="403" t="s">
        <v>642</v>
      </c>
      <c r="E20" s="404"/>
      <c r="F20" s="404"/>
      <c r="G20" s="404"/>
      <c r="H20" s="404"/>
    </row>
    <row r="21" spans="4:8" ht="16.899999999999999" thickTop="1" thickBot="1">
      <c r="D21" s="206" t="s">
        <v>660</v>
      </c>
      <c r="E21" s="224">
        <f>500*$E$19</f>
        <v>12500</v>
      </c>
      <c r="F21" s="224">
        <f>450*$F$19</f>
        <v>22500</v>
      </c>
      <c r="G21" s="224">
        <f>420*$G$19</f>
        <v>42000</v>
      </c>
      <c r="H21" s="402" t="s">
        <v>661</v>
      </c>
    </row>
    <row r="22" spans="4:8" ht="16.899999999999999" thickTop="1" thickBot="1">
      <c r="D22" s="212" t="s">
        <v>662</v>
      </c>
      <c r="E22" s="224">
        <f t="shared" ref="E22" si="0">500*$E$19</f>
        <v>12500</v>
      </c>
      <c r="F22" s="224">
        <f>450*$F$19</f>
        <v>22500</v>
      </c>
      <c r="G22" s="224">
        <f>420*$G$19</f>
        <v>42000</v>
      </c>
      <c r="H22" s="402"/>
    </row>
    <row r="23" spans="4:8" ht="16.899999999999999" thickTop="1" thickBot="1">
      <c r="D23" s="206" t="s">
        <v>663</v>
      </c>
      <c r="E23" s="224">
        <f>300*$E$19</f>
        <v>7500</v>
      </c>
      <c r="F23" s="224">
        <f>270*$F$19</f>
        <v>13500</v>
      </c>
      <c r="G23" s="224">
        <f>250*$G$19</f>
        <v>25000</v>
      </c>
      <c r="H23" s="402"/>
    </row>
    <row r="24" spans="4:8" ht="16.899999999999999" thickTop="1" thickBot="1">
      <c r="D24" s="212" t="s">
        <v>664</v>
      </c>
      <c r="E24" s="224">
        <f>800*$E$19</f>
        <v>20000</v>
      </c>
      <c r="F24" s="224">
        <f>750*$F$19</f>
        <v>37500</v>
      </c>
      <c r="G24" s="224">
        <f>700*$G$19</f>
        <v>70000</v>
      </c>
      <c r="H24" s="402"/>
    </row>
    <row r="25" spans="4:8" ht="16.899999999999999" thickTop="1" thickBot="1">
      <c r="D25" s="206" t="s">
        <v>665</v>
      </c>
      <c r="E25" s="224">
        <f>700*$E$19</f>
        <v>17500</v>
      </c>
      <c r="F25" s="224">
        <f>600*$F$19</f>
        <v>30000</v>
      </c>
      <c r="G25" s="224">
        <f>550*$G$19</f>
        <v>55000</v>
      </c>
      <c r="H25" s="402"/>
    </row>
    <row r="26" spans="4:8" ht="16.899999999999999" thickTop="1" thickBot="1">
      <c r="D26" s="206" t="s">
        <v>666</v>
      </c>
      <c r="E26" s="224">
        <f>1000*$E$19</f>
        <v>25000</v>
      </c>
      <c r="F26" s="224">
        <f>900*$F$19</f>
        <v>45000</v>
      </c>
      <c r="G26" s="224">
        <f>800*$G$19</f>
        <v>80000</v>
      </c>
      <c r="H26" s="402"/>
    </row>
    <row r="27" spans="4:8" ht="16.899999999999999" thickTop="1" thickBot="1">
      <c r="D27" s="214" t="s">
        <v>667</v>
      </c>
      <c r="E27" s="224">
        <f>800*$E$19</f>
        <v>20000</v>
      </c>
      <c r="F27" s="224">
        <f>700*$F$19</f>
        <v>35000</v>
      </c>
      <c r="G27" s="224">
        <f>650*$G$19</f>
        <v>65000</v>
      </c>
      <c r="H27" s="402"/>
    </row>
  </sheetData>
  <mergeCells count="5">
    <mergeCell ref="D6:H6"/>
    <mergeCell ref="D10:H10"/>
    <mergeCell ref="H11:H18"/>
    <mergeCell ref="H21:H27"/>
    <mergeCell ref="D20:H2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CF46-FD6C-436B-9464-28B430660D16}">
  <dimension ref="D1:H26"/>
  <sheetViews>
    <sheetView zoomScaleNormal="100" workbookViewId="0">
      <selection activeCell="G4" sqref="G4"/>
    </sheetView>
  </sheetViews>
  <sheetFormatPr defaultColWidth="10.75" defaultRowHeight="15.6"/>
  <cols>
    <col min="1" max="3" width="10.75" style="210"/>
    <col min="4" max="4" width="37.75" style="210" bestFit="1" customWidth="1"/>
    <col min="5" max="5" width="19" style="210" bestFit="1" customWidth="1"/>
    <col min="6" max="7" width="21.75" style="210" bestFit="1" customWidth="1"/>
    <col min="8" max="8" width="26.5" style="210" customWidth="1"/>
    <col min="9" max="16384" width="10.75" style="210"/>
  </cols>
  <sheetData>
    <row r="1" spans="4:8" ht="16.149999999999999" thickBot="1"/>
    <row r="2" spans="4:8" ht="16.149999999999999" thickBot="1">
      <c r="D2" s="218" t="s">
        <v>649</v>
      </c>
      <c r="E2" s="218" t="s">
        <v>541</v>
      </c>
      <c r="F2" s="218" t="s">
        <v>151</v>
      </c>
      <c r="G2" s="218" t="s">
        <v>172</v>
      </c>
      <c r="H2" s="218" t="s">
        <v>545</v>
      </c>
    </row>
    <row r="3" spans="4:8" ht="16.899999999999999" thickTop="1" thickBot="1">
      <c r="D3" s="206" t="s">
        <v>605</v>
      </c>
      <c r="E3" s="219" t="s">
        <v>650</v>
      </c>
      <c r="F3" s="219" t="s">
        <v>651</v>
      </c>
      <c r="G3" s="219" t="s">
        <v>608</v>
      </c>
      <c r="H3" s="207" t="s">
        <v>609</v>
      </c>
    </row>
    <row r="4" spans="4:8" ht="16.149999999999999" thickBot="1">
      <c r="D4" s="208" t="s">
        <v>610</v>
      </c>
      <c r="E4" s="220" t="s">
        <v>611</v>
      </c>
      <c r="F4" s="220" t="s">
        <v>612</v>
      </c>
      <c r="G4" s="220" t="s">
        <v>613</v>
      </c>
      <c r="H4" s="209" t="s">
        <v>609</v>
      </c>
    </row>
    <row r="5" spans="4:8" ht="16.149999999999999" thickBot="1">
      <c r="D5" s="400" t="s">
        <v>652</v>
      </c>
      <c r="E5" s="401"/>
      <c r="F5" s="401"/>
      <c r="G5" s="401"/>
      <c r="H5" s="401"/>
    </row>
    <row r="6" spans="4:8" ht="16.899999999999999" thickTop="1" thickBot="1">
      <c r="D6" s="206" t="s">
        <v>615</v>
      </c>
      <c r="E6" s="219" t="s">
        <v>619</v>
      </c>
      <c r="F6" s="219" t="s">
        <v>616</v>
      </c>
      <c r="G6" s="219" t="s">
        <v>616</v>
      </c>
      <c r="H6" s="209" t="s">
        <v>617</v>
      </c>
    </row>
    <row r="7" spans="4:8" ht="16.899999999999999" thickTop="1" thickBot="1">
      <c r="D7" s="208" t="s">
        <v>618</v>
      </c>
      <c r="E7" s="220" t="s">
        <v>622</v>
      </c>
      <c r="F7" s="220" t="s">
        <v>619</v>
      </c>
      <c r="G7" s="220" t="s">
        <v>619</v>
      </c>
      <c r="H7" s="207" t="s">
        <v>620</v>
      </c>
    </row>
    <row r="8" spans="4:8" customFormat="1" ht="16.899999999999999" thickTop="1" thickBot="1">
      <c r="D8" s="206" t="s">
        <v>621</v>
      </c>
      <c r="E8" s="219" t="s">
        <v>653</v>
      </c>
      <c r="F8" s="219" t="s">
        <v>622</v>
      </c>
      <c r="G8" s="219" t="s">
        <v>622</v>
      </c>
      <c r="H8" s="209" t="s">
        <v>623</v>
      </c>
    </row>
    <row r="9" spans="4:8" ht="16.149999999999999" thickBot="1">
      <c r="D9" s="400" t="s">
        <v>668</v>
      </c>
      <c r="E9" s="401"/>
      <c r="F9" s="401"/>
      <c r="G9" s="401"/>
      <c r="H9" s="401"/>
    </row>
    <row r="10" spans="4:8" ht="47.45" thickBot="1">
      <c r="D10" s="208" t="s">
        <v>625</v>
      </c>
      <c r="E10" s="211" t="s">
        <v>654</v>
      </c>
      <c r="F10" s="211" t="s">
        <v>654</v>
      </c>
      <c r="G10" s="211" t="s">
        <v>654</v>
      </c>
      <c r="H10" s="402" t="s">
        <v>627</v>
      </c>
    </row>
    <row r="11" spans="4:8" ht="16.899999999999999" thickTop="1" thickBot="1">
      <c r="D11" s="206" t="s">
        <v>628</v>
      </c>
      <c r="E11" s="207" t="s">
        <v>669</v>
      </c>
      <c r="F11" s="207" t="s">
        <v>669</v>
      </c>
      <c r="G11" s="207" t="s">
        <v>669</v>
      </c>
      <c r="H11" s="402"/>
    </row>
    <row r="12" spans="4:8" ht="16.149999999999999" thickBot="1">
      <c r="D12" s="225" t="s">
        <v>631</v>
      </c>
      <c r="E12" s="209"/>
      <c r="F12" s="209" t="s">
        <v>632</v>
      </c>
      <c r="G12" s="209" t="s">
        <v>632</v>
      </c>
      <c r="H12" s="402"/>
    </row>
    <row r="13" spans="4:8" ht="16.149999999999999" thickBot="1">
      <c r="D13" s="208" t="s">
        <v>670</v>
      </c>
      <c r="E13" s="209"/>
      <c r="F13" s="209" t="s">
        <v>632</v>
      </c>
      <c r="G13" s="209" t="s">
        <v>632</v>
      </c>
      <c r="H13" s="402"/>
    </row>
    <row r="14" spans="4:8" ht="16.899999999999999" thickTop="1" thickBot="1">
      <c r="D14" s="206" t="s">
        <v>636</v>
      </c>
      <c r="E14" s="207"/>
      <c r="F14" s="207"/>
      <c r="G14" s="207" t="s">
        <v>637</v>
      </c>
      <c r="H14" s="402"/>
    </row>
    <row r="15" spans="4:8" ht="16.149999999999999" thickBot="1">
      <c r="D15" s="212" t="s">
        <v>638</v>
      </c>
      <c r="E15" s="213"/>
      <c r="F15" s="213" t="s">
        <v>639</v>
      </c>
      <c r="G15" s="213" t="s">
        <v>671</v>
      </c>
      <c r="H15" s="402"/>
    </row>
    <row r="16" spans="4:8">
      <c r="D16" s="222" t="s">
        <v>659</v>
      </c>
      <c r="E16" s="223">
        <v>25</v>
      </c>
      <c r="F16" s="223">
        <v>50</v>
      </c>
      <c r="G16" s="223">
        <v>100</v>
      </c>
      <c r="H16" s="223" t="s">
        <v>641</v>
      </c>
    </row>
    <row r="17" spans="4:8" customFormat="1" ht="16.149999999999999" thickBot="1">
      <c r="D17" s="403" t="s">
        <v>642</v>
      </c>
      <c r="E17" s="404"/>
      <c r="F17" s="404"/>
      <c r="G17" s="404"/>
      <c r="H17" s="404"/>
    </row>
    <row r="18" spans="4:8" ht="16.149999999999999" thickBot="1">
      <c r="D18" s="212" t="s">
        <v>672</v>
      </c>
      <c r="E18" s="226">
        <f>500*$E$16</f>
        <v>12500</v>
      </c>
      <c r="F18" s="226">
        <f>480*$F$16</f>
        <v>24000</v>
      </c>
      <c r="G18" s="226">
        <f>460*$G$16</f>
        <v>46000</v>
      </c>
      <c r="H18" s="402" t="s">
        <v>661</v>
      </c>
    </row>
    <row r="19" spans="4:8" ht="16.149999999999999" thickBot="1">
      <c r="D19" s="227" t="s">
        <v>673</v>
      </c>
      <c r="E19" s="226">
        <f>1000*$E$16</f>
        <v>25000</v>
      </c>
      <c r="F19" s="226">
        <f>800*$F$16</f>
        <v>40000</v>
      </c>
      <c r="G19" s="226">
        <f>750*$G$16</f>
        <v>75000</v>
      </c>
      <c r="H19" s="402"/>
    </row>
    <row r="20" spans="4:8" ht="16.899999999999999" thickTop="1" thickBot="1">
      <c r="D20" s="206" t="s">
        <v>674</v>
      </c>
      <c r="E20" s="226">
        <f t="shared" ref="E20:E26" si="0">500*$E$16</f>
        <v>12500</v>
      </c>
      <c r="F20" s="226">
        <f>480*$F$16</f>
        <v>24000</v>
      </c>
      <c r="G20" s="226">
        <f>460*$G$16</f>
        <v>46000</v>
      </c>
      <c r="H20" s="402"/>
    </row>
    <row r="21" spans="4:8" ht="16.149999999999999" thickBot="1">
      <c r="D21" s="227" t="s">
        <v>675</v>
      </c>
      <c r="E21" s="226">
        <f>300*$E$16</f>
        <v>7500</v>
      </c>
      <c r="F21" s="226">
        <f>290*$F$16</f>
        <v>14500</v>
      </c>
      <c r="G21" s="226">
        <f>280*$G$16</f>
        <v>28000</v>
      </c>
      <c r="H21" s="402"/>
    </row>
    <row r="22" spans="4:8" ht="16.149999999999999" thickBot="1">
      <c r="D22" s="212" t="s">
        <v>676</v>
      </c>
      <c r="E22" s="226">
        <f t="shared" si="0"/>
        <v>12500</v>
      </c>
      <c r="F22" s="226">
        <f>480*$F$16</f>
        <v>24000</v>
      </c>
      <c r="G22" s="226">
        <f>460*$G$16</f>
        <v>46000</v>
      </c>
      <c r="H22" s="402"/>
    </row>
    <row r="23" spans="4:8" ht="16.899999999999999" thickTop="1" thickBot="1">
      <c r="D23" s="206" t="s">
        <v>146</v>
      </c>
      <c r="E23" s="226">
        <f t="shared" si="0"/>
        <v>12500</v>
      </c>
      <c r="F23" s="226">
        <f>480*$F$16</f>
        <v>24000</v>
      </c>
      <c r="G23" s="226">
        <f>460*$G$16</f>
        <v>46000</v>
      </c>
      <c r="H23" s="402"/>
    </row>
    <row r="24" spans="4:8" ht="16.149999999999999" thickBot="1">
      <c r="D24" s="227" t="s">
        <v>677</v>
      </c>
      <c r="E24" s="226">
        <f t="shared" si="0"/>
        <v>12500</v>
      </c>
      <c r="F24" s="226">
        <f>480*$F$16</f>
        <v>24000</v>
      </c>
      <c r="G24" s="226">
        <f>460*$G$16</f>
        <v>46000</v>
      </c>
      <c r="H24" s="402"/>
    </row>
    <row r="25" spans="4:8" ht="16.149999999999999" thickBot="1">
      <c r="D25" s="212" t="s">
        <v>678</v>
      </c>
      <c r="E25" s="226">
        <f>500*$E$16</f>
        <v>12500</v>
      </c>
      <c r="F25" s="226">
        <f>480*$F$16</f>
        <v>24000</v>
      </c>
      <c r="G25" s="226">
        <f>460*$G$16</f>
        <v>46000</v>
      </c>
      <c r="H25" s="402"/>
    </row>
    <row r="26" spans="4:8" ht="16.899999999999999" thickTop="1" thickBot="1">
      <c r="D26" s="206" t="s">
        <v>679</v>
      </c>
      <c r="E26" s="226">
        <f t="shared" si="0"/>
        <v>12500</v>
      </c>
      <c r="F26" s="226">
        <f>480*$F$16</f>
        <v>24000</v>
      </c>
      <c r="G26" s="226">
        <f>460*$G$16</f>
        <v>46000</v>
      </c>
      <c r="H26" s="402"/>
    </row>
  </sheetData>
  <mergeCells count="5">
    <mergeCell ref="D5:H5"/>
    <mergeCell ref="D9:H9"/>
    <mergeCell ref="H10:H15"/>
    <mergeCell ref="H18:H26"/>
    <mergeCell ref="D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Dharshini Balasankar</cp:lastModifiedBy>
  <cp:revision/>
  <dcterms:created xsi:type="dcterms:W3CDTF">2026-01-22T08:53:59Z</dcterms:created>
  <dcterms:modified xsi:type="dcterms:W3CDTF">2026-07-13T05:39:19Z</dcterms:modified>
  <cp:category/>
  <cp:contentStatus/>
</cp:coreProperties>
</file>