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techpayai-my.sharepoint.com/personal/dharshini_b_techpay_ai/Documents/Galaxy Target Letter/"/>
    </mc:Choice>
  </mc:AlternateContent>
  <xr:revisionPtr revIDLastSave="276" documentId="8_{B9D4CF75-84DE-4256-A0DF-80742AC4FA1C}" xr6:coauthVersionLast="47" xr6:coauthVersionMax="47" xr10:uidLastSave="{683B6F11-592D-447E-9E18-ACB0CB38FD79}"/>
  <bookViews>
    <workbookView xWindow="-108" yWindow="-108" windowWidth="23256" windowHeight="12576" activeTab="1" xr2:uid="{C2124116-525B-40F1-AC9B-01E56399BFA6}"/>
  </bookViews>
  <sheets>
    <sheet name="Sheet1" sheetId="2" r:id="rId1"/>
    <sheet name="Opportunity Pipeline" sheetId="1" r:id="rId2"/>
  </sheets>
  <definedNames>
    <definedName name="_xlnm._FilterDatabase" localSheetId="1" hidden="1">'Opportunity Pipeline'!$A$1:$Y$380</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 i="2" l="1"/>
  <c r="Y30" i="2"/>
  <c r="X3" i="2"/>
  <c r="X31" i="2"/>
  <c r="X27" i="2"/>
</calcChain>
</file>

<file path=xl/sharedStrings.xml><?xml version="1.0" encoding="utf-8"?>
<sst xmlns="http://schemas.openxmlformats.org/spreadsheetml/2006/main" count="8174" uniqueCount="1943">
  <si>
    <t>Created Time</t>
  </si>
  <si>
    <t>Opportunity Number</t>
  </si>
  <si>
    <t>Organization Name</t>
  </si>
  <si>
    <t>Contact Name</t>
  </si>
  <si>
    <t>Opportunity Name</t>
  </si>
  <si>
    <t>Opportunity Led By</t>
  </si>
  <si>
    <t>Assigned To</t>
  </si>
  <si>
    <t>Lead Source</t>
  </si>
  <si>
    <t>Identifier</t>
  </si>
  <si>
    <t>Supported By</t>
  </si>
  <si>
    <t>Category</t>
  </si>
  <si>
    <t>Sub Category</t>
  </si>
  <si>
    <t>Brand</t>
  </si>
  <si>
    <t>Sales Stage</t>
  </si>
  <si>
    <t>Amount</t>
  </si>
  <si>
    <t>Estimated Bottomline</t>
  </si>
  <si>
    <t>Actual Bottomline -</t>
  </si>
  <si>
    <t>Expected Close Date</t>
  </si>
  <si>
    <t>Deal Category</t>
  </si>
  <si>
    <t>Probability</t>
  </si>
  <si>
    <t>OPF No.</t>
  </si>
  <si>
    <t>Deal ID</t>
  </si>
  <si>
    <t>Deal Status</t>
  </si>
  <si>
    <t>Deal Expiry Date</t>
  </si>
  <si>
    <t>Description</t>
  </si>
  <si>
    <t>Division</t>
  </si>
  <si>
    <t>POT86440</t>
  </si>
  <si>
    <t>MedGenome Labs Private Ltd</t>
  </si>
  <si>
    <t>Pushpa Chetry</t>
  </si>
  <si>
    <t>Laptop Charger with Power cables</t>
  </si>
  <si>
    <t>Abrar Memon</t>
  </si>
  <si>
    <t>Self</t>
  </si>
  <si>
    <t>NA</t>
  </si>
  <si>
    <t>None</t>
  </si>
  <si>
    <t>CSG (EndPoint)</t>
  </si>
  <si>
    <t>Accessories</t>
  </si>
  <si>
    <t>Others</t>
  </si>
  <si>
    <t>Closed Won</t>
  </si>
  <si>
    <t>Green</t>
  </si>
  <si>
    <t>CG-AE-0001</t>
  </si>
  <si>
    <t>-</t>
  </si>
  <si>
    <t>OPF no: CG-AE-0001</t>
  </si>
  <si>
    <t>South</t>
  </si>
  <si>
    <t>POT86708</t>
  </si>
  <si>
    <t>LCD PANEL BEZEL HINGES with Cable</t>
  </si>
  <si>
    <t>CG-AE-0003</t>
  </si>
  <si>
    <t>OPF no: CG-AE-0003</t>
  </si>
  <si>
    <t>POT86765</t>
  </si>
  <si>
    <t>Actavis Pharma Development Centre Pvt. Ltd.</t>
  </si>
  <si>
    <t>Kaiser Shaikh</t>
  </si>
  <si>
    <t>Lenovo ThinkStation P3 TWR G2</t>
  </si>
  <si>
    <t>Ajay Patodia+Abrar Memon</t>
  </si>
  <si>
    <t>Ajay Patodia</t>
  </si>
  <si>
    <t>Workstation</t>
  </si>
  <si>
    <t>Lenovo</t>
  </si>
  <si>
    <t>CG-AE-0004</t>
  </si>
  <si>
    <t>OPF no: CG-AE-0004</t>
  </si>
  <si>
    <t>18-08-2025 10:36 AM</t>
  </si>
  <si>
    <t>POT84209</t>
  </si>
  <si>
    <t>EIT Services India Private Limited C/o DXC Technology</t>
  </si>
  <si>
    <t>Hemant Singh</t>
  </si>
  <si>
    <t>Dell PowerMax Storage Renewal for IOB Project - 6th Years</t>
  </si>
  <si>
    <t>Ajay Patodia+Mukesh Choithani</t>
  </si>
  <si>
    <t>Data Centre</t>
  </si>
  <si>
    <t>Storage</t>
  </si>
  <si>
    <t>Dell</t>
  </si>
  <si>
    <t>29-04-2026</t>
  </si>
  <si>
    <t>Need to follow-up for the 4th &amp; 5th Years AMC Renewal PO from DXC for the IOB Project.
Shared the proposal for 4th to 7th Years
Waiting for the internal approval from the user team to take it forward
Need to shared the revised proposal with the upgrade hardware support.
Shared the revised proposal
Cusotmer is going to release the PO for the 4th &amp; 5th Year AMC Renewal for teh rest Cusotmer is going to discussed with Dell
Prepare 4th &amp; 5th Year AMC Renewal POT separately.
POT # POT86337 for the 4th Year AMC Renewal
POT # POT86338 for the 5th Year AMC Renewal
Shared the revised proposal for the 6th Years.
Verbal confirmation received, awaiting for formal PO
Recd order</t>
  </si>
  <si>
    <t>Bottomline</t>
  </si>
  <si>
    <t>21-02-2026 2:40 PM</t>
  </si>
  <si>
    <t>POT86085</t>
  </si>
  <si>
    <t>Tata Communications Ltd.</t>
  </si>
  <si>
    <t>Rohit Kumar Gupta</t>
  </si>
  <si>
    <t>Dell Server AMC Renewal - Qty 31nos</t>
  </si>
  <si>
    <t>OEM Lead</t>
  </si>
  <si>
    <t>Compute</t>
  </si>
  <si>
    <t>26-05-2026</t>
  </si>
  <si>
    <t>DP-AP-0008</t>
  </si>
  <si>
    <t>Required 32 nos Dell PowerEdge Server AMC for the period of 1 Year
Shared the renewal proposal.
Shared the revised renewal proposal
OPF no: DP-AP-0008</t>
  </si>
  <si>
    <t>31-03-2026 6:13 PM</t>
  </si>
  <si>
    <t>POT86383</t>
  </si>
  <si>
    <t>Prathamesh Tawde</t>
  </si>
  <si>
    <t>EMC Unity Storage Renewal</t>
  </si>
  <si>
    <t>EMC</t>
  </si>
  <si>
    <t>DP-AP-0002</t>
  </si>
  <si>
    <t>Requried AMC Renewal for EMC Unity Storage for the Period of 1 Year.
Storage Serial nos - CKM00182000675
Support required from 01.04.2026 to 31.03.2027
Shared the renewal proposal with 100% OM back to back support.
Shared the revised proposal
OPF no: DP-AP-0002</t>
  </si>
  <si>
    <t>POT86412</t>
  </si>
  <si>
    <t>Dell Server Renewal for INSTACC &amp; GHCC  Project</t>
  </si>
  <si>
    <t>DP-AP-0001</t>
  </si>
  <si>
    <t>Required AMC Renewal for Dell Server - INSTACC &amp; GHCC 
Total nos of Servers Counts - 50
Required support till 31st March 2027
Shared the renewal proposal with 100% OEM back to back support.
OPF no: DP-AP-0001</t>
  </si>
  <si>
    <t>POT86417</t>
  </si>
  <si>
    <t>Sun Pharmaceuticals Limited</t>
  </si>
  <si>
    <t>Rohit Walke</t>
  </si>
  <si>
    <t>Dell Server and Storage AMC Renewal FY 26-27</t>
  </si>
  <si>
    <t>DP-AP-0026</t>
  </si>
  <si>
    <t>Required Dell Servers and Storage AMC Renewal for the current year from 0.4.2026 to 31.03.2027
Existing support already got expired on 31.03.2026
Mail confirmation received, awaiting for the formal PO
Need to shared the renewal proposal.
Shared the revised proposal.
Recd order
OPF no: DP-AP-0026</t>
  </si>
  <si>
    <t>16-04-2026 09:09 AM</t>
  </si>
  <si>
    <t>POT86542</t>
  </si>
  <si>
    <t>Dell PowerEdge R440 Server Renewal - 2nos</t>
  </si>
  <si>
    <t>17-04-2026</t>
  </si>
  <si>
    <t>DP-AP-0003</t>
  </si>
  <si>
    <t>Required Dell PowerEdge R440 Server AMC Renewal for 1 Years 
Server Counts - 2nos 
Server Serial nos - C98RM93, G98RM93
Shared the renewal proposal with Post standard support for the period of 1 year with 100% OEM back to back support from 22.02.2026 to 21.02.2027
OPF no: DP-AP-0003</t>
  </si>
  <si>
    <t>20-04-2026 11:43 AM</t>
  </si>
  <si>
    <t>POT86586</t>
  </si>
  <si>
    <t>NOVAMESH LIMITED</t>
  </si>
  <si>
    <t>Manikandan Sethuraman</t>
  </si>
  <si>
    <t>Dell Server and Storage Renewal for 3 months</t>
  </si>
  <si>
    <t>22-04-2026</t>
  </si>
  <si>
    <t>DP-AP-0004</t>
  </si>
  <si>
    <t>Required Dell Servers and Storage AMC Renewal for 3 months from 01.04.2026 to 30.06.2026
Shared the renewal proposal.
OPF no: DP-AP-0004</t>
  </si>
  <si>
    <t>28-04-2026 11:33 AM</t>
  </si>
  <si>
    <t>POT86645</t>
  </si>
  <si>
    <t>Dell Server AMC Renewal - Qty 10nos</t>
  </si>
  <si>
    <t>DP-AP-0006</t>
  </si>
  <si>
    <t>Required Dell Server AMC Renewal for 1 year
Server Counts - 10nos
Dell PowerEdge R630 Servers - Qty 7nos
Dell PowerEdge R730Dx Servers - 3nos
Required AMC Renewal for 1 Year from 01.04.2026 to 31.03.2027
Shared the proposal with Post Standard support SLA for the period of 1 Year.
OPF no: DP-AP-0006</t>
  </si>
  <si>
    <t>15-05-2026 5:42 PM</t>
  </si>
  <si>
    <t>POT86803</t>
  </si>
  <si>
    <t>Dell R740 Server Renewal - 2nos</t>
  </si>
  <si>
    <t>19-05-2026</t>
  </si>
  <si>
    <t>DP-AP-0007</t>
  </si>
  <si>
    <t>Required Dell R740 Server AMC Renewal.
Server Serial nos - 9BMMB03, 9BNQB03
Shared the renewal proposal for 1 year from 01.04.2026 to 31.03.2027 with Prosupport Plus and 4Hr Mission Critical SLA.
OPF no: DP-AP-0007</t>
  </si>
  <si>
    <t>27-05-2026 11:44 AM</t>
  </si>
  <si>
    <t>POT86919</t>
  </si>
  <si>
    <t>27-05-2026</t>
  </si>
  <si>
    <t>DP-AP-0009</t>
  </si>
  <si>
    <t>Required Dell Servers and Storage AMC Renewal for the current year from 0.4.2026 to 31.03.2027
Existing support already got expired on 31.03.2026
Need to shared the renewal proposal.
Shared the revised proposal
OPF no: DP-AP-0009</t>
  </si>
  <si>
    <t>27-05-2026 12:08 PM</t>
  </si>
  <si>
    <t>POT86920</t>
  </si>
  <si>
    <t>DP-AP-0010</t>
  </si>
  <si>
    <t>Required Dell Servers and Storage AMC Renewal for the current year from 0.4.2026 to 31.03.2027
Existing support already got expired on 31.03.2026
Need to shared the renewal proposal.
Shared the revised proposal
OPF no: DP-AP-0010
Received Multiple PO for AMC renewal of Dell Server and Storage</t>
  </si>
  <si>
    <t>27-05-2026 12:19 PM</t>
  </si>
  <si>
    <t>POT86921</t>
  </si>
  <si>
    <t>DP-AP-0011</t>
  </si>
  <si>
    <t>Required Dell Servers and Storage AMC Renewal for the current year from 0.4.2026 to 31.03.2027
Existing support already got expired on 31.03.2026
Need to shared the renewal proposal.
Shared the revised proposal
OPF no: DP-AP-0011
Received Multiple PO for AMC renewal of Dell Server and Storage</t>
  </si>
  <si>
    <t>27-05-2026 12:29 PM</t>
  </si>
  <si>
    <t>POT86922</t>
  </si>
  <si>
    <t>SUN PHARMA LABORATORIES LTD.</t>
  </si>
  <si>
    <t>DP-AP-0012</t>
  </si>
  <si>
    <t>Required Dell Servers and Storage AMC Renewal for the current year from 0.4.2026 to 31.03.2027
Existing support already got expired on 31.03.2026
Need to shared the renewal proposal.
Shared the revised proposal
OPF no: DP-AP-0012
Received Multiple PO for AMC renewal of Dell Server and Storage</t>
  </si>
  <si>
    <t>27-05-2026 12:47 PM</t>
  </si>
  <si>
    <t>POT86923</t>
  </si>
  <si>
    <t>DP-AP-0013</t>
  </si>
  <si>
    <t>Required Dell Servers and Storage AMC Renewal for the current year from 0.4.2026 to 31.03.2027
Existing support already got expired on 31.03.2026
Need to shared the renewal proposal.
Shared the revised proposal
OPF no: DP-AP-0013
Received Multiple PO for AMC renewal of Dell Server and Storage</t>
  </si>
  <si>
    <t>27-05-2026 1:02 PM</t>
  </si>
  <si>
    <t>POT86924</t>
  </si>
  <si>
    <t>DP-AP-0014</t>
  </si>
  <si>
    <t>Required Dell Servers and Storage AMC Renewal for the current year from 0.4.2026 to 31.03.2027
Existing support already got expired on 31.03.2026
Need to shared the renewal proposal.
Shared the revised proposal
OPF no: DP-AP-0014
Received Multiple PO for AMC renewal of Dell Server and Storage</t>
  </si>
  <si>
    <t>27-05-2026 1:14 PM</t>
  </si>
  <si>
    <t>POT86925</t>
  </si>
  <si>
    <t>DP-AP-0015</t>
  </si>
  <si>
    <t>Required Dell Servers and Storage AMC Renewal for the current year from 0.4.2026 to 31.03.2027
Existing support already got expired on 31.03.2026
Need to shared the renewal proposal.
Shared the revised proposal
OPF no: DP-AP-0015
Received Multiple PO for AMC renewal of Dell Server and Storage</t>
  </si>
  <si>
    <t>27-05-2026 1:24 PM</t>
  </si>
  <si>
    <t>POT86926</t>
  </si>
  <si>
    <t>DP-AP-0016</t>
  </si>
  <si>
    <t>Required Dell Servers and Storage AMC Renewal for the current year from 0.4.2026 to 31.03.2027
Existing support already got expired on 31.03.2026
Need to shared the renewal proposal.
Shared the revised proposal
OPF no: DP-AP-0016
Received Multiple PO for AMC renewal of Dell Server and Storage</t>
  </si>
  <si>
    <t>27-05-2026 2:11 PM</t>
  </si>
  <si>
    <t>POT86927</t>
  </si>
  <si>
    <t>DP-AP-0017</t>
  </si>
  <si>
    <t>Required Dell Servers and Storage AMC Renewal for the current year from 0.4.2026 to 31.03.2027
Existing support already got expired on 31.03.2026
Need to shared the renewal proposal.
Shared the revised proposal
OPF no: DP-AP-0017
Received Multiple PO for AMC renewal of Dell Server and Storage</t>
  </si>
  <si>
    <t>27-05-2026 2:16 PM</t>
  </si>
  <si>
    <t>POT86928</t>
  </si>
  <si>
    <t>DP-AP-0018</t>
  </si>
  <si>
    <t>Required Dell Servers and Storage AMC Renewal for the current year from 0.4.2026 to 31.03.2027
Existing support already got expired on 31.03.2026
Need to shared the renewal proposal.
Shared the revised proposal
OPF no: DP-AP-0018
Received Multiple PO for AMC renewal of Dell Server and Storage</t>
  </si>
  <si>
    <t>27-05-2026 2:22 PM</t>
  </si>
  <si>
    <t>POT86929</t>
  </si>
  <si>
    <t>DP-AP-0019</t>
  </si>
  <si>
    <t>Required Dell Servers and Storage AMC Renewal for the current year from 0.4.2026 to 31.03.2027
Existing support already got expired on 31.03.2026
Need to shared the renewal proposal.
Shared the revised proposal
OPF no: DP-AP-0019
Received Multiple PO for AMC renewal of Dell Server and Storage</t>
  </si>
  <si>
    <t>27-05-2026 2:29 PM</t>
  </si>
  <si>
    <t>POT86931</t>
  </si>
  <si>
    <t>DP-AP-0020</t>
  </si>
  <si>
    <t>Required Dell Servers and Storage AMC Renewal for the current year from 0.4.2026 to 31.03.2027
Existing support already got expired on 31.03.2026
Need to shared the renewal proposal.
Shared the revised proposal
OPF no: DP-AP-0020
Received Multiple PO for AMC renewal of Dell Server and Storage</t>
  </si>
  <si>
    <t>27-05-2026 2:35 PM</t>
  </si>
  <si>
    <t>POT86934</t>
  </si>
  <si>
    <t>DP-AP-0021</t>
  </si>
  <si>
    <t>Required Dell Servers and Storage AMC Renewal for the current year from 0.4.2026 to 31.03.2027
Existing support already got expired on 31.03.2026
Need to shared the renewal proposal.
Shared the revised proposal
OPF no: DP-AP-0021
Received Multiple PO for AMC renewal of Dell Server and Storage</t>
  </si>
  <si>
    <t>27-05-2026 2:52 PM</t>
  </si>
  <si>
    <t>POT86935</t>
  </si>
  <si>
    <t>DP-AP-0022</t>
  </si>
  <si>
    <t>Required Dell Servers and Storage AMC Renewal for the current year from 0.4.2026 to 31.03.2027
Existing support already got expired on 31.03.2026
Need to shared the renewal proposal.
Shared the revised proposal
OPF no: DP-AP-0022
Received Multiple PO for AMC renewal of Dell Server and Storage</t>
  </si>
  <si>
    <t>27-05-2026 3:57 PM</t>
  </si>
  <si>
    <t>POT86937</t>
  </si>
  <si>
    <t>DP-AP-0023</t>
  </si>
  <si>
    <t>Required Dell Servers and Storage AMC Renewal for the current year from 0.4.2026 to 31.03.2027
Existing support already got expired on 31.03.2026
Need to shared the renewal proposal.
Shared the revised proposal
OPF no: DP-AP-0023
Received Multiple PO for AMC renewal of Dell Server and Storage</t>
  </si>
  <si>
    <t>27-05-2026 4:17 PM</t>
  </si>
  <si>
    <t>POT86938</t>
  </si>
  <si>
    <t>DP-AP-0024</t>
  </si>
  <si>
    <t>Required Dell Servers and Storage AMC Renewal for the current year from 0.4.2026 to 31.03.2027
Existing support already got expired on 31.03.2026
Need to shared the renewal proposal.
Shared the revised proposal
OPF no: DP-AP-0024
Received Multiple PO for AMC renewal of Dell Server and Storage</t>
  </si>
  <si>
    <t>POT87072</t>
  </si>
  <si>
    <t>Silicon Business Solutions Pvt. Ltd</t>
  </si>
  <si>
    <t>Praveena G</t>
  </si>
  <si>
    <t>One - Time implementation of Nutanix</t>
  </si>
  <si>
    <t>Nutanix</t>
  </si>
  <si>
    <t>DP-AP-0025</t>
  </si>
  <si>
    <t>OPF no: DP-AP-0025</t>
  </si>
  <si>
    <t>POT87086</t>
  </si>
  <si>
    <t>Paisabazaar</t>
  </si>
  <si>
    <t>Yogesh Laddha</t>
  </si>
  <si>
    <t>Rental Server</t>
  </si>
  <si>
    <t>HPE/Aruba</t>
  </si>
  <si>
    <t>DP-SK-0002</t>
  </si>
  <si>
    <t>15-06-2026 12:25 PM</t>
  </si>
  <si>
    <t>POT87116</t>
  </si>
  <si>
    <t>Sun Pharma AdvancedResearch Co Ltd</t>
  </si>
  <si>
    <t>Dell Storage AMC Renewal FY 26-27</t>
  </si>
  <si>
    <t>15-06-2026</t>
  </si>
  <si>
    <t>DP-AP-0027</t>
  </si>
  <si>
    <t>Required Dell Servers and Storage AMC Renewal for the current year from 0.4.2026 to 31.03.2027
Existing support already got expired on 31.03.2026
Mail confirmation received, awaiting for the formal PO
Need to shared the renewal proposal.
Shared the revised proposal.
Recd order
OPF no: DP-AP-0027</t>
  </si>
  <si>
    <t>20-04-2026 3:33 PM</t>
  </si>
  <si>
    <t>POT86591</t>
  </si>
  <si>
    <t>Hard Disk 12TB</t>
  </si>
  <si>
    <t>Ajay Patodia+Mukesh Choithani+Abrar Memon</t>
  </si>
  <si>
    <t>20-04-2026</t>
  </si>
  <si>
    <t>CG-AE-0002</t>
  </si>
  <si>
    <t>OPF no: CG-AE-0002</t>
  </si>
  <si>
    <t>14-02-2026 10:13 PM</t>
  </si>
  <si>
    <t>POT86003</t>
  </si>
  <si>
    <t>Yes Securities (India) Ltd</t>
  </si>
  <si>
    <t>Yogendra Vishwakarma</t>
  </si>
  <si>
    <t>AMC Renewal for Dell Server and Storage</t>
  </si>
  <si>
    <t>Chetna Sharma</t>
  </si>
  <si>
    <t>Ajay Patodia+Mukesh Choithani+Chetna Sharma</t>
  </si>
  <si>
    <t>Mukesh Choithani</t>
  </si>
  <si>
    <t>Other OEM Services</t>
  </si>
  <si>
    <t>25-04-2026</t>
  </si>
  <si>
    <t>DP-CH-0003</t>
  </si>
  <si>
    <t>S2</t>
  </si>
  <si>
    <t>POT86736</t>
  </si>
  <si>
    <t>Yes Bank Limited</t>
  </si>
  <si>
    <t>Shree Akolkar</t>
  </si>
  <si>
    <t>Dell Onsite RE Services - 5 Months</t>
  </si>
  <si>
    <t>DP-CH-0010</t>
  </si>
  <si>
    <t>24-05-2026 10:52 PM</t>
  </si>
  <si>
    <t>POT86885</t>
  </si>
  <si>
    <t>Supriya Chandugade</t>
  </si>
  <si>
    <t>AMC for Server for 5 Months - 473 Qty</t>
  </si>
  <si>
    <t>24-05-2026</t>
  </si>
  <si>
    <t>DP-CH-0005</t>
  </si>
  <si>
    <t>Margin as per SP</t>
  </si>
  <si>
    <t>POT86433</t>
  </si>
  <si>
    <t>MCX INDIA LTD</t>
  </si>
  <si>
    <t>Krunal Sankhe</t>
  </si>
  <si>
    <t>GPU Facility - 1 month POC</t>
  </si>
  <si>
    <t>Chirag Palande</t>
  </si>
  <si>
    <t>Ajay Patodia+Mukesh Choithani+Chirag Palande</t>
  </si>
  <si>
    <t>Cloud</t>
  </si>
  <si>
    <t>DP-CP-0001</t>
  </si>
  <si>
    <t>S1</t>
  </si>
  <si>
    <t>31-01-2026 12:54 PM</t>
  </si>
  <si>
    <t>POT85871</t>
  </si>
  <si>
    <t>Mirae Asset investment Manager</t>
  </si>
  <si>
    <t>Sameer Mhatre</t>
  </si>
  <si>
    <t>Tech refresh: DC &amp; DR</t>
  </si>
  <si>
    <t>Darshana Patil</t>
  </si>
  <si>
    <t>Ajay Patodia+Mukesh Choithani+Darshana Patil</t>
  </si>
  <si>
    <t>VMware</t>
  </si>
  <si>
    <t>Approved</t>
  </si>
  <si>
    <t>14-05-2026 1:51 PM</t>
  </si>
  <si>
    <t>POT86775</t>
  </si>
  <si>
    <t>Hindustan Ports Private Limited</t>
  </si>
  <si>
    <t>Nitin Gosavi</t>
  </si>
  <si>
    <t>Redhat Renewal</t>
  </si>
  <si>
    <t>Virtualisation</t>
  </si>
  <si>
    <t>RedHat</t>
  </si>
  <si>
    <t>14-05-2026</t>
  </si>
  <si>
    <t>DP-DP-0008</t>
  </si>
  <si>
    <t>20-06-2026 6:12 PM</t>
  </si>
  <si>
    <t>POT87177</t>
  </si>
  <si>
    <t>20-06-2026</t>
  </si>
  <si>
    <t>DP-DP-0015</t>
  </si>
  <si>
    <t>POT86438</t>
  </si>
  <si>
    <t>Godrej Industries Ltd</t>
  </si>
  <si>
    <t>Turang Ladhani</t>
  </si>
  <si>
    <t>Godrej nutanix</t>
  </si>
  <si>
    <t>Ishwari Kadam</t>
  </si>
  <si>
    <t>Ajay Patodia+Mukesh Choithani+Ishwari Kadam</t>
  </si>
  <si>
    <t>DP-IK-0001</t>
  </si>
  <si>
    <t>AVP - S1</t>
  </si>
  <si>
    <t>27-04-2026 1:29 PM</t>
  </si>
  <si>
    <t>POT86641</t>
  </si>
  <si>
    <t>Godrej Lenevo AMC</t>
  </si>
  <si>
    <t>DP-IK-0002</t>
  </si>
  <si>
    <t>POT86687</t>
  </si>
  <si>
    <t>Backup Hyper V host  AMC -ThinkSystem SR530</t>
  </si>
  <si>
    <t>DP-IK-0003</t>
  </si>
  <si>
    <t>14-05-2026 4:04 PM</t>
  </si>
  <si>
    <t>POT86784</t>
  </si>
  <si>
    <t>Godrej Consumer  Products Ltd</t>
  </si>
  <si>
    <t>GODREJ - Rental server - 2026</t>
  </si>
  <si>
    <t>Rental</t>
  </si>
  <si>
    <t>DP-IK-0004</t>
  </si>
  <si>
    <t>POT86435</t>
  </si>
  <si>
    <t>Accelya Kale Solutions Limited</t>
  </si>
  <si>
    <t>Neha Chavda</t>
  </si>
  <si>
    <t>Dell Server AMC B001PO-00812</t>
  </si>
  <si>
    <t>Prachi Mayekar</t>
  </si>
  <si>
    <t>Ajay Patodia+Mukesh Choithani+Prachi Mayekar</t>
  </si>
  <si>
    <t>16-06-2026</t>
  </si>
  <si>
    <t>CB</t>
  </si>
  <si>
    <t>13-04-2026 11:07 AM</t>
  </si>
  <si>
    <t>POT86515</t>
  </si>
  <si>
    <t>JSW Steel</t>
  </si>
  <si>
    <t>Rahul kashyap</t>
  </si>
  <si>
    <t>Urgent: Server Proposal : 16 Nos</t>
  </si>
  <si>
    <t>15-05-2026</t>
  </si>
  <si>
    <t>DP-PC-0008</t>
  </si>
  <si>
    <t>19-06-2026 12:25 PM</t>
  </si>
  <si>
    <t>POT87152</t>
  </si>
  <si>
    <t>Dell Server AMC B001PO-00811</t>
  </si>
  <si>
    <t>POT86158</t>
  </si>
  <si>
    <t>Tata Power Company Ltd</t>
  </si>
  <si>
    <t>sandeep karnavat</t>
  </si>
  <si>
    <t>dell AMC 6 MONTHS</t>
  </si>
  <si>
    <t>Richa Tiwari</t>
  </si>
  <si>
    <t>Ajay Patodia+Mukesh Choithani+Richa Tiwari</t>
  </si>
  <si>
    <t>DP-RT-0002</t>
  </si>
  <si>
    <t>23-03-2026 3:24 PM</t>
  </si>
  <si>
    <t>POT86339</t>
  </si>
  <si>
    <t>Tata power Renewables Energy Ltd</t>
  </si>
  <si>
    <t>paresh onsker</t>
  </si>
  <si>
    <t>Host-based RHEL license at Bangalore</t>
  </si>
  <si>
    <t>Software</t>
  </si>
  <si>
    <t>DP-RT-0007</t>
  </si>
  <si>
    <t>13-04-2026 11:56 AM</t>
  </si>
  <si>
    <t>POT86519</t>
  </si>
  <si>
    <t>TATA Power Solar.</t>
  </si>
  <si>
    <t>Windows Server Standard licenses QTY 2</t>
  </si>
  <si>
    <t>Microsoft</t>
  </si>
  <si>
    <t>19-06-2026</t>
  </si>
  <si>
    <t>17-04-2026 5:51 PM</t>
  </si>
  <si>
    <t>POT86564</t>
  </si>
  <si>
    <t>Tata International Limited</t>
  </si>
  <si>
    <t>Nafis Sheikh</t>
  </si>
  <si>
    <t>veeam renewal 1 year</t>
  </si>
  <si>
    <t>Backup &amp; Recovery</t>
  </si>
  <si>
    <t>23-05-2026</t>
  </si>
  <si>
    <t>DP-RT-0017</t>
  </si>
  <si>
    <t>15-05-2026 11:34 AM</t>
  </si>
  <si>
    <t>POT86790</t>
  </si>
  <si>
    <t>TATA Chemicals Limited</t>
  </si>
  <si>
    <t>Vikash Kumar Singh</t>
  </si>
  <si>
    <t>AMC Dell Servers at,Gummidipoondi</t>
  </si>
  <si>
    <t>30-06-2026</t>
  </si>
  <si>
    <t>19-05-2026 09:52 AM</t>
  </si>
  <si>
    <t>POT86834</t>
  </si>
  <si>
    <t>Tata Consulting Engineers Limited</t>
  </si>
  <si>
    <t>Aneesh Joseph</t>
  </si>
  <si>
    <t>netapp 70 tb storage for 4 branches</t>
  </si>
  <si>
    <t>Netapp</t>
  </si>
  <si>
    <t>28-05-2026</t>
  </si>
  <si>
    <t>13-04-2026 3:23 PM</t>
  </si>
  <si>
    <t>POT86528</t>
  </si>
  <si>
    <t>Bharat Petroleum Corporation Limited</t>
  </si>
  <si>
    <t>Anil Satpute</t>
  </si>
  <si>
    <t>cisco AMC</t>
  </si>
  <si>
    <t>Riya Bhatt</t>
  </si>
  <si>
    <t>Ajay Patodia+Mukesh Choithani+Riya Bhatt</t>
  </si>
  <si>
    <t>CISCO</t>
  </si>
  <si>
    <t>13-04-2026</t>
  </si>
  <si>
    <t>27-04-2026 1:01 PM</t>
  </si>
  <si>
    <t>POT86638</t>
  </si>
  <si>
    <t>Axis Bank Ltd</t>
  </si>
  <si>
    <t>Tarique Husain</t>
  </si>
  <si>
    <t>Sourceone Storage HItachi</t>
  </si>
  <si>
    <t>Rohit Deshmukh</t>
  </si>
  <si>
    <t>Ajay Patodia+Mukesh Choithani+Rohit Deshmukh</t>
  </si>
  <si>
    <t>Enterprise Coverage</t>
  </si>
  <si>
    <t>DP-RD-0005</t>
  </si>
  <si>
    <t>23-06-2026 4:08 PM</t>
  </si>
  <si>
    <t>POT87221</t>
  </si>
  <si>
    <t>CHUBB Systems Pvt Ltd</t>
  </si>
  <si>
    <t>sudhindra acharya</t>
  </si>
  <si>
    <t>Dell T360 Server</t>
  </si>
  <si>
    <t>Sagar TR</t>
  </si>
  <si>
    <t>Ajay Patodia+Mukesh Choithani+Sagar TR</t>
  </si>
  <si>
    <t>24-06-2026</t>
  </si>
  <si>
    <t>DP-SC-0033</t>
  </si>
  <si>
    <t>OPF no: DP-SC-0033</t>
  </si>
  <si>
    <t>14-04-2026 11:10 AM</t>
  </si>
  <si>
    <t>POT86529</t>
  </si>
  <si>
    <t>Gigamon Solutions India Pvt. Ltd</t>
  </si>
  <si>
    <t>Syamala Vasudevan</t>
  </si>
  <si>
    <t>NETAPP STORAGE</t>
  </si>
  <si>
    <t>Shahbaz Khan</t>
  </si>
  <si>
    <t>Ajay Patodia+Mukesh Choithani+Shahbaz Khan</t>
  </si>
  <si>
    <t>DP-SZ-0004</t>
  </si>
  <si>
    <t>OPF no: DP-SZ-0004</t>
  </si>
  <si>
    <t>23-05-2026 10:41 AM</t>
  </si>
  <si>
    <t>POT86859</t>
  </si>
  <si>
    <t>BNB Security &amp; Automation Solutions (P) Ltd</t>
  </si>
  <si>
    <t>Rudresh A</t>
  </si>
  <si>
    <t>DELL SERVERS</t>
  </si>
  <si>
    <t>DP-SZ-0007</t>
  </si>
  <si>
    <t>OPF no: DP-SZ-0007</t>
  </si>
  <si>
    <t>POT86993</t>
  </si>
  <si>
    <t>Chanakya University</t>
  </si>
  <si>
    <t>Sachin Goni</t>
  </si>
  <si>
    <t>HPe GPU Server</t>
  </si>
  <si>
    <t>Shaik Khadhar</t>
  </si>
  <si>
    <t>Ajay Patodia+Mukesh Choithani+Shaik Khadhar</t>
  </si>
  <si>
    <t>HP</t>
  </si>
  <si>
    <t>DP-HS-0003</t>
  </si>
  <si>
    <t>Shared the proposal for HPe
Received mail confirmation, awaiting formal PO</t>
  </si>
  <si>
    <t>26-03-2026 3:14 PM</t>
  </si>
  <si>
    <t>POT86357</t>
  </si>
  <si>
    <t>Bank of Baroda</t>
  </si>
  <si>
    <t>shubham sachan</t>
  </si>
  <si>
    <t>Storage AMC</t>
  </si>
  <si>
    <t>Tasneem K</t>
  </si>
  <si>
    <t>Ajay Patodia+Mukesh Choithani+Tasneem K</t>
  </si>
  <si>
    <t>29-04-2026 1:06 PM</t>
  </si>
  <si>
    <t>POT86658</t>
  </si>
  <si>
    <t>Bank of India</t>
  </si>
  <si>
    <t>Deepak Prakash</t>
  </si>
  <si>
    <t>boi A300 storage lift</t>
  </si>
  <si>
    <t>DB-TK-0007</t>
  </si>
  <si>
    <t>POT86746</t>
  </si>
  <si>
    <t>Central Bank of India</t>
  </si>
  <si>
    <t>Rahul Jadhav</t>
  </si>
  <si>
    <t>Vmware VCF licence</t>
  </si>
  <si>
    <t>30-05-2026</t>
  </si>
  <si>
    <t>25-05-2026 10:18 AM</t>
  </si>
  <si>
    <t>POT86891</t>
  </si>
  <si>
    <t>Larsen &amp; Toubro Technology Services Limited</t>
  </si>
  <si>
    <t>Bhavik Shah</t>
  </si>
  <si>
    <t>LTTS - Dell AMC</t>
  </si>
  <si>
    <t>Varsha Ray</t>
  </si>
  <si>
    <t>Ajay Patodia+Mukesh Choithani+Varsha Ray</t>
  </si>
  <si>
    <t>25-05-2026 10:44 AM</t>
  </si>
  <si>
    <t>POT86894</t>
  </si>
  <si>
    <t>Schneider Electric India Private Limited</t>
  </si>
  <si>
    <t>Hrishikesh Kadrekar</t>
  </si>
  <si>
    <t>Schneider - IO IT Hardware</t>
  </si>
  <si>
    <t>Atharva Karpe</t>
  </si>
  <si>
    <t>Ajay Patodia+Mukesh Choithani+Yogesh Bhatia+Atharva Karpe</t>
  </si>
  <si>
    <t>Yogesh Bhatia</t>
  </si>
  <si>
    <t>DP-AC-0009</t>
  </si>
  <si>
    <t>GB</t>
  </si>
  <si>
    <t>POT85986</t>
  </si>
  <si>
    <t>Sterling Wilson</t>
  </si>
  <si>
    <t>Vivek Chavan</t>
  </si>
  <si>
    <t>Sterling - endpoints</t>
  </si>
  <si>
    <t>Jay Rushi</t>
  </si>
  <si>
    <t>Ajay Patodia+Mukesh Choithani+Yogesh Bhatia+Jay Rushi</t>
  </si>
  <si>
    <t>CG-JU-0010</t>
  </si>
  <si>
    <t>POT86713</t>
  </si>
  <si>
    <t>Parksons Packaging Ltd</t>
  </si>
  <si>
    <t>Sachin Gholap</t>
  </si>
  <si>
    <t>DP-JU-0007</t>
  </si>
  <si>
    <t>DP-JU-0007 and DP-JU-0008</t>
  </si>
  <si>
    <t>17-04-2026 6:32 PM</t>
  </si>
  <si>
    <t>POT86565</t>
  </si>
  <si>
    <t>Seagate 10TB Enterprise Internal Hard Drive</t>
  </si>
  <si>
    <t>Ajay Patodia+Shahbaz Khan</t>
  </si>
  <si>
    <t>CG-SZ-0003</t>
  </si>
  <si>
    <t>OPF no: CG-SZ-0003</t>
  </si>
  <si>
    <t>18-05-2026 1:34 PM</t>
  </si>
  <si>
    <t>POT86824</t>
  </si>
  <si>
    <t>OmneNEST Technologies Pvt. Ltd</t>
  </si>
  <si>
    <t>Nishant Trivedi</t>
  </si>
  <si>
    <t>AMD SOLARFLARE NIC CARDS</t>
  </si>
  <si>
    <t>CG-SZ-0008</t>
  </si>
  <si>
    <t>OPF no: CG-SZ-0008</t>
  </si>
  <si>
    <t>POT86420</t>
  </si>
  <si>
    <t>Consumer Group</t>
  </si>
  <si>
    <t>Mohit Agarwal</t>
  </si>
  <si>
    <t>Dell L7455 X Elite - 1 no</t>
  </si>
  <si>
    <t>Laptop</t>
  </si>
  <si>
    <t>CG-CH-0002</t>
  </si>
  <si>
    <t>Mohit agarwal works in YES Bank and Our dell AM (Mukesh Poojary) asked us to sell this laptop to him. we are selling in lesser price to him and taking negative call as discussed with Dell AM and Ishita.</t>
  </si>
  <si>
    <t>POT86388</t>
  </si>
  <si>
    <t>DP world</t>
  </si>
  <si>
    <t>WEBCAM</t>
  </si>
  <si>
    <t>CG-DP-0001</t>
  </si>
  <si>
    <t>POT86452</t>
  </si>
  <si>
    <t>indostar capital finance ltd</t>
  </si>
  <si>
    <t>Kamalesh Tripathi</t>
  </si>
  <si>
    <t>Laptop Bags</t>
  </si>
  <si>
    <t>CG-DP-0002</t>
  </si>
  <si>
    <t>17-04-2026 10:32 AM</t>
  </si>
  <si>
    <t>POT86550</t>
  </si>
  <si>
    <t>HP laserjet printer</t>
  </si>
  <si>
    <t>16-04-2026</t>
  </si>
  <si>
    <t>CG-DP-0003</t>
  </si>
  <si>
    <t>POT86718</t>
  </si>
  <si>
    <t>kamlesh tripathy</t>
  </si>
  <si>
    <t>Spares for laptop--Chennai</t>
  </si>
  <si>
    <t>CG-DP-0006</t>
  </si>
  <si>
    <t>POT86719</t>
  </si>
  <si>
    <t>Samsung Tablet</t>
  </si>
  <si>
    <t>Tablet</t>
  </si>
  <si>
    <t>Samsung</t>
  </si>
  <si>
    <t>13-05-2026 6:25 PM</t>
  </si>
  <si>
    <t>POT86772</t>
  </si>
  <si>
    <t>Battery for laptop--kolkata</t>
  </si>
  <si>
    <t>13-05-2026</t>
  </si>
  <si>
    <t>CG-DP-0007</t>
  </si>
  <si>
    <t>16-06-2026 11:44 AM</t>
  </si>
  <si>
    <t>POT87122</t>
  </si>
  <si>
    <t>Sharekhan Limited</t>
  </si>
  <si>
    <t>Gaurav Salunkhe</t>
  </si>
  <si>
    <t>Rajori Branch-  Canon Printer</t>
  </si>
  <si>
    <t>CG-DP-0011</t>
  </si>
  <si>
    <t>16-06-2026 11:57 AM</t>
  </si>
  <si>
    <t>POT87123</t>
  </si>
  <si>
    <t>Gurugram Branch-  Canon Printer</t>
  </si>
  <si>
    <t>CG-DP-0012</t>
  </si>
  <si>
    <t>16-06-2026 12:05 PM</t>
  </si>
  <si>
    <t>POT87124</t>
  </si>
  <si>
    <t>Pitampura-  Canon Printer</t>
  </si>
  <si>
    <t>CG-DP-0013</t>
  </si>
  <si>
    <t>18-01-2026 9:03 PM</t>
  </si>
  <si>
    <t>POT85752</t>
  </si>
  <si>
    <t>Bharat Forge Limited</t>
  </si>
  <si>
    <t>Nazar Pathan</t>
  </si>
  <si>
    <t>Surface Book 3 QTY</t>
  </si>
  <si>
    <t>Hrushikesh Bagade</t>
  </si>
  <si>
    <t>16-05-2026</t>
  </si>
  <si>
    <t>EU is looking 10 QTY MS Surface NB, working on price.
Proposal send and waiting for their response. po received. For 3 QTY</t>
  </si>
  <si>
    <t>Geo X</t>
  </si>
  <si>
    <t>27-01-2026 12:21 PM</t>
  </si>
  <si>
    <t>POT85804</t>
  </si>
  <si>
    <t>Emcure Pharmaceuticals Ltd</t>
  </si>
  <si>
    <t>Vijay Sidhapura</t>
  </si>
  <si>
    <t>DELL 28 Laptops</t>
  </si>
  <si>
    <t>CG-HB-0002</t>
  </si>
  <si>
    <t>EU is looking 100 QTY Laptops, working with DELL, shared specs with DELL for pricing, waiting for price from DELL. quote sent, 
PO received for 28 QTY</t>
  </si>
  <si>
    <t>POT86392</t>
  </si>
  <si>
    <t>PO 2 DELL NB 28 QTY</t>
  </si>
  <si>
    <t>CG-HB-0001</t>
  </si>
  <si>
    <t>EU want 28 QTY DELL NB, price sent , PO received</t>
  </si>
  <si>
    <t>21-05-2026 3:59 PM</t>
  </si>
  <si>
    <t>POT86853</t>
  </si>
  <si>
    <t>Bajaj Housing Finance Limited</t>
  </si>
  <si>
    <t>Abid Sayyad</t>
  </si>
  <si>
    <t>Adobe renewal</t>
  </si>
  <si>
    <t>21-05-2026</t>
  </si>
  <si>
    <t>EU is looking Adobe renewal, price sent, po received.</t>
  </si>
  <si>
    <t>POT86477</t>
  </si>
  <si>
    <t>Descrial UK Limited</t>
  </si>
  <si>
    <t>Brijesh Kumar Sahu</t>
  </si>
  <si>
    <t>AWS bill shift</t>
  </si>
  <si>
    <t>Ashish Singh</t>
  </si>
  <si>
    <t>Jitesh Rajput+Sandeep Makwana+Anil Zachariah+Ashish Singh</t>
  </si>
  <si>
    <t>Galaxy</t>
  </si>
  <si>
    <t>CL-AH-0008</t>
  </si>
  <si>
    <t>margin taken all</t>
  </si>
  <si>
    <t>POT86680</t>
  </si>
  <si>
    <t>Provilac Dairy Farms</t>
  </si>
  <si>
    <t>Vishal Pawale</t>
  </si>
  <si>
    <t>AWS Billing Reseller</t>
  </si>
  <si>
    <t>AWS</t>
  </si>
  <si>
    <t>Amber</t>
  </si>
  <si>
    <t>POT86488</t>
  </si>
  <si>
    <t>Great Eastern Shipping Company Ltd.</t>
  </si>
  <si>
    <t>Amey Manjrekar</t>
  </si>
  <si>
    <t>PS-Commvault Backup</t>
  </si>
  <si>
    <t>Professional Services</t>
  </si>
  <si>
    <t>Managed Services</t>
  </si>
  <si>
    <t>Commvault</t>
  </si>
  <si>
    <t>CL-AH-0002</t>
  </si>
  <si>
    <t>15-04-2026 12:37 PM</t>
  </si>
  <si>
    <t>POT86539</t>
  </si>
  <si>
    <t>Jiostar India Private Limited</t>
  </si>
  <si>
    <t>Deepak Chaoubey</t>
  </si>
  <si>
    <t>PS-Zabbix</t>
  </si>
  <si>
    <t>15-04-2026</t>
  </si>
  <si>
    <t>PM-AH-0001</t>
  </si>
  <si>
    <t>23-04-2026 12:50 PM</t>
  </si>
  <si>
    <t>POT86600</t>
  </si>
  <si>
    <t>Madhu Infotech India Pvt. Ltd</t>
  </si>
  <si>
    <t>Sebastian M G</t>
  </si>
  <si>
    <t>ZT integration - PS</t>
  </si>
  <si>
    <t>Deployment Services</t>
  </si>
  <si>
    <t>23-04-2026</t>
  </si>
  <si>
    <t>PM-AH-0003</t>
  </si>
  <si>
    <t>POT86681</t>
  </si>
  <si>
    <t>Cloud Managed Services</t>
  </si>
  <si>
    <t>26-05-2026 6:40 PM</t>
  </si>
  <si>
    <t>POT86915</t>
  </si>
  <si>
    <t>Lokmat Media Pvt Ltd</t>
  </si>
  <si>
    <t>Ram Saoji</t>
  </si>
  <si>
    <t>Grey</t>
  </si>
  <si>
    <t>16-06-2026 8:53 PM</t>
  </si>
  <si>
    <t>POT87131</t>
  </si>
  <si>
    <t>Finacus Solutions Private Limited</t>
  </si>
  <si>
    <t>Harish Menon</t>
  </si>
  <si>
    <t>Zabbix- Monitoring</t>
  </si>
  <si>
    <t>25-06-2026</t>
  </si>
  <si>
    <t>19-06-2026 1:17 PM</t>
  </si>
  <si>
    <t>POT87153</t>
  </si>
  <si>
    <t>Apparel Group India Pvt Ltd</t>
  </si>
  <si>
    <t>Ishhaq Shaikh</t>
  </si>
  <si>
    <t>PS-Commvault</t>
  </si>
  <si>
    <t>21-02-2026 3:21 PM</t>
  </si>
  <si>
    <t>POT86086</t>
  </si>
  <si>
    <t>Galaxy Resource - System Administrator L2 - 1 No</t>
  </si>
  <si>
    <t>Jitesh Rajput+Sandeep Makwana+Anil Zachariah+Chetna Sharma</t>
  </si>
  <si>
    <t>Jitesh Rajput</t>
  </si>
  <si>
    <t>Residency Services</t>
  </si>
  <si>
    <t>POT87000</t>
  </si>
  <si>
    <t>Galaxy Storage Resident Engineer - 12 Nos - 3 Years</t>
  </si>
  <si>
    <t>21-02-2026 5:41 PM</t>
  </si>
  <si>
    <t>POT86093</t>
  </si>
  <si>
    <t>Kalyani Strategic Systems Limited</t>
  </si>
  <si>
    <t>Commvault addon lics</t>
  </si>
  <si>
    <t>Jitesh Rajput+Sandeep Makwana+Anil Zachariah+Hrushikesh Bagade</t>
  </si>
  <si>
    <t>CL-HB-0028</t>
  </si>
  <si>
    <t>EU is looking for add 50 VM's Commvault lics, working on price. Proposal send and waiting for their response. po received.</t>
  </si>
  <si>
    <t>29-03-2026 8:30 PM</t>
  </si>
  <si>
    <t>POT86373</t>
  </si>
  <si>
    <t>Galaxy Manage Services - Commvault</t>
  </si>
  <si>
    <t>18-04-2026</t>
  </si>
  <si>
    <t>PM-HB-0027</t>
  </si>
  <si>
    <t>EU is looking renewal Galaxy MS for Commvault with some addon lics, proposal sent, under nego. expecting order by 31st Mar. po received .
Margin taken all</t>
  </si>
  <si>
    <t>POT86421</t>
  </si>
  <si>
    <t>Merck Life Science Private Limited</t>
  </si>
  <si>
    <t>aniruddha parvate</t>
  </si>
  <si>
    <t>Serum AP Project MS Renewal</t>
  </si>
  <si>
    <t>exiting renewal of Serum AP Project - Galaxy Manage Services, proposal sent, under nego, expecting to close in next 10days. waiting for PO, PR number received. po received.</t>
  </si>
  <si>
    <t>POT86715</t>
  </si>
  <si>
    <t>Serum DT Project MS Renewal</t>
  </si>
  <si>
    <t>Merck want to renewal Galaxy MS contract for Serum DT project, proposal sent, waiting for PO. we will get PO in June26 MID. po received.</t>
  </si>
  <si>
    <t>POT86716</t>
  </si>
  <si>
    <t>Merck Renewal for Serum TT Project_Galaxy MS</t>
  </si>
  <si>
    <t>Merck want to renewal MS contract for Serum TT project, proposal sent, waiting for PO. we will get PO in June26 MID. po received.</t>
  </si>
  <si>
    <t>20-04-2026 11:20 AM</t>
  </si>
  <si>
    <t>POT86580</t>
  </si>
  <si>
    <t>Punjab National Bank</t>
  </si>
  <si>
    <t>Himanshu mishra</t>
  </si>
  <si>
    <t>PNB bank AMC</t>
  </si>
  <si>
    <t>Pratik Kadam</t>
  </si>
  <si>
    <t>Jitesh Rajput+Sandeep Makwana+Anil Zachariah+Pratik Kadam</t>
  </si>
  <si>
    <t>21-04-2026</t>
  </si>
  <si>
    <t>PM-PM-0024</t>
  </si>
  <si>
    <t>30-03-2026 12:54 PM</t>
  </si>
  <si>
    <t>POT86375</t>
  </si>
  <si>
    <t>Vivek Surve</t>
  </si>
  <si>
    <t>L2 Resource Renewal 1 year</t>
  </si>
  <si>
    <t>Jitesh Rajput+Sandeep Makwana+Anil Zachariah+Richa Tiwari</t>
  </si>
  <si>
    <t>PR-RT-0003</t>
  </si>
  <si>
    <t>POT86415</t>
  </si>
  <si>
    <t>Resource Extension 1 year</t>
  </si>
  <si>
    <t>PR-RT-0006</t>
  </si>
  <si>
    <t>Margin taken all</t>
  </si>
  <si>
    <t>28-04-2026 11:16 AM</t>
  </si>
  <si>
    <t>POT86644</t>
  </si>
  <si>
    <t>Tata Chemicals Ltd</t>
  </si>
  <si>
    <t>hyper V activity</t>
  </si>
  <si>
    <t>PM-RT-0024</t>
  </si>
  <si>
    <t>29-11-2025 12:02 PM</t>
  </si>
  <si>
    <t>POT85237</t>
  </si>
  <si>
    <t>Indira IVF Fertility Centre</t>
  </si>
  <si>
    <t>mahesh sharma</t>
  </si>
  <si>
    <t>AWS Cloud Infra for Eshopaid application</t>
  </si>
  <si>
    <t>Shilpa Kavde</t>
  </si>
  <si>
    <t>Jitesh Rajput+Sandeep Makwana+Anil Zachariah+Shilpa Kavde</t>
  </si>
  <si>
    <t>Sandeep Makwana</t>
  </si>
  <si>
    <t>30-05-2026 1:24 PM</t>
  </si>
  <si>
    <t>POT86981</t>
  </si>
  <si>
    <t>Mahesh Sharma</t>
  </si>
  <si>
    <t>AWS Cloud Infra for New Website</t>
  </si>
  <si>
    <t>Anoop Pai Dhungat</t>
  </si>
  <si>
    <t>30-05-2026 1:27 PM</t>
  </si>
  <si>
    <t>POT86983</t>
  </si>
  <si>
    <t>AWS Cloud Infra</t>
  </si>
  <si>
    <t>30-05-2026 1:30 PM</t>
  </si>
  <si>
    <t>POT86984</t>
  </si>
  <si>
    <t>AWS Cloud Infra Zscalar</t>
  </si>
  <si>
    <t>30-05-2026 1:32 PM</t>
  </si>
  <si>
    <t>POT86985</t>
  </si>
  <si>
    <t>AWS Cloud Infra BICC</t>
  </si>
  <si>
    <t>30-05-2026 1:34 PM</t>
  </si>
  <si>
    <t>POT86986</t>
  </si>
  <si>
    <t>AWS Cloud Infra _Nearby_IVF</t>
  </si>
  <si>
    <t>30-05-2026 1:36 PM</t>
  </si>
  <si>
    <t>POT86987</t>
  </si>
  <si>
    <t>AWS Cloud Infra Vendor Portal</t>
  </si>
  <si>
    <t>30-05-2026 1:39 PM</t>
  </si>
  <si>
    <t>POT86988</t>
  </si>
  <si>
    <t>AWS Cloud Infra IDAM PAM</t>
  </si>
  <si>
    <t>30-05-2026 1:41 PM</t>
  </si>
  <si>
    <t>POT86989</t>
  </si>
  <si>
    <t>AWS Cloud Infra for CSR Micro Website.</t>
  </si>
  <si>
    <t>POT87082</t>
  </si>
  <si>
    <t>AWS Cloud MagicXPI</t>
  </si>
  <si>
    <t>POT87083</t>
  </si>
  <si>
    <t>AWS cloud SOC</t>
  </si>
  <si>
    <t>POT87084</t>
  </si>
  <si>
    <t>AWS cloud Magic XPA</t>
  </si>
  <si>
    <t>17-06-2026 8:04 PM</t>
  </si>
  <si>
    <t>POT87136</t>
  </si>
  <si>
    <t>AWS DPDP</t>
  </si>
  <si>
    <t>17-06-2026</t>
  </si>
  <si>
    <t>17-06-2026 8:16 PM</t>
  </si>
  <si>
    <t>POT87137</t>
  </si>
  <si>
    <t>AWS Eshopaid application</t>
  </si>
  <si>
    <t>17-06-2026 8:25 PM</t>
  </si>
  <si>
    <t>POT87138</t>
  </si>
  <si>
    <t>AWS HIS application</t>
  </si>
  <si>
    <t>17-06-2026 8:35 PM</t>
  </si>
  <si>
    <t>POT87139</t>
  </si>
  <si>
    <t>AWS Magic XPA</t>
  </si>
  <si>
    <t>17-06-2026 8:42 PM</t>
  </si>
  <si>
    <t>POT87140</t>
  </si>
  <si>
    <t>AWS Magic XPI</t>
  </si>
  <si>
    <t>17-06-2026 8:49 PM</t>
  </si>
  <si>
    <t>POT87141</t>
  </si>
  <si>
    <t>AWS Infra Snorkel</t>
  </si>
  <si>
    <t>17-06-2026 8:57 PM</t>
  </si>
  <si>
    <t>POT87142</t>
  </si>
  <si>
    <t>AWS Infra for Zscaler</t>
  </si>
  <si>
    <t>17-06-2026 9:02 PM</t>
  </si>
  <si>
    <t>POT87143</t>
  </si>
  <si>
    <t>AWS Infra for SOC</t>
  </si>
  <si>
    <t>POT82158</t>
  </si>
  <si>
    <t>HDB Financial services Limited</t>
  </si>
  <si>
    <t>Yogesh Vaidya</t>
  </si>
  <si>
    <t>AWS Managed Services - 02</t>
  </si>
  <si>
    <t>Jitesh Rajput+Sandeep Makwana+Anil Zachariah+Tasneem K</t>
  </si>
  <si>
    <t>Proposal to be submitted</t>
  </si>
  <si>
    <t>22-06-2026 5:03 PM</t>
  </si>
  <si>
    <t>POT87206</t>
  </si>
  <si>
    <t>Yogesh Patil</t>
  </si>
  <si>
    <t>AWS operations - 3 Resources</t>
  </si>
  <si>
    <t>22-06-2026</t>
  </si>
  <si>
    <t>PR-TK-0012</t>
  </si>
  <si>
    <t>23-12-2025 3:53 PM</t>
  </si>
  <si>
    <t>POT85495</t>
  </si>
  <si>
    <t>Kotak Securities Ltd</t>
  </si>
  <si>
    <t>Kevin Pereria</t>
  </si>
  <si>
    <t>monitoring platform - Zabix</t>
  </si>
  <si>
    <t>Jitesh Rajput+Sandeep Makwana+Anil Zachariah+Varsha Ray</t>
  </si>
  <si>
    <t>18-05-2026 11:38 AM</t>
  </si>
  <si>
    <t>POT86821</t>
  </si>
  <si>
    <t>Schneider Electric - Remote Services Renewal</t>
  </si>
  <si>
    <t>Jitesh Rajput+Sandeep Makwana+Anil Zachariah+Yogesh Bhatia+Atharva Karpe</t>
  </si>
  <si>
    <t>18-05-2026</t>
  </si>
  <si>
    <t>31-01-2026 12:55 PM</t>
  </si>
  <si>
    <t>POT85872</t>
  </si>
  <si>
    <t>LUPIN DIGITAL HEALTH LIMITED</t>
  </si>
  <si>
    <t>Rajesh Shrivastava</t>
  </si>
  <si>
    <t>6 tablets</t>
  </si>
  <si>
    <t>CG-PC-0005</t>
  </si>
  <si>
    <t>28-04-2026 3:06 PM</t>
  </si>
  <si>
    <t>POT86647</t>
  </si>
  <si>
    <t>Lupin Ltd</t>
  </si>
  <si>
    <t>Laptop battery replace</t>
  </si>
  <si>
    <t>28-04-2026</t>
  </si>
  <si>
    <t>CG-PC-0003</t>
  </si>
  <si>
    <t>15-05-2026 12:16 PM</t>
  </si>
  <si>
    <t>POT86793</t>
  </si>
  <si>
    <t>Laptop battery replace 1</t>
  </si>
  <si>
    <t>CG-PC-0007</t>
  </si>
  <si>
    <t>27-05-2026 10:31 AM</t>
  </si>
  <si>
    <t>POT86918</t>
  </si>
  <si>
    <t>VMware Software India Pvt Ltd</t>
  </si>
  <si>
    <t>Mohit Arora</t>
  </si>
  <si>
    <t>Mohit Arora Laptop</t>
  </si>
  <si>
    <t>CG-PC-0009</t>
  </si>
  <si>
    <t>20-05-2026 1:52 PM</t>
  </si>
  <si>
    <t>POT86838</t>
  </si>
  <si>
    <t>Aditya Birla Health Insurance Co</t>
  </si>
  <si>
    <t>ADITYA PATIL</t>
  </si>
  <si>
    <t>Laptop qty 148</t>
  </si>
  <si>
    <t>Prashant Dudugu+Richa Tiwari</t>
  </si>
  <si>
    <t>Prashant Dudugu</t>
  </si>
  <si>
    <t>CG-RT-0038</t>
  </si>
  <si>
    <t>15-06-2026 10:43 AM</t>
  </si>
  <si>
    <t>POT87111</t>
  </si>
  <si>
    <t>Aditya Birla Sun Life Insurance Company Limited</t>
  </si>
  <si>
    <t>satish rathod</t>
  </si>
  <si>
    <t>HP LAPTOP QTY 07</t>
  </si>
  <si>
    <t>26-06-2026</t>
  </si>
  <si>
    <t>CG-RT-0039</t>
  </si>
  <si>
    <t>13-12-2025 11:13 AM</t>
  </si>
  <si>
    <t>POT85417</t>
  </si>
  <si>
    <t>UCO Bank</t>
  </si>
  <si>
    <t>Monika pandey</t>
  </si>
  <si>
    <t>uco bank-3000 biometric</t>
  </si>
  <si>
    <t>CG-PM-0023</t>
  </si>
  <si>
    <t>WAITING FOR PO</t>
  </si>
  <si>
    <t>13-12-2025 1:56 PM</t>
  </si>
  <si>
    <t>POT85420</t>
  </si>
  <si>
    <t>PUNJAB AND SINDH BANK</t>
  </si>
  <si>
    <t>Vijay kumar</t>
  </si>
  <si>
    <t>PSB TABLET-22</t>
  </si>
  <si>
    <t>CG-PM-0033</t>
  </si>
  <si>
    <t>POT86448</t>
  </si>
  <si>
    <t>Rajsthan gramin bank</t>
  </si>
  <si>
    <t>Laxman singh</t>
  </si>
  <si>
    <t>RGB -JALORE 70 L0 dveice</t>
  </si>
  <si>
    <t>CG-PM-0001</t>
  </si>
  <si>
    <t>POT86449</t>
  </si>
  <si>
    <t>RGB-SIKAR -80 Biometric</t>
  </si>
  <si>
    <t>CG-PM-0002</t>
  </si>
  <si>
    <t>POT86465</t>
  </si>
  <si>
    <t>RGB JJN1-80 BIOMETRIC</t>
  </si>
  <si>
    <t>CG-PM-0003</t>
  </si>
  <si>
    <t>POT86466</t>
  </si>
  <si>
    <t>RGB JJN2-80 BIOMETRIC</t>
  </si>
  <si>
    <t>CG-PM-0004</t>
  </si>
  <si>
    <t>POT86467</t>
  </si>
  <si>
    <t>RGB udaipur -80 biometric</t>
  </si>
  <si>
    <t>CG-PM-0005</t>
  </si>
  <si>
    <t>POT86468</t>
  </si>
  <si>
    <t>RGB - churu-80</t>
  </si>
  <si>
    <t>CG-PM-0006</t>
  </si>
  <si>
    <t>POT86469</t>
  </si>
  <si>
    <t>RGB PALI -50 BIOMETRIC</t>
  </si>
  <si>
    <t>CG-PM-0007</t>
  </si>
  <si>
    <t>POT86479</t>
  </si>
  <si>
    <t>RGB-  BHILWARA -100 QTY</t>
  </si>
  <si>
    <t>CG-PM-0008</t>
  </si>
  <si>
    <t>POT86481</t>
  </si>
  <si>
    <t>RGB nagaur -80 biometric</t>
  </si>
  <si>
    <t>CG-PM-0009</t>
  </si>
  <si>
    <t>POT86482</t>
  </si>
  <si>
    <t>RGB bharatpur-80</t>
  </si>
  <si>
    <t>CG-PM-0010</t>
  </si>
  <si>
    <t>POT86483</t>
  </si>
  <si>
    <t>RGB bansawara-80</t>
  </si>
  <si>
    <t>CG-PM-0011</t>
  </si>
  <si>
    <t>POT86493</t>
  </si>
  <si>
    <t>RGB -JODHPUR 80 BIOMETRIC</t>
  </si>
  <si>
    <t>CG-PM-0012</t>
  </si>
  <si>
    <t>POT86494</t>
  </si>
  <si>
    <t>RGB DAUSA-80 biometric</t>
  </si>
  <si>
    <t>CG-PM-0013</t>
  </si>
  <si>
    <t>POT86495</t>
  </si>
  <si>
    <t>RGB CHITORGARH 1-60 QTY</t>
  </si>
  <si>
    <t>CG-PM-0014</t>
  </si>
  <si>
    <t>POT86496</t>
  </si>
  <si>
    <t>RGB CHITORGARH 2-60 QTY</t>
  </si>
  <si>
    <t>CG-PM-0015</t>
  </si>
  <si>
    <t>POT86497</t>
  </si>
  <si>
    <t>RGB BARAN1 -40 QTYbiometric</t>
  </si>
  <si>
    <t>CG-PM-0016</t>
  </si>
  <si>
    <t>POT86498</t>
  </si>
  <si>
    <t>RGB BARAN 2-40 QTY</t>
  </si>
  <si>
    <t>CG-PM-0017</t>
  </si>
  <si>
    <t>POT86499</t>
  </si>
  <si>
    <t>RGB BARAN 3-40 QTY</t>
  </si>
  <si>
    <t>CG-PM-0018</t>
  </si>
  <si>
    <t>15-04-2026 6:09 PM</t>
  </si>
  <si>
    <t>POT86541</t>
  </si>
  <si>
    <t>RGB shreeganganagar</t>
  </si>
  <si>
    <t>CG-PM-0019</t>
  </si>
  <si>
    <t>16-04-2026 3:36 PM</t>
  </si>
  <si>
    <t>POT86544</t>
  </si>
  <si>
    <t>RGB -Madholpur -80</t>
  </si>
  <si>
    <t>CG-PM-0020</t>
  </si>
  <si>
    <t>20-04-2026 11:25 AM</t>
  </si>
  <si>
    <t>POT86581</t>
  </si>
  <si>
    <t>RGB hanumangrah -80 QTY</t>
  </si>
  <si>
    <t>CG-PM-0021</t>
  </si>
  <si>
    <t>waiting for po</t>
  </si>
  <si>
    <t>20-04-2026 11:27 AM</t>
  </si>
  <si>
    <t>POT86582</t>
  </si>
  <si>
    <t>RGB AJMER-40 QTY biometric</t>
  </si>
  <si>
    <t>CG-PM-0022</t>
  </si>
  <si>
    <t>22-04-2026 2:15 PM</t>
  </si>
  <si>
    <t>POT86597</t>
  </si>
  <si>
    <t>RGB BARMER -50 QTY biometric</t>
  </si>
  <si>
    <t>CG-PM-0025</t>
  </si>
  <si>
    <t>ORDER LOAD</t>
  </si>
  <si>
    <t>22-04-2026 2:24 PM</t>
  </si>
  <si>
    <t>POT86598</t>
  </si>
  <si>
    <t>RGB BIKANER-80</t>
  </si>
  <si>
    <t>CG-PM-0026</t>
  </si>
  <si>
    <t>22-04-2026 2:29 PM</t>
  </si>
  <si>
    <t>POT86599</t>
  </si>
  <si>
    <t>RGB JAIPUR 1 -80 QTY</t>
  </si>
  <si>
    <t>CG-PM-0027</t>
  </si>
  <si>
    <t>24-04-2026 11:49 AM</t>
  </si>
  <si>
    <t>POT86610</t>
  </si>
  <si>
    <t>RGB KOTA -80PO1</t>
  </si>
  <si>
    <t>24-04-2026</t>
  </si>
  <si>
    <t>CG-PM-0028</t>
  </si>
  <si>
    <t>24-04-2026 11:50 AM</t>
  </si>
  <si>
    <t>POT86612</t>
  </si>
  <si>
    <t>RGB KOTA -80PO2</t>
  </si>
  <si>
    <t>CG-PM-0029</t>
  </si>
  <si>
    <t>POT86691</t>
  </si>
  <si>
    <t>RGB sirohi- 80 qty biometric</t>
  </si>
  <si>
    <t>CG-PM-0030</t>
  </si>
  <si>
    <t>POT86735</t>
  </si>
  <si>
    <t>Airport Health Organization</t>
  </si>
  <si>
    <t>Sandeep kanundla</t>
  </si>
  <si>
    <t>Airport Health Organization -biometric</t>
  </si>
  <si>
    <t>CG-PM-0031</t>
  </si>
  <si>
    <t>POT86737</t>
  </si>
  <si>
    <t>National Water Academy</t>
  </si>
  <si>
    <t>ankush kumar</t>
  </si>
  <si>
    <t>National Water Academy biometric</t>
  </si>
  <si>
    <t>CG-PM-0032</t>
  </si>
  <si>
    <t>13-05-2026 3:36 PM</t>
  </si>
  <si>
    <t>POT86771</t>
  </si>
  <si>
    <t>RGB NEEM KA TAHANA-80 BIOMETRIC</t>
  </si>
  <si>
    <t>CG-PM-0034</t>
  </si>
  <si>
    <t>15-05-2026 11:33 AM</t>
  </si>
  <si>
    <t>POT86789</t>
  </si>
  <si>
    <t>RGB SIROHI- L1 DEVICE -80</t>
  </si>
  <si>
    <t>CG-PM-0035</t>
  </si>
  <si>
    <t>15-05-2026 11:43 AM</t>
  </si>
  <si>
    <t>POT86792</t>
  </si>
  <si>
    <t>RGB Neem ka thana- 80 qty BIOMETRIC L0 new PO</t>
  </si>
  <si>
    <t>CG-PM-0036</t>
  </si>
  <si>
    <t>18-05-2026 3:24 PM</t>
  </si>
  <si>
    <t>POT86828</t>
  </si>
  <si>
    <t>PSB-30QTY biometric</t>
  </si>
  <si>
    <t>CG-PM-0037</t>
  </si>
  <si>
    <t>POT85971</t>
  </si>
  <si>
    <t>Laptops Profile 1 qty 2Goplapur odissa</t>
  </si>
  <si>
    <t>25-05-2026</t>
  </si>
  <si>
    <t>CG-RT-0020</t>
  </si>
  <si>
    <t>24-04-2026 2:45 PM</t>
  </si>
  <si>
    <t>POT86615</t>
  </si>
  <si>
    <t>acrobat pro dc for teams qty 3</t>
  </si>
  <si>
    <t>CG-RT-0004</t>
  </si>
  <si>
    <t>23-05-2026 5:37 PM</t>
  </si>
  <si>
    <t>POT86865</t>
  </si>
  <si>
    <t>TPCL Profile 3 qty 6 32 gb mumbai</t>
  </si>
  <si>
    <t>CG-RT-0012</t>
  </si>
  <si>
    <t>23-05-2026 5:46 PM</t>
  </si>
  <si>
    <t>POT86866</t>
  </si>
  <si>
    <t>TPCL Profile 1 16gb qty 30 Mumbai</t>
  </si>
  <si>
    <t>CG-RT-0013</t>
  </si>
  <si>
    <t>23-05-2026 5:51 PM</t>
  </si>
  <si>
    <t>POT86867</t>
  </si>
  <si>
    <t>TPCL Profile 3 Qty 1 Mumbai</t>
  </si>
  <si>
    <t>CG-RT-0015</t>
  </si>
  <si>
    <t>23-05-2026 5:55 PM</t>
  </si>
  <si>
    <t>POT86868</t>
  </si>
  <si>
    <t>TPCL Profile 1 qty 2 Profile 3 qty 1</t>
  </si>
  <si>
    <t>CG-RT-0016</t>
  </si>
  <si>
    <t>23-05-2026 6:00 PM</t>
  </si>
  <si>
    <t>POT86869</t>
  </si>
  <si>
    <t>TPREL Profile 1 Qty 93 Bangalore</t>
  </si>
  <si>
    <t>CG-RT-0018</t>
  </si>
  <si>
    <t>23-05-2026 7:14 PM</t>
  </si>
  <si>
    <t>POT86870</t>
  </si>
  <si>
    <t>IEL Profile 1 qty 2 Jharkhand</t>
  </si>
  <si>
    <t>CG-RT-0019</t>
  </si>
  <si>
    <t>25-05-2026 1:41 PM</t>
  </si>
  <si>
    <t>POT86905</t>
  </si>
  <si>
    <t>TP Maithon profile 1 qty 20 jharkhand</t>
  </si>
  <si>
    <t>CG-RT-0021</t>
  </si>
  <si>
    <t>26-05-2026 3:10 PM</t>
  </si>
  <si>
    <t>POT86914</t>
  </si>
  <si>
    <t>P2 qty 3 32gb old ola balance stock</t>
  </si>
  <si>
    <t>29-05-2026</t>
  </si>
  <si>
    <t>CG-RT-0034</t>
  </si>
  <si>
    <t>28-05-2026 10:09 AM</t>
  </si>
  <si>
    <t>POT86939</t>
  </si>
  <si>
    <t>TPCL Profile 1 qty 43 Profile 3 qty 4</t>
  </si>
  <si>
    <t>CG-RT-0022</t>
  </si>
  <si>
    <t>28-05-2026 10:18 AM</t>
  </si>
  <si>
    <t>POT86940</t>
  </si>
  <si>
    <t>TPCL Profile 1 qty 5 profile 3 qty 2</t>
  </si>
  <si>
    <t>CG-RT-0023</t>
  </si>
  <si>
    <t>28-05-2026 10:46 AM</t>
  </si>
  <si>
    <t>POT86941</t>
  </si>
  <si>
    <t>TPCL profile 1 qty 16 profile 3 qty 55</t>
  </si>
  <si>
    <t>CG-RT-0025</t>
  </si>
  <si>
    <t>28-05-2026 10:59 AM</t>
  </si>
  <si>
    <t>POT86942</t>
  </si>
  <si>
    <t>tpcl profile 1 qty 8 profile 3 qty 1</t>
  </si>
  <si>
    <t>CG-RT-0026</t>
  </si>
  <si>
    <t>28-05-2026 11:35 AM</t>
  </si>
  <si>
    <t>POT86943</t>
  </si>
  <si>
    <t>TP Lucknow Profile 1 qty 1</t>
  </si>
  <si>
    <t>CG-RT-0035</t>
  </si>
  <si>
    <t>29-05-2026 2:22 PM</t>
  </si>
  <si>
    <t>POT86959</t>
  </si>
  <si>
    <t>tpcl profile 1 qty 2</t>
  </si>
  <si>
    <t>CG-RT-0031</t>
  </si>
  <si>
    <t>29-05-2026 2:31 PM</t>
  </si>
  <si>
    <t>POT86960</t>
  </si>
  <si>
    <t>TPCL Profile 1 qty 1</t>
  </si>
  <si>
    <t>29-05-2026 2:36 PM</t>
  </si>
  <si>
    <t>POT86961</t>
  </si>
  <si>
    <t>tp paradeep transmission profile 1 qty 1</t>
  </si>
  <si>
    <t>CG-RT-0033</t>
  </si>
  <si>
    <t>POT87002</t>
  </si>
  <si>
    <t>lenovo laptops qty profile 1 qty 300 profile 3 qty 20 profile 2 qty 20</t>
  </si>
  <si>
    <t>28-06-2026</t>
  </si>
  <si>
    <t>18-05-2026 3:10 PM</t>
  </si>
  <si>
    <t>POT86827</t>
  </si>
  <si>
    <t>4Pair CAT6 UTP Cable</t>
  </si>
  <si>
    <t>Rocky Braganza+Nishant Jalan+Abrar Memon</t>
  </si>
  <si>
    <t>Cyber Security &amp; Networking</t>
  </si>
  <si>
    <t>Active</t>
  </si>
  <si>
    <t>CP-SC-0016</t>
  </si>
  <si>
    <t>OPF no: CP-SC-0016</t>
  </si>
  <si>
    <t>POT87093</t>
  </si>
  <si>
    <t>Juspay Technologies Private Limited</t>
  </si>
  <si>
    <t>Venkat Venkat</t>
  </si>
  <si>
    <t>DLink 27U Rack</t>
  </si>
  <si>
    <t>Nishant Jalan</t>
  </si>
  <si>
    <t>Passive</t>
  </si>
  <si>
    <t>D-Link</t>
  </si>
  <si>
    <t>CP-HS-0002</t>
  </si>
  <si>
    <t>OPF no: CP-HS-0002</t>
  </si>
  <si>
    <t>31-03-2026 6:32 PM</t>
  </si>
  <si>
    <t>POT86387</t>
  </si>
  <si>
    <t>Brueckner Group India Private Limited</t>
  </si>
  <si>
    <t>Rahull Velapure</t>
  </si>
  <si>
    <t>ManageEngine SDP</t>
  </si>
  <si>
    <t>Ayushman Singh</t>
  </si>
  <si>
    <t>Rocky Braganza+Nishant Jalan+Ayushman Singh</t>
  </si>
  <si>
    <t>Galaxy Management</t>
  </si>
  <si>
    <t>Sanjay Patodia</t>
  </si>
  <si>
    <t>ITES/ITSM</t>
  </si>
  <si>
    <t>ManageEngine</t>
  </si>
  <si>
    <t>CP-AY-0001</t>
  </si>
  <si>
    <t>POT84966</t>
  </si>
  <si>
    <t>Mahindra &amp; Mahindra Limited</t>
  </si>
  <si>
    <t>Jagdish Joshi</t>
  </si>
  <si>
    <t>Opengear Solution - 2 Qty</t>
  </si>
  <si>
    <t>Rocky Braganza+Nishant Jalan+Chetna Sharma</t>
  </si>
  <si>
    <t>CP-CH-0001</t>
  </si>
  <si>
    <t>23-04-2026 3:51 PM</t>
  </si>
  <si>
    <t>POT86601</t>
  </si>
  <si>
    <t>HP TAC renewal for Switches</t>
  </si>
  <si>
    <t>Rocky Braganza+Nishant Jalan+Darshana Patil</t>
  </si>
  <si>
    <t>CP-DP-0004</t>
  </si>
  <si>
    <t>POT87100</t>
  </si>
  <si>
    <t>Fortianalyser -Renewal</t>
  </si>
  <si>
    <t>Firewall/IPS/IDS</t>
  </si>
  <si>
    <t>Fortinet</t>
  </si>
  <si>
    <t>CP-DP-0014</t>
  </si>
  <si>
    <t>POT86231</t>
  </si>
  <si>
    <t>Dinesh lall</t>
  </si>
  <si>
    <t>Cisco Webex AMC</t>
  </si>
  <si>
    <t>Rocky Braganza+Nishant Jalan+Diksha Bhilare+Chirag Palande</t>
  </si>
  <si>
    <t>Diksha Bhilare</t>
  </si>
  <si>
    <t>CP-CP-0002</t>
  </si>
  <si>
    <t>27-04-2026 11:56 AM</t>
  </si>
  <si>
    <t>POT86637</t>
  </si>
  <si>
    <t>BSE LTD(Bombay Stock Exchange)</t>
  </si>
  <si>
    <t>Ravi Kumar</t>
  </si>
  <si>
    <t>Burpsuite Professional - 7qty + IMPLEMENTATIO N AND SUPPORT</t>
  </si>
  <si>
    <t>27-04-2026</t>
  </si>
  <si>
    <t>CP-CP-0003</t>
  </si>
  <si>
    <t>negative order , -32330</t>
  </si>
  <si>
    <t>29-04-2026 5:37 PM</t>
  </si>
  <si>
    <t>POT86662</t>
  </si>
  <si>
    <t>HDFC Asset Management Company Limited</t>
  </si>
  <si>
    <t>Kranti Kumar</t>
  </si>
  <si>
    <t>HDFC AMC LTD- trend license</t>
  </si>
  <si>
    <t>Rocky Braganza+Nishant Jalan+Diksha Bhilare+Tasneem K</t>
  </si>
  <si>
    <t>Security</t>
  </si>
  <si>
    <t>Trend Micro</t>
  </si>
  <si>
    <t>CP-TK-0005</t>
  </si>
  <si>
    <t>POT87006</t>
  </si>
  <si>
    <t>Abhishek Jaiswal</t>
  </si>
  <si>
    <t>Seclore Renewal</t>
  </si>
  <si>
    <t>Rocky Braganza+Nishant Jalan+Diksha Bhilare+Varsha Ray</t>
  </si>
  <si>
    <t>Seclore</t>
  </si>
  <si>
    <t>CP-VY-0003</t>
  </si>
  <si>
    <t>POT87088</t>
  </si>
  <si>
    <t>ICICI Bank Ltd</t>
  </si>
  <si>
    <t>Satish Pandav</t>
  </si>
  <si>
    <t>Single Designated Diamond Services Engineer</t>
  </si>
  <si>
    <t>Checkpoint</t>
  </si>
  <si>
    <t>CP-VY-0004</t>
  </si>
  <si>
    <t>21-02-2026 09:57 AM</t>
  </si>
  <si>
    <t>POT86068</t>
  </si>
  <si>
    <t>Larsen &amp; Tubro Heavy Engineering Defence</t>
  </si>
  <si>
    <t>rohit joshi</t>
  </si>
  <si>
    <t>Iraje Renewal</t>
  </si>
  <si>
    <t>Arpit Srivastava</t>
  </si>
  <si>
    <t>Rocky Braganza+Nishant Jalan+Harshvardhan Dave+Arpit Srivastava</t>
  </si>
  <si>
    <t>Harshvardhan Dave</t>
  </si>
  <si>
    <t>PAM/PIM</t>
  </si>
  <si>
    <t>CP-AT-0002</t>
  </si>
  <si>
    <t>POT86480</t>
  </si>
  <si>
    <t>Larsen &amp; Toubro Limited</t>
  </si>
  <si>
    <t>Achal Gupta</t>
  </si>
  <si>
    <t>Iraje - Vyoma</t>
  </si>
  <si>
    <t>Iraje</t>
  </si>
  <si>
    <t>CP-AT-0001</t>
  </si>
  <si>
    <t>POT86159</t>
  </si>
  <si>
    <t>TATA AIA LIFE INSURANCE COMPANY LIMITED</t>
  </si>
  <si>
    <t>Sonali Korade</t>
  </si>
  <si>
    <t>DC-DR-HO Cisco Device AMC renewal-2026-27</t>
  </si>
  <si>
    <t>Rocky Braganza+Nishant Jalan+Harshvardhan Dave+Richa Tiwari</t>
  </si>
  <si>
    <t>CP-RT-0009</t>
  </si>
  <si>
    <t>28-03-2026 11:31 AM</t>
  </si>
  <si>
    <t>POT86366</t>
  </si>
  <si>
    <t>Tata Advance Systems Ltd</t>
  </si>
  <si>
    <t>NAVEEN Kumar</t>
  </si>
  <si>
    <t>HEC Renewal - Checkpoint</t>
  </si>
  <si>
    <t>CP-RT-0008</t>
  </si>
  <si>
    <t>13-04-2026 12:13 PM</t>
  </si>
  <si>
    <t>POT86520</t>
  </si>
  <si>
    <t>deepak bagora</t>
  </si>
  <si>
    <t>Intune Implementation</t>
  </si>
  <si>
    <t>POT86721</t>
  </si>
  <si>
    <t>Aditya Birla Financial Services Ltd</t>
  </si>
  <si>
    <t>NOC AMC Renewal- multi oem</t>
  </si>
  <si>
    <t>POT86757</t>
  </si>
  <si>
    <t>HEC Renewal - Balance Amount</t>
  </si>
  <si>
    <t>CP-RT-0010</t>
  </si>
  <si>
    <t>OPF CP-RT-0014,CP-RT-0010,CP-RT-0011,CP-RT-0013</t>
  </si>
  <si>
    <t>29-05-2026 5:37 PM</t>
  </si>
  <si>
    <t>POT86972</t>
  </si>
  <si>
    <t>additional ME licenses qty 30+1000</t>
  </si>
  <si>
    <t>POT87092</t>
  </si>
  <si>
    <t>firewall renewal 27th june checkpoint</t>
  </si>
  <si>
    <t>Firewall</t>
  </si>
  <si>
    <t>16-06-2026 12:43 PM</t>
  </si>
  <si>
    <t>POT87127</t>
  </si>
  <si>
    <t>Aditya Birla - Grasim - Paints Division</t>
  </si>
  <si>
    <t>Shreyas Potfode</t>
  </si>
  <si>
    <t>ME AD Manager Plus Renewal</t>
  </si>
  <si>
    <t>22-06-2026 1:07 PM</t>
  </si>
  <si>
    <t>POT87196</t>
  </si>
  <si>
    <t>Aditya Birla Capital</t>
  </si>
  <si>
    <t>Renewal of Palo Alto FW - WM</t>
  </si>
  <si>
    <t>PaloAlto</t>
  </si>
  <si>
    <t>POT85924</t>
  </si>
  <si>
    <t>Tata Motors Limited</t>
  </si>
  <si>
    <t>Sarvesh Shrivastava</t>
  </si>
  <si>
    <t>TMCV Trellix Device Control Renewal 15146 Qty</t>
  </si>
  <si>
    <t>Rocky Braganza+Nishant Jalan+Harshvardhan Dave+Rohit Deshmukh</t>
  </si>
  <si>
    <t>POT86161</t>
  </si>
  <si>
    <t>TMCV Cisco VC Mic &amp; Accessories</t>
  </si>
  <si>
    <t>CP-RD-0001</t>
  </si>
  <si>
    <t>POT86208</t>
  </si>
  <si>
    <t>TMCV Plant Cisco Switch Renewal B2B</t>
  </si>
  <si>
    <t>CP-RD-0002</t>
  </si>
  <si>
    <t>25-03-2026 12:24 PM</t>
  </si>
  <si>
    <t>POT86352</t>
  </si>
  <si>
    <t>TMCV Plant Cisco WAR Room VC Hardware</t>
  </si>
  <si>
    <t>CP-RD-0003</t>
  </si>
  <si>
    <t>POT87048</t>
  </si>
  <si>
    <t>Lucknow Passive RC RFP</t>
  </si>
  <si>
    <t>CP-RD-0008/0</t>
  </si>
  <si>
    <t>POT87049</t>
  </si>
  <si>
    <t>Cisco Switch RC RFP</t>
  </si>
  <si>
    <t>CP-RD-0010</t>
  </si>
  <si>
    <t>CP-RD-0010 &amp; CP-RD-0011</t>
  </si>
  <si>
    <t>20-06-2026 11:34 AM</t>
  </si>
  <si>
    <t>POT87166</t>
  </si>
  <si>
    <t>Tantra Juniper AP RC RFP</t>
  </si>
  <si>
    <t>23-06-2026</t>
  </si>
  <si>
    <t>CP-RD-0013/1</t>
  </si>
  <si>
    <t>20-03-2026 6:37 PM</t>
  </si>
  <si>
    <t>POT86312</t>
  </si>
  <si>
    <t>SSL Certificates</t>
  </si>
  <si>
    <t>Rocky Braganza+Nishant Jalan+Hrushikesh Bagade</t>
  </si>
  <si>
    <t>Rocky Braganza</t>
  </si>
  <si>
    <t>CP-HB-0039</t>
  </si>
  <si>
    <t>EU was looking for SSL Certificate - WildCard, Proposal sent, waiting for PO. we should get PO by May end 26. po received.</t>
  </si>
  <si>
    <t>POT86755</t>
  </si>
  <si>
    <t>Kohler India Corp. Pvt.Ltd.</t>
  </si>
  <si>
    <t>Suhas Mistry</t>
  </si>
  <si>
    <t>Velo Cloud RNWL PO 1 - WTC PUNE</t>
  </si>
  <si>
    <t>SDWAN</t>
  </si>
  <si>
    <t>Arista</t>
  </si>
  <si>
    <t>CP-HB-0031</t>
  </si>
  <si>
    <t>EU want to renewal Arista Velo Cloud - SDWAN - 3 devices and 1 software lics, proposal sent, PO received.</t>
  </si>
  <si>
    <t>13-05-2026 11:38 AM</t>
  </si>
  <si>
    <t>POT86769</t>
  </si>
  <si>
    <t>Velo Cloud RNWL PO 2- K&amp;B Gurgaon</t>
  </si>
  <si>
    <t>DC Networking</t>
  </si>
  <si>
    <t>CP-HB-0034</t>
  </si>
  <si>
    <t>EU was looking Arista Velo Cloud renewal, proposal sent, po received</t>
  </si>
  <si>
    <t>13-05-2026 11:52 AM</t>
  </si>
  <si>
    <t>POT86770</t>
  </si>
  <si>
    <t>Velo Cloud RNWL PO 3- ITC Pune</t>
  </si>
  <si>
    <t>CP-HB-0032</t>
  </si>
  <si>
    <t>EU was looking renewal cost for Arista Velo Cloud, price sent, PO received</t>
  </si>
  <si>
    <t>POT87073</t>
  </si>
  <si>
    <t>POONAWALLA FINCORP LIMITED</t>
  </si>
  <si>
    <t>Rohit Verma</t>
  </si>
  <si>
    <t>Iraje PAM renewal</t>
  </si>
  <si>
    <t>CP-HB-0046</t>
  </si>
  <si>
    <t>EU was looking Iraje PAM renewal, price sent, PO received</t>
  </si>
  <si>
    <t>19-06-2026 4:26 PM</t>
  </si>
  <si>
    <t>POT87155</t>
  </si>
  <si>
    <t>Varroc Engineering Ltd</t>
  </si>
  <si>
    <t>Ravindra Walunj</t>
  </si>
  <si>
    <t>Addon PAM lics - 42 QTY SUPPORT - 3Yrs Contract</t>
  </si>
  <si>
    <t>EU want 42lic iraje PAM support, price sent, po received</t>
  </si>
  <si>
    <t>23-06-2026 12:05 PM</t>
  </si>
  <si>
    <t>POT87211</t>
  </si>
  <si>
    <t>i2e Consulting</t>
  </si>
  <si>
    <t>JAyesh Gaikwad</t>
  </si>
  <si>
    <t>Falcon Endpoint Protection Pro</t>
  </si>
  <si>
    <t>Rocky Braganza+Nishant Jalan+Pravin Tapase+Ayushman Singh</t>
  </si>
  <si>
    <t>Pravin Tapase</t>
  </si>
  <si>
    <t>Endpoint &amp; Email Security</t>
  </si>
  <si>
    <t>CrowdStrike</t>
  </si>
  <si>
    <t>26-06-2026 1:52 PM</t>
  </si>
  <si>
    <t>POT87234</t>
  </si>
  <si>
    <t>Air India Sats Pvt Ltd</t>
  </si>
  <si>
    <t>Hemant Puralkar</t>
  </si>
  <si>
    <t>EDR</t>
  </si>
  <si>
    <t>EDR/XDR</t>
  </si>
  <si>
    <t>POT86674</t>
  </si>
  <si>
    <t>Ravindra V Walunj</t>
  </si>
  <si>
    <t>Addon PAM lics - 42 QTY LICS - 3Yrs Contract</t>
  </si>
  <si>
    <t>Rocky Braganza+Nishant Jalan+Pravin Tapase+Hrushikesh Bagade</t>
  </si>
  <si>
    <t>EU want 42 QTY additional PAM lics, PO received but support cost EU has missed, waiting for revised PO. po received</t>
  </si>
  <si>
    <t>29-06-2026 1:09 PM</t>
  </si>
  <si>
    <t>POT87250</t>
  </si>
  <si>
    <t>Ramesh Paynaik</t>
  </si>
  <si>
    <t>Palo Alto - 420 - Hindustan Infralog Private Limited</t>
  </si>
  <si>
    <t>Jimesh Shah</t>
  </si>
  <si>
    <t>Rocky Braganza+Nishant Jalan+Pravin Tapase+Jimesh Shah</t>
  </si>
  <si>
    <t>29-06-2026</t>
  </si>
  <si>
    <t>TL - CB</t>
  </si>
  <si>
    <t>POT85645</t>
  </si>
  <si>
    <t>Future Generali India Life Insurance Co Ltd</t>
  </si>
  <si>
    <t>Michael Fernando</t>
  </si>
  <si>
    <t>Akamai Additional URL</t>
  </si>
  <si>
    <t>Rocky Braganza+Nishant Jalan+Pravin Tapase+Prachi Mayekar</t>
  </si>
  <si>
    <t>WAF</t>
  </si>
  <si>
    <t>Akamai</t>
  </si>
  <si>
    <t>CP-PC-0006</t>
  </si>
  <si>
    <t>POT85963</t>
  </si>
  <si>
    <t>Parle Products</t>
  </si>
  <si>
    <t>Dinesh Vora</t>
  </si>
  <si>
    <t>Zscalar ZTNA 900 Lic</t>
  </si>
  <si>
    <t>30-04-2026</t>
  </si>
  <si>
    <t>CP-PC-0004</t>
  </si>
  <si>
    <t>POT85363</t>
  </si>
  <si>
    <t>POT86213</t>
  </si>
  <si>
    <t>SSC Tool</t>
  </si>
  <si>
    <t>CP-PC-0001</t>
  </si>
  <si>
    <t>28-04-2026 1:46 PM</t>
  </si>
  <si>
    <t>POT86646</t>
  </si>
  <si>
    <t>AU SMALL FINANCE BANK LIMITED</t>
  </si>
  <si>
    <t>Vikrant Sharma</t>
  </si>
  <si>
    <t>SDWAN Q1'26</t>
  </si>
  <si>
    <t>Sanjeev Kohli</t>
  </si>
  <si>
    <t>Rocky Braganza+Nishant Jalan+Pravin Tapase+Sanjeev Kohli</t>
  </si>
  <si>
    <t>SD-WAN</t>
  </si>
  <si>
    <t>BU - Geo Expansion</t>
  </si>
  <si>
    <t>27-03-2026 2:36 PM</t>
  </si>
  <si>
    <t>POT86361</t>
  </si>
  <si>
    <t>PharmNXT Biotech LLP</t>
  </si>
  <si>
    <t>Vilas Tarekar</t>
  </si>
  <si>
    <t>Pharmnxt_CheckPoint</t>
  </si>
  <si>
    <t>Shubhangi Srinivasan</t>
  </si>
  <si>
    <t>Rocky Braganza+Nishant Jalan+Pravin Tapase+Shubhangi Srinivasan</t>
  </si>
  <si>
    <t>CP-SU-0005</t>
  </si>
  <si>
    <t>POT86446</t>
  </si>
  <si>
    <t>ESDS Software Solutions Limited</t>
  </si>
  <si>
    <t>Shailendra Kulkarni</t>
  </si>
  <si>
    <t>ESDS_CheckPoint</t>
  </si>
  <si>
    <t>CP-SU-0008</t>
  </si>
  <si>
    <t>17-04-2026 4:03 PM</t>
  </si>
  <si>
    <t>POT86559</t>
  </si>
  <si>
    <t>End User Price of Luna HSM A700 with 3 yrs</t>
  </si>
  <si>
    <t>Rocky Braganza+Nishant Jalan+Richa Tiwari</t>
  </si>
  <si>
    <t>HSM</t>
  </si>
  <si>
    <t>Thales</t>
  </si>
  <si>
    <t>CP-RT-0037</t>
  </si>
  <si>
    <t>POT87003</t>
  </si>
  <si>
    <t>Birla Carbon</t>
  </si>
  <si>
    <t>S Ilango L</t>
  </si>
  <si>
    <t>42 gears licneses qty 90</t>
  </si>
  <si>
    <t>42Gears</t>
  </si>
  <si>
    <t>20-04-2026 1:58 PM</t>
  </si>
  <si>
    <t>POT86590</t>
  </si>
  <si>
    <t>National Payments Corporation of India</t>
  </si>
  <si>
    <t>Benny Joseph</t>
  </si>
  <si>
    <t>RSA 1900 licenses</t>
  </si>
  <si>
    <t>Rocky Braganza+Nishant Jalan+Riya Bhatt</t>
  </si>
  <si>
    <t>RSA</t>
  </si>
  <si>
    <t>CP-RB-0002</t>
  </si>
  <si>
    <t>POT86476</t>
  </si>
  <si>
    <t>Dlink Acessories</t>
  </si>
  <si>
    <t>Rocky Braganza+Nishant Jalan+Sagar TR</t>
  </si>
  <si>
    <t>CP-SC-0001</t>
  </si>
  <si>
    <t>OPF no:CP-SC-0001</t>
  </si>
  <si>
    <t>20-04-2026 10:40 AM</t>
  </si>
  <si>
    <t>POT86577</t>
  </si>
  <si>
    <t>AMP Accessories &amp; Dlink 6U rack</t>
  </si>
  <si>
    <t>CP-SC-0003</t>
  </si>
  <si>
    <t>OPF no: CP-SC-0003</t>
  </si>
  <si>
    <t>20-04-2026 10:43 AM</t>
  </si>
  <si>
    <t>POT86578</t>
  </si>
  <si>
    <t>AMP &amp; Dlink 6U Rack</t>
  </si>
  <si>
    <t>CP-SC-0002</t>
  </si>
  <si>
    <t>OPF no: CP-SC-0002</t>
  </si>
  <si>
    <t>17-05-2026 6:20 PM</t>
  </si>
  <si>
    <t>POT86812</t>
  </si>
  <si>
    <t>ZENSCIENCES BUSINESS SOLUTIONS LLP</t>
  </si>
  <si>
    <t>Jegan T Bose</t>
  </si>
  <si>
    <t>Networking - Engunius &amp; Dlink</t>
  </si>
  <si>
    <t>CP-SC-0015</t>
  </si>
  <si>
    <t>OPF no: CP-SC-0015</t>
  </si>
  <si>
    <t>25-05-2026 11:55 AM</t>
  </si>
  <si>
    <t>POT86897</t>
  </si>
  <si>
    <t>Dlink IO &amp; Patch cards</t>
  </si>
  <si>
    <t>CP-SC-0020</t>
  </si>
  <si>
    <t>OPF no: CP-SC-0020</t>
  </si>
  <si>
    <t>29-05-2026 3:49 PM</t>
  </si>
  <si>
    <t>POT86963</t>
  </si>
  <si>
    <t>Cisco Switch</t>
  </si>
  <si>
    <t>CP-SC-0023</t>
  </si>
  <si>
    <t>OPF no: CP-SC-0023</t>
  </si>
  <si>
    <t>POT87005</t>
  </si>
  <si>
    <t>CP-SC-0022</t>
  </si>
  <si>
    <t>OPF no: CP-SC-0022</t>
  </si>
  <si>
    <t>POT87009</t>
  </si>
  <si>
    <t>Sophos End Point EDR User â€“ 12 MOS for 200 users</t>
  </si>
  <si>
    <t>DeepSecurity</t>
  </si>
  <si>
    <t>CP-SC-0025</t>
  </si>
  <si>
    <t>OPF no: CP-SC-0025</t>
  </si>
  <si>
    <t>26-06-2026 10:03 AM</t>
  </si>
  <si>
    <t>POT87231</t>
  </si>
  <si>
    <t>Dlink RAcks &amp; Switch</t>
  </si>
  <si>
    <t>CP-SC-0034</t>
  </si>
  <si>
    <t>OPF no: CP-SC-0034</t>
  </si>
  <si>
    <t>POT86445</t>
  </si>
  <si>
    <t>Team Viewer Licenses</t>
  </si>
  <si>
    <t>Rocky Braganza+Nishant Jalan+Shilpa Kavde</t>
  </si>
  <si>
    <t>CG-SL-0002</t>
  </si>
  <si>
    <t>28-04-2026 6:03 PM</t>
  </si>
  <si>
    <t>POT86653</t>
  </si>
  <si>
    <t>MDM License</t>
  </si>
  <si>
    <t>MDM/UEM</t>
  </si>
  <si>
    <t>13-06-2026</t>
  </si>
  <si>
    <t>CG-SL-0022</t>
  </si>
  <si>
    <t>29-06-2026 11:28 AM</t>
  </si>
  <si>
    <t>POT87249</t>
  </si>
  <si>
    <t>16-03-2026 3:37 PM</t>
  </si>
  <si>
    <t>POT86276</t>
  </si>
  <si>
    <t>Nibe Limited</t>
  </si>
  <si>
    <t>Varun Hegde</t>
  </si>
  <si>
    <t>NibeLtd_Seclore</t>
  </si>
  <si>
    <t>Rocky Braganza+Nishant Jalan+Shubhangi Srinivasan</t>
  </si>
  <si>
    <t>CP-SU-0003</t>
  </si>
  <si>
    <t>POT86447</t>
  </si>
  <si>
    <t>NCDEX e Markets Ltd. (NeML)</t>
  </si>
  <si>
    <t>Prasad Patil</t>
  </si>
  <si>
    <t>NCDEX_iRaje_Renewal</t>
  </si>
  <si>
    <t>CP-SU-0001</t>
  </si>
  <si>
    <t>POT86478</t>
  </si>
  <si>
    <t>GLOBE FORGE LIMITED</t>
  </si>
  <si>
    <t>GlobeForge_Seclore</t>
  </si>
  <si>
    <t>CP-SU-0004</t>
  </si>
  <si>
    <t>15-04-2026 4:19 PM</t>
  </si>
  <si>
    <t>POT86540</t>
  </si>
  <si>
    <t>BENNETT, COLEMAN &amp; CO. LTD</t>
  </si>
  <si>
    <t>Akanksha Kumari</t>
  </si>
  <si>
    <t>BCCL_iRaje_Renewal</t>
  </si>
  <si>
    <t>CP-SU-0002</t>
  </si>
  <si>
    <t>20-04-2026 11:31 AM</t>
  </si>
  <si>
    <t>POT86583</t>
  </si>
  <si>
    <t>Usha Com</t>
  </si>
  <si>
    <t>Arun M</t>
  </si>
  <si>
    <t>Ushacomm_Barracuda</t>
  </si>
  <si>
    <t>CP-SU-0009</t>
  </si>
  <si>
    <t>20-04-2026 11:48 AM</t>
  </si>
  <si>
    <t>POT86587</t>
  </si>
  <si>
    <t>Auchtel Products Ltd.</t>
  </si>
  <si>
    <t>Lokesh Gautam</t>
  </si>
  <si>
    <t>Auchtel_TrendMicro</t>
  </si>
  <si>
    <t>CP-SU-0006</t>
  </si>
  <si>
    <t>POT86684</t>
  </si>
  <si>
    <t>KURODA ELECTRIC INDIA PVT. LTD</t>
  </si>
  <si>
    <t>SHIVRAJ SINGH</t>
  </si>
  <si>
    <t>Kurado_Cisco_Meraki</t>
  </si>
  <si>
    <t>CP-SU-0007</t>
  </si>
  <si>
    <t>POT86766</t>
  </si>
  <si>
    <t>CFM Asset Reconstruction Pvt Ltd</t>
  </si>
  <si>
    <t>Shirish Shinde</t>
  </si>
  <si>
    <t>CFM_CheckPoint</t>
  </si>
  <si>
    <t>CP-SU-0010</t>
  </si>
  <si>
    <t>POT87017</t>
  </si>
  <si>
    <t>Lyseis Technologies Pvt. Ltd.</t>
  </si>
  <si>
    <t>Sushma Pandurang Arolkar</t>
  </si>
  <si>
    <t>Lyseis_CheckPoint</t>
  </si>
  <si>
    <t>POT87019</t>
  </si>
  <si>
    <t>WNS Global Services (P) Ltd.</t>
  </si>
  <si>
    <t>Akshay Prabhu</t>
  </si>
  <si>
    <t>WNS_iRaje</t>
  </si>
  <si>
    <t>PAM</t>
  </si>
  <si>
    <t>CP-SU-0011</t>
  </si>
  <si>
    <t>POT87080</t>
  </si>
  <si>
    <t>26-03-2026 3:11 PM</t>
  </si>
  <si>
    <t>POT86356</t>
  </si>
  <si>
    <t>NTP</t>
  </si>
  <si>
    <t>Rocky Braganza+Nishant Jalan+Tasneem K</t>
  </si>
  <si>
    <t>CP-TK-0008</t>
  </si>
  <si>
    <t>CP-TK-0008 and CP-TK-0009
Margin as per SP</t>
  </si>
  <si>
    <t>21-04-2026 11:01 AM</t>
  </si>
  <si>
    <t>POT86593</t>
  </si>
  <si>
    <t>Tilaknagar Industries Ltd</t>
  </si>
  <si>
    <t>Gerald Rodrigues</t>
  </si>
  <si>
    <t>tilaknagar sonicwall</t>
  </si>
  <si>
    <t>Rocky Braganza+Nishant Jalan+Yogesh Bhatia+Jay Rushi</t>
  </si>
  <si>
    <t>Sonicwall</t>
  </si>
  <si>
    <t>CP-JU-0005</t>
  </si>
  <si>
    <t>Got Approval from Sanjay sir on mail 23/5/26 to change the amount as there was an error in it</t>
  </si>
  <si>
    <t>21-04-2026 1:51 PM</t>
  </si>
  <si>
    <t>POT86595</t>
  </si>
  <si>
    <t>SBM Bank</t>
  </si>
  <si>
    <t>Daniel Muthukaden</t>
  </si>
  <si>
    <t>SBM - NAS AD Integration</t>
  </si>
  <si>
    <t>PM-JU-0006</t>
  </si>
  <si>
    <t>26-05-2026 12:24 PM</t>
  </si>
  <si>
    <t>POT86913</t>
  </si>
  <si>
    <t>Tilaknagar Cisco rental</t>
  </si>
  <si>
    <t>Routing &amp; Switching</t>
  </si>
  <si>
    <t>28-05-2026 1:16 PM</t>
  </si>
  <si>
    <t>POT86949</t>
  </si>
  <si>
    <t>RIBBON Communication</t>
  </si>
  <si>
    <t>Sandip Deo</t>
  </si>
  <si>
    <t>Ribbon â€“ Dlink, Model - DGS1024</t>
  </si>
  <si>
    <t>CP-JU-0013</t>
  </si>
  <si>
    <t>30-06-2026 1:12 PM</t>
  </si>
  <si>
    <t>POT87258</t>
  </si>
  <si>
    <t>5Sec Cyberpwn Technologies Private Limited</t>
  </si>
  <si>
    <t>Sasidhar Sigipalli</t>
  </si>
  <si>
    <t>Implementation</t>
  </si>
  <si>
    <t>Yusufali Petiwala</t>
  </si>
  <si>
    <t>Rocky Braganza+Nishant Jalan+Yusufali Petiwala</t>
  </si>
  <si>
    <t>CP-YP-0014</t>
  </si>
  <si>
    <t>5% as per SP - Margin</t>
  </si>
  <si>
    <t>17-04-2026 8:32 PM</t>
  </si>
  <si>
    <t>POT86568</t>
  </si>
  <si>
    <t>Dell Workstation - 4 Qty</t>
  </si>
  <si>
    <t>CG-RD-0006</t>
  </si>
  <si>
    <t>16-04-2026 1:33 PM</t>
  </si>
  <si>
    <t>POT86543</t>
  </si>
  <si>
    <t>NEWTAP FINANCE PRIVATE LIMITED</t>
  </si>
  <si>
    <t>Nithin HP</t>
  </si>
  <si>
    <t>Apple Mouse &amp; Keyboard</t>
  </si>
  <si>
    <t>CG-SC-0006</t>
  </si>
  <si>
    <t>OPF no: CG-SC-0006
Margin is covered under OPF CG-SC-0005 dated: 24.04.2026</t>
  </si>
  <si>
    <t>21-04-2026 11:33 AM</t>
  </si>
  <si>
    <t>POT86594</t>
  </si>
  <si>
    <t>THE INK NIBBED</t>
  </si>
  <si>
    <t>Devyani Mohanty</t>
  </si>
  <si>
    <t>Dell 7020 micro PC</t>
  </si>
  <si>
    <t>Desktop</t>
  </si>
  <si>
    <t>CG-SC-0004</t>
  </si>
  <si>
    <t>OPF no: CG-SC-0004</t>
  </si>
  <si>
    <t>24-04-2026 2:11 PM</t>
  </si>
  <si>
    <t>POT86614</t>
  </si>
  <si>
    <t>Poly Headset</t>
  </si>
  <si>
    <t>CG-SC-0005</t>
  </si>
  <si>
    <t>OPF no: CG-SC-0005</t>
  </si>
  <si>
    <t>27-04-2026 4:31 PM</t>
  </si>
  <si>
    <t>POT86643</t>
  </si>
  <si>
    <t>Dell 7020 Micro PC</t>
  </si>
  <si>
    <t>CG-SC-0007</t>
  </si>
  <si>
    <t>OPF no: CG-SC-0007</t>
  </si>
  <si>
    <t>30-04-2026 2:09 PM</t>
  </si>
  <si>
    <t>POT86666</t>
  </si>
  <si>
    <t>Cartridges</t>
  </si>
  <si>
    <t>CG-SC-0008</t>
  </si>
  <si>
    <t>OPF no: CG-SC-0008</t>
  </si>
  <si>
    <t>POT86686</t>
  </si>
  <si>
    <t>ELEXCELLENCE PRIVATE LIMITED</t>
  </si>
  <si>
    <t>Tej Kumar</t>
  </si>
  <si>
    <t>HP 280G9 Desktop with Monitor</t>
  </si>
  <si>
    <t>CG-SC-0009</t>
  </si>
  <si>
    <t>OPF no: CG-SC-0009</t>
  </si>
  <si>
    <t>POT86689</t>
  </si>
  <si>
    <t>ASTRA GLOBAL SKILLS</t>
  </si>
  <si>
    <t>Mukund M</t>
  </si>
  <si>
    <t>CG-SC-0010</t>
  </si>
  <si>
    <t>OPF no: CG-SC-0010</t>
  </si>
  <si>
    <t>POT86692</t>
  </si>
  <si>
    <t>512GB SD Card</t>
  </si>
  <si>
    <t>Mobile Devices</t>
  </si>
  <si>
    <t>CG-SC-0011</t>
  </si>
  <si>
    <t>OPF no: CG-SC-0011</t>
  </si>
  <si>
    <t>POT86706</t>
  </si>
  <si>
    <t>Microsoft 365 Business Standard</t>
  </si>
  <si>
    <t>CG-SC-0012</t>
  </si>
  <si>
    <t>OPF no:</t>
  </si>
  <si>
    <t>POT86707</t>
  </si>
  <si>
    <t>Macbook 14inch</t>
  </si>
  <si>
    <t>Apple</t>
  </si>
  <si>
    <t>CG-SC-0014</t>
  </si>
  <si>
    <t>OPF no: CG-SC-0014</t>
  </si>
  <si>
    <t>POT86756</t>
  </si>
  <si>
    <t>Seagate HDD &amp; Dlink Accessories</t>
  </si>
  <si>
    <t>CG-SC-0013</t>
  </si>
  <si>
    <t>OPF no: CG-SC-0013</t>
  </si>
  <si>
    <t>17-05-2026 6:26 PM</t>
  </si>
  <si>
    <t>POT86813</t>
  </si>
  <si>
    <t>XT Silicon Brains Technologies Private Limited</t>
  </si>
  <si>
    <t>Kumar P</t>
  </si>
  <si>
    <t>Asus NUC</t>
  </si>
  <si>
    <t>CG-SC-0017</t>
  </si>
  <si>
    <t>OPF no: CG-SC-0017</t>
  </si>
  <si>
    <t>18-05-2026 5:33 PM</t>
  </si>
  <si>
    <t>POT86833</t>
  </si>
  <si>
    <t>CG-SC-0018</t>
  </si>
  <si>
    <t>OPF no: CG-SC-0018</t>
  </si>
  <si>
    <t>25-05-2026 12:09 PM</t>
  </si>
  <si>
    <t>POT86899</t>
  </si>
  <si>
    <t>Samsung Monitor</t>
  </si>
  <si>
    <t>CG-SC-0019</t>
  </si>
  <si>
    <t>OPF no: CG-SC-0019</t>
  </si>
  <si>
    <t>27-05-2026 3:52 PM</t>
  </si>
  <si>
    <t>POT86936</t>
  </si>
  <si>
    <t>Samsung 43" LED Monitor</t>
  </si>
  <si>
    <t>CG-SC-0021</t>
  </si>
  <si>
    <t>OPF no: CG-SC-0021</t>
  </si>
  <si>
    <t>POT87010</t>
  </si>
  <si>
    <t>MS Office o365</t>
  </si>
  <si>
    <t>CG-SC-0024</t>
  </si>
  <si>
    <t>OPF no: CG-SC-0024</t>
  </si>
  <si>
    <t>POT87090</t>
  </si>
  <si>
    <t>TECDIA (INDIA) PRIVATE LIMITED</t>
  </si>
  <si>
    <t>Mukund N M</t>
  </si>
  <si>
    <t>HP 440 G11</t>
  </si>
  <si>
    <t>CG-SC-0026</t>
  </si>
  <si>
    <t>OPF no: CG-SC-0026</t>
  </si>
  <si>
    <t>POT87091</t>
  </si>
  <si>
    <t>Binary Systems Pvt. Ltd.</t>
  </si>
  <si>
    <t>Daniel M</t>
  </si>
  <si>
    <t>HP 16GB RAM DDR5</t>
  </si>
  <si>
    <t>CG-SC-0027</t>
  </si>
  <si>
    <t>OPF no: CG-SC-0027</t>
  </si>
  <si>
    <t>18-06-2026 09:26 AM</t>
  </si>
  <si>
    <t>POT87144</t>
  </si>
  <si>
    <t>Lenovo M70T Desktop</t>
  </si>
  <si>
    <t>18-06-2026</t>
  </si>
  <si>
    <t>CG-SC-0028</t>
  </si>
  <si>
    <t>OPF no: CG-SC-0028</t>
  </si>
  <si>
    <t>18-06-2026 09:29 AM</t>
  </si>
  <si>
    <t>POT87145</t>
  </si>
  <si>
    <t>Seagate 8TB HDD</t>
  </si>
  <si>
    <t>CG-SC-0029</t>
  </si>
  <si>
    <t>OPF no: CG-SC-0029</t>
  </si>
  <si>
    <t>18-06-2026 09:35 AM</t>
  </si>
  <si>
    <t>POT87146</t>
  </si>
  <si>
    <t>HP 280 G9 Desktop</t>
  </si>
  <si>
    <t>CG-SC-0030</t>
  </si>
  <si>
    <t>OPF no: CG-SC-0030</t>
  </si>
  <si>
    <t>22-06-2026 10:27 AM</t>
  </si>
  <si>
    <t>POT87190</t>
  </si>
  <si>
    <t>CG-SC-0031</t>
  </si>
  <si>
    <t>OPF no: CG-SC-0031</t>
  </si>
  <si>
    <t>22-06-2026 10:51 AM</t>
  </si>
  <si>
    <t>POT87193</t>
  </si>
  <si>
    <t>Sandisk 512GB SD card</t>
  </si>
  <si>
    <t>CG-SC-0032</t>
  </si>
  <si>
    <t>OPF no: CG-SC-0032</t>
  </si>
  <si>
    <t>29-06-2026 09:31 AM</t>
  </si>
  <si>
    <t>POT87238</t>
  </si>
  <si>
    <t>Lenovo 70T with Monitor</t>
  </si>
  <si>
    <t>CG-SC-0035</t>
  </si>
  <si>
    <t>OPF no: CG-SC-0035</t>
  </si>
  <si>
    <t>14-05-2026 11:48 AM</t>
  </si>
  <si>
    <t>POT86773</t>
  </si>
  <si>
    <t>ITMantra TechIntellect Pvt Ltd</t>
  </si>
  <si>
    <t>Minakshi J</t>
  </si>
  <si>
    <t>Engineer visit charges</t>
  </si>
  <si>
    <t>Sandeep Makwana+Jitesh Rajput+Anil Zachariah</t>
  </si>
  <si>
    <t>Time &amp; Material Services</t>
  </si>
  <si>
    <t>PM-JI-0001</t>
  </si>
  <si>
    <t>BU - Cloud</t>
  </si>
  <si>
    <t>POT87016</t>
  </si>
  <si>
    <t>17-06-2026 4:31 PM</t>
  </si>
  <si>
    <t>POT87135</t>
  </si>
  <si>
    <t>Zero touch integration</t>
  </si>
  <si>
    <t>PM-JI-0003</t>
  </si>
  <si>
    <t>25-05-2026 09:43 AM</t>
  </si>
  <si>
    <t>POT86888</t>
  </si>
  <si>
    <t>Alkem Laboratories Limited</t>
  </si>
  <si>
    <t>Hemant Dhamane</t>
  </si>
  <si>
    <t>Docker Pro - License  - 01</t>
  </si>
  <si>
    <t>Sandeep Makwana+Jitesh Rajput+Anil Zachariah+Jimesh Shah</t>
  </si>
  <si>
    <t>CL-JS-0004</t>
  </si>
  <si>
    <t>PO received</t>
  </si>
  <si>
    <t>POT86393</t>
  </si>
  <si>
    <t>DELL 12 QTY NB</t>
  </si>
  <si>
    <t>Sanjay Patodia+Hrushikesh Bagade</t>
  </si>
  <si>
    <t>CG-HB-0005</t>
  </si>
  <si>
    <t>EU was looking DELL NB, price sent, PO received</t>
  </si>
  <si>
    <t>POT86395</t>
  </si>
  <si>
    <t>DELL 12 QTY NB PO 2</t>
  </si>
  <si>
    <t>CG-HB-0006</t>
  </si>
  <si>
    <t>POT86396</t>
  </si>
  <si>
    <t>DELL Laptops 9 QTY</t>
  </si>
  <si>
    <t>CG-HB-0007</t>
  </si>
  <si>
    <t>POT86397</t>
  </si>
  <si>
    <t>DELL Laptops 4 QTY</t>
  </si>
  <si>
    <t>CG-HB-0008</t>
  </si>
  <si>
    <t>POT86398</t>
  </si>
  <si>
    <t>DELL Laptops 3 QTY</t>
  </si>
  <si>
    <t>CG-HB-0009</t>
  </si>
  <si>
    <t>POT86399</t>
  </si>
  <si>
    <t>DELL Laptops 1 QTY</t>
  </si>
  <si>
    <t>CG-HB-0003</t>
  </si>
  <si>
    <t>POT86400</t>
  </si>
  <si>
    <t>PO 2 DELL NB 4QTY</t>
  </si>
  <si>
    <t>CG-HB-0004</t>
  </si>
  <si>
    <t>POT86401</t>
  </si>
  <si>
    <t>DELL Laptops 2 QTY</t>
  </si>
  <si>
    <t>CG-HB-0010</t>
  </si>
  <si>
    <t>POT86402</t>
  </si>
  <si>
    <t>DELL Laptops 1 QTY PO2</t>
  </si>
  <si>
    <t>CG-HB-0011</t>
  </si>
  <si>
    <t>POT86404</t>
  </si>
  <si>
    <t>DELL Laptops 1 QTY PO4</t>
  </si>
  <si>
    <t>CG-HB-0012</t>
  </si>
  <si>
    <t>POT86405</t>
  </si>
  <si>
    <t>DELL Laptops 2 QTY PO2</t>
  </si>
  <si>
    <t>CG-HB-0013</t>
  </si>
  <si>
    <t>POT86406</t>
  </si>
  <si>
    <t>DELL Laptops 1 QTY PO5</t>
  </si>
  <si>
    <t>CG-HB-0014</t>
  </si>
  <si>
    <t>POT86407</t>
  </si>
  <si>
    <t>DELL Laptops 2 QTY PO3</t>
  </si>
  <si>
    <t>CG-HB-0015</t>
  </si>
  <si>
    <t>POT86422</t>
  </si>
  <si>
    <t>ZUVENTUS HEALTHCARE LIMITED</t>
  </si>
  <si>
    <t>CG-HB-0017</t>
  </si>
  <si>
    <t>POT86423</t>
  </si>
  <si>
    <t>GENNOVA BIOPHARMACEUTICALS LIMITED</t>
  </si>
  <si>
    <t>CG-HB-0016</t>
  </si>
  <si>
    <t>POT86424</t>
  </si>
  <si>
    <t>DELL Laptops 7 QTY</t>
  </si>
  <si>
    <t>CG-HB-0019</t>
  </si>
  <si>
    <t>POT86425</t>
  </si>
  <si>
    <t>CG-HB-0023</t>
  </si>
  <si>
    <t>POT86426</t>
  </si>
  <si>
    <t>CG-HB-0022</t>
  </si>
  <si>
    <t>POT86427</t>
  </si>
  <si>
    <t>DELL Laptops 5 QTY</t>
  </si>
  <si>
    <t>CG-HB-0020</t>
  </si>
  <si>
    <t>POT86428</t>
  </si>
  <si>
    <t>CG-HB-0024</t>
  </si>
  <si>
    <t>POT86429</t>
  </si>
  <si>
    <t>DELL Laptops 1 QTY PO3</t>
  </si>
  <si>
    <t>CG-HB-0025</t>
  </si>
  <si>
    <t>POT86430</t>
  </si>
  <si>
    <t>DELL Laptops 10 QTY</t>
  </si>
  <si>
    <t>CG-HB-0021</t>
  </si>
  <si>
    <t>POT86431</t>
  </si>
  <si>
    <t>CG-HB-0018</t>
  </si>
  <si>
    <t>23-04-2026 8:04 PM</t>
  </si>
  <si>
    <t>POT86607</t>
  </si>
  <si>
    <t>CG-HB-0026</t>
  </si>
  <si>
    <t>29-05-2026 11:52 AM</t>
  </si>
  <si>
    <t>POT86951</t>
  </si>
  <si>
    <t>Emcure DELL NB P1 3 QTY</t>
  </si>
  <si>
    <t>CG-HB-0035</t>
  </si>
  <si>
    <t>EU want DELL laptop price, quote sent, order received</t>
  </si>
  <si>
    <t>29-05-2026 11:55 AM</t>
  </si>
  <si>
    <t>POT86952</t>
  </si>
  <si>
    <t>Emcure DELL NB P2 1 QTY</t>
  </si>
  <si>
    <t>CG-HB-0036</t>
  </si>
  <si>
    <t>29-05-2026 11:58 AM</t>
  </si>
  <si>
    <t>POT86953</t>
  </si>
  <si>
    <t>Emcure DELL NB P3 2 QTY</t>
  </si>
  <si>
    <t>CG-HB-0037</t>
  </si>
  <si>
    <t>29-05-2026 12:04 PM</t>
  </si>
  <si>
    <t>POT86954</t>
  </si>
  <si>
    <t>Gennova DELL NB P1 1 QTY</t>
  </si>
  <si>
    <t>CG-HB-0038</t>
  </si>
  <si>
    <t>29-05-2026 7:22 PM</t>
  </si>
  <si>
    <t>POT86975</t>
  </si>
  <si>
    <t>CG-HB-0040</t>
  </si>
  <si>
    <t>POT87020</t>
  </si>
  <si>
    <t>DELL Laptops 8 QTY</t>
  </si>
  <si>
    <t>CG-HB-0043</t>
  </si>
  <si>
    <t>EU looking for 8QTY DELL NB, price sent, po received</t>
  </si>
  <si>
    <t>POT87021</t>
  </si>
  <si>
    <t>CG-HB-0044</t>
  </si>
  <si>
    <t>EU looking for 1QTY DELL NB, price sent, po received</t>
  </si>
  <si>
    <t>POT87022</t>
  </si>
  <si>
    <t>CG-HB-0045</t>
  </si>
  <si>
    <t>EU want 2 QTY DELL NB, price sent, po received.</t>
  </si>
  <si>
    <t>POT87098</t>
  </si>
  <si>
    <t>CG-HB-0047</t>
  </si>
  <si>
    <t>EU want looking 10 QTY NB, price sent for DELL NB, po received</t>
  </si>
  <si>
    <t>POT87099</t>
  </si>
  <si>
    <t>CG-HB-0048</t>
  </si>
  <si>
    <t>EU want price for 1 QTY NB, price sent for DELL 1 QTY NB, PO received</t>
  </si>
  <si>
    <t>POT87103</t>
  </si>
  <si>
    <t>DELL Laptop 1 QTY</t>
  </si>
  <si>
    <t>CG-HB-0049</t>
  </si>
  <si>
    <t>po received. 1 QTY DELL NB</t>
  </si>
  <si>
    <t>29-06-2026 5:09 PM</t>
  </si>
  <si>
    <t>POT87253</t>
  </si>
  <si>
    <t>DELL NB 3 QTY</t>
  </si>
  <si>
    <t>EU want 3 QTY NB, price sent, po received.</t>
  </si>
  <si>
    <t>29-06-2026 5:31 PM</t>
  </si>
  <si>
    <t>POT87254</t>
  </si>
  <si>
    <t>DELL NB 1 QTY</t>
  </si>
  <si>
    <t>EU want price for 1 QTY - DELL Laptop, price sent, PO received.</t>
  </si>
  <si>
    <t>25-04-2026 11:39 AM</t>
  </si>
  <si>
    <t>POT86624</t>
  </si>
  <si>
    <t>Sanjay Patodia+Shilpa Kavde</t>
  </si>
  <si>
    <t>CG-SL-0008</t>
  </si>
  <si>
    <t>29-04-2026 1:31 PM</t>
  </si>
  <si>
    <t>POT86660</t>
  </si>
  <si>
    <t>Metropolis Healthcare Pvt Ltd</t>
  </si>
  <si>
    <t>Siddhesh Manjrekar</t>
  </si>
  <si>
    <t>MAC Mini</t>
  </si>
  <si>
    <t>CG-SL-0007</t>
  </si>
  <si>
    <t>14-05-2026 12:36 PM</t>
  </si>
  <si>
    <t>POT86774</t>
  </si>
  <si>
    <t>Resource E-waste Soultion Pvt Ltd</t>
  </si>
  <si>
    <t>ashish singhal</t>
  </si>
  <si>
    <t>Desktop buy back</t>
  </si>
  <si>
    <t>Accer</t>
  </si>
  <si>
    <t>CG-SL-0009</t>
  </si>
  <si>
    <t>13-06-2026 6:38 PM</t>
  </si>
  <si>
    <t>POT87105</t>
  </si>
  <si>
    <t>Crisil Limited</t>
  </si>
  <si>
    <t>Saquib Kazi</t>
  </si>
  <si>
    <t>CG-SL-0031</t>
  </si>
  <si>
    <t>23-04-2026 6:13 PM</t>
  </si>
  <si>
    <t>POT86606</t>
  </si>
  <si>
    <t>Prince Pipes And Fittings Ltd.</t>
  </si>
  <si>
    <t>Tejas S Shah</t>
  </si>
  <si>
    <t>Surface Arc Mouce</t>
  </si>
  <si>
    <t>Vidula Chawan</t>
  </si>
  <si>
    <t>Sanjay Patodia+Vidula Chawan</t>
  </si>
  <si>
    <t>CG-VC-0001</t>
  </si>
  <si>
    <t>13-04-2026 10:11 AM</t>
  </si>
  <si>
    <t>POT86513</t>
  </si>
  <si>
    <t>Centre for Advanced Financial Research and Learning (CAFRAL)</t>
  </si>
  <si>
    <t>Anup Sonawane</t>
  </si>
  <si>
    <t>HP Workstation</t>
  </si>
  <si>
    <t>Sankeerth Bhargav</t>
  </si>
  <si>
    <t>CG-SE-0001</t>
  </si>
  <si>
    <t>POT87008</t>
  </si>
  <si>
    <t>Indian Financial Technology &amp; Allied Services</t>
  </si>
  <si>
    <t>T.R. Uma Maheswari</t>
  </si>
  <si>
    <t>Dell Monitors</t>
  </si>
  <si>
    <t>CG-SE-0003</t>
  </si>
  <si>
    <t>POT87079</t>
  </si>
  <si>
    <t>rental Laptop</t>
  </si>
  <si>
    <t>POT86391</t>
  </si>
  <si>
    <t>Lenovo Yoga Laptop</t>
  </si>
  <si>
    <t>CG-SZ-0001</t>
  </si>
  <si>
    <t>OPF no: CG-SZ-0001</t>
  </si>
  <si>
    <t>14-04-2026 3:20 PM</t>
  </si>
  <si>
    <t>POT86538</t>
  </si>
  <si>
    <t>LENOVO X9 LAPTOP</t>
  </si>
  <si>
    <t>CG-SZ-0002</t>
  </si>
  <si>
    <t>OPF no: CG-SZ-0002</t>
  </si>
  <si>
    <t>28-04-2026 3:34 PM</t>
  </si>
  <si>
    <t>POT86648</t>
  </si>
  <si>
    <t>Sapiens Technologies (1982) India Private Limited</t>
  </si>
  <si>
    <t>Pavan Kumar</t>
  </si>
  <si>
    <t>CG-SZ-0006</t>
  </si>
  <si>
    <t>OPF no: CG-SZ-0006</t>
  </si>
  <si>
    <t>28-04-2026 3:42 PM</t>
  </si>
  <si>
    <t>POT86649</t>
  </si>
  <si>
    <t>Dell PRECISION 3680 TOWER</t>
  </si>
  <si>
    <t>CG-SZ-0005</t>
  </si>
  <si>
    <t>OPF no: CG-SZ-0005</t>
  </si>
  <si>
    <t>26-05-2026 11:05 AM</t>
  </si>
  <si>
    <t>POT86911</t>
  </si>
  <si>
    <t>CISCO ROUTER</t>
  </si>
  <si>
    <t>CP-SZ-0009</t>
  </si>
  <si>
    <t>Please process the order.
Received multiple PO 
OPF no: CP-SZ-0009</t>
  </si>
  <si>
    <t>29-05-2026 2:03 PM</t>
  </si>
  <si>
    <t>POT86956</t>
  </si>
  <si>
    <t>CP-SZ-0010</t>
  </si>
  <si>
    <t>Please process the order.
Received multiple PO 
OPF no: CP-SZ-0010</t>
  </si>
  <si>
    <t>29-05-2026 2:12 PM</t>
  </si>
  <si>
    <t>POT86957</t>
  </si>
  <si>
    <t>CP-SZ-0011</t>
  </si>
  <si>
    <t>Please process the order.
Received multiple PO 
OPF no: CP-SZ-0011</t>
  </si>
  <si>
    <t>29-05-2026 2:21 PM</t>
  </si>
  <si>
    <t>POT86958</t>
  </si>
  <si>
    <t>CP-SZ-0012</t>
  </si>
  <si>
    <t>Please process the order.
Received multiple PO 
OPF no: CP-SZ-0012</t>
  </si>
  <si>
    <t>27-04-2026 1:18 PM</t>
  </si>
  <si>
    <t>POT86640</t>
  </si>
  <si>
    <t>Astra Microwave Product Limited</t>
  </si>
  <si>
    <t>Aditya Eshwar</t>
  </si>
  <si>
    <t>HP Z8 G5 Workstation</t>
  </si>
  <si>
    <t>18-04-2026 09:24 AM</t>
  </si>
  <si>
    <t>POT86569</t>
  </si>
  <si>
    <t>CG-SL-0006</t>
  </si>
  <si>
    <t>22-06-2026 6:04 PM</t>
  </si>
  <si>
    <t>POT87209</t>
  </si>
  <si>
    <t>PSB- TABLET -41 QTY</t>
  </si>
  <si>
    <t>Tasneem K+Pratik Kadam</t>
  </si>
  <si>
    <t>CG-PM-0038</t>
  </si>
  <si>
    <t>POT86463</t>
  </si>
  <si>
    <t>Monitor_05 nos</t>
  </si>
  <si>
    <t>Bhavesh Chauhan</t>
  </si>
  <si>
    <t>CG-VC-0002</t>
  </si>
  <si>
    <t>POT87026</t>
  </si>
  <si>
    <t>Monitor_02 nos</t>
  </si>
  <si>
    <t>CG-VC-0003</t>
  </si>
  <si>
    <t>18-03-2026 10:47 AM</t>
  </si>
  <si>
    <t>POT86291</t>
  </si>
  <si>
    <t>Esyasoft Technologies Pvt.Ltd.</t>
  </si>
  <si>
    <t>Shyam C N</t>
  </si>
  <si>
    <t>Esyasoft - Laptops</t>
  </si>
  <si>
    <t>Yogesh Bhatia+Atharva Karpe</t>
  </si>
  <si>
    <t>CG-AC-0004</t>
  </si>
  <si>
    <t>30938604 / DRPA20001</t>
  </si>
  <si>
    <t>3000 approx cost taken for extended warranty</t>
  </si>
  <si>
    <t>31-03-2026 12:14 PM</t>
  </si>
  <si>
    <t>POT86378</t>
  </si>
  <si>
    <t>Schneider Electric - IT Hardware Birla</t>
  </si>
  <si>
    <t>CG-AC-0008</t>
  </si>
  <si>
    <t>16-04-2026 5:38 PM</t>
  </si>
  <si>
    <t>POT86545</t>
  </si>
  <si>
    <t>National Investment and Infrastructure Fund Limited (NIIFL)</t>
  </si>
  <si>
    <t>Junaid Azizi</t>
  </si>
  <si>
    <t>Samsung Phone</t>
  </si>
  <si>
    <t>CG-AC-0001</t>
  </si>
  <si>
    <t>16-04-2026 5:41 PM</t>
  </si>
  <si>
    <t>POT86546</t>
  </si>
  <si>
    <t>Hilti Technology Solutions India Private Limited</t>
  </si>
  <si>
    <t>Akhilesh Mokashi</t>
  </si>
  <si>
    <t>Hilti - IT Hardware</t>
  </si>
  <si>
    <t>CG-AC-0003</t>
  </si>
  <si>
    <t>17-04-2026 09:18 AM</t>
  </si>
  <si>
    <t>POT86549</t>
  </si>
  <si>
    <t>Laptop - U5 U7</t>
  </si>
  <si>
    <t>POT86677</t>
  </si>
  <si>
    <t>Esyasoft Smart Research Private Limited</t>
  </si>
  <si>
    <t>Yatendra Singh</t>
  </si>
  <si>
    <t>EsyaSoft Smart Research - Laptops</t>
  </si>
  <si>
    <t>CG-AC-0005</t>
  </si>
  <si>
    <t>extended warranty cost taken apprx</t>
  </si>
  <si>
    <t>POT86678</t>
  </si>
  <si>
    <t>Esyasoft Smart Service Private Limited</t>
  </si>
  <si>
    <t>Esyasoft Smart Service - Laptops</t>
  </si>
  <si>
    <t>CG-AC-0002</t>
  </si>
  <si>
    <t>apprx cost taken for HP warranty - 3000</t>
  </si>
  <si>
    <t>POT86699</t>
  </si>
  <si>
    <t>Samsung Phone - S26 Plus</t>
  </si>
  <si>
    <t>CG-AC-0006</t>
  </si>
  <si>
    <t>POT86710</t>
  </si>
  <si>
    <t>Phone NIIFL</t>
  </si>
  <si>
    <t>24-06-2026 1:28 PM</t>
  </si>
  <si>
    <t>POT87222</t>
  </si>
  <si>
    <t>Esyasoft Laptops - DELL / HP</t>
  </si>
  <si>
    <t>27-06-2026</t>
  </si>
  <si>
    <t>CG-AC-0010</t>
  </si>
  <si>
    <t>16-03-2026 10:58 AM</t>
  </si>
  <si>
    <t>POT86259</t>
  </si>
  <si>
    <t>Ajanta Pharma Limited</t>
  </si>
  <si>
    <t>Drashti Mistry</t>
  </si>
  <si>
    <t>Yogesh Bhatia+Ayushman Singh</t>
  </si>
  <si>
    <t>CP-AY-0002</t>
  </si>
  <si>
    <t>POT86444</t>
  </si>
  <si>
    <t>Priya Chemicals</t>
  </si>
  <si>
    <t>Dr. Angle</t>
  </si>
  <si>
    <t>Priya Chemicals - Adobe License</t>
  </si>
  <si>
    <t>Yogesh Bhatia+Jay Rushi</t>
  </si>
  <si>
    <t>CG-JU-0001</t>
  </si>
  <si>
    <t>POT86475</t>
  </si>
  <si>
    <t>tilaknagar Industries - endpoints</t>
  </si>
  <si>
    <t>CG-JU-0002</t>
  </si>
  <si>
    <t>16-04-2026 6:18 PM</t>
  </si>
  <si>
    <t>POT86547</t>
  </si>
  <si>
    <t>Tilak Nagar - Laptops</t>
  </si>
  <si>
    <t>CG-JU-0003</t>
  </si>
  <si>
    <t>20-04-2026 4:03 PM</t>
  </si>
  <si>
    <t>POT86592</t>
  </si>
  <si>
    <t>tilaknagar Industries - ups, endpoint</t>
  </si>
  <si>
    <t>CG-JU-0004</t>
  </si>
  <si>
    <t>25-05-2026 12:59 PM</t>
  </si>
  <si>
    <t>POT86902</t>
  </si>
  <si>
    <t>Sterling - TV</t>
  </si>
  <si>
    <t>CG-JU-0011</t>
  </si>
  <si>
    <t>POT87023</t>
  </si>
  <si>
    <t>Infobahn Technical Solutions (I) Pvt Ltd.</t>
  </si>
  <si>
    <t>Swapnil Raul</t>
  </si>
  <si>
    <t>Infobahn Tech Solutions - Endpoints</t>
  </si>
  <si>
    <t>CG-JU-0014</t>
  </si>
  <si>
    <t>POT86492</t>
  </si>
  <si>
    <t>DYNAMIX CONTRACTORS &amp; BUILDERS PRIVATE LIMITED</t>
  </si>
  <si>
    <t>Sahil Modi</t>
  </si>
  <si>
    <t>SONY BRAVIA 5 , FABER BELLA HT 904 , SAMSUNG 650 Lts</t>
  </si>
  <si>
    <t>CG-YP-0001</t>
  </si>
  <si>
    <t>13-04-2026 10:20 AM</t>
  </si>
  <si>
    <t>POT86514</t>
  </si>
  <si>
    <t>SHREE SHANTINATHJI</t>
  </si>
  <si>
    <t>Vikram Singh</t>
  </si>
  <si>
    <t>5D20Z51462 - 1 Qty</t>
  </si>
  <si>
    <t>CG-YP-0002</t>
  </si>
  <si>
    <t>20-04-2026 10:18 AM</t>
  </si>
  <si>
    <t>POT86576</t>
  </si>
  <si>
    <t>ABN Edge India Pvt Ltd</t>
  </si>
  <si>
    <t>Aslam Sheikh</t>
  </si>
  <si>
    <t>21S7S3QX00-9 Qty and 21S7S3QV00  - 10 qty</t>
  </si>
  <si>
    <t>CG-YP-0003</t>
  </si>
  <si>
    <t>POT86685</t>
  </si>
  <si>
    <t>Teknor</t>
  </si>
  <si>
    <t>Vishal Mehta</t>
  </si>
  <si>
    <t>Samsung 16GB RAM - 2 Qty</t>
  </si>
  <si>
    <t>CG-YP-0004</t>
  </si>
  <si>
    <t>18-05-2026 12:37 PM</t>
  </si>
  <si>
    <t>POT86822</t>
  </si>
  <si>
    <t>SEVEN IT SOLUTIONS</t>
  </si>
  <si>
    <t>Prashant Kamble</t>
  </si>
  <si>
    <t>Idemia MSO 1300E3 - 50 Qty</t>
  </si>
  <si>
    <t>CG-YP-0005</t>
  </si>
  <si>
    <t>18-05-2026 12:55 PM</t>
  </si>
  <si>
    <t>POT86823</t>
  </si>
  <si>
    <t>Dell Pro 14 (PC14250) XCTO Base -1 qty</t>
  </si>
  <si>
    <t>CG-YP-0006</t>
  </si>
  <si>
    <t>20-05-2026 5:38 PM</t>
  </si>
  <si>
    <t>POT86849</t>
  </si>
  <si>
    <t>Micro Infotech Inc</t>
  </si>
  <si>
    <t>Feroz Shaikh</t>
  </si>
  <si>
    <t>ZAC60016IN - 36 Qty</t>
  </si>
  <si>
    <t>20-05-2026</t>
  </si>
  <si>
    <t>CG-YP-0008</t>
  </si>
  <si>
    <t>POT87101</t>
  </si>
  <si>
    <t>ZAC60016IN Lenovo Tab M9-Tb310xu-4gb-64gb-Wifi+Lte ( With bundled cover )</t>
  </si>
  <si>
    <t>CG-YP-0009</t>
  </si>
  <si>
    <t>13-06-2026 10:23 PM</t>
  </si>
  <si>
    <t>POT87107</t>
  </si>
  <si>
    <t>CG-YP-0010</t>
  </si>
  <si>
    <t>13-06-2026 10:25 PM</t>
  </si>
  <si>
    <t>POT87108</t>
  </si>
  <si>
    <t>CG-YP-0011</t>
  </si>
  <si>
    <t>16-06-2026 11:23 AM</t>
  </si>
  <si>
    <t>POT87120</t>
  </si>
  <si>
    <t>Advance IQ Solutions Pvt Ltd</t>
  </si>
  <si>
    <t>Neeraj Sabarwal</t>
  </si>
  <si>
    <t>Scan head assembly with Installation Charges</t>
  </si>
  <si>
    <t>CG-YP-0012</t>
  </si>
  <si>
    <t>16-06-2026 12:16 PM</t>
  </si>
  <si>
    <t>POT87126</t>
  </si>
  <si>
    <t>SBI Life Insurance Co. Ltd</t>
  </si>
  <si>
    <t>Kasturi P</t>
  </si>
  <si>
    <t>Dell Pro Max Tower T2 Workstation</t>
  </si>
  <si>
    <t>CG-YP-0013</t>
  </si>
  <si>
    <t>Row Labels</t>
  </si>
  <si>
    <t>Grand Total</t>
  </si>
  <si>
    <t>Count of Opportunity Led By</t>
  </si>
  <si>
    <t>Sum of Amount</t>
  </si>
  <si>
    <t>Sum of Estimated Bottomline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</si>
</sst>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22" fontId="0" fillId="0" borderId="0" xfId="0" applyNumberFormat="1"/>
    <xf numFmtId="4" fontId="0" fillId="0" borderId="0" xfId="0" applyNumberFormat="1"/>
    <xf numFmtId="14" fontId="0" fillId="0" borderId="0" xfId="0" applyNumberFormat="1"/>
    <xf numFmtId="0" fontId="0" fillId="0" borderId="0" xfId="0" applyAlignment="1">
      <alignment wrapText="1"/>
    </xf>
    <xf numFmtId="0" fontId="18" fillId="0" borderId="0" xfId="0" applyFont="1"/>
    <xf numFmtId="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font>
        <b val="0"/>
        <i val="0"/>
        <strike val="0"/>
        <condense val="0"/>
        <extend val="0"/>
        <outline val="0"/>
        <shadow val="0"/>
        <u val="none"/>
        <vertAlign val="baseline"/>
        <sz val="11"/>
        <color rgb="FF000000"/>
        <name val="Aptos Narrow"/>
        <family val="2"/>
        <scheme val="none"/>
      </font>
      <fill>
        <patternFill patternType="none">
          <fgColor indexed="64"/>
          <bgColor indexed="65"/>
        </patternFill>
      </fill>
      <alignment horizontal="general" vertical="bottom" textRotation="0" wrapText="0" indent="0" justifyLastLine="0" shrinkToFit="0" readingOrder="0"/>
    </dxf>
    <dxf>
      <numFmt numFmtId="4" formatCode="#,##0.00"/>
    </dxf>
    <dxf>
      <numFmt numFmtId="4"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harshini " refreshedDate="46224.719210532407" createdVersion="8" refreshedVersion="8" minRefreshableVersion="3" recordCount="379" xr:uid="{AC0CD201-294E-497E-9D76-608D04217BAE}">
  <cacheSource type="worksheet">
    <worksheetSource name="PipelineData"/>
  </cacheSource>
  <cacheFields count="26">
    <cacheField name="Created Time" numFmtId="0">
      <sharedItems containsDate="1" containsMixedTypes="1" minDate="2025-01-11T12:40:00" maxDate="2026-12-06T14:29:00"/>
    </cacheField>
    <cacheField name="Opportunity Number" numFmtId="0">
      <sharedItems/>
    </cacheField>
    <cacheField name="Organization Name" numFmtId="0">
      <sharedItems/>
    </cacheField>
    <cacheField name="Contact Name" numFmtId="0">
      <sharedItems/>
    </cacheField>
    <cacheField name="Opportunity Name" numFmtId="0">
      <sharedItems/>
    </cacheField>
    <cacheField name="Opportunity Led By" numFmtId="0">
      <sharedItems count="30">
        <s v="Abrar Memon"/>
        <s v="Ajay Patodia"/>
        <s v="Chetna Sharma"/>
        <s v="Chirag Palande"/>
        <s v="Darshana Patil"/>
        <s v="Ishwari Kadam"/>
        <s v="Prachi Mayekar"/>
        <s v="Richa Tiwari"/>
        <s v="Riya Bhatt"/>
        <s v="Rohit Deshmukh"/>
        <s v="Sagar TR"/>
        <s v="Shahbaz Khan"/>
        <s v="Shaik Khadhar"/>
        <s v="Tasneem K"/>
        <s v="Varsha Ray"/>
        <s v="Atharva Karpe"/>
        <s v="Jay Rushi"/>
        <s v="Hrushikesh Bagade"/>
        <s v="Ashish Singh"/>
        <s v="Pratik Kadam"/>
        <s v="Shilpa Kavde"/>
        <s v="Ayushman Singh"/>
        <s v="Arpit Srivastava"/>
        <s v="Jimesh Shah"/>
        <s v="Sanjeev Kohli"/>
        <s v="Shubhangi Srinivasan"/>
        <s v="Yusufali Petiwala"/>
        <s v="Jitesh Rajput"/>
        <s v="Vidula Chawan"/>
        <s v="Sankeerth Bhargav"/>
      </sharedItems>
    </cacheField>
    <cacheField name="Assigned To" numFmtId="0">
      <sharedItems/>
    </cacheField>
    <cacheField name="Lead Source" numFmtId="0">
      <sharedItems/>
    </cacheField>
    <cacheField name="Identifier" numFmtId="0">
      <sharedItems/>
    </cacheField>
    <cacheField name="Supported By" numFmtId="0">
      <sharedItems/>
    </cacheField>
    <cacheField name="Category" numFmtId="0">
      <sharedItems count="5">
        <s v="CSG (EndPoint)"/>
        <s v="Data Centre"/>
        <s v="Cloud"/>
        <s v="Professional Services"/>
        <s v="Cyber Security &amp; Networking"/>
      </sharedItems>
    </cacheField>
    <cacheField name="Sub Category" numFmtId="0">
      <sharedItems/>
    </cacheField>
    <cacheField name="Brand" numFmtId="0">
      <sharedItems/>
    </cacheField>
    <cacheField name="Sales Stage" numFmtId="0">
      <sharedItems/>
    </cacheField>
    <cacheField name="Amount" numFmtId="2">
      <sharedItems containsSemiMixedTypes="0" containsString="0" containsNumber="1" minValue="2800" maxValue="95900000"/>
    </cacheField>
    <cacheField name="Estimated Bottomline" numFmtId="0">
      <sharedItems containsSemiMixedTypes="0" containsString="0" containsNumber="1" minValue="0" maxValue="30000000"/>
    </cacheField>
    <cacheField name="Actual Bottomline -" numFmtId="0">
      <sharedItems containsSemiMixedTypes="0" containsString="0" containsNumber="1" minValue="0" maxValue="9088502"/>
    </cacheField>
    <cacheField name="Expected Close Date" numFmtId="0">
      <sharedItems containsDate="1" containsMixedTypes="1" minDate="2026-01-04T00:00:00" maxDate="2026-12-07T00:00:00"/>
    </cacheField>
    <cacheField name="Deal Category" numFmtId="0">
      <sharedItems/>
    </cacheField>
    <cacheField name="Probability" numFmtId="0">
      <sharedItems containsSemiMixedTypes="0" containsString="0" containsNumber="1" minValue="0" maxValue="100"/>
    </cacheField>
    <cacheField name="OPF No." numFmtId="0">
      <sharedItems/>
    </cacheField>
    <cacheField name="Deal ID" numFmtId="0">
      <sharedItems containsMixedTypes="1" containsNumber="1" containsInteger="1" minValue="30722541" maxValue="31062110"/>
    </cacheField>
    <cacheField name="Deal Status" numFmtId="0">
      <sharedItems/>
    </cacheField>
    <cacheField name="Deal Expiry Date" numFmtId="0">
      <sharedItems/>
    </cacheField>
    <cacheField name="Description" numFmtId="0">
      <sharedItems longText="1"/>
    </cacheField>
    <cacheField name="Divis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
  <r>
    <d v="2026-06-04T15:31:00"/>
    <s v="POT86440"/>
    <s v="MedGenome Labs Private Ltd"/>
    <s v="Pushpa Chetry"/>
    <s v="Laptop Charger with Power cables"/>
    <x v="0"/>
    <s v="Abrar Memon"/>
    <s v="Self"/>
    <s v="NA"/>
    <s v="None"/>
    <x v="0"/>
    <s v="Accessories"/>
    <s v="Others"/>
    <s v="Closed Won"/>
    <n v="16380"/>
    <n v="2550"/>
    <n v="2550"/>
    <d v="2026-06-04T00:00:00"/>
    <s v="Green"/>
    <n v="100"/>
    <s v="CG-AE-0001"/>
    <s v="-"/>
    <s v="-"/>
    <s v="-"/>
    <s v="OPF no: CG-AE-0001"/>
    <s v="South"/>
  </r>
  <r>
    <d v="2026-07-05T12:59:00"/>
    <s v="POT86708"/>
    <s v="MedGenome Labs Private Ltd"/>
    <s v="Pushpa Chetry"/>
    <s v="LCD PANEL BEZEL HINGES with Cable"/>
    <x v="0"/>
    <s v="Abrar Memon"/>
    <s v="Self"/>
    <s v="NA"/>
    <s v="None"/>
    <x v="0"/>
    <s v="Accessories"/>
    <s v="Others"/>
    <s v="Closed Won"/>
    <n v="4100"/>
    <n v="550"/>
    <n v="550"/>
    <d v="2026-07-05T00:00:00"/>
    <s v="Green"/>
    <n v="100"/>
    <s v="CG-AE-0003"/>
    <s v="-"/>
    <s v="-"/>
    <s v="-"/>
    <s v="OPF no: CG-AE-0003"/>
    <s v="South"/>
  </r>
  <r>
    <d v="2026-11-05T17:46:00"/>
    <s v="POT86765"/>
    <s v="Actavis Pharma Development Centre Pvt. Ltd."/>
    <s v="Kaiser Shaikh"/>
    <s v="Lenovo ThinkStation P3 TWR G2"/>
    <x v="0"/>
    <s v="Ajay Patodia+Abrar Memon"/>
    <s v="Self"/>
    <s v="NA"/>
    <s v="Ajay Patodia"/>
    <x v="0"/>
    <s v="Workstation"/>
    <s v="Lenovo"/>
    <s v="Closed Won"/>
    <n v="263090.89"/>
    <n v="13090.89"/>
    <n v="0"/>
    <d v="2026-12-05T00:00:00"/>
    <s v="Green"/>
    <n v="100"/>
    <s v="CG-AE-0004"/>
    <s v="-"/>
    <s v="-"/>
    <s v="-"/>
    <s v="OPF no: CG-AE-0004"/>
    <s v="South"/>
  </r>
  <r>
    <s v="18-08-2025 10:36 AM"/>
    <s v="POT84209"/>
    <s v="EIT Services India Private Limited C/o DXC Technology"/>
    <s v="Hemant Singh"/>
    <s v="Dell PowerMax Storage Renewal for IOB Project - 6th Years"/>
    <x v="1"/>
    <s v="Ajay Patodia+Mukesh Choithani"/>
    <s v="Self"/>
    <s v="NA"/>
    <s v="None"/>
    <x v="1"/>
    <s v="Storage"/>
    <s v="Dell"/>
    <s v="Closed Won"/>
    <n v="27839236"/>
    <n v="100000"/>
    <n v="0"/>
    <s v="29-04-2026"/>
    <s v="Green"/>
    <n v="100"/>
    <s v="-"/>
    <s v="-"/>
    <s v="-"/>
    <s v="-"/>
    <s v="Need to follow-up for the 4th &amp; 5th Years AMC Renewal PO from DXC for the IOB Project._x000a_Shared the proposal for 4th to 7th Years_x000a_Waiting for the internal approval from the user team to take it forward_x000a_Need to shared the revised proposal with the upgrade hardware support._x000a_Shared the revised proposal_x000a_Cusotmer is going to release the PO for the 4th &amp; 5th Year AMC Renewal for teh rest Cusotmer is going to discussed with Dell_x000a_Prepare 4th &amp; 5th Year AMC Renewal POT separately._x000a_POT # POT86337 for the 4th Year AMC Renewal_x000a__x000a_POT # POT86338 for the 5th Year AMC Renewal_x000a_Shared the revised proposal for the 6th Years._x000a_Verbal confirmation received, awaiting for formal PO_x000a_Recd order"/>
    <s v="Bottomline"/>
  </r>
  <r>
    <s v="21-02-2026 2:40 PM"/>
    <s v="POT86085"/>
    <s v="Tata Communications Ltd."/>
    <s v="Rohit Kumar Gupta"/>
    <s v="Dell Server AMC Renewal - Qty 31nos"/>
    <x v="1"/>
    <s v="Ajay Patodia+Mukesh Choithani"/>
    <s v="OEM Lead"/>
    <s v="NA"/>
    <s v="None"/>
    <x v="1"/>
    <s v="Compute"/>
    <s v="Dell"/>
    <s v="Closed Won"/>
    <n v="1555020"/>
    <n v="125000"/>
    <n v="95020"/>
    <s v="26-05-2026"/>
    <s v="Green"/>
    <n v="100"/>
    <s v="DP-AP-0008"/>
    <s v="-"/>
    <s v="-"/>
    <s v="-"/>
    <s v="Required 32 nos Dell PowerEdge Server AMC for the period of 1 Year_x000a_Shared the renewal proposal._x000a_Shared the revised renewal proposal_x000a_OPF no: DP-AP-0008"/>
    <s v="Bottomline"/>
  </r>
  <r>
    <s v="31-03-2026 6:13 PM"/>
    <s v="POT86383"/>
    <s v="Tata Communications Ltd."/>
    <s v="Prathamesh Tawde"/>
    <s v="EMC Unity Storage Renewal"/>
    <x v="1"/>
    <s v="Ajay Patodia+Mukesh Choithani"/>
    <s v="OEM Lead"/>
    <s v="NA"/>
    <s v="None"/>
    <x v="1"/>
    <s v="Storage"/>
    <s v="EMC"/>
    <s v="Closed Won"/>
    <n v="450000"/>
    <n v="45000"/>
    <n v="30000"/>
    <d v="2026-07-04T00:00:00"/>
    <s v="Green"/>
    <n v="100"/>
    <s v="DP-AP-0002"/>
    <s v="-"/>
    <s v="-"/>
    <s v="-"/>
    <s v="Requried AMC Renewal for EMC Unity Storage for the Period of 1 Year._x000a_Storage Serial nos - CKM00182000675_x000a_Support required from 01.04.2026 to 31.03.2027_x000a_Shared the renewal proposal with 100% OM back to back support._x000a_Shared the revised proposal_x000a_OPF no: DP-AP-0002"/>
    <s v="Bottomline"/>
  </r>
  <r>
    <d v="2026-03-04T12:16:00"/>
    <s v="POT86412"/>
    <s v="Tata Communications Ltd."/>
    <s v="Rohit Kumar Gupta"/>
    <s v="Dell Server Renewal for INSTACC &amp; GHCC  Project"/>
    <x v="1"/>
    <s v="Ajay Patodia+Mukesh Choithani"/>
    <s v="OEM Lead"/>
    <s v="NA"/>
    <s v="None"/>
    <x v="1"/>
    <s v="Compute"/>
    <s v="Dell"/>
    <s v="Closed Won"/>
    <n v="3592913.74"/>
    <n v="300000"/>
    <n v="232913.74"/>
    <d v="2026-03-04T00:00:00"/>
    <s v="Green"/>
    <n v="100"/>
    <s v="DP-AP-0001"/>
    <s v="-"/>
    <s v="-"/>
    <s v="-"/>
    <s v="Required AMC Renewal for Dell Server - INSTACC &amp; GHCC _x000a_Total nos of Servers Counts - 50_x000a_Required support till 31st March 2027_x000a_Shared the renewal proposal with 100% OEM back to back support._x000a_OPF no: DP-AP-0001"/>
    <s v="Bottomline"/>
  </r>
  <r>
    <d v="2026-04-04T12:49:00"/>
    <s v="POT86417"/>
    <s v="Sun Pharmaceuticals Limited"/>
    <s v="Rohit Walke"/>
    <s v="Dell Server and Storage AMC Renewal FY 26-27"/>
    <x v="1"/>
    <s v="Ajay Patodia+Mukesh Choithani"/>
    <s v="Self"/>
    <s v="NA"/>
    <s v="None"/>
    <x v="1"/>
    <s v="Compute"/>
    <s v="Dell"/>
    <s v="Closed Won"/>
    <n v="40741531.43"/>
    <n v="500000"/>
    <n v="2741531.43"/>
    <d v="2026-05-06T00:00:00"/>
    <s v="Green"/>
    <n v="100"/>
    <s v="DP-AP-0026"/>
    <s v="-"/>
    <s v="-"/>
    <s v="-"/>
    <s v="Required Dell Servers and Storage AMC Renewal for the current year from 0.4.2026 to 31.03.2027_x000a_Existing support already got expired on 31.03.2026_x000a_Mail confirmation received, awaiting for the formal PO_x000a_Need to shared the renewal proposal._x000a_Shared the revised proposal._x000a_Recd order_x000a_OPF no: DP-AP-0026"/>
    <s v="Bottomline"/>
  </r>
  <r>
    <s v="16-04-2026 09:09 AM"/>
    <s v="POT86542"/>
    <s v="Tata Communications Ltd."/>
    <s v="Rohit Kumar Gupta"/>
    <s v="Dell PowerEdge R440 Server Renewal - 2nos"/>
    <x v="1"/>
    <s v="Ajay Patodia+Mukesh Choithani"/>
    <s v="OEM Lead"/>
    <s v="NA"/>
    <s v="None"/>
    <x v="1"/>
    <s v="Compute"/>
    <s v="Dell"/>
    <s v="Closed Won"/>
    <n v="76000"/>
    <n v="5000"/>
    <n v="5000"/>
    <s v="17-04-2026"/>
    <s v="Green"/>
    <n v="100"/>
    <s v="DP-AP-0003"/>
    <s v="-"/>
    <s v="-"/>
    <s v="-"/>
    <s v="Required Dell PowerEdge R440 Server AMC Renewal for 1 Years _x000a_Server Counts - 2nos _x000a_Server Serial nos - C98RM93, G98RM93_x000a_Shared the renewal proposal with Post standard support for the period of 1 year with 100% OEM back to back support from 22.02.2026 to 21.02.2027_x000a_OPF no: DP-AP-0003"/>
    <s v="Bottomline"/>
  </r>
  <r>
    <s v="20-04-2026 11:43 AM"/>
    <s v="POT86586"/>
    <s v="NOVAMESH LIMITED"/>
    <s v="Manikandan Sethuraman"/>
    <s v="Dell Server and Storage Renewal for 3 months"/>
    <x v="1"/>
    <s v="Ajay Patodia+Mukesh Choithani"/>
    <s v="OEM Lead"/>
    <s v="NA"/>
    <s v="None"/>
    <x v="1"/>
    <s v="Compute"/>
    <s v="Dell"/>
    <s v="Closed Won"/>
    <n v="1272406.6599999999"/>
    <n v="100000"/>
    <n v="83407"/>
    <s v="22-04-2026"/>
    <s v="Green"/>
    <n v="100"/>
    <s v="DP-AP-0004"/>
    <s v="-"/>
    <s v="-"/>
    <s v="-"/>
    <s v="Required Dell Servers and Storage AMC Renewal for 3 months from 01.04.2026 to 30.06.2026_x000a_Shared the renewal proposal._x000a_OPF no: DP-AP-0004"/>
    <s v="Bottomline"/>
  </r>
  <r>
    <s v="28-04-2026 11:33 AM"/>
    <s v="POT86645"/>
    <s v="Tata Communications Ltd."/>
    <s v="Rohit Kumar Gupta"/>
    <s v="Dell Server AMC Renewal - Qty 10nos"/>
    <x v="1"/>
    <s v="Ajay Patodia+Mukesh Choithani"/>
    <s v="OEM Lead"/>
    <s v="NA"/>
    <s v="None"/>
    <x v="1"/>
    <s v="Compute"/>
    <s v="Dell"/>
    <s v="Closed Won"/>
    <n v="446200"/>
    <n v="30000"/>
    <n v="26200"/>
    <d v="2026-08-05T00:00:00"/>
    <s v="Green"/>
    <n v="100"/>
    <s v="DP-AP-0006"/>
    <s v="-"/>
    <s v="-"/>
    <s v="-"/>
    <s v="Required Dell Server AMC Renewal for 1 year_x000a_Server Counts - 10nos_x000a_Dell PowerEdge R630 Servers - Qty 7nos_x000a_Dell PowerEdge R730Dx Servers - 3nos_x000a_Required AMC Renewal for 1 Year from 01.04.2026 to 31.03.2027_x000a_Shared the proposal with Post Standard support SLA for the period of 1 Year._x000a_OPF no: DP-AP-0006"/>
    <s v="Bottomline"/>
  </r>
  <r>
    <s v="15-05-2026 5:42 PM"/>
    <s v="POT86803"/>
    <s v="Tata Communications Ltd."/>
    <s v="Rohit Kumar Gupta"/>
    <s v="Dell R740 Server Renewal - 2nos"/>
    <x v="1"/>
    <s v="Ajay Patodia+Mukesh Choithani"/>
    <s v="OEM Lead"/>
    <s v="NA"/>
    <s v="None"/>
    <x v="1"/>
    <s v="Compute"/>
    <s v="Dell"/>
    <s v="Closed Won"/>
    <n v="374193.55"/>
    <n v="20000"/>
    <n v="21193.55"/>
    <s v="19-05-2026"/>
    <s v="Green"/>
    <n v="100"/>
    <s v="DP-AP-0007"/>
    <s v="-"/>
    <s v="-"/>
    <s v="-"/>
    <s v="Required Dell R740 Server AMC Renewal._x000a_Server Serial nos - 9BMMB03, 9BNQB03_x000a_Shared the renewal proposal for 1 year from 01.04.2026 to 31.03.2027 with Prosupport Plus and 4Hr Mission Critical SLA._x000a_OPF no: DP-AP-0007"/>
    <s v="Bottomline"/>
  </r>
  <r>
    <s v="27-05-2026 11:44 AM"/>
    <s v="POT86919"/>
    <s v="Sun Pharmaceuticals Limited"/>
    <s v="Rohit Walke"/>
    <s v="Dell Server and Storage AMC Renewal FY 26-27"/>
    <x v="1"/>
    <s v="Ajay Patodia+Mukesh Choithani"/>
    <s v="Self"/>
    <s v="NA"/>
    <s v="None"/>
    <x v="1"/>
    <s v="Compute"/>
    <s v="Dell"/>
    <s v="Closed Won"/>
    <n v="678597.96"/>
    <n v="67859"/>
    <n v="41679.42"/>
    <s v="27-05-2026"/>
    <s v="Green"/>
    <n v="100"/>
    <s v="DP-AP-0009"/>
    <s v="-"/>
    <s v="-"/>
    <s v="-"/>
    <s v="Required Dell Servers and Storage AMC Renewal for the current year from 0.4.2026 to 31.03.2027_x000a_Existing support already got expired on 31.03.2026_x000a_Need to shared the renewal proposal._x000a_Shared the revised proposal_x000a_OPF no: DP-AP-0009"/>
    <s v="Bottomline"/>
  </r>
  <r>
    <s v="27-05-2026 12:08 PM"/>
    <s v="POT86920"/>
    <s v="Sun Pharmaceuticals Limited"/>
    <s v="Rohit Walke"/>
    <s v="Dell Server and Storage AMC Renewal FY 26-27"/>
    <x v="1"/>
    <s v="Ajay Patodia+Mukesh Choithani"/>
    <s v="Self"/>
    <s v="NA"/>
    <s v="None"/>
    <x v="1"/>
    <s v="Compute"/>
    <s v="Dell"/>
    <s v="Closed Won"/>
    <n v="113278.2"/>
    <n v="11327"/>
    <n v="6957.54"/>
    <s v="27-05-2026"/>
    <s v="Green"/>
    <n v="100"/>
    <s v="DP-AP-0010"/>
    <s v="-"/>
    <s v="-"/>
    <s v="-"/>
    <s v="Required Dell Servers and Storage AMC Renewal for the current year from 0.4.2026 to 31.03.2027_x000a_Existing support already got expired on 31.03.2026_x000a_Need to shared the renewal proposal._x000a_Shared the revised proposal_x000a_OPF no: DP-AP-0010_x000a_Received Multiple PO for AMC renewal of Dell Server and Storage"/>
    <s v="Bottomline"/>
  </r>
  <r>
    <s v="27-05-2026 12:19 PM"/>
    <s v="POT86921"/>
    <s v="Sun Pharmaceuticals Limited"/>
    <s v="Rohit Walke"/>
    <s v="Dell Server and Storage AMC Renewal FY 26-27"/>
    <x v="1"/>
    <s v="Ajay Patodia+Mukesh Choithani"/>
    <s v="Self"/>
    <s v="NA"/>
    <s v="None"/>
    <x v="1"/>
    <s v="Compute"/>
    <s v="Dell"/>
    <s v="Closed Won"/>
    <n v="259894.56"/>
    <n v="25989"/>
    <n v="15962.7"/>
    <s v="27-05-2026"/>
    <s v="Green"/>
    <n v="100"/>
    <s v="DP-AP-0011"/>
    <s v="-"/>
    <s v="-"/>
    <s v="-"/>
    <s v="Required Dell Servers and Storage AMC Renewal for the current year from 0.4.2026 to 31.03.2027_x000a_Existing support already got expired on 31.03.2026_x000a_Need to shared the renewal proposal._x000a_Shared the revised proposal_x000a_OPF no: DP-AP-0011_x000a_Received Multiple PO for AMC renewal of Dell Server and Storage"/>
    <s v="Bottomline"/>
  </r>
  <r>
    <s v="27-05-2026 12:29 PM"/>
    <s v="POT86922"/>
    <s v="SUN PHARMA LABORATORIES LTD."/>
    <s v="Rohit Walke"/>
    <s v="Dell Server and Storage AMC Renewal FY 26-27"/>
    <x v="1"/>
    <s v="Ajay Patodia+Mukesh Choithani"/>
    <s v="Self"/>
    <s v="NA"/>
    <s v="None"/>
    <x v="1"/>
    <s v="Compute"/>
    <s v="Dell"/>
    <s v="Closed Won"/>
    <n v="920221.56"/>
    <n v="92022"/>
    <n v="56519.92"/>
    <s v="27-05-2026"/>
    <s v="Green"/>
    <n v="100"/>
    <s v="DP-AP-0012"/>
    <s v="-"/>
    <s v="-"/>
    <s v="-"/>
    <s v="Required Dell Servers and Storage AMC Renewal for the current year from 0.4.2026 to 31.03.2027_x000a_Existing support already got expired on 31.03.2026_x000a_Need to shared the renewal proposal._x000a_Shared the revised proposal_x000a_OPF no: DP-AP-0012_x000a_Received Multiple PO for AMC renewal of Dell Server and Storage"/>
    <s v="Bottomline"/>
  </r>
  <r>
    <s v="27-05-2026 12:47 PM"/>
    <s v="POT86923"/>
    <s v="Sun Pharmaceuticals Limited"/>
    <s v="Rohit Walke"/>
    <s v="Dell Server and Storage AMC Renewal FY 26-27"/>
    <x v="1"/>
    <s v="Ajay Patodia+Mukesh Choithani"/>
    <s v="Self"/>
    <s v="NA"/>
    <s v="None"/>
    <x v="1"/>
    <s v="Compute"/>
    <s v="Dell"/>
    <s v="Closed Won"/>
    <n v="1026669.24"/>
    <n v="102666"/>
    <n v="63057.919999999998"/>
    <s v="27-05-2026"/>
    <s v="Green"/>
    <n v="100"/>
    <s v="DP-AP-0013"/>
    <s v="-"/>
    <s v="-"/>
    <s v="-"/>
    <s v="Required Dell Servers and Storage AMC Renewal for the current year from 0.4.2026 to 31.03.2027_x000a_Existing support already got expired on 31.03.2026_x000a_Need to shared the renewal proposal._x000a_Shared the revised proposal_x000a_OPF no: DP-AP-0013_x000a_Received Multiple PO for AMC renewal of Dell Server and Storage"/>
    <s v="Bottomline"/>
  </r>
  <r>
    <s v="27-05-2026 1:02 PM"/>
    <s v="POT86924"/>
    <s v="SUN PHARMA LABORATORIES LTD."/>
    <s v="Rohit Walke"/>
    <s v="Dell Server and Storage AMC Renewal FY 26-27"/>
    <x v="1"/>
    <s v="Ajay Patodia+Mukesh Choithani"/>
    <s v="Self"/>
    <s v="NA"/>
    <s v="None"/>
    <x v="1"/>
    <s v="Compute"/>
    <s v="Dell"/>
    <s v="Closed Won"/>
    <n v="161595.72"/>
    <n v="16159"/>
    <n v="9925.19"/>
    <s v="27-05-2026"/>
    <s v="Green"/>
    <n v="100"/>
    <s v="DP-AP-0014"/>
    <s v="-"/>
    <s v="-"/>
    <s v="-"/>
    <s v="Required Dell Servers and Storage AMC Renewal for the current year from 0.4.2026 to 31.03.2027_x000a_Existing support already got expired on 31.03.2026_x000a_Need to shared the renewal proposal._x000a_Shared the revised proposal_x000a_OPF no: DP-AP-0014_x000a_Received Multiple PO for AMC renewal of Dell Server and Storage"/>
    <s v="Bottomline"/>
  </r>
  <r>
    <s v="27-05-2026 1:14 PM"/>
    <s v="POT86925"/>
    <s v="Sun Pharmaceuticals Limited"/>
    <s v="Rohit Walke"/>
    <s v="Dell Server and Storage AMC Renewal FY 26-27"/>
    <x v="1"/>
    <s v="Ajay Patodia+Mukesh Choithani"/>
    <s v="Self"/>
    <s v="NA"/>
    <s v="None"/>
    <x v="1"/>
    <s v="Compute"/>
    <s v="Dell"/>
    <s v="Closed Won"/>
    <n v="1514239.56"/>
    <n v="151423"/>
    <n v="93004.44"/>
    <s v="27-05-2026"/>
    <s v="Green"/>
    <n v="100"/>
    <s v="DP-AP-0015"/>
    <s v="-"/>
    <s v="-"/>
    <s v="-"/>
    <s v="Required Dell Servers and Storage AMC Renewal for the current year from 0.4.2026 to 31.03.2027_x000a_Existing support already got expired on 31.03.2026_x000a_Need to shared the renewal proposal._x000a_Shared the revised proposal_x000a_OPF no: DP-AP-0015_x000a_Received Multiple PO for AMC renewal of Dell Server and Storage"/>
    <s v="Bottomline"/>
  </r>
  <r>
    <s v="27-05-2026 1:24 PM"/>
    <s v="POT86926"/>
    <s v="Sun Pharmaceuticals Limited"/>
    <s v="Rohit Walke"/>
    <s v="Dell Server and Storage AMC Renewal FY 26-27"/>
    <x v="1"/>
    <s v="Ajay Patodia+Mukesh Choithani"/>
    <s v="Self"/>
    <s v="NA"/>
    <s v="None"/>
    <x v="1"/>
    <s v="Compute"/>
    <s v="Dell"/>
    <s v="Closed Won"/>
    <n v="259894.56"/>
    <n v="25989"/>
    <n v="15962.7"/>
    <s v="27-05-2026"/>
    <s v="Green"/>
    <n v="100"/>
    <s v="DP-AP-0016"/>
    <s v="-"/>
    <s v="-"/>
    <s v="-"/>
    <s v="Required Dell Servers and Storage AMC Renewal for the current year from 0.4.2026 to 31.03.2027_x000a_Existing support already got expired on 31.03.2026_x000a_Need to shared the renewal proposal._x000a_Shared the revised proposal_x000a_OPF no: DP-AP-0016_x000a_Received Multiple PO for AMC renewal of Dell Server and Storage"/>
    <s v="Bottomline"/>
  </r>
  <r>
    <s v="27-05-2026 2:11 PM"/>
    <s v="POT86927"/>
    <s v="Sun Pharmaceuticals Limited"/>
    <s v="Rohit Walke"/>
    <s v="Dell Server and Storage AMC Renewal FY 26-27"/>
    <x v="1"/>
    <s v="Ajay Patodia+Mukesh Choithani"/>
    <s v="Self"/>
    <s v="NA"/>
    <s v="None"/>
    <x v="1"/>
    <s v="Compute"/>
    <s v="Dell"/>
    <s v="Closed Won"/>
    <n v="259894.56"/>
    <n v="25989"/>
    <n v="15962.7"/>
    <s v="27-05-2026"/>
    <s v="Green"/>
    <n v="100"/>
    <s v="DP-AP-0017"/>
    <s v="-"/>
    <s v="-"/>
    <s v="-"/>
    <s v="Required Dell Servers and Storage AMC Renewal for the current year from 0.4.2026 to 31.03.2027_x000a_Existing support already got expired on 31.03.2026_x000a_Need to shared the renewal proposal._x000a_Shared the revised proposal_x000a_OPF no: DP-AP-0017_x000a_Received Multiple PO for AMC renewal of Dell Server and Storage"/>
    <s v="Bottomline"/>
  </r>
  <r>
    <s v="27-05-2026 2:16 PM"/>
    <s v="POT86928"/>
    <s v="Sun Pharmaceuticals Limited"/>
    <s v="Rohit Walke"/>
    <s v="Dell Server and Storage AMC Renewal FY 26-27"/>
    <x v="1"/>
    <s v="Ajay Patodia+Mukesh Choithani"/>
    <s v="Self"/>
    <s v="NA"/>
    <s v="None"/>
    <x v="1"/>
    <s v="Compute"/>
    <s v="Dell"/>
    <s v="Closed Won"/>
    <n v="321296.15999999997"/>
    <n v="32129"/>
    <n v="19733.98"/>
    <s v="27-05-2026"/>
    <s v="Green"/>
    <n v="100"/>
    <s v="DP-AP-0018"/>
    <s v="-"/>
    <s v="-"/>
    <s v="-"/>
    <s v="Required Dell Servers and Storage AMC Renewal for the current year from 0.4.2026 to 31.03.2027_x000a_Existing support already got expired on 31.03.2026_x000a_Need to shared the renewal proposal._x000a_Shared the revised proposal_x000a_OPF no: DP-AP-0018_x000a_Received Multiple PO for AMC renewal of Dell Server and Storage"/>
    <s v="Bottomline"/>
  </r>
  <r>
    <s v="27-05-2026 2:22 PM"/>
    <s v="POT86929"/>
    <s v="SUN PHARMA LABORATORIES LTD."/>
    <s v="Rohit Walke"/>
    <s v="Dell Server and Storage AMC Renewal FY 26-27"/>
    <x v="1"/>
    <s v="Ajay Patodia+Mukesh Choithani"/>
    <s v="Self"/>
    <s v="NA"/>
    <s v="None"/>
    <x v="1"/>
    <s v="Compute"/>
    <s v="Dell"/>
    <s v="Closed Won"/>
    <n v="165424.44"/>
    <n v="16542"/>
    <n v="10160.35"/>
    <s v="27-05-2026"/>
    <s v="Green"/>
    <n v="100"/>
    <s v="DP-AP-0019"/>
    <s v="-"/>
    <s v="-"/>
    <s v="-"/>
    <s v="Required Dell Servers and Storage AMC Renewal for the current year from 0.4.2026 to 31.03.2027_x000a_Existing support already got expired on 31.03.2026_x000a_Need to shared the renewal proposal._x000a_Shared the revised proposal_x000a_OPF no: DP-AP-0019_x000a_Received Multiple PO for AMC renewal of Dell Server and Storage"/>
    <s v="Bottomline"/>
  </r>
  <r>
    <s v="27-05-2026 2:29 PM"/>
    <s v="POT86931"/>
    <s v="SUN PHARMA LABORATORIES LTD."/>
    <s v="Rohit Walke"/>
    <s v="Dell Server and Storage AMC Renewal FY 26-27"/>
    <x v="1"/>
    <s v="Ajay Patodia+Mukesh Choithani"/>
    <s v="Self"/>
    <s v="NA"/>
    <s v="None"/>
    <x v="1"/>
    <s v="Compute"/>
    <s v="Dell"/>
    <s v="Closed Won"/>
    <n v="165424.44"/>
    <n v="16542"/>
    <n v="10160.35"/>
    <s v="27-05-2026"/>
    <s v="Green"/>
    <n v="100"/>
    <s v="DP-AP-0020"/>
    <s v="-"/>
    <s v="-"/>
    <s v="-"/>
    <s v="Required Dell Servers and Storage AMC Renewal for the current year from 0.4.2026 to 31.03.2027_x000a_Existing support already got expired on 31.03.2026_x000a_Need to shared the renewal proposal._x000a_Shared the revised proposal_x000a_OPF no: DP-AP-0020_x000a_Received Multiple PO for AMC renewal of Dell Server and Storage"/>
    <s v="Bottomline"/>
  </r>
  <r>
    <s v="27-05-2026 2:35 PM"/>
    <s v="POT86934"/>
    <s v="Sun Pharmaceuticals Limited"/>
    <s v="Rohit Walke"/>
    <s v="Dell Server and Storage AMC Renewal FY 26-27"/>
    <x v="1"/>
    <s v="Ajay Patodia+Mukesh Choithani"/>
    <s v="Self"/>
    <s v="NA"/>
    <s v="None"/>
    <x v="1"/>
    <s v="Compute"/>
    <s v="Dell"/>
    <s v="Closed Won"/>
    <n v="1715328.96"/>
    <n v="171532"/>
    <n v="105355.33"/>
    <s v="27-05-2026"/>
    <s v="Green"/>
    <n v="100"/>
    <s v="DP-AP-0021"/>
    <s v="-"/>
    <s v="-"/>
    <s v="-"/>
    <s v="Required Dell Servers and Storage AMC Renewal for the current year from 0.4.2026 to 31.03.2027_x000a_Existing support already got expired on 31.03.2026_x000a_Need to shared the renewal proposal._x000a_Shared the revised proposal_x000a_OPF no: DP-AP-0021_x000a_Received Multiple PO for AMC renewal of Dell Server and Storage"/>
    <s v="Bottomline"/>
  </r>
  <r>
    <s v="27-05-2026 2:52 PM"/>
    <s v="POT86935"/>
    <s v="Sun Pharmaceuticals Limited"/>
    <s v="Rohit Walke"/>
    <s v="Dell Server and Storage AMC Renewal FY 26-27"/>
    <x v="1"/>
    <s v="Ajay Patodia+Mukesh Choithani"/>
    <s v="Self"/>
    <s v="NA"/>
    <s v="None"/>
    <x v="1"/>
    <s v="Compute"/>
    <s v="Dell"/>
    <s v="Closed Won"/>
    <n v="977213.64"/>
    <n v="97721"/>
    <n v="60020.36"/>
    <s v="27-05-2026"/>
    <s v="Green"/>
    <n v="100"/>
    <s v="DP-AP-0022"/>
    <s v="-"/>
    <s v="-"/>
    <s v="-"/>
    <s v="Required Dell Servers and Storage AMC Renewal for the current year from 0.4.2026 to 31.03.2027_x000a_Existing support already got expired on 31.03.2026_x000a_Need to shared the renewal proposal._x000a_Shared the revised proposal_x000a_OPF no: DP-AP-0022_x000a_Received Multiple PO for AMC renewal of Dell Server and Storage"/>
    <s v="Bottomline"/>
  </r>
  <r>
    <s v="27-05-2026 3:57 PM"/>
    <s v="POT86937"/>
    <s v="Sun Pharmaceuticals Limited"/>
    <s v="Rohit Walke"/>
    <s v="Dell Server and Storage AMC Renewal FY 26-27"/>
    <x v="1"/>
    <s v="Ajay Patodia+Mukesh Choithani"/>
    <s v="Self"/>
    <s v="NA"/>
    <s v="None"/>
    <x v="1"/>
    <s v="Compute"/>
    <s v="Dell"/>
    <s v="Closed Won"/>
    <n v="5280824.88"/>
    <n v="528082"/>
    <n v="324347.74"/>
    <s v="27-05-2026"/>
    <s v="Green"/>
    <n v="100"/>
    <s v="DP-AP-0023"/>
    <s v="-"/>
    <s v="-"/>
    <s v="-"/>
    <s v="Required Dell Servers and Storage AMC Renewal for the current year from 0.4.2026 to 31.03.2027_x000a_Existing support already got expired on 31.03.2026_x000a_Need to shared the renewal proposal._x000a_Shared the revised proposal_x000a_OPF no: DP-AP-0023_x000a_Received Multiple PO for AMC renewal of Dell Server and Storage"/>
    <s v="Bottomline"/>
  </r>
  <r>
    <s v="27-05-2026 4:17 PM"/>
    <s v="POT86938"/>
    <s v="Sun Pharmaceuticals Limited"/>
    <s v="Rohit Walke"/>
    <s v="Dell Server and Storage AMC Renewal FY 26-27"/>
    <x v="1"/>
    <s v="Ajay Patodia+Mukesh Choithani"/>
    <s v="Self"/>
    <s v="NA"/>
    <s v="None"/>
    <x v="1"/>
    <s v="Compute"/>
    <s v="Dell"/>
    <s v="Closed Won"/>
    <n v="1629069.48"/>
    <n v="162906"/>
    <n v="100057.28"/>
    <s v="27-05-2026"/>
    <s v="Green"/>
    <n v="100"/>
    <s v="DP-AP-0024"/>
    <s v="-"/>
    <s v="-"/>
    <s v="-"/>
    <s v="Required Dell Servers and Storage AMC Renewal for the current year from 0.4.2026 to 31.03.2027_x000a_Existing support already got expired on 31.03.2026_x000a_Need to shared the renewal proposal._x000a_Shared the revised proposal_x000a_OPF no: DP-AP-0024_x000a_Received Multiple PO for AMC renewal of Dell Server and Storage"/>
    <s v="Bottomline"/>
  </r>
  <r>
    <d v="2026-08-06T15:04:00"/>
    <s v="POT87072"/>
    <s v="Silicon Business Solutions Pvt. Ltd"/>
    <s v="Praveena G"/>
    <s v="One - Time implementation of Nutanix"/>
    <x v="1"/>
    <s v="Ajay Patodia+Mukesh Choithani"/>
    <s v="OEM Lead"/>
    <s v="NA"/>
    <s v="None"/>
    <x v="1"/>
    <s v="Compute"/>
    <s v="Nutanix"/>
    <s v="Closed Won"/>
    <n v="1271186.44"/>
    <n v="127118"/>
    <n v="1271186.44"/>
    <d v="2026-08-06T00:00:00"/>
    <s v="Green"/>
    <n v="100"/>
    <s v="DP-AP-0025"/>
    <s v="-"/>
    <s v="-"/>
    <s v="-"/>
    <s v="OPF no: DP-AP-0025"/>
    <s v="Bottomline"/>
  </r>
  <r>
    <d v="2026-09-06T17:50:00"/>
    <s v="POT87086"/>
    <s v="Paisabazaar"/>
    <s v="Yogesh Laddha"/>
    <s v="Rental Server"/>
    <x v="1"/>
    <s v="Ajay Patodia+Mukesh Choithani"/>
    <s v="Self"/>
    <s v="NA"/>
    <s v="Ajay Patodia"/>
    <x v="1"/>
    <s v="Storage"/>
    <s v="HPE/Aruba"/>
    <s v="Closed Won"/>
    <n v="464100"/>
    <n v="25000"/>
    <n v="20000"/>
    <d v="2026-09-06T00:00:00"/>
    <s v="Green"/>
    <n v="80"/>
    <s v="DP-SK-0002"/>
    <s v="-"/>
    <s v="-"/>
    <s v="-"/>
    <s v="-"/>
    <s v="Bottomline"/>
  </r>
  <r>
    <s v="15-06-2026 12:25 PM"/>
    <s v="POT87116"/>
    <s v="Sun Pharma AdvancedResearch Co Ltd"/>
    <s v="Rohit Walke"/>
    <s v="Dell Storage AMC Renewal FY 26-27"/>
    <x v="1"/>
    <s v="Ajay Patodia+Mukesh Choithani"/>
    <s v="Self"/>
    <s v="NA"/>
    <s v="None"/>
    <x v="1"/>
    <s v="Compute"/>
    <s v="Dell"/>
    <s v="Closed Won"/>
    <n v="928749.96"/>
    <n v="92875"/>
    <n v="53749.96"/>
    <s v="15-06-2026"/>
    <s v="Green"/>
    <n v="100"/>
    <s v="DP-AP-0027"/>
    <s v="-"/>
    <s v="-"/>
    <s v="-"/>
    <s v="Required Dell Servers and Storage AMC Renewal for the current year from 0.4.2026 to 31.03.2027_x000a_Existing support already got expired on 31.03.2026_x000a_Mail confirmation received, awaiting for the formal PO_x000a_Need to shared the renewal proposal._x000a_Shared the revised proposal._x000a_Recd order_x000a_OPF no: DP-AP-0027"/>
    <s v="Bottomline"/>
  </r>
  <r>
    <s v="20-04-2026 3:33 PM"/>
    <s v="POT86591"/>
    <s v="MedGenome Labs Private Ltd"/>
    <s v="Pushpa Chetry"/>
    <s v="Hard Disk 12TB"/>
    <x v="0"/>
    <s v="Ajay Patodia+Mukesh Choithani+Abrar Memon"/>
    <s v="Self"/>
    <s v="NA"/>
    <s v="None"/>
    <x v="1"/>
    <s v="Compute"/>
    <s v="Others"/>
    <s v="Closed Won"/>
    <n v="86000"/>
    <n v="16000"/>
    <n v="16000"/>
    <s v="20-04-2026"/>
    <s v="Green"/>
    <n v="100"/>
    <s v="CG-AE-0002"/>
    <s v="-"/>
    <s v="-"/>
    <s v="-"/>
    <s v="OPF no: CG-AE-0002"/>
    <s v="South"/>
  </r>
  <r>
    <s v="14-02-2026 10:13 PM"/>
    <s v="POT86003"/>
    <s v="Yes Securities (India) Ltd"/>
    <s v="Yogendra Vishwakarma"/>
    <s v="AMC Renewal for Dell Server and Storage"/>
    <x v="2"/>
    <s v="Ajay Patodia+Mukesh Choithani+Chetna Sharma"/>
    <s v="Self"/>
    <s v="NA"/>
    <s v="Mukesh Choithani"/>
    <x v="1"/>
    <s v="Other OEM Services"/>
    <s v="Dell"/>
    <s v="Closed Won"/>
    <n v="5738727"/>
    <n v="688915.46"/>
    <n v="1038915.38"/>
    <s v="25-04-2026"/>
    <s v="Green"/>
    <n v="90"/>
    <s v="DP-CH-0003"/>
    <s v="-"/>
    <s v="-"/>
    <s v="-"/>
    <s v="-"/>
    <s v="S2"/>
  </r>
  <r>
    <d v="2026-09-05T13:23:00"/>
    <s v="POT86736"/>
    <s v="Yes Bank Limited"/>
    <s v="Shree Akolkar"/>
    <s v="Dell Onsite RE Services - 5 Months"/>
    <x v="2"/>
    <s v="Ajay Patodia+Mukesh Choithani+Chetna Sharma"/>
    <s v="Self"/>
    <s v="NA"/>
    <s v="Mukesh Choithani"/>
    <x v="1"/>
    <s v="Other OEM Services"/>
    <s v="Dell"/>
    <s v="Closed Won"/>
    <n v="13333340"/>
    <n v="833336.25"/>
    <n v="333334.5"/>
    <d v="2026-12-06T00:00:00"/>
    <s v="Green"/>
    <n v="100"/>
    <s v="DP-CH-0010"/>
    <s v="-"/>
    <s v="-"/>
    <s v="-"/>
    <s v="-"/>
    <s v="S2"/>
  </r>
  <r>
    <s v="24-05-2026 10:52 PM"/>
    <s v="POT86885"/>
    <s v="Yes Bank Limited"/>
    <s v="Supriya Chandugade"/>
    <s v="AMC for Server for 5 Months - 473 Qty"/>
    <x v="2"/>
    <s v="Ajay Patodia+Mukesh Choithani+Chetna Sharma"/>
    <s v="Self"/>
    <s v="NA"/>
    <s v="Mukesh Choithani"/>
    <x v="1"/>
    <s v="Other OEM Services"/>
    <s v="Dell"/>
    <s v="Closed Won"/>
    <n v="27000000"/>
    <n v="300000"/>
    <n v="1620000"/>
    <s v="24-05-2026"/>
    <s v="Green"/>
    <n v="100"/>
    <s v="DP-CH-0005"/>
    <s v="-"/>
    <s v="-"/>
    <s v="-"/>
    <s v="Margin as per SP"/>
    <s v="S2"/>
  </r>
  <r>
    <d v="2026-06-04T12:16:00"/>
    <s v="POT86433"/>
    <s v="MCX INDIA LTD"/>
    <s v="Krunal Sankhe"/>
    <s v="GPU Facility - 1 month POC"/>
    <x v="3"/>
    <s v="Ajay Patodia+Mukesh Choithani+Chirag Palande"/>
    <s v="Self"/>
    <s v="NA"/>
    <s v="Mukesh Choithani"/>
    <x v="1"/>
    <s v="Cloud"/>
    <s v="Others"/>
    <s v="Closed Won"/>
    <n v="475574"/>
    <n v="47130"/>
    <n v="47130"/>
    <d v="2026-06-04T00:00:00"/>
    <s v="Green"/>
    <n v="100"/>
    <s v="DP-CP-0001"/>
    <s v="-"/>
    <s v="-"/>
    <s v="-"/>
    <s v="-"/>
    <s v="S1"/>
  </r>
  <r>
    <s v="31-01-2026 12:54 PM"/>
    <s v="POT85871"/>
    <s v="Mirae Asset investment Manager"/>
    <s v="Sameer Mhatre"/>
    <s v="Tech refresh: DC &amp; DR"/>
    <x v="4"/>
    <s v="Ajay Patodia+Mukesh Choithani+Darshana Patil"/>
    <s v="Self"/>
    <s v="NA"/>
    <s v="Mukesh Choithani"/>
    <x v="1"/>
    <s v="Compute"/>
    <s v="VMware"/>
    <s v="Closed Won"/>
    <n v="60566168"/>
    <n v="6056616.7999999998"/>
    <n v="0"/>
    <d v="2026-05-06T00:00:00"/>
    <s v="Green"/>
    <n v="40"/>
    <s v="-"/>
    <n v="30919598"/>
    <s v="Approved"/>
    <s v="-"/>
    <s v="-"/>
    <s v="NA"/>
  </r>
  <r>
    <s v="14-05-2026 1:51 PM"/>
    <s v="POT86775"/>
    <s v="Hindustan Ports Private Limited"/>
    <s v="Nitin Gosavi"/>
    <s v="Redhat Renewal"/>
    <x v="4"/>
    <s v="Ajay Patodia+Mukesh Choithani+Darshana Patil"/>
    <s v="Self"/>
    <s v="NA"/>
    <s v="Ajay Patodia"/>
    <x v="1"/>
    <s v="Virtualisation"/>
    <s v="RedHat"/>
    <s v="Closed Won"/>
    <n v="523947.04"/>
    <n v="30208.6"/>
    <n v="30208.6"/>
    <s v="14-05-2026"/>
    <s v="Green"/>
    <n v="100"/>
    <s v="DP-DP-0008"/>
    <s v="-"/>
    <s v="-"/>
    <s v="-"/>
    <s v="-"/>
    <s v="NA"/>
  </r>
  <r>
    <s v="20-06-2026 6:12 PM"/>
    <s v="POT87177"/>
    <s v="Hindustan Ports Private Limited"/>
    <s v="Nitin Gosavi"/>
    <s v="Redhat Renewal"/>
    <x v="4"/>
    <s v="Ajay Patodia+Mukesh Choithani+Darshana Patil"/>
    <s v="Self"/>
    <s v="NA"/>
    <s v="Ajay Patodia"/>
    <x v="1"/>
    <s v="Virtualisation"/>
    <s v="RedHat"/>
    <s v="Closed Won"/>
    <n v="306000"/>
    <n v="30346.63"/>
    <n v="30346.62"/>
    <s v="20-06-2026"/>
    <s v="Green"/>
    <n v="100"/>
    <s v="DP-DP-0015"/>
    <s v="-"/>
    <s v="-"/>
    <s v="-"/>
    <s v="-"/>
    <s v="NA"/>
  </r>
  <r>
    <d v="2026-06-04T14:01:00"/>
    <s v="POT86438"/>
    <s v="Godrej Industries Ltd"/>
    <s v="Turang Ladhani"/>
    <s v="Godrej nutanix"/>
    <x v="5"/>
    <s v="Ajay Patodia+Mukesh Choithani+Ishwari Kadam"/>
    <s v="Self"/>
    <s v="NA"/>
    <s v="Ajay Patodia"/>
    <x v="1"/>
    <s v="Compute"/>
    <s v="Nutanix"/>
    <s v="Closed Won"/>
    <n v="59491500"/>
    <n v="4193000"/>
    <n v="0"/>
    <d v="2026-10-04T00:00:00"/>
    <s v="Green"/>
    <n v="100"/>
    <s v="DP-IK-0001"/>
    <s v="-"/>
    <s v="-"/>
    <s v="-"/>
    <s v="-"/>
    <s v="AVP - S1"/>
  </r>
  <r>
    <s v="27-04-2026 1:29 PM"/>
    <s v="POT86641"/>
    <s v="Godrej Industries Ltd"/>
    <s v="Turang Ladhani"/>
    <s v="Godrej Lenevo AMC"/>
    <x v="5"/>
    <s v="Ajay Patodia+Mukesh Choithani+Ishwari Kadam"/>
    <s v="Self"/>
    <s v="NA"/>
    <s v="Ajay Patodia"/>
    <x v="1"/>
    <s v="Compute"/>
    <s v="Lenovo"/>
    <s v="Closed Won"/>
    <n v="1506000"/>
    <n v="70000"/>
    <n v="49469"/>
    <s v="29-04-2026"/>
    <s v="Green"/>
    <n v="100"/>
    <s v="DP-IK-0002"/>
    <s v="-"/>
    <s v="-"/>
    <s v="-"/>
    <s v="-"/>
    <s v="AVP - S1"/>
  </r>
  <r>
    <d v="2026-05-05T11:59:00"/>
    <s v="POT86687"/>
    <s v="Godrej Industries Ltd"/>
    <s v="Turang Ladhani"/>
    <s v="Backup Hyper V host  AMC -ThinkSystem SR530"/>
    <x v="5"/>
    <s v="Ajay Patodia+Mukesh Choithani+Ishwari Kadam"/>
    <s v="Self"/>
    <s v="NA"/>
    <s v="None"/>
    <x v="1"/>
    <s v="Other OEM Services"/>
    <s v="Lenovo"/>
    <s v="Closed Won"/>
    <n v="55500"/>
    <n v="10000"/>
    <n v="10500"/>
    <d v="2026-05-05T00:00:00"/>
    <s v="Green"/>
    <n v="100"/>
    <s v="DP-IK-0003"/>
    <s v="-"/>
    <s v="-"/>
    <s v="-"/>
    <s v="-"/>
    <s v="AVP - S1"/>
  </r>
  <r>
    <s v="14-05-2026 4:04 PM"/>
    <s v="POT86784"/>
    <s v="Godrej Consumer  Products Ltd"/>
    <s v="Turang Ladhani"/>
    <s v="GODREJ - Rental server - 2026"/>
    <x v="5"/>
    <s v="Ajay Patodia+Mukesh Choithani+Ishwari Kadam"/>
    <s v="Self"/>
    <s v="NA"/>
    <s v="None"/>
    <x v="1"/>
    <s v="Rental"/>
    <s v="HPE/Aruba"/>
    <s v="Closed Won"/>
    <n v="1616400"/>
    <n v="440400"/>
    <n v="110100"/>
    <s v="14-05-2026"/>
    <s v="Green"/>
    <n v="100"/>
    <s v="DP-IK-0004"/>
    <s v="-"/>
    <s v="-"/>
    <s v="-"/>
    <s v="-"/>
    <s v="AVP - S1"/>
  </r>
  <r>
    <d v="2026-06-04T12:48:00"/>
    <s v="POT86435"/>
    <s v="Accelya Kale Solutions Limited"/>
    <s v="Neha Chavda"/>
    <s v="Dell Server AMC B001PO-00812"/>
    <x v="6"/>
    <s v="Ajay Patodia+Mukesh Choithani+Prachi Mayekar"/>
    <s v="Self"/>
    <s v="NA"/>
    <s v="Ajay Patodia"/>
    <x v="1"/>
    <s v="Other OEM Services"/>
    <s v="Dell"/>
    <s v="Closed Won"/>
    <n v="1890000"/>
    <n v="50000"/>
    <n v="0"/>
    <s v="16-06-2026"/>
    <s v="Green"/>
    <n v="10"/>
    <s v="-"/>
    <s v="-"/>
    <s v="-"/>
    <s v="-"/>
    <s v="-"/>
    <s v="CB"/>
  </r>
  <r>
    <s v="13-04-2026 11:07 AM"/>
    <s v="POT86515"/>
    <s v="JSW Steel"/>
    <s v="Rahul kashyap"/>
    <s v="Urgent: Server Proposal : 16 Nos"/>
    <x v="6"/>
    <s v="Ajay Patodia+Mukesh Choithani+Prachi Mayekar"/>
    <s v="Self"/>
    <s v="NA"/>
    <s v="Mukesh Choithani"/>
    <x v="1"/>
    <s v="Compute"/>
    <s v="Dell"/>
    <s v="Closed Won"/>
    <n v="78738048"/>
    <n v="500000"/>
    <n v="5036349.4400000004"/>
    <s v="15-05-2026"/>
    <s v="Green"/>
    <n v="100"/>
    <s v="DP-PC-0008"/>
    <n v="31062110"/>
    <s v="Approved"/>
    <s v="-"/>
    <s v="-"/>
    <s v="CB"/>
  </r>
  <r>
    <s v="19-06-2026 12:25 PM"/>
    <s v="POT87152"/>
    <s v="Accelya Kale Solutions Limited"/>
    <s v="Neha Chavda"/>
    <s v="Dell Server AMC B001PO-00811"/>
    <x v="6"/>
    <s v="Ajay Patodia+Mukesh Choithani+Prachi Mayekar"/>
    <s v="Self"/>
    <s v="NA"/>
    <s v="Ajay Patodia"/>
    <x v="1"/>
    <s v="Other OEM Services"/>
    <s v="Dell"/>
    <s v="Closed Won"/>
    <n v="630000"/>
    <n v="50000"/>
    <n v="0"/>
    <s v="16-06-2026"/>
    <s v="Green"/>
    <n v="100"/>
    <s v="-"/>
    <s v="-"/>
    <s v="-"/>
    <s v="-"/>
    <s v="-"/>
    <s v="CB"/>
  </r>
  <r>
    <d v="2026-02-03T10:50:00"/>
    <s v="POT86158"/>
    <s v="Tata Power Company Ltd"/>
    <s v="sandeep karnavat"/>
    <s v="dell AMC 6 MONTHS"/>
    <x v="7"/>
    <s v="Ajay Patodia+Mukesh Choithani+Richa Tiwari"/>
    <s v="Self"/>
    <s v="NA"/>
    <s v="Ajay Patodia"/>
    <x v="1"/>
    <s v="Compute"/>
    <s v="Dell"/>
    <s v="Closed Won"/>
    <n v="670400"/>
    <n v="49823"/>
    <n v="49825"/>
    <d v="2026-10-04T00:00:00"/>
    <s v="Green"/>
    <n v="100"/>
    <s v="DP-RT-0002"/>
    <s v="-"/>
    <s v="-"/>
    <s v="-"/>
    <s v="-"/>
    <s v="S1"/>
  </r>
  <r>
    <s v="23-03-2026 3:24 PM"/>
    <s v="POT86339"/>
    <s v="Tata power Renewables Energy Ltd"/>
    <s v="paresh onsker"/>
    <s v="Host-based RHEL license at Bangalore"/>
    <x v="7"/>
    <s v="Ajay Patodia+Mukesh Choithani+Richa Tiwari"/>
    <s v="Self"/>
    <s v="NA"/>
    <s v="Ajay Patodia"/>
    <x v="1"/>
    <s v="Software"/>
    <s v="RedHat"/>
    <s v="Closed Won"/>
    <n v="158000"/>
    <n v="9114"/>
    <n v="19536.02"/>
    <d v="2026-07-05T00:00:00"/>
    <s v="Green"/>
    <n v="100"/>
    <s v="DP-RT-0007"/>
    <s v="-"/>
    <s v="-"/>
    <s v="-"/>
    <s v="-"/>
    <s v="S1"/>
  </r>
  <r>
    <s v="13-04-2026 11:56 AM"/>
    <s v="POT86519"/>
    <s v="TATA Power Solar."/>
    <s v="paresh onsker"/>
    <s v="Windows Server Standard licenses QTY 2"/>
    <x v="7"/>
    <s v="Ajay Patodia+Mukesh Choithani+Richa Tiwari"/>
    <s v="Self"/>
    <s v="NA"/>
    <s v="None"/>
    <x v="1"/>
    <s v="Software"/>
    <s v="Microsoft"/>
    <s v="Closed Won"/>
    <n v="609000"/>
    <n v="22310"/>
    <n v="0"/>
    <s v="19-06-2026"/>
    <s v="Green"/>
    <n v="100"/>
    <s v="-"/>
    <s v="-"/>
    <s v="-"/>
    <s v="-"/>
    <s v="-"/>
    <s v="S1"/>
  </r>
  <r>
    <s v="17-04-2026 5:51 PM"/>
    <s v="POT86564"/>
    <s v="Tata International Limited"/>
    <s v="Nafis Sheikh"/>
    <s v="veeam renewal 1 year"/>
    <x v="7"/>
    <s v="Ajay Patodia+Mukesh Choithani+Richa Tiwari"/>
    <s v="Self"/>
    <s v="NA"/>
    <s v="None"/>
    <x v="1"/>
    <s v="Backup &amp; Recovery"/>
    <s v="Others"/>
    <s v="Closed Won"/>
    <n v="350000"/>
    <n v="10000"/>
    <n v="44400"/>
    <s v="23-05-2026"/>
    <s v="Green"/>
    <n v="100"/>
    <s v="DP-RT-0017"/>
    <s v="-"/>
    <s v="-"/>
    <s v="-"/>
    <s v="-"/>
    <s v="S1"/>
  </r>
  <r>
    <s v="15-05-2026 11:34 AM"/>
    <s v="POT86790"/>
    <s v="TATA Chemicals Limited"/>
    <s v="Vikash Kumar Singh"/>
    <s v="AMC Dell Servers at,Gummidipoondi"/>
    <x v="7"/>
    <s v="Ajay Patodia+Mukesh Choithani+Richa Tiwari"/>
    <s v="Self"/>
    <s v="NA"/>
    <s v="None"/>
    <x v="1"/>
    <s v="Compute"/>
    <s v="Dell"/>
    <s v="Closed Won"/>
    <n v="276000"/>
    <n v="20000"/>
    <n v="0"/>
    <s v="30-06-2026"/>
    <s v="Green"/>
    <n v="80"/>
    <s v="-"/>
    <s v="-"/>
    <s v="-"/>
    <s v="-"/>
    <s v="-"/>
    <s v="S1"/>
  </r>
  <r>
    <s v="19-05-2026 09:52 AM"/>
    <s v="POT86834"/>
    <s v="Tata Consulting Engineers Limited"/>
    <s v="Aneesh Joseph"/>
    <s v="netapp 70 tb storage for 4 branches"/>
    <x v="7"/>
    <s v="Ajay Patodia+Mukesh Choithani+Richa Tiwari"/>
    <s v="Self"/>
    <s v="NA"/>
    <s v="None"/>
    <x v="1"/>
    <s v="Storage"/>
    <s v="Netapp"/>
    <s v="Closed Won"/>
    <n v="12700000"/>
    <n v="588796"/>
    <n v="0"/>
    <s v="28-05-2026"/>
    <s v="Green"/>
    <n v="100"/>
    <s v="-"/>
    <s v="-"/>
    <s v="-"/>
    <s v="-"/>
    <s v="-"/>
    <s v="S1"/>
  </r>
  <r>
    <s v="13-04-2026 3:23 PM"/>
    <s v="POT86528"/>
    <s v="Bharat Petroleum Corporation Limited"/>
    <s v="Anil Satpute"/>
    <s v="cisco AMC"/>
    <x v="8"/>
    <s v="Ajay Patodia+Mukesh Choithani+Riya Bhatt"/>
    <s v="Self"/>
    <s v="NA"/>
    <s v="Ajay Patodia"/>
    <x v="1"/>
    <s v="Compute"/>
    <s v="CISCO"/>
    <s v="Closed Won"/>
    <n v="1550000"/>
    <n v="183000"/>
    <n v="0"/>
    <s v="13-04-2026"/>
    <s v="Green"/>
    <n v="100"/>
    <s v="-"/>
    <s v="-"/>
    <s v="-"/>
    <s v="-"/>
    <s v="-"/>
    <s v="S1"/>
  </r>
  <r>
    <s v="27-04-2026 1:01 PM"/>
    <s v="POT86638"/>
    <s v="Axis Bank Ltd"/>
    <s v="Tarique Husain"/>
    <s v="Sourceone Storage HItachi"/>
    <x v="9"/>
    <s v="Ajay Patodia+Mukesh Choithani+Rohit Deshmukh"/>
    <s v="Enterprise Coverage"/>
    <s v="Rohit Deshmukh"/>
    <s v="Mukesh Choithani"/>
    <x v="1"/>
    <s v="Storage"/>
    <s v="Dell"/>
    <s v="Closed Won"/>
    <n v="12000000"/>
    <n v="1000000"/>
    <n v="1000000"/>
    <s v="23-05-2026"/>
    <s v="Green"/>
    <n v="100"/>
    <s v="DP-RD-0005"/>
    <s v="-"/>
    <s v="-"/>
    <s v="-"/>
    <s v="-"/>
    <s v="S2"/>
  </r>
  <r>
    <s v="23-06-2026 4:08 PM"/>
    <s v="POT87221"/>
    <s v="CHUBB Systems Pvt Ltd"/>
    <s v="sudhindra acharya"/>
    <s v="Dell T360 Server"/>
    <x v="10"/>
    <s v="Ajay Patodia+Mukesh Choithani+Sagar TR"/>
    <s v="Self"/>
    <s v="NA"/>
    <s v="None"/>
    <x v="1"/>
    <s v="Compute"/>
    <s v="Dell"/>
    <s v="Closed Won"/>
    <n v="590000"/>
    <n v="44500"/>
    <n v="44500"/>
    <s v="24-06-2026"/>
    <s v="Green"/>
    <n v="100"/>
    <s v="DP-SC-0033"/>
    <s v="-"/>
    <s v="-"/>
    <s v="-"/>
    <s v="OPF no: DP-SC-0033"/>
    <s v="South"/>
  </r>
  <r>
    <s v="14-04-2026 11:10 AM"/>
    <s v="POT86529"/>
    <s v="Gigamon Solutions India Pvt. Ltd"/>
    <s v="Syamala Vasudevan"/>
    <s v="NETAPP STORAGE"/>
    <x v="11"/>
    <s v="Ajay Patodia+Mukesh Choithani+Shahbaz Khan"/>
    <s v="Self"/>
    <s v="NA"/>
    <s v="Ajay Patodia"/>
    <x v="1"/>
    <s v="Storage"/>
    <s v="Netapp"/>
    <s v="Closed Won"/>
    <n v="30776945"/>
    <n v="1376945"/>
    <n v="0"/>
    <s v="22-04-2026"/>
    <s v="Green"/>
    <n v="100"/>
    <s v="DP-SZ-0004"/>
    <s v="-"/>
    <s v="-"/>
    <s v="-"/>
    <s v="OPF no: DP-SZ-0004"/>
    <s v="South"/>
  </r>
  <r>
    <s v="23-05-2026 10:41 AM"/>
    <s v="POT86859"/>
    <s v="BNB Security &amp; Automation Solutions (P) Ltd"/>
    <s v="Rudresh A"/>
    <s v="DELL SERVERS"/>
    <x v="11"/>
    <s v="Ajay Patodia+Mukesh Choithani+Shahbaz Khan"/>
    <s v="Self"/>
    <s v="NA"/>
    <s v="Ajay Patodia"/>
    <x v="1"/>
    <s v="Compute"/>
    <s v="Dell"/>
    <s v="Closed Won"/>
    <n v="1200000"/>
    <n v="45000"/>
    <n v="34000"/>
    <s v="23-05-2026"/>
    <s v="Green"/>
    <n v="100"/>
    <s v="DP-SZ-0007"/>
    <s v="-"/>
    <s v="-"/>
    <s v="-"/>
    <s v="OPF no: DP-SZ-0007"/>
    <s v="South"/>
  </r>
  <r>
    <d v="2026-01-06T09:59:00"/>
    <s v="POT86993"/>
    <s v="Chanakya University"/>
    <s v="Sachin Goni"/>
    <s v="HPe GPU Server"/>
    <x v="12"/>
    <s v="Ajay Patodia+Mukesh Choithani+Shaik Khadhar"/>
    <s v="Self"/>
    <s v="NA"/>
    <s v="Ajay Patodia"/>
    <x v="1"/>
    <s v="Storage"/>
    <s v="HP"/>
    <s v="Closed Won"/>
    <n v="22880915"/>
    <n v="1000000"/>
    <n v="0"/>
    <s v="19-06-2026"/>
    <s v="Green"/>
    <n v="100"/>
    <s v="DP-HS-0003"/>
    <s v="-"/>
    <s v="-"/>
    <s v="-"/>
    <s v="Shared the proposal for HPe_x000a_Received mail confirmation, awaiting formal PO"/>
    <s v="South"/>
  </r>
  <r>
    <s v="26-03-2026 3:14 PM"/>
    <s v="POT86357"/>
    <s v="Bank of Baroda"/>
    <s v="shubham sachan"/>
    <s v="Storage AMC"/>
    <x v="13"/>
    <s v="Ajay Patodia+Mukesh Choithani+Tasneem K"/>
    <s v="Self"/>
    <s v="NA"/>
    <s v="Ajay Patodia"/>
    <x v="1"/>
    <s v="Storage"/>
    <s v="Dell"/>
    <s v="Closed Won"/>
    <n v="95900000"/>
    <n v="30000000"/>
    <n v="0"/>
    <s v="20-06-2026"/>
    <s v="Green"/>
    <n v="100"/>
    <s v="-"/>
    <s v="-"/>
    <s v="-"/>
    <s v="-"/>
    <s v="-"/>
    <s v="S1"/>
  </r>
  <r>
    <s v="29-04-2026 1:06 PM"/>
    <s v="POT86658"/>
    <s v="Bank of India"/>
    <s v="Deepak Prakash"/>
    <s v="boi A300 storage lift"/>
    <x v="13"/>
    <s v="Ajay Patodia+Mukesh Choithani+Tasneem K"/>
    <s v="Self"/>
    <s v="NA"/>
    <s v="Ajay Patodia"/>
    <x v="1"/>
    <s v="Storage"/>
    <s v="Dell"/>
    <s v="Closed Won"/>
    <n v="234518.79"/>
    <n v="40000"/>
    <n v="40000"/>
    <s v="29-04-2026"/>
    <s v="Green"/>
    <n v="100"/>
    <s v="DB-TK-0007"/>
    <s v="-"/>
    <s v="-"/>
    <s v="-"/>
    <s v="-"/>
    <s v="S1"/>
  </r>
  <r>
    <d v="2026-10-05T16:13:00"/>
    <s v="POT86746"/>
    <s v="Central Bank of India"/>
    <s v="Rahul Jadhav"/>
    <s v="Vmware VCF licence"/>
    <x v="13"/>
    <s v="Ajay Patodia+Mukesh Choithani+Tasneem K"/>
    <s v="OEM Lead"/>
    <s v="NA"/>
    <s v="None"/>
    <x v="1"/>
    <s v="Virtualisation"/>
    <s v="VMware"/>
    <s v="Closed Won"/>
    <n v="17472000"/>
    <n v="4000000"/>
    <n v="0"/>
    <s v="30-05-2026"/>
    <s v="Green"/>
    <n v="100"/>
    <s v="-"/>
    <s v="-"/>
    <s v="-"/>
    <s v="-"/>
    <s v="-"/>
    <s v="S1"/>
  </r>
  <r>
    <s v="25-05-2026 10:18 AM"/>
    <s v="POT86891"/>
    <s v="Larsen &amp; Toubro Technology Services Limited"/>
    <s v="Bhavik Shah"/>
    <s v="LTTS - Dell AMC"/>
    <x v="14"/>
    <s v="Ajay Patodia+Mukesh Choithani+Varsha Ray"/>
    <s v="Self"/>
    <s v="NA"/>
    <s v="None"/>
    <x v="1"/>
    <s v="Other OEM Services"/>
    <s v="Dell"/>
    <s v="Closed Won"/>
    <n v="2264289.73"/>
    <n v="167725.16"/>
    <n v="0"/>
    <d v="2026-04-06T00:00:00"/>
    <s v="Green"/>
    <n v="100"/>
    <s v="-"/>
    <s v="-"/>
    <s v="-"/>
    <s v="-"/>
    <s v="-"/>
    <s v="NA"/>
  </r>
  <r>
    <s v="25-05-2026 10:44 AM"/>
    <s v="POT86894"/>
    <s v="Schneider Electric India Private Limited"/>
    <s v="Hrishikesh Kadrekar"/>
    <s v="Schneider - IO IT Hardware"/>
    <x v="15"/>
    <s v="Ajay Patodia+Mukesh Choithani+Yogesh Bhatia+Atharva Karpe"/>
    <s v="Self"/>
    <s v="NA"/>
    <s v="Yogesh Bhatia"/>
    <x v="1"/>
    <s v="Compute"/>
    <s v="HP"/>
    <s v="Closed Won"/>
    <n v="2210000"/>
    <n v="100000"/>
    <n v="111688.62"/>
    <s v="26-05-2026"/>
    <s v="Green"/>
    <n v="100"/>
    <s v="DP-AC-0009"/>
    <s v="-"/>
    <s v="-"/>
    <s v="-"/>
    <s v="-"/>
    <s v="GB"/>
  </r>
  <r>
    <d v="2026-10-02T16:58:00"/>
    <s v="POT85986"/>
    <s v="Sterling Wilson"/>
    <s v="Vivek Chavan"/>
    <s v="Sterling - endpoints"/>
    <x v="16"/>
    <s v="Ajay Patodia+Mukesh Choithani+Yogesh Bhatia+Jay Rushi"/>
    <s v="Self"/>
    <s v="NA"/>
    <s v="Yogesh Bhatia"/>
    <x v="0"/>
    <s v="Workstation"/>
    <s v="HP"/>
    <s v="Closed Won"/>
    <n v="3125000"/>
    <n v="76987"/>
    <n v="8797.61"/>
    <s v="19-05-2026"/>
    <s v="Green"/>
    <n v="100"/>
    <s v="CG-JU-0010"/>
    <n v="30722541"/>
    <s v="-"/>
    <s v="-"/>
    <s v="-"/>
    <s v="GB"/>
  </r>
  <r>
    <d v="2026-08-05T13:03:00"/>
    <s v="POT86713"/>
    <s v="Parksons Packaging Ltd"/>
    <s v="Sachin Gholap"/>
    <s v="Storage"/>
    <x v="16"/>
    <s v="Ajay Patodia+Mukesh Choithani+Yogesh Bhatia+Jay Rushi"/>
    <s v="Self"/>
    <s v="NA"/>
    <s v="Yogesh Bhatia"/>
    <x v="1"/>
    <s v="Storage"/>
    <s v="Dell"/>
    <s v="Closed Won"/>
    <n v="228000"/>
    <n v="30000"/>
    <n v="18000"/>
    <d v="2026-08-05T00:00:00"/>
    <s v="Green"/>
    <n v="100"/>
    <s v="DP-JU-0007"/>
    <s v="-"/>
    <s v="-"/>
    <s v="-"/>
    <s v="DP-JU-0007 and DP-JU-0008"/>
    <s v="GB"/>
  </r>
  <r>
    <s v="17-04-2026 6:32 PM"/>
    <s v="POT86565"/>
    <s v="BNB Security &amp; Automation Solutions (P) Ltd"/>
    <s v="Rudresh A"/>
    <s v="Seagate 10TB Enterprise Internal Hard Drive"/>
    <x v="11"/>
    <s v="Ajay Patodia+Shahbaz Khan"/>
    <s v="Self"/>
    <s v="NA"/>
    <s v="Ajay Patodia"/>
    <x v="0"/>
    <s v="Accessories"/>
    <s v="Lenovo"/>
    <s v="Closed Won"/>
    <n v="1093500"/>
    <n v="6000"/>
    <n v="6000"/>
    <s v="20-04-2026"/>
    <s v="Green"/>
    <n v="100"/>
    <s v="CG-SZ-0003"/>
    <s v="-"/>
    <s v="-"/>
    <s v="-"/>
    <s v="OPF no: CG-SZ-0003"/>
    <s v="South"/>
  </r>
  <r>
    <s v="18-05-2026 1:34 PM"/>
    <s v="POT86824"/>
    <s v="OmneNEST Technologies Pvt. Ltd"/>
    <s v="Nishant Trivedi"/>
    <s v="AMD SOLARFLARE NIC CARDS"/>
    <x v="11"/>
    <s v="Ajay Patodia+Shahbaz Khan"/>
    <s v="Self"/>
    <s v="NA"/>
    <s v="Ajay Patodia"/>
    <x v="0"/>
    <s v="Accessories"/>
    <s v="Others"/>
    <s v="Closed Won"/>
    <n v="713568"/>
    <n v="9568"/>
    <n v="9568"/>
    <s v="27-05-2026"/>
    <s v="Green"/>
    <n v="100"/>
    <s v="CG-SZ-0008"/>
    <s v="-"/>
    <s v="-"/>
    <s v="-"/>
    <s v="OPF no: CG-SZ-0008"/>
    <s v="South"/>
  </r>
  <r>
    <d v="2026-04-04T20:06:00"/>
    <s v="POT86420"/>
    <s v="Consumer Group"/>
    <s v="Mohit Agarwal"/>
    <s v="Dell L7455 X Elite - 1 no"/>
    <x v="2"/>
    <s v="Chetna Sharma"/>
    <s v="OEM Lead"/>
    <s v="NA"/>
    <s v="None"/>
    <x v="0"/>
    <s v="Laptop"/>
    <s v="Dell"/>
    <s v="Closed Won"/>
    <n v="72034"/>
    <n v="0"/>
    <n v="0"/>
    <d v="2026-04-04T00:00:00"/>
    <s v="Green"/>
    <n v="90"/>
    <s v="CG-CH-0002"/>
    <s v="-"/>
    <s v="-"/>
    <s v="-"/>
    <s v="Mohit agarwal works in YES Bank and Our dell AM (Mukesh Poojary) asked us to sell this laptop to him. we are selling in lesser price to him and taking negative call as discussed with Dell AM and Ishita."/>
    <s v="S2"/>
  </r>
  <r>
    <d v="2026-01-04T11:13:00"/>
    <s v="POT86388"/>
    <s v="DP world"/>
    <s v="Nitin Gosavi"/>
    <s v="WEBCAM"/>
    <x v="4"/>
    <s v="Darshana Patil"/>
    <s v="Self"/>
    <s v="NA"/>
    <s v="None"/>
    <x v="0"/>
    <s v="Accessories"/>
    <s v="Others"/>
    <s v="Closed Won"/>
    <n v="5500"/>
    <n v="1687.29"/>
    <n v="1687.29"/>
    <d v="2026-01-04T00:00:00"/>
    <s v="Green"/>
    <n v="100"/>
    <s v="CG-DP-0001"/>
    <s v="-"/>
    <s v="-"/>
    <s v="-"/>
    <s v="-"/>
    <s v="NA"/>
  </r>
  <r>
    <d v="2026-08-04T14:59:00"/>
    <s v="POT86452"/>
    <s v="indostar capital finance ltd"/>
    <s v="Kamalesh Tripathi"/>
    <s v="Laptop Bags"/>
    <x v="4"/>
    <s v="Darshana Patil"/>
    <s v="Self"/>
    <s v="NA"/>
    <s v="None"/>
    <x v="0"/>
    <s v="Accessories"/>
    <s v="Dell"/>
    <s v="Closed Won"/>
    <n v="28500"/>
    <n v="1000"/>
    <n v="2440.9499999999998"/>
    <d v="2026-08-04T00:00:00"/>
    <s v="Green"/>
    <n v="100"/>
    <s v="CG-DP-0002"/>
    <s v="-"/>
    <s v="-"/>
    <s v="-"/>
    <s v="-"/>
    <s v="NA"/>
  </r>
  <r>
    <s v="17-04-2026 10:32 AM"/>
    <s v="POT86550"/>
    <s v="DP world"/>
    <s v="Nitin Gosavi"/>
    <s v="HP laserjet printer"/>
    <x v="4"/>
    <s v="Darshana Patil"/>
    <s v="Self"/>
    <s v="NA"/>
    <s v="None"/>
    <x v="0"/>
    <s v="Accessories"/>
    <s v="HP"/>
    <s v="Closed Won"/>
    <n v="135000"/>
    <n v="16200"/>
    <n v="16200"/>
    <s v="16-04-2026"/>
    <s v="Green"/>
    <n v="100"/>
    <s v="CG-DP-0003"/>
    <s v="-"/>
    <s v="-"/>
    <s v="-"/>
    <s v="-"/>
    <s v="NA"/>
  </r>
  <r>
    <d v="2026-08-05T15:11:00"/>
    <s v="POT86718"/>
    <s v="indostar capital finance ltd"/>
    <s v="kamlesh tripathy"/>
    <s v="Spares for laptop--Chennai"/>
    <x v="4"/>
    <s v="Darshana Patil"/>
    <s v="Self"/>
    <s v="NA"/>
    <s v="None"/>
    <x v="0"/>
    <s v="Accessories"/>
    <s v="Others"/>
    <s v="Closed Won"/>
    <n v="3500"/>
    <n v="500"/>
    <n v="500"/>
    <d v="2026-08-05T00:00:00"/>
    <s v="Green"/>
    <n v="100"/>
    <s v="CG-DP-0006"/>
    <s v="-"/>
    <s v="-"/>
    <s v="-"/>
    <s v="-"/>
    <s v="NA"/>
  </r>
  <r>
    <d v="2026-08-05T15:26:00"/>
    <s v="POT86719"/>
    <s v="DP world"/>
    <s v="Nitin Gosavi"/>
    <s v="Samsung Tablet"/>
    <x v="4"/>
    <s v="Darshana Patil"/>
    <s v="Self"/>
    <s v="NA"/>
    <s v="None"/>
    <x v="0"/>
    <s v="Tablet"/>
    <s v="Samsung"/>
    <s v="Closed Won"/>
    <n v="108000"/>
    <n v="18169.48"/>
    <n v="18169.48"/>
    <d v="2026-08-05T00:00:00"/>
    <s v="Green"/>
    <n v="100"/>
    <s v="CG-DP-0003"/>
    <s v="-"/>
    <s v="-"/>
    <s v="-"/>
    <s v="-"/>
    <s v="NA"/>
  </r>
  <r>
    <s v="13-05-2026 6:25 PM"/>
    <s v="POT86772"/>
    <s v="indostar capital finance ltd"/>
    <s v="kamlesh tripathy"/>
    <s v="Battery for laptop--kolkata"/>
    <x v="4"/>
    <s v="Darshana Patil"/>
    <s v="Self"/>
    <s v="NA"/>
    <s v="None"/>
    <x v="0"/>
    <s v="Accessories"/>
    <s v="Others"/>
    <s v="Closed Won"/>
    <n v="3500"/>
    <n v="500"/>
    <n v="1000"/>
    <s v="13-05-2026"/>
    <s v="Green"/>
    <n v="100"/>
    <s v="CG-DP-0007"/>
    <s v="-"/>
    <s v="-"/>
    <s v="-"/>
    <s v="-"/>
    <s v="NA"/>
  </r>
  <r>
    <s v="16-06-2026 11:44 AM"/>
    <s v="POT87122"/>
    <s v="Sharekhan Limited"/>
    <s v="Gaurav Salunkhe"/>
    <s v="Rajori Branch-  Canon Printer"/>
    <x v="4"/>
    <s v="Darshana Patil"/>
    <s v="Self"/>
    <s v="NA"/>
    <s v="None"/>
    <x v="0"/>
    <s v="Accessories"/>
    <s v="Others"/>
    <s v="Closed Won"/>
    <n v="22500"/>
    <n v="2600"/>
    <n v="3000"/>
    <s v="16-06-2026"/>
    <s v="Green"/>
    <n v="100"/>
    <s v="CG-DP-0011"/>
    <s v="-"/>
    <s v="-"/>
    <s v="-"/>
    <s v="-"/>
    <s v="NA"/>
  </r>
  <r>
    <s v="16-06-2026 11:57 AM"/>
    <s v="POT87123"/>
    <s v="Sharekhan Limited"/>
    <s v="Gaurav Salunkhe"/>
    <s v="Gurugram Branch-  Canon Printer"/>
    <x v="4"/>
    <s v="Darshana Patil"/>
    <s v="Self"/>
    <s v="NA"/>
    <s v="None"/>
    <x v="0"/>
    <s v="Accessories"/>
    <s v="Others"/>
    <s v="Closed Won"/>
    <n v="22500"/>
    <n v="2600"/>
    <n v="3000"/>
    <s v="16-06-2026"/>
    <s v="Green"/>
    <n v="100"/>
    <s v="CG-DP-0012"/>
    <s v="-"/>
    <s v="-"/>
    <s v="-"/>
    <s v="-"/>
    <s v="NA"/>
  </r>
  <r>
    <s v="16-06-2026 12:05 PM"/>
    <s v="POT87124"/>
    <s v="Sharekhan Limited"/>
    <s v="Gaurav Salunkhe"/>
    <s v="Pitampura-  Canon Printer"/>
    <x v="4"/>
    <s v="Darshana Patil"/>
    <s v="Self"/>
    <s v="NA"/>
    <s v="None"/>
    <x v="0"/>
    <s v="Accessories"/>
    <s v="Others"/>
    <s v="Closed Won"/>
    <n v="22500"/>
    <n v="2600"/>
    <n v="3000"/>
    <s v="16-06-2026"/>
    <s v="Green"/>
    <n v="100"/>
    <s v="CG-DP-0013"/>
    <s v="-"/>
    <s v="-"/>
    <s v="-"/>
    <s v="-"/>
    <s v="NA"/>
  </r>
  <r>
    <s v="18-01-2026 9:03 PM"/>
    <s v="POT85752"/>
    <s v="Bharat Forge Limited"/>
    <s v="Nazar Pathan"/>
    <s v="Surface Book 3 QTY"/>
    <x v="17"/>
    <s v="Hrushikesh Bagade"/>
    <s v="Self"/>
    <s v="NA"/>
    <s v="None"/>
    <x v="0"/>
    <s v="Laptop"/>
    <s v="Microsoft"/>
    <s v="Closed Won"/>
    <n v="510249"/>
    <n v="51867"/>
    <n v="0"/>
    <s v="16-05-2026"/>
    <s v="Green"/>
    <n v="100"/>
    <s v="-"/>
    <s v="-"/>
    <s v="-"/>
    <s v="-"/>
    <s v="EU is looking 10 QTY MS Surface NB, working on price._x000a_Proposal send and waiting for their response. po received. For 3 QTY"/>
    <s v="Geo X"/>
  </r>
  <r>
    <s v="27-01-2026 12:21 PM"/>
    <s v="POT85804"/>
    <s v="Emcure Pharmaceuticals Ltd"/>
    <s v="Vijay Sidhapura"/>
    <s v="DELL 28 Laptops"/>
    <x v="17"/>
    <s v="Hrushikesh Bagade"/>
    <s v="Self"/>
    <s v="NA"/>
    <s v="None"/>
    <x v="0"/>
    <s v="Laptop"/>
    <s v="Dell"/>
    <s v="Closed Won"/>
    <n v="1974336"/>
    <n v="140336"/>
    <n v="140336"/>
    <d v="2026-02-04T00:00:00"/>
    <s v="Green"/>
    <n v="100"/>
    <s v="CG-HB-0002"/>
    <s v="-"/>
    <s v="-"/>
    <s v="-"/>
    <s v="EU is looking 100 QTY Laptops, working with DELL, shared specs with DELL for pricing, waiting for price from DELL. quote sent, _x000a_PO received for 28 QTY"/>
    <s v="Geo X"/>
  </r>
  <r>
    <d v="2026-02-04T15:14:00"/>
    <s v="POT86392"/>
    <s v="Emcure Pharmaceuticals Ltd"/>
    <s v="Vijay Sidhapura"/>
    <s v="PO 2 DELL NB 28 QTY"/>
    <x v="17"/>
    <s v="Hrushikesh Bagade"/>
    <s v="Self"/>
    <s v="NA"/>
    <s v="None"/>
    <x v="0"/>
    <s v="Laptop"/>
    <s v="Dell"/>
    <s v="Closed Won"/>
    <n v="1974336"/>
    <n v="140336"/>
    <n v="140336"/>
    <d v="2026-02-04T00:00:00"/>
    <s v="Green"/>
    <n v="100"/>
    <s v="CG-HB-0001"/>
    <s v="-"/>
    <s v="-"/>
    <s v="-"/>
    <s v="EU want 28 QTY DELL NB, price sent , PO received"/>
    <s v="Geo X"/>
  </r>
  <r>
    <s v="21-05-2026 3:59 PM"/>
    <s v="POT86853"/>
    <s v="Bajaj Housing Finance Limited"/>
    <s v="Abid Sayyad"/>
    <s v="Adobe renewal"/>
    <x v="17"/>
    <s v="Hrushikesh Bagade"/>
    <s v="Self"/>
    <s v="NA"/>
    <s v="None"/>
    <x v="0"/>
    <s v="Accessories"/>
    <s v="Others"/>
    <s v="Closed Won"/>
    <n v="166860"/>
    <n v="20000"/>
    <n v="30546"/>
    <s v="21-05-2026"/>
    <s v="Green"/>
    <n v="100"/>
    <s v="-"/>
    <s v="-"/>
    <s v="-"/>
    <s v="-"/>
    <s v="EU is looking Adobe renewal, price sent, po received."/>
    <s v="Geo X"/>
  </r>
  <r>
    <d v="2026-09-04T16:02:00"/>
    <s v="POT86477"/>
    <s v="Descrial UK Limited"/>
    <s v="Brijesh Kumar Sahu"/>
    <s v="AWS bill shift"/>
    <x v="18"/>
    <s v="Jitesh Rajput+Sandeep Makwana+Anil Zachariah+Ashish Singh"/>
    <s v="Self"/>
    <s v="NA"/>
    <s v="Yogesh Bhatia"/>
    <x v="2"/>
    <s v="Cloud"/>
    <s v="Galaxy"/>
    <s v="Closed Won"/>
    <n v="5800000"/>
    <n v="290000"/>
    <n v="308529.88"/>
    <d v="2026-10-04T00:00:00"/>
    <s v="Green"/>
    <n v="100"/>
    <s v="CL-AH-0008"/>
    <s v="-"/>
    <s v="-"/>
    <s v="-"/>
    <s v="margin taken all"/>
    <s v="GB"/>
  </r>
  <r>
    <d v="2026-04-05T12:18:00"/>
    <s v="POT86680"/>
    <s v="Provilac Dairy Farms"/>
    <s v="Vishal Pawale"/>
    <s v="AWS Billing Reseller"/>
    <x v="18"/>
    <s v="Jitesh Rajput+Sandeep Makwana+Anil Zachariah+Ashish Singh"/>
    <s v="Self"/>
    <s v="NA"/>
    <s v="Yogesh Bhatia"/>
    <x v="2"/>
    <s v="Cloud"/>
    <s v="AWS"/>
    <s v="Closed Won"/>
    <n v="5073971"/>
    <n v="456657"/>
    <n v="0"/>
    <d v="2026-08-05T00:00:00"/>
    <s v="Amber"/>
    <n v="50"/>
    <s v="-"/>
    <s v="-"/>
    <s v="-"/>
    <s v="-"/>
    <s v="-"/>
    <s v="GB"/>
  </r>
  <r>
    <d v="2026-10-04T13:47:00"/>
    <s v="POT86488"/>
    <s v="Great Eastern Shipping Company Ltd."/>
    <s v="Amey Manjrekar"/>
    <s v="PS-Commvault Backup"/>
    <x v="18"/>
    <s v="Jitesh Rajput+Sandeep Makwana+Anil Zachariah+Ashish Singh"/>
    <s v="Self"/>
    <s v="NA"/>
    <s v="Yogesh Bhatia"/>
    <x v="3"/>
    <s v="Managed Services"/>
    <s v="Commvault"/>
    <s v="Closed Won"/>
    <n v="291810"/>
    <n v="20550"/>
    <n v="20550"/>
    <d v="2026-10-04T00:00:00"/>
    <s v="Green"/>
    <n v="100"/>
    <s v="CL-AH-0002"/>
    <s v="-"/>
    <s v="-"/>
    <s v="-"/>
    <s v="-"/>
    <s v="GB"/>
  </r>
  <r>
    <s v="15-04-2026 12:37 PM"/>
    <s v="POT86539"/>
    <s v="Jiostar India Private Limited"/>
    <s v="Deepak Chaoubey"/>
    <s v="PS-Zabbix"/>
    <x v="18"/>
    <s v="Jitesh Rajput+Sandeep Makwana+Anil Zachariah+Ashish Singh"/>
    <s v="Self"/>
    <s v="NA"/>
    <s v="Yogesh Bhatia"/>
    <x v="3"/>
    <s v="Managed Services"/>
    <s v="Galaxy"/>
    <s v="Closed Won"/>
    <n v="315000"/>
    <n v="52500"/>
    <n v="52500"/>
    <s v="15-04-2026"/>
    <s v="Amber"/>
    <n v="50"/>
    <s v="PM-AH-0001"/>
    <s v="-"/>
    <s v="-"/>
    <s v="-"/>
    <s v="margin taken all"/>
    <s v="GB"/>
  </r>
  <r>
    <s v="23-04-2026 12:50 PM"/>
    <s v="POT86600"/>
    <s v="Madhu Infotech India Pvt. Ltd"/>
    <s v="Sebastian M G"/>
    <s v="ZT integration - PS"/>
    <x v="18"/>
    <s v="Jitesh Rajput+Sandeep Makwana+Anil Zachariah+Ashish Singh"/>
    <s v="Self"/>
    <s v="NA"/>
    <s v="Yogesh Bhatia"/>
    <x v="3"/>
    <s v="Deployment Services"/>
    <s v="Galaxy"/>
    <s v="Closed Won"/>
    <n v="3150"/>
    <n v="630"/>
    <n v="630"/>
    <s v="23-04-2026"/>
    <s v="Green"/>
    <n v="70"/>
    <s v="PM-AH-0003"/>
    <s v="-"/>
    <s v="-"/>
    <s v="-"/>
    <s v="-"/>
    <s v="GB"/>
  </r>
  <r>
    <d v="2026-04-05T12:26:00"/>
    <s v="POT86681"/>
    <s v="Provilac Dairy Farms"/>
    <s v="Vishal Pawale"/>
    <s v="Cloud Managed Services"/>
    <x v="18"/>
    <s v="Jitesh Rajput+Sandeep Makwana+Anil Zachariah+Ashish Singh"/>
    <s v="Self"/>
    <s v="NA"/>
    <s v="Yogesh Bhatia"/>
    <x v="3"/>
    <s v="Managed Services"/>
    <s v="Galaxy"/>
    <s v="Closed Won"/>
    <n v="1486080"/>
    <n v="297216"/>
    <n v="0"/>
    <s v="21-05-2026"/>
    <s v="Amber"/>
    <n v="50"/>
    <s v="-"/>
    <s v="-"/>
    <s v="-"/>
    <s v="-"/>
    <s v="-"/>
    <s v="GB"/>
  </r>
  <r>
    <s v="26-05-2026 6:40 PM"/>
    <s v="POT86915"/>
    <s v="Lokmat Media Pvt Ltd"/>
    <s v="Ram Saoji"/>
    <s v="Managed Services"/>
    <x v="18"/>
    <s v="Jitesh Rajput+Sandeep Makwana+Anil Zachariah+Ashish Singh"/>
    <s v="Self"/>
    <s v="NA"/>
    <s v="Yogesh Bhatia"/>
    <x v="3"/>
    <s v="Managed Services"/>
    <s v="Galaxy"/>
    <s v="Closed Won"/>
    <n v="51975"/>
    <n v="6975"/>
    <n v="0"/>
    <s v="15-06-2026"/>
    <s v="Grey"/>
    <n v="50"/>
    <s v="-"/>
    <s v="-"/>
    <s v="-"/>
    <s v="-"/>
    <s v="-"/>
    <s v="GB"/>
  </r>
  <r>
    <s v="16-06-2026 8:53 PM"/>
    <s v="POT87131"/>
    <s v="Finacus Solutions Private Limited"/>
    <s v="Harish Menon"/>
    <s v="Zabbix- Monitoring"/>
    <x v="18"/>
    <s v="Jitesh Rajput+Sandeep Makwana+Anil Zachariah+Ashish Singh"/>
    <s v="Self"/>
    <s v="NA"/>
    <s v="Yogesh Bhatia"/>
    <x v="3"/>
    <s v="Managed Services"/>
    <s v="Galaxy"/>
    <s v="Closed Won"/>
    <n v="360000"/>
    <n v="60000"/>
    <n v="0"/>
    <s v="25-06-2026"/>
    <s v="Green"/>
    <n v="50"/>
    <s v="-"/>
    <s v="-"/>
    <s v="-"/>
    <s v="-"/>
    <s v="-"/>
    <s v="GB"/>
  </r>
  <r>
    <s v="19-06-2026 1:17 PM"/>
    <s v="POT87153"/>
    <s v="Apparel Group India Pvt Ltd"/>
    <s v="Ishhaq Shaikh"/>
    <s v="PS-Commvault"/>
    <x v="18"/>
    <s v="Jitesh Rajput+Sandeep Makwana+Anil Zachariah+Ashish Singh"/>
    <s v="Self"/>
    <s v="NA"/>
    <s v="Yogesh Bhatia"/>
    <x v="3"/>
    <s v="Managed Services"/>
    <s v="Commvault"/>
    <s v="Closed Won"/>
    <n v="76444.570000000007"/>
    <n v="0"/>
    <n v="0"/>
    <s v="24-06-2026"/>
    <s v="Amber"/>
    <n v="50"/>
    <s v="-"/>
    <s v="-"/>
    <s v="-"/>
    <s v="-"/>
    <s v="-"/>
    <s v="GB"/>
  </r>
  <r>
    <s v="21-02-2026 3:21 PM"/>
    <s v="POT86086"/>
    <s v="Yes Securities (India) Ltd"/>
    <s v="Yogendra Vishwakarma"/>
    <s v="Galaxy Resource - System Administrator L2 - 1 No"/>
    <x v="2"/>
    <s v="Jitesh Rajput+Sandeep Makwana+Anil Zachariah+Chetna Sharma"/>
    <s v="Self"/>
    <s v="NA"/>
    <s v="Jitesh Rajput"/>
    <x v="3"/>
    <s v="Residency Services"/>
    <s v="Galaxy"/>
    <s v="Closed Won"/>
    <n v="1600000"/>
    <n v="635000"/>
    <n v="0"/>
    <d v="2026-02-06T00:00:00"/>
    <s v="Green"/>
    <n v="100"/>
    <s v="-"/>
    <s v="-"/>
    <s v="-"/>
    <s v="-"/>
    <s v="-"/>
    <s v="S2"/>
  </r>
  <r>
    <d v="2026-01-06T12:27:00"/>
    <s v="POT87000"/>
    <s v="Yes Bank Limited"/>
    <s v="Supriya Chandugade"/>
    <s v="Galaxy Storage Resident Engineer - 12 Nos - 3 Years"/>
    <x v="2"/>
    <s v="Jitesh Rajput+Sandeep Makwana+Anil Zachariah+Chetna Sharma"/>
    <s v="Self"/>
    <s v="NA"/>
    <s v="Jitesh Rajput"/>
    <x v="3"/>
    <s v="Residency Services"/>
    <s v="Galaxy"/>
    <s v="Closed Won"/>
    <n v="69441840"/>
    <n v="13732121"/>
    <n v="0"/>
    <d v="2026-12-06T00:00:00"/>
    <s v="Green"/>
    <n v="100"/>
    <s v="-"/>
    <s v="-"/>
    <s v="-"/>
    <s v="-"/>
    <s v="-"/>
    <s v="S2"/>
  </r>
  <r>
    <s v="21-02-2026 5:41 PM"/>
    <s v="POT86093"/>
    <s v="Kalyani Strategic Systems Limited"/>
    <s v="Nazar Pathan"/>
    <s v="Commvault addon lics"/>
    <x v="17"/>
    <s v="Jitesh Rajput+Sandeep Makwana+Anil Zachariah+Hrushikesh Bagade"/>
    <s v="Self"/>
    <s v="NA"/>
    <s v="Jitesh Rajput"/>
    <x v="2"/>
    <s v="Backup &amp; Recovery"/>
    <s v="Commvault"/>
    <s v="Closed Won"/>
    <n v="1186225"/>
    <n v="177918"/>
    <n v="177917.64"/>
    <d v="2026-06-05T00:00:00"/>
    <s v="Green"/>
    <n v="100"/>
    <s v="CL-HB-0028"/>
    <s v="-"/>
    <s v="-"/>
    <s v="-"/>
    <s v="EU is looking for add 50 VM's Commvault lics, working on price. Proposal send and waiting for their response. po received."/>
    <s v="Geo X"/>
  </r>
  <r>
    <s v="29-03-2026 8:30 PM"/>
    <s v="POT86373"/>
    <s v="Bharat Forge Limited"/>
    <s v="Nazar Pathan"/>
    <s v="Galaxy Manage Services - Commvault"/>
    <x v="17"/>
    <s v="Jitesh Rajput+Sandeep Makwana+Anil Zachariah+Hrushikesh Bagade"/>
    <s v="Self"/>
    <s v="NA"/>
    <s v="Jitesh Rajput"/>
    <x v="3"/>
    <s v="Managed Services"/>
    <s v="Others"/>
    <s v="Closed Won"/>
    <n v="2289230"/>
    <n v="900000"/>
    <n v="839080"/>
    <s v="18-04-2026"/>
    <s v="Green"/>
    <n v="100"/>
    <s v="PM-HB-0027"/>
    <s v="-"/>
    <s v="-"/>
    <s v="-"/>
    <s v="EU is looking renewal Galaxy MS for Commvault with some addon lics, proposal sent, under nego. expecting order by 31st Mar. po received ._x000a_Margin taken all"/>
    <s v="Geo X"/>
  </r>
  <r>
    <d v="2026-05-04T12:55:00"/>
    <s v="POT86421"/>
    <s v="Merck Life Science Private Limited"/>
    <s v="aniruddha parvate"/>
    <s v="Serum AP Project MS Renewal"/>
    <x v="17"/>
    <s v="Jitesh Rajput+Sandeep Makwana+Anil Zachariah+Hrushikesh Bagade"/>
    <s v="Self"/>
    <s v="NA"/>
    <s v="Jitesh Rajput"/>
    <x v="3"/>
    <s v="Managed Services"/>
    <s v="Others"/>
    <s v="Closed Won"/>
    <n v="929979"/>
    <n v="369954"/>
    <n v="0"/>
    <d v="2026-02-05T00:00:00"/>
    <s v="Green"/>
    <n v="100"/>
    <s v="-"/>
    <s v="-"/>
    <s v="-"/>
    <s v="-"/>
    <s v="exiting renewal of Serum AP Project - Galaxy Manage Services, proposal sent, under nego, expecting to close in next 10days. waiting for PO, PR number received. po received."/>
    <s v="Geo X"/>
  </r>
  <r>
    <d v="2026-08-05T13:45:00"/>
    <s v="POT86715"/>
    <s v="Merck Life Science Private Limited"/>
    <s v="aniruddha parvate"/>
    <s v="Serum DT Project MS Renewal"/>
    <x v="17"/>
    <s v="Jitesh Rajput+Sandeep Makwana+Anil Zachariah+Hrushikesh Bagade"/>
    <s v="Self"/>
    <s v="NA"/>
    <s v="Jitesh Rajput"/>
    <x v="3"/>
    <s v="Managed Services"/>
    <s v="Others"/>
    <s v="Closed Won"/>
    <n v="929979"/>
    <n v="369954"/>
    <n v="0"/>
    <s v="30-05-2026"/>
    <s v="Green"/>
    <n v="100"/>
    <s v="-"/>
    <s v="-"/>
    <s v="-"/>
    <s v="-"/>
    <s v="Merck want to renewal Galaxy MS contract for Serum DT project, proposal sent, waiting for PO. we will get PO in June26 MID. po received."/>
    <s v="Geo X"/>
  </r>
  <r>
    <d v="2026-08-05T13:48:00"/>
    <s v="POT86716"/>
    <s v="Merck Life Science Private Limited"/>
    <s v="aniruddha parvate"/>
    <s v="Merck Renewal for Serum TT Project_Galaxy MS"/>
    <x v="17"/>
    <s v="Jitesh Rajput+Sandeep Makwana+Anil Zachariah+Hrushikesh Bagade"/>
    <s v="Self"/>
    <s v="NA"/>
    <s v="Jitesh Rajput"/>
    <x v="3"/>
    <s v="Managed Services"/>
    <s v="Others"/>
    <s v="Closed Won"/>
    <n v="929970"/>
    <n v="369953.33"/>
    <n v="0"/>
    <s v="30-05-2026"/>
    <s v="Green"/>
    <n v="100"/>
    <s v="-"/>
    <s v="-"/>
    <s v="-"/>
    <s v="-"/>
    <s v="Merck want to renewal MS contract for Serum TT project, proposal sent, waiting for PO. we will get PO in June26 MID. po received."/>
    <s v="Geo X"/>
  </r>
  <r>
    <s v="20-04-2026 11:20 AM"/>
    <s v="POT86580"/>
    <s v="Punjab National Bank"/>
    <s v="Himanshu mishra"/>
    <s v="PNB bank AMC"/>
    <x v="19"/>
    <s v="Jitesh Rajput+Sandeep Makwana+Anil Zachariah+Pratik Kadam"/>
    <s v="Self"/>
    <s v="NA"/>
    <s v="Jitesh Rajput"/>
    <x v="3"/>
    <s v="Managed Services"/>
    <s v="Others"/>
    <s v="Closed Won"/>
    <n v="1319841"/>
    <n v="519841"/>
    <n v="519841"/>
    <s v="21-04-2026"/>
    <s v="Green"/>
    <n v="90"/>
    <s v="PM-PM-0024"/>
    <s v="-"/>
    <s v="-"/>
    <s v="-"/>
    <s v="margin taken all"/>
    <s v="S1"/>
  </r>
  <r>
    <s v="30-03-2026 12:54 PM"/>
    <s v="POT86375"/>
    <s v="Tata International Limited"/>
    <s v="Vivek Surve"/>
    <s v="L2 Resource Renewal 1 year"/>
    <x v="7"/>
    <s v="Jitesh Rajput+Sandeep Makwana+Anil Zachariah+Richa Tiwari"/>
    <s v="Self"/>
    <s v="NA"/>
    <s v="Jitesh Rajput"/>
    <x v="3"/>
    <s v="Residency Services"/>
    <s v="Galaxy"/>
    <s v="Closed Won"/>
    <n v="1300000"/>
    <n v="20000"/>
    <n v="307000"/>
    <s v="18-04-2026"/>
    <s v="Green"/>
    <n v="100"/>
    <s v="PR-RT-0003"/>
    <s v="-"/>
    <s v="-"/>
    <s v="-"/>
    <s v="margin taken all"/>
    <s v="S1"/>
  </r>
  <r>
    <d v="2026-04-04T11:57:00"/>
    <s v="POT86415"/>
    <s v="TATA Chemicals Limited"/>
    <s v="Vikash Kumar Singh"/>
    <s v="Resource Extension 1 year"/>
    <x v="7"/>
    <s v="Jitesh Rajput+Sandeep Makwana+Anil Zachariah+Richa Tiwari"/>
    <s v="Self"/>
    <s v="NA"/>
    <s v="None"/>
    <x v="3"/>
    <s v="Residency Services"/>
    <s v="Galaxy"/>
    <s v="Closed Won"/>
    <n v="1260000"/>
    <n v="1260000"/>
    <n v="209000"/>
    <s v="18-04-2026"/>
    <s v="Green"/>
    <n v="100"/>
    <s v="PR-RT-0006"/>
    <s v="-"/>
    <s v="-"/>
    <s v="-"/>
    <s v="Margin taken all"/>
    <s v="S1"/>
  </r>
  <r>
    <s v="28-04-2026 11:16 AM"/>
    <s v="POT86644"/>
    <s v="Tata Chemicals Ltd"/>
    <s v="Vikash Kumar Singh"/>
    <s v="hyper V activity"/>
    <x v="7"/>
    <s v="Jitesh Rajput+Sandeep Makwana+Anil Zachariah+Richa Tiwari"/>
    <s v="Self"/>
    <s v="NA"/>
    <s v="None"/>
    <x v="3"/>
    <s v="Managed Services"/>
    <s v="Galaxy"/>
    <s v="Closed Won"/>
    <n v="50000"/>
    <n v="10000"/>
    <n v="20000"/>
    <s v="26-05-2026"/>
    <s v="Amber"/>
    <n v="100"/>
    <s v="PM-RT-0024"/>
    <s v="-"/>
    <s v="-"/>
    <s v="-"/>
    <s v="-"/>
    <s v="S1"/>
  </r>
  <r>
    <s v="29-11-2025 12:02 PM"/>
    <s v="POT85237"/>
    <s v="Indira IVF Fertility Centre"/>
    <s v="mahesh sharma"/>
    <s v="AWS Cloud Infra for Eshopaid application"/>
    <x v="20"/>
    <s v="Jitesh Rajput+Sandeep Makwana+Anil Zachariah+Shilpa Kavde"/>
    <s v="Self"/>
    <s v="NA"/>
    <s v="Sandeep Makwana"/>
    <x v="2"/>
    <s v="Cloud"/>
    <s v="AWS"/>
    <s v="Closed Won"/>
    <n v="3278719.5"/>
    <n v="10000"/>
    <n v="0"/>
    <s v="30-05-2026"/>
    <s v="Green"/>
    <n v="50"/>
    <s v="-"/>
    <s v="-"/>
    <s v="-"/>
    <s v="-"/>
    <s v="-"/>
    <s v="CB"/>
  </r>
  <r>
    <s v="30-05-2026 1:24 PM"/>
    <s v="POT86981"/>
    <s v="Indira IVF Fertility Centre"/>
    <s v="Mahesh Sharma"/>
    <s v="AWS Cloud Infra for New Website"/>
    <x v="20"/>
    <s v="Jitesh Rajput+Sandeep Makwana+Anil Zachariah+Shilpa Kavde"/>
    <s v="Self"/>
    <s v="NA"/>
    <s v="Anoop Pai Dhungat"/>
    <x v="2"/>
    <s v="Cloud"/>
    <s v="AWS"/>
    <s v="Closed Won"/>
    <n v="1902647.6"/>
    <n v="10000"/>
    <n v="0"/>
    <s v="30-05-2026"/>
    <s v="Green"/>
    <n v="100"/>
    <s v="-"/>
    <s v="-"/>
    <s v="-"/>
    <s v="-"/>
    <s v="-"/>
    <s v="CB"/>
  </r>
  <r>
    <s v="30-05-2026 1:27 PM"/>
    <s v="POT86983"/>
    <s v="Indira IVF Fertility Centre"/>
    <s v="Mahesh Sharma"/>
    <s v="AWS Cloud Infra"/>
    <x v="20"/>
    <s v="Jitesh Rajput+Sandeep Makwana+Anil Zachariah+Shilpa Kavde"/>
    <s v="Self"/>
    <s v="NA"/>
    <s v="Anoop Pai Dhungat"/>
    <x v="2"/>
    <s v="Cloud"/>
    <s v="AWS"/>
    <s v="Closed Won"/>
    <n v="594203.80000000005"/>
    <n v="10000"/>
    <n v="0"/>
    <s v="30-05-2026"/>
    <s v="Green"/>
    <n v="100"/>
    <s v="-"/>
    <s v="-"/>
    <s v="-"/>
    <s v="-"/>
    <s v="-"/>
    <s v="CB"/>
  </r>
  <r>
    <s v="30-05-2026 1:30 PM"/>
    <s v="POT86984"/>
    <s v="Indira IVF Fertility Centre"/>
    <s v="Mahesh Sharma"/>
    <s v="AWS Cloud Infra Zscalar"/>
    <x v="20"/>
    <s v="Jitesh Rajput+Sandeep Makwana+Anil Zachariah+Shilpa Kavde"/>
    <s v="Self"/>
    <s v="NA"/>
    <s v="Anoop Pai Dhungat"/>
    <x v="2"/>
    <s v="Cloud"/>
    <s v="AWS"/>
    <s v="Closed Won"/>
    <n v="131648.9"/>
    <n v="5000"/>
    <n v="0"/>
    <s v="30-05-2026"/>
    <s v="Green"/>
    <n v="100"/>
    <s v="-"/>
    <s v="-"/>
    <s v="-"/>
    <s v="-"/>
    <s v="-"/>
    <s v="CB"/>
  </r>
  <r>
    <s v="30-05-2026 1:32 PM"/>
    <s v="POT86985"/>
    <s v="Indira IVF Fertility Centre"/>
    <s v="Mahesh Sharma"/>
    <s v="AWS Cloud Infra BICC"/>
    <x v="20"/>
    <s v="Jitesh Rajput+Sandeep Makwana+Anil Zachariah+Shilpa Kavde"/>
    <s v="Self"/>
    <s v="NA"/>
    <s v="Anoop Pai Dhungat"/>
    <x v="2"/>
    <s v="Cloud"/>
    <s v="AWS"/>
    <s v="Closed Won"/>
    <n v="151994.1"/>
    <n v="5000"/>
    <n v="0"/>
    <s v="30-05-2026"/>
    <s v="Green"/>
    <n v="100"/>
    <s v="-"/>
    <s v="-"/>
    <s v="-"/>
    <s v="-"/>
    <s v="-"/>
    <s v="CB"/>
  </r>
  <r>
    <s v="30-05-2026 1:34 PM"/>
    <s v="POT86986"/>
    <s v="Indira IVF Fertility Centre"/>
    <s v="Mahesh Sharma"/>
    <s v="AWS Cloud Infra _Nearby_IVF"/>
    <x v="20"/>
    <s v="Jitesh Rajput+Sandeep Makwana+Anil Zachariah+Shilpa Kavde"/>
    <s v="Self"/>
    <s v="NA"/>
    <s v="Anoop Pai Dhungat"/>
    <x v="2"/>
    <s v="Cloud"/>
    <s v="AWS"/>
    <s v="Closed Won"/>
    <n v="136249"/>
    <n v="10000"/>
    <n v="0"/>
    <s v="30-05-2026"/>
    <s v="Green"/>
    <n v="100"/>
    <s v="-"/>
    <s v="-"/>
    <s v="-"/>
    <s v="-"/>
    <s v="-"/>
    <s v="CB"/>
  </r>
  <r>
    <s v="30-05-2026 1:36 PM"/>
    <s v="POT86987"/>
    <s v="Indira IVF Fertility Centre"/>
    <s v="Mahesh Sharma"/>
    <s v="AWS Cloud Infra Vendor Portal"/>
    <x v="20"/>
    <s v="Jitesh Rajput+Sandeep Makwana+Anil Zachariah+Shilpa Kavde"/>
    <s v="Self"/>
    <s v="NA"/>
    <s v="Anoop Pai Dhungat"/>
    <x v="2"/>
    <s v="Cloud"/>
    <s v="AWS"/>
    <s v="Closed Won"/>
    <n v="911920"/>
    <n v="10000"/>
    <n v="0"/>
    <s v="30-05-2026"/>
    <s v="Green"/>
    <n v="100"/>
    <s v="-"/>
    <s v="-"/>
    <s v="-"/>
    <s v="-"/>
    <s v="-"/>
    <s v="CB"/>
  </r>
  <r>
    <s v="30-05-2026 1:39 PM"/>
    <s v="POT86988"/>
    <s v="Indira IVF Fertility Centre"/>
    <s v="Mahesh Sharma"/>
    <s v="AWS Cloud Infra IDAM PAM"/>
    <x v="20"/>
    <s v="Jitesh Rajput+Sandeep Makwana+Anil Zachariah+Shilpa Kavde"/>
    <s v="Self"/>
    <s v="NA"/>
    <s v="Anoop Pai Dhungat"/>
    <x v="2"/>
    <s v="Cloud"/>
    <s v="AWS"/>
    <s v="Closed Won"/>
    <n v="686566.7"/>
    <n v="10000"/>
    <n v="0"/>
    <s v="30-05-2026"/>
    <s v="Green"/>
    <n v="100"/>
    <s v="-"/>
    <s v="-"/>
    <s v="-"/>
    <s v="-"/>
    <s v="-"/>
    <s v="CB"/>
  </r>
  <r>
    <s v="30-05-2026 1:41 PM"/>
    <s v="POT86989"/>
    <s v="Indira IVF Fertility Centre"/>
    <s v="Mahesh Sharma"/>
    <s v="AWS Cloud Infra for CSR Micro Website."/>
    <x v="20"/>
    <s v="Jitesh Rajput+Sandeep Makwana+Anil Zachariah+Shilpa Kavde"/>
    <s v="Self"/>
    <s v="NA"/>
    <s v="Anoop Pai Dhungat"/>
    <x v="2"/>
    <s v="Cloud"/>
    <s v="AWS"/>
    <s v="Closed Won"/>
    <n v="39242.199999999997"/>
    <n v="1000"/>
    <n v="0"/>
    <s v="30-05-2026"/>
    <s v="Green"/>
    <n v="100"/>
    <s v="-"/>
    <s v="-"/>
    <s v="-"/>
    <s v="-"/>
    <s v="-"/>
    <s v="CB"/>
  </r>
  <r>
    <d v="2026-09-06T12:38:00"/>
    <s v="POT87082"/>
    <s v="Indira IVF Fertility Centre"/>
    <s v="Mahesh Sharma"/>
    <s v="AWS Cloud MagicXPI"/>
    <x v="20"/>
    <s v="Jitesh Rajput+Sandeep Makwana+Anil Zachariah+Shilpa Kavde"/>
    <s v="Self"/>
    <s v="NA"/>
    <s v="Anoop Pai Dhungat"/>
    <x v="2"/>
    <s v="Cloud"/>
    <s v="AWS"/>
    <s v="Closed Won"/>
    <n v="2272068.6"/>
    <n v="10000"/>
    <n v="0"/>
    <d v="2026-09-06T00:00:00"/>
    <s v="Green"/>
    <n v="100"/>
    <s v="-"/>
    <s v="-"/>
    <s v="-"/>
    <s v="-"/>
    <s v="-"/>
    <s v="CB"/>
  </r>
  <r>
    <d v="2026-09-06T12:49:00"/>
    <s v="POT87083"/>
    <s v="Indira IVF Fertility Centre"/>
    <s v="Mahesh Sharma"/>
    <s v="AWS cloud SOC"/>
    <x v="20"/>
    <s v="Jitesh Rajput+Sandeep Makwana+Anil Zachariah+Shilpa Kavde"/>
    <s v="Self"/>
    <s v="NA"/>
    <s v="Anoop Pai Dhungat"/>
    <x v="2"/>
    <s v="Cloud"/>
    <s v="AWS"/>
    <s v="Closed Won"/>
    <n v="194280.6"/>
    <n v="10000"/>
    <n v="0"/>
    <d v="2026-09-06T00:00:00"/>
    <s v="Green"/>
    <n v="100"/>
    <s v="-"/>
    <s v="-"/>
    <s v="-"/>
    <s v="-"/>
    <s v="-"/>
    <s v="CB"/>
  </r>
  <r>
    <d v="2026-09-06T12:55:00"/>
    <s v="POT87084"/>
    <s v="Indira IVF Fertility Centre"/>
    <s v="Mahesh Sharma"/>
    <s v="AWS cloud Magic XPA"/>
    <x v="20"/>
    <s v="Jitesh Rajput+Sandeep Makwana+Anil Zachariah+Shilpa Kavde"/>
    <s v="Self"/>
    <s v="NA"/>
    <s v="Anoop Pai Dhungat"/>
    <x v="2"/>
    <s v="Cloud"/>
    <s v="AWS"/>
    <s v="Closed Won"/>
    <n v="1214303.1000000001"/>
    <n v="10000"/>
    <n v="0"/>
    <d v="2026-09-06T00:00:00"/>
    <s v="Green"/>
    <n v="100"/>
    <s v="-"/>
    <s v="-"/>
    <s v="-"/>
    <s v="-"/>
    <s v="-"/>
    <s v="CB"/>
  </r>
  <r>
    <s v="17-06-2026 8:04 PM"/>
    <s v="POT87136"/>
    <s v="Indira IVF Fertility Centre"/>
    <s v="Mahesh Sharma"/>
    <s v="AWS DPDP"/>
    <x v="20"/>
    <s v="Jitesh Rajput+Sandeep Makwana+Anil Zachariah+Shilpa Kavde"/>
    <s v="Self"/>
    <s v="NA"/>
    <s v="Anoop Pai Dhungat"/>
    <x v="2"/>
    <s v="Cloud"/>
    <s v="AWS"/>
    <s v="Closed Won"/>
    <n v="602618.19999999995"/>
    <n v="10000"/>
    <n v="0"/>
    <s v="17-06-2026"/>
    <s v="Green"/>
    <n v="100"/>
    <s v="-"/>
    <s v="-"/>
    <s v="-"/>
    <s v="-"/>
    <s v="-"/>
    <s v="CB"/>
  </r>
  <r>
    <s v="17-06-2026 8:16 PM"/>
    <s v="POT87137"/>
    <s v="Indira IVF Fertility Centre"/>
    <s v="Mahesh Sharma"/>
    <s v="AWS Eshopaid application"/>
    <x v="20"/>
    <s v="Jitesh Rajput+Sandeep Makwana+Anil Zachariah+Shilpa Kavde"/>
    <s v="Self"/>
    <s v="NA"/>
    <s v="Anoop Pai Dhungat"/>
    <x v="2"/>
    <s v="Cloud"/>
    <s v="AWS"/>
    <s v="Closed Won"/>
    <n v="671806.9"/>
    <n v="10000"/>
    <n v="0"/>
    <s v="17-06-2026"/>
    <s v="Green"/>
    <n v="100"/>
    <s v="-"/>
    <s v="-"/>
    <s v="-"/>
    <s v="-"/>
    <s v="-"/>
    <s v="CB"/>
  </r>
  <r>
    <s v="17-06-2026 8:25 PM"/>
    <s v="POT87138"/>
    <s v="Indira IVF Fertility Centre"/>
    <s v="Mahesh Sharma"/>
    <s v="AWS HIS application"/>
    <x v="20"/>
    <s v="Jitesh Rajput+Sandeep Makwana+Anil Zachariah+Shilpa Kavde"/>
    <s v="Self"/>
    <s v="NA"/>
    <s v="Anoop Pai Dhungat"/>
    <x v="2"/>
    <s v="Cloud"/>
    <s v="AWS"/>
    <s v="Closed Won"/>
    <n v="1205515.7"/>
    <n v="10000"/>
    <n v="0"/>
    <s v="17-06-2026"/>
    <s v="Green"/>
    <n v="100"/>
    <s v="-"/>
    <s v="-"/>
    <s v="-"/>
    <s v="-"/>
    <s v="-"/>
    <s v="CB"/>
  </r>
  <r>
    <s v="17-06-2026 8:35 PM"/>
    <s v="POT87139"/>
    <s v="Indira IVF Fertility Centre"/>
    <s v="Mahesh Sharma"/>
    <s v="AWS Magic XPA"/>
    <x v="20"/>
    <s v="Jitesh Rajput+Sandeep Makwana+Anil Zachariah+Shilpa Kavde"/>
    <s v="Self"/>
    <s v="NA"/>
    <s v="Anoop Pai Dhungat"/>
    <x v="2"/>
    <s v="Cloud"/>
    <s v="AWS"/>
    <s v="Closed Won"/>
    <n v="664902.9"/>
    <n v="10000"/>
    <n v="0"/>
    <s v="17-06-2026"/>
    <s v="Green"/>
    <n v="100"/>
    <s v="-"/>
    <s v="-"/>
    <s v="-"/>
    <s v="-"/>
    <s v="-"/>
    <s v="CB"/>
  </r>
  <r>
    <s v="17-06-2026 8:42 PM"/>
    <s v="POT87140"/>
    <s v="Indira IVF Fertility Centre"/>
    <s v="Mahesh Sharma"/>
    <s v="AWS Magic XPI"/>
    <x v="20"/>
    <s v="Jitesh Rajput+Sandeep Makwana+Anil Zachariah+Shilpa Kavde"/>
    <s v="Self"/>
    <s v="NA"/>
    <s v="Anoop Pai Dhungat"/>
    <x v="2"/>
    <s v="Cloud"/>
    <s v="AWS"/>
    <s v="Closed Won"/>
    <n v="730855.3"/>
    <n v="10000"/>
    <n v="0"/>
    <s v="17-06-2026"/>
    <s v="Green"/>
    <n v="100"/>
    <s v="-"/>
    <s v="-"/>
    <s v="-"/>
    <s v="-"/>
    <s v="-"/>
    <s v="CB"/>
  </r>
  <r>
    <s v="17-06-2026 8:49 PM"/>
    <s v="POT87141"/>
    <s v="Indira IVF Fertility Centre"/>
    <s v="Mahesh Sharma"/>
    <s v="AWS Infra Snorkel"/>
    <x v="20"/>
    <s v="Jitesh Rajput+Sandeep Makwana+Anil Zachariah+Shilpa Kavde"/>
    <s v="Self"/>
    <s v="NA"/>
    <s v="Anoop Pai Dhungat"/>
    <x v="2"/>
    <s v="Cloud"/>
    <s v="AWS"/>
    <s v="Closed Won"/>
    <n v="46908.9"/>
    <n v="10000"/>
    <n v="0"/>
    <s v="17-06-2026"/>
    <s v="Green"/>
    <n v="100"/>
    <s v="-"/>
    <s v="-"/>
    <s v="-"/>
    <s v="-"/>
    <s v="-"/>
    <s v="CB"/>
  </r>
  <r>
    <s v="17-06-2026 8:57 PM"/>
    <s v="POT87142"/>
    <s v="Indira IVF Fertility Centre"/>
    <s v="Mahesh Sharma"/>
    <s v="AWS Infra for Zscaler"/>
    <x v="20"/>
    <s v="Jitesh Rajput+Sandeep Makwana+Anil Zachariah+Shilpa Kavde"/>
    <s v="Self"/>
    <s v="NA"/>
    <s v="Anoop Pai Dhungat"/>
    <x v="2"/>
    <s v="Cloud"/>
    <s v="AWS"/>
    <s v="Closed Won"/>
    <n v="60927.7"/>
    <n v="1000"/>
    <n v="0"/>
    <s v="17-06-2026"/>
    <s v="Green"/>
    <n v="100"/>
    <s v="-"/>
    <s v="-"/>
    <s v="-"/>
    <s v="-"/>
    <s v="-"/>
    <s v="CB"/>
  </r>
  <r>
    <s v="17-06-2026 9:02 PM"/>
    <s v="POT87143"/>
    <s v="Indira IVF Fertility Centre"/>
    <s v="Mahesh Sharma"/>
    <s v="AWS Infra for SOC"/>
    <x v="20"/>
    <s v="Jitesh Rajput+Sandeep Makwana+Anil Zachariah+Shilpa Kavde"/>
    <s v="Self"/>
    <s v="NA"/>
    <s v="Anoop Pai Dhungat"/>
    <x v="2"/>
    <s v="Cloud"/>
    <s v="AWS"/>
    <s v="Closed Won"/>
    <n v="23073.9"/>
    <n v="1000"/>
    <n v="0"/>
    <s v="17-06-2026"/>
    <s v="Green"/>
    <n v="100"/>
    <s v="-"/>
    <s v="-"/>
    <s v="-"/>
    <s v="-"/>
    <s v="-"/>
    <s v="CB"/>
  </r>
  <r>
    <d v="2025-10-02T10:13:00"/>
    <s v="POT82158"/>
    <s v="HDB Financial services Limited"/>
    <s v="Yogesh Vaidya"/>
    <s v="AWS Managed Services - 02"/>
    <x v="13"/>
    <s v="Jitesh Rajput+Sandeep Makwana+Anil Zachariah+Tasneem K"/>
    <s v="Self"/>
    <s v="NA"/>
    <s v="Jitesh Rajput"/>
    <x v="3"/>
    <s v="Managed Services"/>
    <s v="Galaxy"/>
    <s v="Closed Won"/>
    <n v="5800000"/>
    <n v="1500000"/>
    <n v="0"/>
    <d v="2026-12-06T00:00:00"/>
    <s v="Green"/>
    <n v="100"/>
    <s v="-"/>
    <s v="-"/>
    <s v="-"/>
    <s v="-"/>
    <s v="Proposal to be submitted"/>
    <s v="S1"/>
  </r>
  <r>
    <s v="22-06-2026 5:03 PM"/>
    <s v="POT87206"/>
    <s v="HDB Financial services Limited"/>
    <s v="Yogesh Patil"/>
    <s v="AWS operations - 3 Resources"/>
    <x v="13"/>
    <s v="Jitesh Rajput+Sandeep Makwana+Anil Zachariah+Tasneem K"/>
    <s v="Self"/>
    <s v="NA"/>
    <s v="Jitesh Rajput"/>
    <x v="3"/>
    <s v="Managed Services"/>
    <s v="Galaxy"/>
    <s v="Closed Won"/>
    <n v="5799996"/>
    <n v="100000"/>
    <n v="0"/>
    <s v="22-06-2026"/>
    <s v="Green"/>
    <n v="100"/>
    <s v="PR-TK-0012"/>
    <s v="-"/>
    <s v="-"/>
    <s v="-"/>
    <s v="-"/>
    <s v="S1"/>
  </r>
  <r>
    <s v="23-12-2025 3:53 PM"/>
    <s v="POT85495"/>
    <s v="Kotak Securities Ltd"/>
    <s v="Kevin Pereria"/>
    <s v="monitoring platform - Zabix"/>
    <x v="14"/>
    <s v="Jitesh Rajput+Sandeep Makwana+Anil Zachariah+Varsha Ray"/>
    <s v="Self"/>
    <s v="NA"/>
    <s v="Sandeep Makwana"/>
    <x v="3"/>
    <s v="Managed Services"/>
    <s v="Others"/>
    <s v="Closed Won"/>
    <n v="300000"/>
    <n v="150000"/>
    <n v="0"/>
    <d v="2026-03-04T00:00:00"/>
    <s v="Green"/>
    <n v="90"/>
    <s v="-"/>
    <s v="-"/>
    <s v="-"/>
    <s v="-"/>
    <s v="-"/>
    <s v="NA"/>
  </r>
  <r>
    <s v="18-05-2026 11:38 AM"/>
    <s v="POT86821"/>
    <s v="Schneider Electric India Private Limited"/>
    <s v="Hrishikesh Kadrekar"/>
    <s v="Schneider Electric - Remote Services Renewal"/>
    <x v="15"/>
    <s v="Jitesh Rajput+Sandeep Makwana+Anil Zachariah+Yogesh Bhatia+Atharva Karpe"/>
    <s v="Self"/>
    <s v="NA"/>
    <s v="Yogesh Bhatia"/>
    <x v="3"/>
    <s v="Managed Services"/>
    <s v="Others"/>
    <s v="Closed Won"/>
    <n v="245000"/>
    <n v="50000"/>
    <n v="0"/>
    <s v="18-05-2026"/>
    <s v="Grey"/>
    <n v="100"/>
    <s v="-"/>
    <s v="-"/>
    <s v="-"/>
    <s v="-"/>
    <s v="-"/>
    <s v="GB"/>
  </r>
  <r>
    <s v="31-01-2026 12:55 PM"/>
    <s v="POT85872"/>
    <s v="LUPIN DIGITAL HEALTH LIMITED"/>
    <s v="Rajesh Shrivastava"/>
    <s v="6 tablets"/>
    <x v="6"/>
    <s v="Prachi Mayekar"/>
    <s v="Self"/>
    <s v="NA"/>
    <s v="None"/>
    <x v="0"/>
    <s v="Tablet"/>
    <s v="Others"/>
    <s v="Closed Won"/>
    <n v="138300"/>
    <n v="10000"/>
    <n v="35397.480000000003"/>
    <s v="13-05-2026"/>
    <s v="Green"/>
    <n v="100"/>
    <s v="CG-PC-0005"/>
    <s v="-"/>
    <s v="-"/>
    <s v="-"/>
    <s v="-"/>
    <s v="CB"/>
  </r>
  <r>
    <s v="28-04-2026 3:06 PM"/>
    <s v="POT86647"/>
    <s v="Lupin Ltd"/>
    <s v="Rajesh Shrivastava"/>
    <s v="Laptop battery replace"/>
    <x v="6"/>
    <s v="Prachi Mayekar"/>
    <s v="Self"/>
    <s v="NA"/>
    <s v="None"/>
    <x v="0"/>
    <s v="Accessories"/>
    <s v="Others"/>
    <s v="Closed Won"/>
    <n v="3500"/>
    <n v="1200"/>
    <n v="1200"/>
    <s v="28-04-2026"/>
    <s v="Green"/>
    <n v="100"/>
    <s v="CG-PC-0003"/>
    <s v="-"/>
    <s v="-"/>
    <s v="-"/>
    <s v="-"/>
    <s v="CB"/>
  </r>
  <r>
    <s v="15-05-2026 12:16 PM"/>
    <s v="POT86793"/>
    <s v="Lupin Ltd"/>
    <s v="Rajesh Shrivastava"/>
    <s v="Laptop battery replace 1"/>
    <x v="6"/>
    <s v="Prachi Mayekar"/>
    <s v="Self"/>
    <s v="NA"/>
    <s v="None"/>
    <x v="0"/>
    <s v="Accessories"/>
    <s v="Others"/>
    <s v="Closed Won"/>
    <n v="3800"/>
    <n v="500"/>
    <n v="5000"/>
    <s v="14-05-2026"/>
    <s v="Green"/>
    <n v="100"/>
    <s v="CG-PC-0007"/>
    <s v="-"/>
    <s v="-"/>
    <s v="-"/>
    <s v="-"/>
    <s v="CB"/>
  </r>
  <r>
    <s v="27-05-2026 10:31 AM"/>
    <s v="POT86918"/>
    <s v="VMware Software India Pvt Ltd"/>
    <s v="Mohit Arora"/>
    <s v="Mohit Arora Laptop"/>
    <x v="6"/>
    <s v="Prachi Mayekar"/>
    <s v="Self"/>
    <s v="NA"/>
    <s v="None"/>
    <x v="0"/>
    <s v="Laptop"/>
    <s v="HP"/>
    <s v="Closed Won"/>
    <n v="72000"/>
    <n v="2000"/>
    <n v="6350"/>
    <s v="27-05-2026"/>
    <s v="Green"/>
    <n v="100"/>
    <s v="CG-PC-0009"/>
    <s v="-"/>
    <s v="-"/>
    <s v="-"/>
    <s v="-"/>
    <s v="CB"/>
  </r>
  <r>
    <s v="20-05-2026 1:52 PM"/>
    <s v="POT86838"/>
    <s v="Aditya Birla Health Insurance Co"/>
    <s v="ADITYA PATIL"/>
    <s v="Laptop qty 148"/>
    <x v="7"/>
    <s v="Prashant Dudugu+Richa Tiwari"/>
    <s v="Self"/>
    <s v="NA"/>
    <s v="Prashant Dudugu"/>
    <x v="0"/>
    <s v="Laptop"/>
    <s v="Lenovo"/>
    <s v="Closed Won"/>
    <n v="13172000"/>
    <n v="904576"/>
    <n v="917600"/>
    <s v="16-06-2026"/>
    <s v="Green"/>
    <n v="100"/>
    <s v="CG-RT-0038"/>
    <s v="-"/>
    <s v="-"/>
    <s v="-"/>
    <s v="-"/>
    <s v="S1"/>
  </r>
  <r>
    <s v="15-06-2026 10:43 AM"/>
    <s v="POT87111"/>
    <s v="Aditya Birla Sun Life Insurance Company Limited"/>
    <s v="satish rathod"/>
    <s v="HP LAPTOP QTY 07"/>
    <x v="7"/>
    <s v="Prashant Dudugu+Richa Tiwari"/>
    <s v="Self"/>
    <s v="NA"/>
    <s v="Prashant Dudugu"/>
    <x v="0"/>
    <s v="Laptop"/>
    <s v="HP"/>
    <s v="Closed Won"/>
    <n v="1141000"/>
    <n v="50000"/>
    <n v="59507"/>
    <s v="26-06-2026"/>
    <s v="Green"/>
    <n v="100"/>
    <s v="CG-RT-0039"/>
    <s v="-"/>
    <s v="-"/>
    <s v="-"/>
    <s v="-"/>
    <s v="S1"/>
  </r>
  <r>
    <s v="13-12-2025 11:13 AM"/>
    <s v="POT85417"/>
    <s v="UCO Bank"/>
    <s v="Monika pandey"/>
    <s v="uco bank-3000 biometric"/>
    <x v="19"/>
    <s v="Pratik Kadam"/>
    <s v="Self"/>
    <s v="NA"/>
    <s v="None"/>
    <x v="0"/>
    <s v="Other OEM Services"/>
    <s v="Others"/>
    <s v="Closed Won"/>
    <n v="6300000"/>
    <n v="750000"/>
    <n v="750000"/>
    <s v="21-04-2026"/>
    <s v="Green"/>
    <n v="100"/>
    <s v="CG-PM-0023"/>
    <s v="-"/>
    <s v="-"/>
    <s v="-"/>
    <s v="WAITING FOR PO"/>
    <s v="S1"/>
  </r>
  <r>
    <s v="13-12-2025 1:56 PM"/>
    <s v="POT85420"/>
    <s v="PUNJAB AND SINDH BANK"/>
    <s v="Vijay kumar"/>
    <s v="PSB TABLET-22"/>
    <x v="19"/>
    <s v="Pratik Kadam"/>
    <s v="Self"/>
    <s v="NA"/>
    <s v="None"/>
    <x v="0"/>
    <s v="Other OEM Services"/>
    <s v="Others"/>
    <s v="Closed Won"/>
    <n v="362142"/>
    <n v="21142"/>
    <n v="21142.44"/>
    <d v="2026-12-05T00:00:00"/>
    <s v="Green"/>
    <n v="100"/>
    <s v="CG-PM-0033"/>
    <s v="-"/>
    <s v="-"/>
    <s v="-"/>
    <s v="-"/>
    <s v="S1"/>
  </r>
  <r>
    <d v="2026-07-04T15:44:00"/>
    <s v="POT86448"/>
    <s v="Rajsthan gramin bank"/>
    <s v="Laxman singh"/>
    <s v="RGB -JALORE 70 L0 dveice"/>
    <x v="19"/>
    <s v="Pratik Kadam"/>
    <s v="Self"/>
    <s v="NA"/>
    <s v="None"/>
    <x v="0"/>
    <s v="Other OEM Services"/>
    <s v="Others"/>
    <s v="Closed Won"/>
    <n v="168000"/>
    <n v="17500"/>
    <n v="17500"/>
    <d v="2026-07-04T00:00:00"/>
    <s v="Green"/>
    <n v="100"/>
    <s v="CG-PM-0001"/>
    <s v="-"/>
    <s v="-"/>
    <s v="-"/>
    <s v="-"/>
    <s v="S1"/>
  </r>
  <r>
    <d v="2026-07-04T16:12:00"/>
    <s v="POT86449"/>
    <s v="Rajsthan gramin bank"/>
    <s v="Laxman singh"/>
    <s v="RGB-SIKAR -80 Biometric"/>
    <x v="19"/>
    <s v="Pratik Kadam"/>
    <s v="Self"/>
    <s v="NA"/>
    <s v="None"/>
    <x v="0"/>
    <s v="Other OEM Services"/>
    <s v="Others"/>
    <s v="Closed Won"/>
    <n v="192000"/>
    <n v="20000"/>
    <n v="20000"/>
    <d v="2026-07-04T00:00:00"/>
    <s v="Green"/>
    <n v="100"/>
    <s v="CG-PM-0002"/>
    <s v="-"/>
    <s v="-"/>
    <s v="-"/>
    <s v="-"/>
    <s v="S1"/>
  </r>
  <r>
    <d v="2026-08-04T16:45:00"/>
    <s v="POT86465"/>
    <s v="Rajsthan gramin bank"/>
    <s v="Laxman singh"/>
    <s v="RGB JJN1-80 BIOMETRIC"/>
    <x v="19"/>
    <s v="Pratik Kadam"/>
    <s v="Self"/>
    <s v="NA"/>
    <s v="None"/>
    <x v="0"/>
    <s v="Other OEM Services"/>
    <s v="Others"/>
    <s v="Closed Won"/>
    <n v="192000"/>
    <n v="20000"/>
    <n v="20000"/>
    <d v="2026-08-04T00:00:00"/>
    <s v="Green"/>
    <n v="100"/>
    <s v="CG-PM-0003"/>
    <s v="-"/>
    <s v="-"/>
    <s v="-"/>
    <s v="-"/>
    <s v="S1"/>
  </r>
  <r>
    <d v="2026-08-04T16:54:00"/>
    <s v="POT86466"/>
    <s v="Rajsthan gramin bank"/>
    <s v="Laxman singh"/>
    <s v="RGB JJN2-80 BIOMETRIC"/>
    <x v="19"/>
    <s v="Pratik Kadam"/>
    <s v="Self"/>
    <s v="NA"/>
    <s v="None"/>
    <x v="0"/>
    <s v="Other OEM Services"/>
    <s v="Others"/>
    <s v="Closed Won"/>
    <n v="192000"/>
    <n v="20000"/>
    <n v="20000"/>
    <d v="2026-08-04T00:00:00"/>
    <s v="Green"/>
    <n v="100"/>
    <s v="CG-PM-0004"/>
    <s v="-"/>
    <s v="-"/>
    <s v="-"/>
    <s v="-"/>
    <s v="S1"/>
  </r>
  <r>
    <d v="2026-08-04T16:58:00"/>
    <s v="POT86467"/>
    <s v="Rajsthan gramin bank"/>
    <s v="Laxman singh"/>
    <s v="RGB udaipur -80 biometric"/>
    <x v="19"/>
    <s v="Pratik Kadam"/>
    <s v="Self"/>
    <s v="NA"/>
    <s v="None"/>
    <x v="0"/>
    <s v="Other OEM Services"/>
    <s v="Others"/>
    <s v="Closed Won"/>
    <n v="192000"/>
    <n v="20000"/>
    <n v="20000"/>
    <d v="2026-08-04T00:00:00"/>
    <s v="Green"/>
    <n v="100"/>
    <s v="CG-PM-0005"/>
    <s v="-"/>
    <s v="-"/>
    <s v="-"/>
    <s v="-"/>
    <s v="S1"/>
  </r>
  <r>
    <d v="2026-08-04T17:04:00"/>
    <s v="POT86468"/>
    <s v="Rajsthan gramin bank"/>
    <s v="Laxman singh"/>
    <s v="RGB - churu-80"/>
    <x v="19"/>
    <s v="Pratik Kadam"/>
    <s v="Self"/>
    <s v="NA"/>
    <s v="None"/>
    <x v="0"/>
    <s v="Other OEM Services"/>
    <s v="Others"/>
    <s v="Closed Won"/>
    <n v="192000"/>
    <n v="20000"/>
    <n v="20000"/>
    <d v="2026-08-04T00:00:00"/>
    <s v="Green"/>
    <n v="100"/>
    <s v="CG-PM-0006"/>
    <s v="-"/>
    <s v="-"/>
    <s v="-"/>
    <s v="-"/>
    <s v="S1"/>
  </r>
  <r>
    <d v="2026-08-04T17:34:00"/>
    <s v="POT86469"/>
    <s v="Rajsthan gramin bank"/>
    <s v="Laxman singh"/>
    <s v="RGB PALI -50 BIOMETRIC"/>
    <x v="19"/>
    <s v="Pratik Kadam"/>
    <s v="Self"/>
    <s v="NA"/>
    <s v="None"/>
    <x v="0"/>
    <s v="Other OEM Services"/>
    <s v="Others"/>
    <s v="Closed Won"/>
    <n v="120000"/>
    <n v="12500"/>
    <n v="12500"/>
    <d v="2026-08-04T00:00:00"/>
    <s v="Green"/>
    <n v="100"/>
    <s v="CG-PM-0007"/>
    <s v="-"/>
    <s v="-"/>
    <s v="-"/>
    <s v="-"/>
    <s v="S1"/>
  </r>
  <r>
    <d v="2026-09-04T16:49:00"/>
    <s v="POT86479"/>
    <s v="Rajsthan gramin bank"/>
    <s v="Laxman singh"/>
    <s v="RGB-  BHILWARA -100 QTY"/>
    <x v="19"/>
    <s v="Pratik Kadam"/>
    <s v="Self"/>
    <s v="NA"/>
    <s v="None"/>
    <x v="0"/>
    <s v="Other OEM Services"/>
    <s v="Others"/>
    <s v="Closed Won"/>
    <n v="177000"/>
    <n v="22000"/>
    <n v="22000"/>
    <d v="2026-09-04T00:00:00"/>
    <s v="Green"/>
    <n v="100"/>
    <s v="CG-PM-0008"/>
    <s v="-"/>
    <s v="-"/>
    <s v="-"/>
    <s v="-"/>
    <s v="S1"/>
  </r>
  <r>
    <d v="2026-09-04T17:04:00"/>
    <s v="POT86481"/>
    <s v="Rajsthan gramin bank"/>
    <s v="Laxman singh"/>
    <s v="RGB nagaur -80 biometric"/>
    <x v="19"/>
    <s v="Pratik Kadam"/>
    <s v="Self"/>
    <s v="NA"/>
    <s v="None"/>
    <x v="0"/>
    <s v="Other OEM Services"/>
    <s v="Others"/>
    <s v="Closed Won"/>
    <n v="192000"/>
    <n v="20000"/>
    <n v="20000"/>
    <d v="2026-09-04T00:00:00"/>
    <s v="Green"/>
    <n v="100"/>
    <s v="CG-PM-0009"/>
    <s v="-"/>
    <s v="-"/>
    <s v="-"/>
    <s v="-"/>
    <s v="S1"/>
  </r>
  <r>
    <d v="2026-09-04T17:13:00"/>
    <s v="POT86482"/>
    <s v="Rajsthan gramin bank"/>
    <s v="Laxman singh"/>
    <s v="RGB bharatpur-80"/>
    <x v="19"/>
    <s v="Pratik Kadam"/>
    <s v="Self"/>
    <s v="NA"/>
    <s v="None"/>
    <x v="0"/>
    <s v="Other OEM Services"/>
    <s v="Others"/>
    <s v="Closed Won"/>
    <n v="192000"/>
    <n v="20000"/>
    <n v="20000"/>
    <d v="2026-09-04T00:00:00"/>
    <s v="Green"/>
    <n v="100"/>
    <s v="CG-PM-0010"/>
    <s v="-"/>
    <s v="-"/>
    <s v="-"/>
    <s v="-"/>
    <s v="S1"/>
  </r>
  <r>
    <d v="2026-09-04T17:44:00"/>
    <s v="POT86483"/>
    <s v="Rajsthan gramin bank"/>
    <s v="Laxman singh"/>
    <s v="RGB bansawara-80"/>
    <x v="19"/>
    <s v="Pratik Kadam"/>
    <s v="Self"/>
    <s v="NA"/>
    <s v="None"/>
    <x v="0"/>
    <s v="Other OEM Services"/>
    <s v="Others"/>
    <s v="Closed Won"/>
    <n v="192000"/>
    <n v="20000"/>
    <n v="20000"/>
    <d v="2026-09-04T00:00:00"/>
    <s v="Green"/>
    <n v="100"/>
    <s v="CG-PM-0011"/>
    <s v="-"/>
    <s v="-"/>
    <s v="-"/>
    <s v="-"/>
    <s v="S1"/>
  </r>
  <r>
    <d v="2026-10-04T16:13:00"/>
    <s v="POT86493"/>
    <s v="Rajsthan gramin bank"/>
    <s v="Laxman singh"/>
    <s v="RGB -JODHPUR 80 BIOMETRIC"/>
    <x v="19"/>
    <s v="Pratik Kadam"/>
    <s v="Self"/>
    <s v="NA"/>
    <s v="None"/>
    <x v="0"/>
    <s v="Other OEM Services"/>
    <s v="Others"/>
    <s v="Closed Won"/>
    <n v="192000"/>
    <n v="20000"/>
    <n v="20000"/>
    <d v="2026-10-04T00:00:00"/>
    <s v="Green"/>
    <n v="100"/>
    <s v="CG-PM-0012"/>
    <s v="-"/>
    <s v="-"/>
    <s v="-"/>
    <s v="-"/>
    <s v="S1"/>
  </r>
  <r>
    <d v="2026-10-04T16:41:00"/>
    <s v="POT86494"/>
    <s v="Rajsthan gramin bank"/>
    <s v="Laxman singh"/>
    <s v="RGB DAUSA-80 biometric"/>
    <x v="19"/>
    <s v="Pratik Kadam"/>
    <s v="Self"/>
    <s v="NA"/>
    <s v="None"/>
    <x v="0"/>
    <s v="Other OEM Services"/>
    <s v="Others"/>
    <s v="Closed Won"/>
    <n v="192000"/>
    <n v="20000"/>
    <n v="20000"/>
    <d v="2026-10-04T00:00:00"/>
    <s v="Green"/>
    <n v="100"/>
    <s v="CG-PM-0013"/>
    <s v="-"/>
    <s v="-"/>
    <s v="-"/>
    <s v="-"/>
    <s v="S1"/>
  </r>
  <r>
    <d v="2026-10-04T17:02:00"/>
    <s v="POT86495"/>
    <s v="Rajsthan gramin bank"/>
    <s v="Laxman singh"/>
    <s v="RGB CHITORGARH 1-60 QTY"/>
    <x v="19"/>
    <s v="Pratik Kadam"/>
    <s v="Self"/>
    <s v="NA"/>
    <s v="None"/>
    <x v="0"/>
    <s v="Other OEM Services"/>
    <s v="Others"/>
    <s v="Closed Won"/>
    <n v="144000"/>
    <n v="15000"/>
    <n v="15000"/>
    <d v="2026-10-04T00:00:00"/>
    <s v="Green"/>
    <n v="100"/>
    <s v="CG-PM-0014"/>
    <s v="-"/>
    <s v="-"/>
    <s v="-"/>
    <s v="-"/>
    <s v="S1"/>
  </r>
  <r>
    <d v="2026-10-04T17:07:00"/>
    <s v="POT86496"/>
    <s v="Rajsthan gramin bank"/>
    <s v="Laxman singh"/>
    <s v="RGB CHITORGARH 2-60 QTY"/>
    <x v="19"/>
    <s v="Pratik Kadam"/>
    <s v="Self"/>
    <s v="NA"/>
    <s v="None"/>
    <x v="0"/>
    <s v="Other OEM Services"/>
    <s v="Others"/>
    <s v="Closed Won"/>
    <n v="144000"/>
    <n v="15000"/>
    <n v="15000"/>
    <d v="2026-10-04T00:00:00"/>
    <s v="Green"/>
    <n v="100"/>
    <s v="CG-PM-0015"/>
    <s v="-"/>
    <s v="-"/>
    <s v="-"/>
    <s v="-"/>
    <s v="S1"/>
  </r>
  <r>
    <d v="2026-10-04T17:14:00"/>
    <s v="POT86497"/>
    <s v="Rajsthan gramin bank"/>
    <s v="Laxman singh"/>
    <s v="RGB BARAN1 -40 QTYbiometric"/>
    <x v="19"/>
    <s v="Pratik Kadam"/>
    <s v="Self"/>
    <s v="NA"/>
    <s v="None"/>
    <x v="0"/>
    <s v="Other OEM Services"/>
    <s v="Others"/>
    <s v="Closed Won"/>
    <n v="96000"/>
    <n v="10000"/>
    <n v="10000"/>
    <d v="2026-10-04T00:00:00"/>
    <s v="Green"/>
    <n v="100"/>
    <s v="CG-PM-0016"/>
    <s v="-"/>
    <s v="-"/>
    <s v="-"/>
    <s v="-"/>
    <s v="S1"/>
  </r>
  <r>
    <d v="2026-10-04T17:20:00"/>
    <s v="POT86498"/>
    <s v="Rajsthan gramin bank"/>
    <s v="Laxman singh"/>
    <s v="RGB BARAN 2-40 QTY"/>
    <x v="19"/>
    <s v="Pratik Kadam"/>
    <s v="Self"/>
    <s v="NA"/>
    <s v="None"/>
    <x v="0"/>
    <s v="Other OEM Services"/>
    <s v="Others"/>
    <s v="Closed Won"/>
    <n v="96000"/>
    <n v="10000"/>
    <n v="10000"/>
    <d v="2026-10-04T00:00:00"/>
    <s v="Green"/>
    <n v="100"/>
    <s v="CG-PM-0017"/>
    <s v="-"/>
    <s v="-"/>
    <s v="-"/>
    <s v="-"/>
    <s v="S1"/>
  </r>
  <r>
    <d v="2026-10-04T17:25:00"/>
    <s v="POT86499"/>
    <s v="Rajsthan gramin bank"/>
    <s v="Laxman singh"/>
    <s v="RGB BARAN 3-40 QTY"/>
    <x v="19"/>
    <s v="Pratik Kadam"/>
    <s v="Self"/>
    <s v="NA"/>
    <s v="None"/>
    <x v="0"/>
    <s v="Other OEM Services"/>
    <s v="Others"/>
    <s v="Closed Won"/>
    <n v="96000"/>
    <n v="10000"/>
    <n v="10000"/>
    <d v="2026-10-04T00:00:00"/>
    <s v="Green"/>
    <n v="100"/>
    <s v="CG-PM-0018"/>
    <s v="-"/>
    <s v="-"/>
    <s v="-"/>
    <s v="-"/>
    <s v="S1"/>
  </r>
  <r>
    <s v="15-04-2026 6:09 PM"/>
    <s v="POT86541"/>
    <s v="Rajsthan gramin bank"/>
    <s v="Laxman singh"/>
    <s v="RGB shreeganganagar"/>
    <x v="19"/>
    <s v="Pratik Kadam"/>
    <s v="Self"/>
    <s v="NA"/>
    <s v="None"/>
    <x v="0"/>
    <s v="Other OEM Services"/>
    <s v="Others"/>
    <s v="Closed Won"/>
    <n v="192000"/>
    <n v="20000"/>
    <n v="20000"/>
    <s v="15-04-2026"/>
    <s v="Green"/>
    <n v="100"/>
    <s v="CG-PM-0019"/>
    <s v="-"/>
    <s v="-"/>
    <s v="-"/>
    <s v="-"/>
    <s v="S1"/>
  </r>
  <r>
    <s v="16-04-2026 3:36 PM"/>
    <s v="POT86544"/>
    <s v="Rajsthan gramin bank"/>
    <s v="Laxman singh"/>
    <s v="RGB -Madholpur -80"/>
    <x v="19"/>
    <s v="Pratik Kadam"/>
    <s v="Self"/>
    <s v="NA"/>
    <s v="None"/>
    <x v="0"/>
    <s v="Other OEM Services"/>
    <s v="Others"/>
    <s v="Closed Won"/>
    <n v="192000"/>
    <n v="20000"/>
    <n v="20000"/>
    <s v="16-04-2026"/>
    <s v="Green"/>
    <n v="100"/>
    <s v="CG-PM-0020"/>
    <s v="-"/>
    <s v="-"/>
    <s v="-"/>
    <s v="-"/>
    <s v="S1"/>
  </r>
  <r>
    <s v="20-04-2026 11:25 AM"/>
    <s v="POT86581"/>
    <s v="Rajsthan gramin bank"/>
    <s v="Laxman singh"/>
    <s v="RGB hanumangrah -80 QTY"/>
    <x v="19"/>
    <s v="Pratik Kadam"/>
    <s v="Self"/>
    <s v="NA"/>
    <s v="None"/>
    <x v="0"/>
    <s v="Other OEM Services"/>
    <s v="Others"/>
    <s v="Closed Won"/>
    <n v="192000"/>
    <n v="20000"/>
    <n v="20000"/>
    <s v="21-04-2026"/>
    <s v="Green"/>
    <n v="100"/>
    <s v="CG-PM-0021"/>
    <s v="-"/>
    <s v="-"/>
    <s v="-"/>
    <s v="waiting for po"/>
    <s v="S1"/>
  </r>
  <r>
    <s v="20-04-2026 11:27 AM"/>
    <s v="POT86582"/>
    <s v="Rajsthan gramin bank"/>
    <s v="Laxman singh"/>
    <s v="RGB AJMER-40 QTY biometric"/>
    <x v="19"/>
    <s v="Pratik Kadam"/>
    <s v="Self"/>
    <s v="NA"/>
    <s v="None"/>
    <x v="0"/>
    <s v="Other OEM Services"/>
    <s v="Others"/>
    <s v="Closed Won"/>
    <n v="96000"/>
    <n v="10000"/>
    <n v="10000"/>
    <s v="21-04-2026"/>
    <s v="Green"/>
    <n v="100"/>
    <s v="CG-PM-0022"/>
    <s v="-"/>
    <s v="-"/>
    <s v="-"/>
    <s v="-"/>
    <s v="S1"/>
  </r>
  <r>
    <s v="22-04-2026 2:15 PM"/>
    <s v="POT86597"/>
    <s v="Rajsthan gramin bank"/>
    <s v="Laxman singh"/>
    <s v="RGB BARMER -50 QTY biometric"/>
    <x v="19"/>
    <s v="Pratik Kadam"/>
    <s v="Self"/>
    <s v="NA"/>
    <s v="None"/>
    <x v="0"/>
    <s v="Other OEM Services"/>
    <s v="Others"/>
    <s v="Closed Won"/>
    <n v="120000"/>
    <n v="12500"/>
    <n v="12500"/>
    <s v="22-04-2026"/>
    <s v="Green"/>
    <n v="100"/>
    <s v="CG-PM-0025"/>
    <s v="-"/>
    <s v="-"/>
    <s v="-"/>
    <s v="ORDER LOAD"/>
    <s v="S1"/>
  </r>
  <r>
    <s v="22-04-2026 2:24 PM"/>
    <s v="POT86598"/>
    <s v="Rajsthan gramin bank"/>
    <s v="Laxman singh"/>
    <s v="RGB BIKANER-80"/>
    <x v="19"/>
    <s v="Pratik Kadam"/>
    <s v="Self"/>
    <s v="NA"/>
    <s v="None"/>
    <x v="0"/>
    <s v="Other OEM Services"/>
    <s v="Others"/>
    <s v="Closed Won"/>
    <n v="192000"/>
    <n v="20000"/>
    <n v="20000"/>
    <s v="22-04-2026"/>
    <s v="Green"/>
    <n v="100"/>
    <s v="CG-PM-0026"/>
    <s v="-"/>
    <s v="-"/>
    <s v="-"/>
    <s v="ORDER LOAD"/>
    <s v="S1"/>
  </r>
  <r>
    <s v="22-04-2026 2:29 PM"/>
    <s v="POT86599"/>
    <s v="Rajsthan gramin bank"/>
    <s v="Laxman singh"/>
    <s v="RGB JAIPUR 1 -80 QTY"/>
    <x v="19"/>
    <s v="Pratik Kadam"/>
    <s v="Self"/>
    <s v="NA"/>
    <s v="None"/>
    <x v="0"/>
    <s v="Other OEM Services"/>
    <s v="Others"/>
    <s v="Closed Won"/>
    <n v="192000"/>
    <n v="20000"/>
    <n v="20000"/>
    <s v="22-04-2026"/>
    <s v="Green"/>
    <n v="100"/>
    <s v="CG-PM-0027"/>
    <s v="-"/>
    <s v="-"/>
    <s v="-"/>
    <s v="-"/>
    <s v="S1"/>
  </r>
  <r>
    <s v="24-04-2026 11:49 AM"/>
    <s v="POT86610"/>
    <s v="Rajsthan gramin bank"/>
    <s v="Laxman singh"/>
    <s v="RGB KOTA -80PO1"/>
    <x v="19"/>
    <s v="Pratik Kadam"/>
    <s v="Self"/>
    <s v="NA"/>
    <s v="None"/>
    <x v="0"/>
    <s v="Other OEM Services"/>
    <s v="Others"/>
    <s v="Closed Won"/>
    <n v="192000"/>
    <n v="20000"/>
    <n v="20000"/>
    <s v="24-04-2026"/>
    <s v="Green"/>
    <n v="100"/>
    <s v="CG-PM-0028"/>
    <s v="-"/>
    <s v="-"/>
    <s v="-"/>
    <s v="-"/>
    <s v="S1"/>
  </r>
  <r>
    <s v="24-04-2026 11:50 AM"/>
    <s v="POT86612"/>
    <s v="Rajsthan gramin bank"/>
    <s v="Laxman singh"/>
    <s v="RGB KOTA -80PO2"/>
    <x v="19"/>
    <s v="Pratik Kadam"/>
    <s v="Self"/>
    <s v="NA"/>
    <s v="None"/>
    <x v="0"/>
    <s v="Other OEM Services"/>
    <s v="Others"/>
    <s v="Closed Won"/>
    <n v="192000"/>
    <n v="20000"/>
    <n v="20000"/>
    <s v="24-04-2026"/>
    <s v="Green"/>
    <n v="100"/>
    <s v="CG-PM-0029"/>
    <s v="-"/>
    <s v="-"/>
    <s v="-"/>
    <s v="-"/>
    <s v="S1"/>
  </r>
  <r>
    <d v="2026-05-05T16:58:00"/>
    <s v="POT86691"/>
    <s v="Rajsthan gramin bank"/>
    <s v="Laxman singh"/>
    <s v="RGB sirohi- 80 qty biometric"/>
    <x v="19"/>
    <s v="Pratik Kadam"/>
    <s v="Self"/>
    <s v="NA"/>
    <s v="None"/>
    <x v="0"/>
    <s v="Other OEM Services"/>
    <s v="Others"/>
    <s v="Closed Won"/>
    <n v="192000"/>
    <n v="20000"/>
    <n v="20000"/>
    <d v="2026-05-05T00:00:00"/>
    <s v="Green"/>
    <n v="100"/>
    <s v="CG-PM-0030"/>
    <s v="-"/>
    <s v="-"/>
    <s v="-"/>
    <s v="-"/>
    <s v="S1"/>
  </r>
  <r>
    <d v="2026-09-05T13:21:00"/>
    <s v="POT86735"/>
    <s v="Airport Health Organization"/>
    <s v="Sandeep kanundla"/>
    <s v="Airport Health Organization -biometric"/>
    <x v="19"/>
    <s v="Pratik Kadam"/>
    <s v="Self"/>
    <s v="NA"/>
    <s v="None"/>
    <x v="0"/>
    <s v="Other OEM Services"/>
    <s v="Others"/>
    <s v="Closed Won"/>
    <n v="11440.67"/>
    <n v="3970"/>
    <n v="2626.05"/>
    <d v="2026-09-05T00:00:00"/>
    <s v="Green"/>
    <n v="100"/>
    <s v="CG-PM-0031"/>
    <s v="-"/>
    <s v="-"/>
    <s v="-"/>
    <s v="-"/>
    <s v="S1"/>
  </r>
  <r>
    <d v="2026-09-05T13:26:00"/>
    <s v="POT86737"/>
    <s v="National Water Academy"/>
    <s v="ankush kumar"/>
    <s v="National Water Academy biometric"/>
    <x v="19"/>
    <s v="Pratik Kadam"/>
    <s v="Self"/>
    <s v="NA"/>
    <s v="None"/>
    <x v="0"/>
    <s v="Other OEM Services"/>
    <s v="Others"/>
    <s v="Closed Won"/>
    <n v="3813"/>
    <n v="1323.55"/>
    <n v="875.35"/>
    <d v="2026-12-05T00:00:00"/>
    <s v="Green"/>
    <n v="100"/>
    <s v="CG-PM-0032"/>
    <s v="-"/>
    <s v="-"/>
    <s v="-"/>
    <s v="-"/>
    <s v="S1"/>
  </r>
  <r>
    <s v="13-05-2026 3:36 PM"/>
    <s v="POT86771"/>
    <s v="Rajsthan gramin bank"/>
    <s v="Laxman singh"/>
    <s v="RGB NEEM KA TAHANA-80 BIOMETRIC"/>
    <x v="19"/>
    <s v="Pratik Kadam"/>
    <s v="Self"/>
    <s v="NA"/>
    <s v="None"/>
    <x v="0"/>
    <s v="Other OEM Services"/>
    <s v="Others"/>
    <s v="Closed Won"/>
    <n v="192000"/>
    <n v="20000"/>
    <n v="20000"/>
    <s v="13-05-2026"/>
    <s v="Green"/>
    <n v="100"/>
    <s v="CG-PM-0034"/>
    <s v="-"/>
    <s v="-"/>
    <s v="-"/>
    <s v="-"/>
    <s v="S1"/>
  </r>
  <r>
    <s v="15-05-2026 11:33 AM"/>
    <s v="POT86789"/>
    <s v="Rajsthan gramin bank"/>
    <s v="Laxman singh"/>
    <s v="RGB SIROHI- L1 DEVICE -80"/>
    <x v="19"/>
    <s v="Pratik Kadam"/>
    <s v="Self"/>
    <s v="NA"/>
    <s v="None"/>
    <x v="0"/>
    <s v="Other OEM Services"/>
    <s v="Others"/>
    <s v="Closed Won"/>
    <n v="155932"/>
    <n v="7932"/>
    <n v="7932"/>
    <s v="15-05-2026"/>
    <s v="Green"/>
    <n v="100"/>
    <s v="CG-PM-0035"/>
    <s v="-"/>
    <s v="-"/>
    <s v="-"/>
    <s v="-"/>
    <s v="S1"/>
  </r>
  <r>
    <s v="15-05-2026 11:43 AM"/>
    <s v="POT86792"/>
    <s v="Rajsthan gramin bank"/>
    <s v="Laxman singh"/>
    <s v="RGB Neem ka thana- 80 qty BIOMETRIC L0 new PO"/>
    <x v="19"/>
    <s v="Pratik Kadam"/>
    <s v="Self"/>
    <s v="NA"/>
    <s v="None"/>
    <x v="0"/>
    <s v="Other OEM Services"/>
    <s v="Others"/>
    <s v="Closed Won"/>
    <n v="192000"/>
    <n v="20000"/>
    <n v="20000"/>
    <s v="15-05-2026"/>
    <s v="Green"/>
    <n v="100"/>
    <s v="CG-PM-0036"/>
    <s v="-"/>
    <s v="-"/>
    <s v="-"/>
    <s v="-"/>
    <s v="S1"/>
  </r>
  <r>
    <s v="18-05-2026 3:24 PM"/>
    <s v="POT86828"/>
    <s v="PUNJAB AND SINDH BANK"/>
    <s v="Vijay kumar"/>
    <s v="PSB-30QTY biometric"/>
    <x v="19"/>
    <s v="Pratik Kadam"/>
    <s v="Self"/>
    <s v="NA"/>
    <s v="None"/>
    <x v="0"/>
    <s v="Other OEM Services"/>
    <s v="Others"/>
    <s v="Closed Won"/>
    <n v="79500"/>
    <n v="15000"/>
    <n v="15000"/>
    <s v="18-05-2026"/>
    <s v="Green"/>
    <n v="100"/>
    <s v="CG-PM-0037"/>
    <s v="-"/>
    <s v="-"/>
    <s v="-"/>
    <s v="-"/>
    <s v="S1"/>
  </r>
  <r>
    <d v="2026-09-02T12:02:00"/>
    <s v="POT85971"/>
    <s v="Tata Power Company Ltd"/>
    <s v="sandeep karnavat"/>
    <s v="Laptops Profile 1 qty 2Goplapur odissa"/>
    <x v="7"/>
    <s v="Richa Tiwari"/>
    <s v="Self"/>
    <s v="NA"/>
    <s v="None"/>
    <x v="0"/>
    <s v="Laptop"/>
    <s v="Lenovo"/>
    <s v="Closed Won"/>
    <n v="238000"/>
    <n v="5200"/>
    <n v="5200"/>
    <s v="25-05-2026"/>
    <s v="Green"/>
    <n v="100"/>
    <s v="CG-RT-0020"/>
    <s v="-"/>
    <s v="-"/>
    <s v="-"/>
    <s v="-"/>
    <s v="S1"/>
  </r>
  <r>
    <s v="24-04-2026 2:45 PM"/>
    <s v="POT86615"/>
    <s v="TATA Chemicals Limited"/>
    <s v="Vikash Kumar Singh"/>
    <s v="acrobat pro dc for teams qty 3"/>
    <x v="7"/>
    <s v="Richa Tiwari"/>
    <s v="Self"/>
    <s v="NA"/>
    <s v="None"/>
    <x v="0"/>
    <s v="Other OEM Services"/>
    <s v="Others"/>
    <s v="Closed Won"/>
    <n v="12926"/>
    <n v="1000"/>
    <n v="2898.04"/>
    <s v="24-04-2026"/>
    <s v="Green"/>
    <n v="100"/>
    <s v="CG-RT-0004"/>
    <s v="-"/>
    <s v="-"/>
    <s v="-"/>
    <s v="-"/>
    <s v="S1"/>
  </r>
  <r>
    <s v="23-05-2026 5:37 PM"/>
    <s v="POT86865"/>
    <s v="Tata Power Company Ltd"/>
    <s v="sandeep karnavat"/>
    <s v="TPCL Profile 3 qty 6 32 gb mumbai"/>
    <x v="7"/>
    <s v="Richa Tiwari"/>
    <s v="Self"/>
    <s v="NA"/>
    <s v="None"/>
    <x v="0"/>
    <s v="Laptop"/>
    <s v="Lenovo"/>
    <s v="Closed Won"/>
    <n v="1089000"/>
    <n v="51000"/>
    <n v="51000"/>
    <s v="23-05-2026"/>
    <s v="Green"/>
    <n v="100"/>
    <s v="CG-RT-0012"/>
    <s v="-"/>
    <s v="-"/>
    <s v="-"/>
    <s v="-"/>
    <s v="S1"/>
  </r>
  <r>
    <s v="23-05-2026 5:46 PM"/>
    <s v="POT86866"/>
    <s v="Tata Power Company Ltd"/>
    <s v="sandeep karnavat"/>
    <s v="TPCL Profile 1 16gb qty 30 Mumbai"/>
    <x v="7"/>
    <s v="Richa Tiwari"/>
    <s v="Self"/>
    <s v="NA"/>
    <s v="None"/>
    <x v="0"/>
    <s v="Laptop"/>
    <s v="Lenovo"/>
    <s v="Closed Won"/>
    <n v="3570000"/>
    <n v="78000"/>
    <n v="78000"/>
    <s v="23-05-2026"/>
    <s v="Green"/>
    <n v="100"/>
    <s v="CG-RT-0013"/>
    <s v="-"/>
    <s v="-"/>
    <s v="-"/>
    <s v="-"/>
    <s v="S1"/>
  </r>
  <r>
    <s v="23-05-2026 5:51 PM"/>
    <s v="POT86867"/>
    <s v="Tata Power Company Ltd"/>
    <s v="sandeep karnavat"/>
    <s v="TPCL Profile 3 Qty 1 Mumbai"/>
    <x v="7"/>
    <s v="Richa Tiwari"/>
    <s v="Self"/>
    <s v="NA"/>
    <s v="None"/>
    <x v="0"/>
    <s v="Laptop"/>
    <s v="Lenovo"/>
    <s v="Closed Won"/>
    <n v="181050"/>
    <n v="8500"/>
    <n v="8500"/>
    <s v="23-05-2026"/>
    <s v="Green"/>
    <n v="100"/>
    <s v="CG-RT-0015"/>
    <s v="-"/>
    <s v="-"/>
    <s v="-"/>
    <s v="-"/>
    <s v="S1"/>
  </r>
  <r>
    <s v="23-05-2026 5:55 PM"/>
    <s v="POT86868"/>
    <s v="Tata Power Company Ltd"/>
    <s v="sandeep karnavat"/>
    <s v="TPCL Profile 1 qty 2 Profile 3 qty 1"/>
    <x v="7"/>
    <s v="Richa Tiwari"/>
    <s v="Self"/>
    <s v="NA"/>
    <s v="None"/>
    <x v="0"/>
    <s v="Laptop"/>
    <s v="Lenovo"/>
    <s v="Closed Won"/>
    <n v="419500"/>
    <n v="13700"/>
    <n v="13700"/>
    <s v="23-05-2026"/>
    <s v="Green"/>
    <n v="100"/>
    <s v="CG-RT-0016"/>
    <s v="-"/>
    <s v="-"/>
    <s v="-"/>
    <s v="-"/>
    <s v="S1"/>
  </r>
  <r>
    <s v="23-05-2026 6:00 PM"/>
    <s v="POT86869"/>
    <s v="Tata power Renewables Energy Ltd"/>
    <s v="sandeep karnavat"/>
    <s v="TPREL Profile 1 Qty 93 Bangalore"/>
    <x v="7"/>
    <s v="Richa Tiwari"/>
    <s v="Self"/>
    <s v="NA"/>
    <s v="None"/>
    <x v="0"/>
    <s v="Laptop"/>
    <s v="Lenovo"/>
    <s v="Closed Won"/>
    <n v="11067000"/>
    <n v="241800"/>
    <n v="241800"/>
    <s v="23-05-2026"/>
    <s v="Green"/>
    <n v="100"/>
    <s v="CG-RT-0018"/>
    <s v="-"/>
    <s v="-"/>
    <s v="-"/>
    <s v="-"/>
    <s v="S1"/>
  </r>
  <r>
    <s v="23-05-2026 7:14 PM"/>
    <s v="POT86870"/>
    <s v="Tata Power Company Ltd"/>
    <s v="sandeep karnavat"/>
    <s v="IEL Profile 1 qty 2 Jharkhand"/>
    <x v="7"/>
    <s v="Richa Tiwari"/>
    <s v="Self"/>
    <s v="NA"/>
    <s v="None"/>
    <x v="0"/>
    <s v="Laptop"/>
    <s v="Lenovo"/>
    <s v="Closed Won"/>
    <n v="238000"/>
    <n v="5200"/>
    <n v="5200"/>
    <s v="23-05-2026"/>
    <s v="Green"/>
    <n v="100"/>
    <s v="CG-RT-0019"/>
    <s v="-"/>
    <s v="-"/>
    <s v="-"/>
    <s v="-"/>
    <s v="S1"/>
  </r>
  <r>
    <s v="25-05-2026 1:41 PM"/>
    <s v="POT86905"/>
    <s v="Tata Power Company Ltd"/>
    <s v="sandeep karnavat"/>
    <s v="TP Maithon profile 1 qty 20 jharkhand"/>
    <x v="7"/>
    <s v="Richa Tiwari"/>
    <s v="Self"/>
    <s v="NA"/>
    <s v="None"/>
    <x v="0"/>
    <s v="Laptop"/>
    <s v="Lenovo"/>
    <s v="Closed Won"/>
    <n v="2380000"/>
    <n v="52000"/>
    <n v="52000"/>
    <s v="25-05-2026"/>
    <s v="Green"/>
    <n v="100"/>
    <s v="CG-RT-0021"/>
    <s v="-"/>
    <s v="-"/>
    <s v="-"/>
    <s v="-"/>
    <s v="S1"/>
  </r>
  <r>
    <s v="26-05-2026 3:10 PM"/>
    <s v="POT86914"/>
    <s v="Tata Power Company Ltd"/>
    <s v="sandeep karnavat"/>
    <s v="P2 qty 3 32gb old ola balance stock"/>
    <x v="7"/>
    <s v="Richa Tiwari"/>
    <s v="Self"/>
    <s v="NA"/>
    <s v="None"/>
    <x v="0"/>
    <s v="Laptop"/>
    <s v="Lenovo"/>
    <s v="Closed Won"/>
    <n v="201150"/>
    <n v="2250"/>
    <n v="2250"/>
    <s v="29-05-2026"/>
    <s v="Green"/>
    <n v="100"/>
    <s v="CG-RT-0034"/>
    <s v="-"/>
    <s v="-"/>
    <s v="-"/>
    <s v="-"/>
    <s v="S1"/>
  </r>
  <r>
    <s v="28-05-2026 10:09 AM"/>
    <s v="POT86939"/>
    <s v="Tata Power Company Ltd"/>
    <s v="sandeep karnavat"/>
    <s v="TPCL Profile 1 qty 43 Profile 3 qty 4"/>
    <x v="7"/>
    <s v="Richa Tiwari"/>
    <s v="Self"/>
    <s v="NA"/>
    <s v="None"/>
    <x v="0"/>
    <s v="Laptop"/>
    <s v="Lenovo"/>
    <s v="Closed Won"/>
    <n v="5843000"/>
    <n v="145800"/>
    <n v="145800"/>
    <s v="28-05-2026"/>
    <s v="Green"/>
    <n v="100"/>
    <s v="CG-RT-0022"/>
    <s v="-"/>
    <s v="-"/>
    <s v="-"/>
    <s v="-"/>
    <s v="S1"/>
  </r>
  <r>
    <s v="28-05-2026 10:18 AM"/>
    <s v="POT86940"/>
    <s v="Tata Power Company Ltd"/>
    <s v="sandeep karnavat"/>
    <s v="TPCL Profile 1 qty 5 profile 3 qty 2"/>
    <x v="7"/>
    <s v="Richa Tiwari"/>
    <s v="Self"/>
    <s v="NA"/>
    <s v="None"/>
    <x v="0"/>
    <s v="Laptop"/>
    <s v="Lenovo"/>
    <s v="Closed Won"/>
    <n v="958000"/>
    <n v="30000"/>
    <n v="30000"/>
    <s v="28-05-2026"/>
    <s v="Green"/>
    <n v="100"/>
    <s v="CG-RT-0023"/>
    <s v="-"/>
    <s v="-"/>
    <s v="-"/>
    <s v="-"/>
    <s v="S1"/>
  </r>
  <r>
    <s v="28-05-2026 10:46 AM"/>
    <s v="POT86941"/>
    <s v="Tata Power Company Ltd"/>
    <s v="sandeep karnavat"/>
    <s v="TPCL profile 1 qty 16 profile 3 qty 55"/>
    <x v="7"/>
    <s v="Richa Tiwari"/>
    <s v="Self"/>
    <s v="NA"/>
    <s v="None"/>
    <x v="0"/>
    <s v="Laptop"/>
    <s v="Lenovo"/>
    <s v="Closed Won"/>
    <n v="11886500"/>
    <n v="509100"/>
    <n v="509100"/>
    <s v="28-05-2026"/>
    <s v="Green"/>
    <n v="100"/>
    <s v="CG-RT-0025"/>
    <s v="-"/>
    <s v="-"/>
    <s v="-"/>
    <s v="-"/>
    <s v="S1"/>
  </r>
  <r>
    <s v="28-05-2026 10:59 AM"/>
    <s v="POT86942"/>
    <s v="Tata Power Company Ltd"/>
    <s v="sandeep karnavat"/>
    <s v="tpcl profile 1 qty 8 profile 3 qty 1"/>
    <x v="7"/>
    <s v="Richa Tiwari"/>
    <s v="Self"/>
    <s v="NA"/>
    <s v="None"/>
    <x v="0"/>
    <s v="Laptop"/>
    <s v="Lenovo"/>
    <s v="Closed Won"/>
    <n v="1133500"/>
    <n v="29300"/>
    <n v="29300"/>
    <s v="28-05-2026"/>
    <s v="Green"/>
    <n v="100"/>
    <s v="CG-RT-0026"/>
    <s v="-"/>
    <s v="-"/>
    <s v="-"/>
    <s v="-"/>
    <s v="S1"/>
  </r>
  <r>
    <s v="28-05-2026 11:35 AM"/>
    <s v="POT86943"/>
    <s v="Tata Power Company Ltd"/>
    <s v="sandeep karnavat"/>
    <s v="TP Lucknow Profile 1 qty 1"/>
    <x v="7"/>
    <s v="Richa Tiwari"/>
    <s v="Self"/>
    <s v="NA"/>
    <s v="None"/>
    <x v="0"/>
    <s v="Laptop"/>
    <s v="Lenovo"/>
    <s v="Closed Won"/>
    <n v="119000"/>
    <n v="2600"/>
    <n v="2600"/>
    <s v="28-05-2026"/>
    <s v="Green"/>
    <n v="100"/>
    <s v="CG-RT-0035"/>
    <s v="-"/>
    <s v="-"/>
    <s v="-"/>
    <s v="-"/>
    <s v="S1"/>
  </r>
  <r>
    <s v="29-05-2026 2:22 PM"/>
    <s v="POT86959"/>
    <s v="Tata Power Company Ltd"/>
    <s v="sandeep karnavat"/>
    <s v="tpcl profile 1 qty 2"/>
    <x v="7"/>
    <s v="Richa Tiwari"/>
    <s v="Self"/>
    <s v="NA"/>
    <s v="None"/>
    <x v="0"/>
    <s v="Laptop"/>
    <s v="Lenovo"/>
    <s v="Closed Won"/>
    <n v="238000"/>
    <n v="5200"/>
    <n v="5200"/>
    <s v="29-05-2026"/>
    <s v="Green"/>
    <n v="100"/>
    <s v="CG-RT-0031"/>
    <s v="-"/>
    <s v="-"/>
    <s v="-"/>
    <s v="-"/>
    <s v="S1"/>
  </r>
  <r>
    <s v="29-05-2026 2:31 PM"/>
    <s v="POT86960"/>
    <s v="Tata Power Company Ltd"/>
    <s v="sandeep karnavat"/>
    <s v="TPCL Profile 1 qty 1"/>
    <x v="7"/>
    <s v="Richa Tiwari"/>
    <s v="Self"/>
    <s v="NA"/>
    <s v="None"/>
    <x v="0"/>
    <s v="Laptop"/>
    <s v="Lenovo"/>
    <s v="Closed Won"/>
    <n v="119000"/>
    <n v="2600"/>
    <n v="0"/>
    <s v="29-05-2026"/>
    <s v="Green"/>
    <n v="100"/>
    <s v="-"/>
    <s v="-"/>
    <s v="-"/>
    <s v="-"/>
    <s v="-"/>
    <s v="S1"/>
  </r>
  <r>
    <s v="29-05-2026 2:36 PM"/>
    <s v="POT86961"/>
    <s v="Tata Power Company Ltd"/>
    <s v="sandeep karnavat"/>
    <s v="tp paradeep transmission profile 1 qty 1"/>
    <x v="7"/>
    <s v="Richa Tiwari"/>
    <s v="Self"/>
    <s v="NA"/>
    <s v="None"/>
    <x v="0"/>
    <s v="Laptop"/>
    <s v="Lenovo"/>
    <s v="Closed Won"/>
    <n v="119000"/>
    <n v="2600"/>
    <n v="2600"/>
    <s v="29-05-2026"/>
    <s v="Green"/>
    <n v="100"/>
    <s v="CG-RT-0033"/>
    <s v="-"/>
    <s v="-"/>
    <s v="-"/>
    <s v="-"/>
    <s v="S1"/>
  </r>
  <r>
    <d v="2026-01-06T17:08:00"/>
    <s v="POT87002"/>
    <s v="Tata Power Company Ltd"/>
    <s v="sandeep karnavat"/>
    <s v="lenovo laptops qty profile 1 qty 300 profile 3 qty 20 profile 2 qty 20"/>
    <x v="7"/>
    <s v="Richa Tiwari"/>
    <s v="Self"/>
    <s v="NA"/>
    <s v="None"/>
    <x v="0"/>
    <s v="Laptop"/>
    <s v="Lenovo"/>
    <s v="Closed Won"/>
    <n v="42130000"/>
    <n v="999400"/>
    <n v="0"/>
    <s v="28-06-2026"/>
    <s v="Green"/>
    <n v="100"/>
    <s v="-"/>
    <s v="-"/>
    <s v="-"/>
    <s v="-"/>
    <s v="-"/>
    <s v="S1"/>
  </r>
  <r>
    <s v="18-05-2026 3:10 PM"/>
    <s v="POT86827"/>
    <s v="CHUBB Systems Pvt Ltd"/>
    <s v="sudhindra acharya"/>
    <s v="4Pair CAT6 UTP Cable"/>
    <x v="0"/>
    <s v="Rocky Braganza+Nishant Jalan+Abrar Memon"/>
    <s v="Self"/>
    <s v="NA"/>
    <s v="None"/>
    <x v="4"/>
    <s v="Active"/>
    <s v="Others"/>
    <s v="Closed Won"/>
    <n v="21350"/>
    <n v="2850"/>
    <n v="2850"/>
    <s v="18-05-2026"/>
    <s v="Green"/>
    <n v="100"/>
    <s v="CP-SC-0016"/>
    <s v="-"/>
    <s v="-"/>
    <s v="-"/>
    <s v="OPF no: CP-SC-0016"/>
    <s v="South"/>
  </r>
  <r>
    <d v="2026-11-06T12:44:00"/>
    <s v="POT87093"/>
    <s v="Juspay Technologies Private Limited"/>
    <s v="Venkat Venkat"/>
    <s v="DLink 27U Rack"/>
    <x v="0"/>
    <s v="Rocky Braganza+Nishant Jalan+Abrar Memon"/>
    <s v="Self"/>
    <s v="NA"/>
    <s v="Nishant Jalan"/>
    <x v="4"/>
    <s v="Passive"/>
    <s v="D-Link"/>
    <s v="Closed Won"/>
    <n v="23650"/>
    <n v="2650"/>
    <n v="2650"/>
    <d v="2026-11-06T00:00:00"/>
    <s v="Green"/>
    <n v="100"/>
    <s v="CP-HS-0002"/>
    <s v="-"/>
    <s v="-"/>
    <s v="-"/>
    <s v="OPF no: CP-HS-0002"/>
    <s v="South"/>
  </r>
  <r>
    <s v="31-03-2026 6:32 PM"/>
    <s v="POT86387"/>
    <s v="Brueckner Group India Private Limited"/>
    <s v="Rahull Velapure"/>
    <s v="ManageEngine SDP"/>
    <x v="21"/>
    <s v="Rocky Braganza+Nishant Jalan+Ayushman Singh"/>
    <s v="Galaxy Management"/>
    <s v="Sanjay Patodia"/>
    <s v="Yogesh Bhatia"/>
    <x v="4"/>
    <s v="ITES/ITSM"/>
    <s v="ManageEngine"/>
    <s v="Closed Won"/>
    <n v="73129"/>
    <n v="58000"/>
    <n v="58000"/>
    <d v="2026-05-04T00:00:00"/>
    <s v="Green"/>
    <n v="100"/>
    <s v="CP-AY-0001"/>
    <s v="-"/>
    <s v="-"/>
    <s v="-"/>
    <s v="-"/>
    <s v="GB"/>
  </r>
  <r>
    <d v="2025-01-11T12:40:00"/>
    <s v="POT84966"/>
    <s v="Mahindra &amp; Mahindra Limited"/>
    <s v="Jagdish Joshi"/>
    <s v="Opengear Solution - 2 Qty"/>
    <x v="2"/>
    <s v="Rocky Braganza+Nishant Jalan+Chetna Sharma"/>
    <s v="Self"/>
    <s v="NA"/>
    <s v="Nishant Jalan"/>
    <x v="4"/>
    <s v="ITES/ITSM"/>
    <s v="Others"/>
    <s v="Closed Won"/>
    <n v="524744.72"/>
    <n v="36916.720000000001"/>
    <n v="36177.03"/>
    <d v="2026-03-04T00:00:00"/>
    <s v="Green"/>
    <n v="90"/>
    <s v="CP-CH-0001"/>
    <s v="-"/>
    <s v="-"/>
    <s v="-"/>
    <s v="-"/>
    <s v="S2"/>
  </r>
  <r>
    <s v="23-04-2026 3:51 PM"/>
    <s v="POT86601"/>
    <s v="Mirae Asset investment Manager"/>
    <s v="Sameer Mhatre"/>
    <s v="HP TAC renewal for Switches"/>
    <x v="4"/>
    <s v="Rocky Braganza+Nishant Jalan+Darshana Patil"/>
    <s v="Self"/>
    <s v="NA"/>
    <s v="None"/>
    <x v="4"/>
    <s v="Others"/>
    <s v="HPE/Aruba"/>
    <s v="Closed Won"/>
    <n v="229000"/>
    <n v="29000"/>
    <n v="19919.3"/>
    <s v="23-04-2026"/>
    <s v="Green"/>
    <n v="100"/>
    <s v="CP-DP-0004"/>
    <s v="-"/>
    <s v="-"/>
    <s v="-"/>
    <s v="-"/>
    <s v="NA"/>
  </r>
  <r>
    <d v="2026-11-06T16:01:00"/>
    <s v="POT87100"/>
    <s v="Mirae Asset investment Manager"/>
    <s v="Sameer Mhatre"/>
    <s v="Fortianalyser -Renewal"/>
    <x v="4"/>
    <s v="Rocky Braganza+Nishant Jalan+Darshana Patil"/>
    <s v="Self"/>
    <s v="NA"/>
    <s v="None"/>
    <x v="4"/>
    <s v="Firewall/IPS/IDS"/>
    <s v="Fortinet"/>
    <s v="Closed Won"/>
    <n v="99000"/>
    <n v="8951.7999999999993"/>
    <n v="8951.7999999999993"/>
    <s v="19-06-2026"/>
    <s v="Green"/>
    <n v="100"/>
    <s v="CP-DP-0014"/>
    <s v="-"/>
    <s v="-"/>
    <s v="-"/>
    <s v="-"/>
    <s v="NA"/>
  </r>
  <r>
    <d v="2026-11-03T15:27:00"/>
    <s v="POT86231"/>
    <s v="MCX INDIA LTD"/>
    <s v="Dinesh lall"/>
    <s v="Cisco Webex AMC"/>
    <x v="3"/>
    <s v="Rocky Braganza+Nishant Jalan+Diksha Bhilare+Chirag Palande"/>
    <s v="Self"/>
    <s v="NA"/>
    <s v="Diksha Bhilare"/>
    <x v="4"/>
    <s v="Others"/>
    <s v="CISCO"/>
    <s v="Closed Won"/>
    <n v="532500"/>
    <n v="31920"/>
    <n v="31920"/>
    <s v="20-04-2026"/>
    <s v="Green"/>
    <n v="100"/>
    <s v="CP-CP-0002"/>
    <s v="-"/>
    <s v="-"/>
    <s v="-"/>
    <s v="-"/>
    <s v="S1"/>
  </r>
  <r>
    <s v="27-04-2026 11:56 AM"/>
    <s v="POT86637"/>
    <s v="BSE LTD(Bombay Stock Exchange)"/>
    <s v="Ravi Kumar"/>
    <s v="Burpsuite Professional - 7qty + IMPLEMENTATIO N AND SUPPORT"/>
    <x v="3"/>
    <s v="Rocky Braganza+Nishant Jalan+Diksha Bhilare+Chirag Palande"/>
    <s v="Self"/>
    <s v="NA"/>
    <s v="Diksha Bhilare"/>
    <x v="4"/>
    <s v="Other OEM Services"/>
    <s v="Others"/>
    <s v="Closed Won"/>
    <n v="278600"/>
    <n v="0"/>
    <n v="0"/>
    <s v="27-04-2026"/>
    <s v="Green"/>
    <n v="100"/>
    <s v="CP-CP-0003"/>
    <s v="-"/>
    <s v="-"/>
    <s v="-"/>
    <s v="negative order , -32330"/>
    <s v="S1"/>
  </r>
  <r>
    <s v="29-04-2026 5:37 PM"/>
    <s v="POT86662"/>
    <s v="HDFC Asset Management Company Limited"/>
    <s v="Kranti Kumar"/>
    <s v="HDFC AMC LTD- trend license"/>
    <x v="13"/>
    <s v="Rocky Braganza+Nishant Jalan+Diksha Bhilare+Tasneem K"/>
    <s v="Self"/>
    <s v="NA"/>
    <s v="Diksha Bhilare"/>
    <x v="4"/>
    <s v="Security"/>
    <s v="Trend Micro"/>
    <s v="Closed Won"/>
    <n v="999360"/>
    <n v="110193"/>
    <n v="124360"/>
    <s v="29-04-2026"/>
    <s v="Green"/>
    <n v="100"/>
    <s v="CP-TK-0005"/>
    <s v="-"/>
    <s v="-"/>
    <s v="-"/>
    <s v="-"/>
    <s v="S1"/>
  </r>
  <r>
    <d v="2026-02-06T11:25:00"/>
    <s v="POT87006"/>
    <s v="Larsen &amp; Toubro Technology Services Limited"/>
    <s v="Abhishek Jaiswal"/>
    <s v="Seclore Renewal"/>
    <x v="14"/>
    <s v="Rocky Braganza+Nishant Jalan+Diksha Bhilare+Varsha Ray"/>
    <s v="Self"/>
    <s v="NA"/>
    <s v="Diksha Bhilare"/>
    <x v="4"/>
    <s v="Security"/>
    <s v="Seclore"/>
    <s v="Closed Won"/>
    <n v="800000"/>
    <n v="51183.25"/>
    <n v="51183.25"/>
    <d v="2026-02-06T00:00:00"/>
    <s v="Green"/>
    <n v="100"/>
    <s v="CP-VY-0003"/>
    <s v="-"/>
    <s v="-"/>
    <s v="-"/>
    <s v="-"/>
    <s v="NA"/>
  </r>
  <r>
    <d v="2026-10-06T12:49:00"/>
    <s v="POT87088"/>
    <s v="ICICI Bank Ltd"/>
    <s v="Satish Pandav"/>
    <s v="Single Designated Diamond Services Engineer"/>
    <x v="14"/>
    <s v="Rocky Braganza+Nishant Jalan+Diksha Bhilare+Varsha Ray"/>
    <s v="Self"/>
    <s v="NA"/>
    <s v="Diksha Bhilare"/>
    <x v="4"/>
    <s v="Security"/>
    <s v="Checkpoint"/>
    <s v="Closed Won"/>
    <n v="7190400"/>
    <n v="190400"/>
    <n v="190400"/>
    <d v="2026-10-06T00:00:00"/>
    <s v="Green"/>
    <n v="100"/>
    <s v="CP-VY-0004"/>
    <s v="-"/>
    <s v="-"/>
    <s v="-"/>
    <s v="Margin taken all"/>
    <s v="NA"/>
  </r>
  <r>
    <s v="21-02-2026 09:57 AM"/>
    <s v="POT86068"/>
    <s v="Larsen &amp; Tubro Heavy Engineering Defence"/>
    <s v="rohit joshi"/>
    <s v="Iraje Renewal"/>
    <x v="22"/>
    <s v="Rocky Braganza+Nishant Jalan+Harshvardhan Dave+Arpit Srivastava"/>
    <s v="Self"/>
    <s v="NA"/>
    <s v="Harshvardhan Dave"/>
    <x v="4"/>
    <s v="PAM/PIM"/>
    <s v="Dell"/>
    <s v="Closed Won"/>
    <n v="26160"/>
    <n v="2616"/>
    <n v="2616"/>
    <s v="15-04-2026"/>
    <s v="Green"/>
    <n v="100"/>
    <s v="CP-AT-0002"/>
    <s v="-"/>
    <s v="-"/>
    <s v="-"/>
    <s v="-"/>
    <s v="NA"/>
  </r>
  <r>
    <d v="2026-09-04T16:54:00"/>
    <s v="POT86480"/>
    <s v="Larsen &amp; Toubro Limited"/>
    <s v="Achal Gupta"/>
    <s v="Iraje - Vyoma"/>
    <x v="22"/>
    <s v="Rocky Braganza+Nishant Jalan+Harshvardhan Dave+Arpit Srivastava"/>
    <s v="Self"/>
    <s v="NA"/>
    <s v="Harshvardhan Dave"/>
    <x v="4"/>
    <s v="PAM/PIM"/>
    <s v="Iraje"/>
    <s v="Closed Won"/>
    <n v="537798.32999999996"/>
    <n v="53780"/>
    <n v="53780.33"/>
    <d v="2026-09-04T00:00:00"/>
    <s v="Green"/>
    <n v="100"/>
    <s v="CP-AT-0001"/>
    <s v="-"/>
    <s v="-"/>
    <s v="-"/>
    <s v="-"/>
    <s v="NA"/>
  </r>
  <r>
    <d v="2026-02-03T11:19:00"/>
    <s v="POT86159"/>
    <s v="TATA AIA LIFE INSURANCE COMPANY LIMITED"/>
    <s v="Sonali Korade"/>
    <s v="DC-DR-HO Cisco Device AMC renewal-2026-27"/>
    <x v="7"/>
    <s v="Rocky Braganza+Nishant Jalan+Harshvardhan Dave+Richa Tiwari"/>
    <s v="Self"/>
    <s v="NA"/>
    <s v="Harshvardhan Dave"/>
    <x v="4"/>
    <s v="Active"/>
    <s v="CISCO"/>
    <s v="Closed Won"/>
    <n v="4000000"/>
    <n v="20000"/>
    <n v="81866.759999999995"/>
    <s v="16-04-2026"/>
    <s v="Green"/>
    <n v="100"/>
    <s v="CP-RT-0009"/>
    <s v="-"/>
    <s v="-"/>
    <s v="-"/>
    <s v="-"/>
    <s v="S1"/>
  </r>
  <r>
    <s v="28-03-2026 11:31 AM"/>
    <s v="POT86366"/>
    <s v="Tata Advance Systems Ltd"/>
    <s v="NAVEEN Kumar"/>
    <s v="HEC Renewal - Checkpoint"/>
    <x v="7"/>
    <s v="Rocky Braganza+Nishant Jalan+Harshvardhan Dave+Richa Tiwari"/>
    <s v="Self"/>
    <s v="NA"/>
    <s v="Harshvardhan Dave"/>
    <x v="4"/>
    <s v="Security"/>
    <s v="Checkpoint"/>
    <s v="Closed Won"/>
    <n v="10947764.92"/>
    <n v="1041838"/>
    <n v="1383202.91"/>
    <d v="2026-09-05T00:00:00"/>
    <s v="Green"/>
    <n v="100"/>
    <s v="CP-RT-0008"/>
    <s v="-"/>
    <s v="-"/>
    <s v="-"/>
    <s v="-"/>
    <s v="S1"/>
  </r>
  <r>
    <s v="13-04-2026 12:13 PM"/>
    <s v="POT86520"/>
    <s v="Tata Power Company Ltd"/>
    <s v="deepak bagora"/>
    <s v="Intune Implementation"/>
    <x v="7"/>
    <s v="Rocky Braganza+Nishant Jalan+Harshvardhan Dave+Richa Tiwari"/>
    <s v="Self"/>
    <s v="NA"/>
    <s v="Harshvardhan Dave"/>
    <x v="4"/>
    <s v="Others"/>
    <s v="Others"/>
    <s v="Closed Won"/>
    <n v="345000"/>
    <n v="10000"/>
    <n v="0"/>
    <d v="2026-02-06T00:00:00"/>
    <s v="Green"/>
    <n v="100"/>
    <s v="-"/>
    <s v="-"/>
    <s v="-"/>
    <s v="-"/>
    <s v="-"/>
    <s v="S1"/>
  </r>
  <r>
    <d v="2026-08-05T15:47:00"/>
    <s v="POT86721"/>
    <s v="Aditya Birla Financial Services Ltd"/>
    <s v="satish rathod"/>
    <s v="NOC AMC Renewal- multi oem"/>
    <x v="7"/>
    <s v="Rocky Braganza+Nishant Jalan+Harshvardhan Dave+Richa Tiwari"/>
    <s v="Self"/>
    <s v="NA"/>
    <s v="Harshvardhan Dave"/>
    <x v="4"/>
    <s v="Active"/>
    <s v="CISCO"/>
    <s v="Closed Won"/>
    <n v="25392000"/>
    <n v="50000"/>
    <n v="0"/>
    <s v="24-06-2026"/>
    <s v="Green"/>
    <n v="100"/>
    <s v="-"/>
    <s v="-"/>
    <s v="-"/>
    <s v="-"/>
    <s v="-"/>
    <s v="S1"/>
  </r>
  <r>
    <d v="2026-11-05T11:01:00"/>
    <s v="POT86757"/>
    <s v="Tata Advance Systems Ltd"/>
    <s v="NAVEEN Kumar"/>
    <s v="HEC Renewal - Balance Amount"/>
    <x v="7"/>
    <s v="Rocky Braganza+Nishant Jalan+Harshvardhan Dave+Richa Tiwari"/>
    <s v="Self"/>
    <s v="NA"/>
    <s v="Harshvardhan Dave"/>
    <x v="4"/>
    <s v="Security"/>
    <s v="Checkpoint"/>
    <s v="Closed Won"/>
    <n v="7480583.8600000003"/>
    <n v="80000"/>
    <n v="740608.86"/>
    <s v="23-05-2026"/>
    <s v="Green"/>
    <n v="100"/>
    <s v="CP-RT-0010"/>
    <s v="-"/>
    <s v="-"/>
    <s v="-"/>
    <s v="OPF CP-RT-0014,CP-RT-0010,CP-RT-0011,CP-RT-0013"/>
    <s v="S1"/>
  </r>
  <r>
    <s v="29-05-2026 5:37 PM"/>
    <s v="POT86972"/>
    <s v="Tata Power Company Ltd"/>
    <s v="deepak bagora"/>
    <s v="additional ME licenses qty 30+1000"/>
    <x v="7"/>
    <s v="Rocky Braganza+Nishant Jalan+Harshvardhan Dave+Richa Tiwari"/>
    <s v="Self"/>
    <s v="NA"/>
    <s v="Harshvardhan Dave"/>
    <x v="4"/>
    <s v="Others"/>
    <s v="ManageEngine"/>
    <s v="Closed Won"/>
    <n v="3466333"/>
    <n v="20000"/>
    <n v="0"/>
    <s v="28-06-2026"/>
    <s v="Green"/>
    <n v="70"/>
    <s v="-"/>
    <s v="-"/>
    <s v="-"/>
    <s v="-"/>
    <s v="-"/>
    <s v="S1"/>
  </r>
  <r>
    <d v="2026-11-06T11:44:00"/>
    <s v="POT87092"/>
    <s v="Aditya Birla Financial Services Ltd"/>
    <s v="satish rathod"/>
    <s v="firewall renewal 27th june checkpoint"/>
    <x v="7"/>
    <s v="Rocky Braganza+Nishant Jalan+Harshvardhan Dave+Richa Tiwari"/>
    <s v="Self"/>
    <s v="NA"/>
    <s v="Harshvardhan Dave"/>
    <x v="4"/>
    <s v="Firewall"/>
    <s v="Checkpoint"/>
    <s v="Closed Won"/>
    <n v="8000000"/>
    <n v="50000"/>
    <n v="0"/>
    <s v="24-06-2026"/>
    <s v="Green"/>
    <n v="100"/>
    <s v="-"/>
    <s v="-"/>
    <s v="-"/>
    <s v="-"/>
    <s v="-"/>
    <s v="S1"/>
  </r>
  <r>
    <s v="16-06-2026 12:43 PM"/>
    <s v="POT87127"/>
    <s v="Aditya Birla - Grasim - Paints Division"/>
    <s v="Shreyas Potfode"/>
    <s v="ME AD Manager Plus Renewal"/>
    <x v="7"/>
    <s v="Rocky Braganza+Nishant Jalan+Harshvardhan Dave+Richa Tiwari"/>
    <s v="Self"/>
    <s v="NA"/>
    <s v="Harshvardhan Dave"/>
    <x v="4"/>
    <s v="Others"/>
    <s v="ManageEngine"/>
    <s v="Closed Won"/>
    <n v="295000"/>
    <n v="63080"/>
    <n v="0"/>
    <s v="25-06-2026"/>
    <s v="Green"/>
    <n v="100"/>
    <s v="-"/>
    <s v="-"/>
    <s v="-"/>
    <s v="-"/>
    <s v="-"/>
    <s v="S1"/>
  </r>
  <r>
    <s v="22-06-2026 1:07 PM"/>
    <s v="POT87196"/>
    <s v="Aditya Birla Capital"/>
    <s v="satish rathod"/>
    <s v="Renewal of Palo Alto FW - WM"/>
    <x v="7"/>
    <s v="Rocky Braganza+Nishant Jalan+Harshvardhan Dave+Richa Tiwari"/>
    <s v="Self"/>
    <s v="NA"/>
    <s v="Harshvardhan Dave"/>
    <x v="4"/>
    <s v="Firewall"/>
    <s v="PaloAlto"/>
    <s v="Closed Won"/>
    <n v="8440000"/>
    <n v="50000"/>
    <n v="0"/>
    <s v="24-06-2026"/>
    <s v="Green"/>
    <n v="100"/>
    <s v="-"/>
    <s v="-"/>
    <s v="-"/>
    <s v="-"/>
    <s v="-"/>
    <s v="S1"/>
  </r>
  <r>
    <d v="2026-05-02T20:21:00"/>
    <s v="POT85924"/>
    <s v="Tata Motors Limited"/>
    <s v="Sarvesh Shrivastava"/>
    <s v="TMCV Trellix Device Control Renewal 15146 Qty"/>
    <x v="9"/>
    <s v="Rocky Braganza+Nishant Jalan+Harshvardhan Dave+Rohit Deshmukh"/>
    <s v="Enterprise Coverage"/>
    <s v="Rohit Deshmukh"/>
    <s v="Harshvardhan Dave"/>
    <x v="4"/>
    <s v="Others"/>
    <s v="CISCO"/>
    <s v="Closed Won"/>
    <n v="729877.5"/>
    <n v="36493.879999999997"/>
    <n v="0"/>
    <s v="28-05-2026"/>
    <s v="Green"/>
    <n v="100"/>
    <s v="-"/>
    <s v="-"/>
    <s v="-"/>
    <s v="-"/>
    <s v="-"/>
    <s v="S2"/>
  </r>
  <r>
    <d v="2026-02-03T11:21:00"/>
    <s v="POT86161"/>
    <s v="Tata Motors Limited"/>
    <s v="Sarvesh Shrivastava"/>
    <s v="TMCV Cisco VC Mic &amp; Accessories"/>
    <x v="9"/>
    <s v="Rocky Braganza+Nishant Jalan+Harshvardhan Dave+Rohit Deshmukh"/>
    <s v="Enterprise Coverage"/>
    <s v="Rohit Deshmukh"/>
    <s v="Harshvardhan Dave"/>
    <x v="4"/>
    <s v="Active"/>
    <s v="CISCO"/>
    <s v="Closed Won"/>
    <n v="8000"/>
    <n v="2000"/>
    <n v="2067.8000000000002"/>
    <d v="2026-10-04T00:00:00"/>
    <s v="Green"/>
    <n v="100"/>
    <s v="CP-RD-0001"/>
    <s v="-"/>
    <s v="-"/>
    <s v="-"/>
    <s v="-"/>
    <s v="S2"/>
  </r>
  <r>
    <d v="2026-08-03T22:54:00"/>
    <s v="POT86208"/>
    <s v="Tata Motors Limited"/>
    <s v="Sarvesh Shrivastava"/>
    <s v="TMCV Plant Cisco Switch Renewal B2B"/>
    <x v="9"/>
    <s v="Rocky Braganza+Nishant Jalan+Harshvardhan Dave+Rohit Deshmukh"/>
    <s v="Enterprise Coverage"/>
    <s v="Rohit Deshmukh"/>
    <s v="Harshvardhan Dave"/>
    <x v="4"/>
    <s v="Others"/>
    <s v="CISCO"/>
    <s v="Closed Won"/>
    <n v="7508225"/>
    <n v="1939883"/>
    <n v="1984058.13"/>
    <d v="2026-09-05T00:00:00"/>
    <s v="Green"/>
    <n v="100"/>
    <s v="CP-RD-0002"/>
    <s v="-"/>
    <s v="-"/>
    <s v="-"/>
    <s v="-"/>
    <s v="S2"/>
  </r>
  <r>
    <s v="25-03-2026 12:24 PM"/>
    <s v="POT86352"/>
    <s v="Tata Motors Limited"/>
    <s v="Sarvesh Shrivastava"/>
    <s v="TMCV Plant Cisco WAR Room VC Hardware"/>
    <x v="9"/>
    <s v="Rocky Braganza+Nishant Jalan+Harshvardhan Dave+Rohit Deshmukh"/>
    <s v="Enterprise Coverage"/>
    <s v="Rohit Deshmukh"/>
    <s v="Harshvardhan Dave"/>
    <x v="4"/>
    <s v="Others"/>
    <s v="CISCO"/>
    <s v="Closed Won"/>
    <n v="825000"/>
    <n v="182732.72"/>
    <n v="0"/>
    <d v="2026-09-05T00:00:00"/>
    <s v="Green"/>
    <n v="100"/>
    <s v="CP-RD-0003"/>
    <s v="-"/>
    <s v="-"/>
    <s v="-"/>
    <s v="-"/>
    <s v="S2"/>
  </r>
  <r>
    <d v="2026-05-06T13:34:00"/>
    <s v="POT87048"/>
    <s v="Tata Motors Limited"/>
    <s v="Sarvesh Shrivastava"/>
    <s v="Lucknow Passive RC RFP"/>
    <x v="9"/>
    <s v="Rocky Braganza+Nishant Jalan+Harshvardhan Dave+Rohit Deshmukh"/>
    <s v="Enterprise Coverage"/>
    <s v="Rohit Deshmukh"/>
    <s v="Harshvardhan Dave"/>
    <x v="4"/>
    <s v="Active"/>
    <s v="CISCO"/>
    <s v="Closed Won"/>
    <n v="797750"/>
    <n v="30000"/>
    <n v="0"/>
    <s v="20-06-2026"/>
    <s v="Green"/>
    <n v="100"/>
    <s v="CP-RD-0008/0"/>
    <s v="-"/>
    <s v="-"/>
    <s v="-"/>
    <s v="-"/>
    <s v="S2"/>
  </r>
  <r>
    <d v="2026-05-06T13:34:00"/>
    <s v="POT87049"/>
    <s v="Tata Motors Limited"/>
    <s v="Sarvesh Shrivastava"/>
    <s v="Cisco Switch RC RFP"/>
    <x v="9"/>
    <s v="Rocky Braganza+Nishant Jalan+Harshvardhan Dave+Rohit Deshmukh"/>
    <s v="Enterprise Coverage"/>
    <s v="Rohit Deshmukh"/>
    <s v="Harshvardhan Dave"/>
    <x v="4"/>
    <s v="Active"/>
    <s v="CISCO"/>
    <s v="Closed Won"/>
    <n v="198465"/>
    <n v="10000"/>
    <n v="53541.31"/>
    <s v="20-06-2026"/>
    <s v="Green"/>
    <n v="100"/>
    <s v="CP-RD-0010"/>
    <s v="-"/>
    <s v="-"/>
    <s v="-"/>
    <s v="CP-RD-0010 &amp; CP-RD-0011"/>
    <s v="S2"/>
  </r>
  <r>
    <s v="20-06-2026 11:34 AM"/>
    <s v="POT87166"/>
    <s v="Tata Motors Limited"/>
    <s v="Sarvesh Shrivastava"/>
    <s v="Tantra Juniper AP RC RFP"/>
    <x v="9"/>
    <s v="Rocky Braganza+Nishant Jalan+Harshvardhan Dave+Rohit Deshmukh"/>
    <s v="Enterprise Coverage"/>
    <s v="Rohit Deshmukh"/>
    <s v="Harshvardhan Dave"/>
    <x v="4"/>
    <s v="Active"/>
    <s v="CISCO"/>
    <s v="Closed Won"/>
    <n v="163854"/>
    <n v="5000"/>
    <n v="0"/>
    <s v="23-06-2026"/>
    <s v="Green"/>
    <n v="100"/>
    <s v="CP-RD-0013/1"/>
    <s v="-"/>
    <s v="-"/>
    <s v="-"/>
    <s v="-"/>
    <s v="S2"/>
  </r>
  <r>
    <s v="20-03-2026 6:37 PM"/>
    <s v="POT86312"/>
    <s v="Bajaj Housing Finance Limited"/>
    <s v="Abid Sayyad"/>
    <s v="SSL Certificates"/>
    <x v="17"/>
    <s v="Rocky Braganza+Nishant Jalan+Hrushikesh Bagade"/>
    <s v="Self"/>
    <s v="NA"/>
    <s v="Rocky Braganza"/>
    <x v="4"/>
    <s v="Security"/>
    <s v="Others"/>
    <s v="Closed Won"/>
    <n v="287600"/>
    <n v="170200"/>
    <n v="210200"/>
    <s v="30-05-2026"/>
    <s v="Green"/>
    <n v="100"/>
    <s v="CP-HB-0039"/>
    <s v="-"/>
    <s v="-"/>
    <s v="-"/>
    <s v="EU was looking for SSL Certificate - WildCard, Proposal sent, waiting for PO. we should get PO by May end 26. po received."/>
    <s v="Geo X"/>
  </r>
  <r>
    <d v="2026-10-05T20:29:00"/>
    <s v="POT86755"/>
    <s v="Kohler India Corp. Pvt.Ltd."/>
    <s v="Suhas Mistry"/>
    <s v="Velo Cloud RNWL PO 1 - WTC PUNE"/>
    <x v="17"/>
    <s v="Rocky Braganza+Nishant Jalan+Hrushikesh Bagade"/>
    <s v="Self"/>
    <s v="NA"/>
    <s v="Rocky Braganza"/>
    <x v="4"/>
    <s v="SDWAN"/>
    <s v="Arista"/>
    <s v="Closed Won"/>
    <n v="269272"/>
    <n v="24234"/>
    <n v="24235"/>
    <d v="2026-08-05T00:00:00"/>
    <s v="Green"/>
    <n v="100"/>
    <s v="CP-HB-0031"/>
    <s v="-"/>
    <s v="-"/>
    <s v="-"/>
    <s v="EU want to renewal Arista Velo Cloud - SDWAN - 3 devices and 1 software lics, proposal sent, PO received."/>
    <s v="Geo X"/>
  </r>
  <r>
    <s v="13-05-2026 11:38 AM"/>
    <s v="POT86769"/>
    <s v="Kohler India Corp. Pvt.Ltd."/>
    <s v="Suhas Mistry"/>
    <s v="Velo Cloud RNWL PO 2- K&amp;B Gurgaon"/>
    <x v="17"/>
    <s v="Rocky Braganza+Nishant Jalan+Hrushikesh Bagade"/>
    <s v="Self"/>
    <s v="NA"/>
    <s v="Rocky Braganza"/>
    <x v="4"/>
    <s v="DC Networking"/>
    <s v="Arista"/>
    <s v="Closed Won"/>
    <n v="2566178"/>
    <n v="230953"/>
    <n v="230962"/>
    <s v="13-05-2026"/>
    <s v="Green"/>
    <n v="100"/>
    <s v="CP-HB-0034"/>
    <s v="-"/>
    <s v="-"/>
    <s v="-"/>
    <s v="EU was looking Arista Velo Cloud renewal, proposal sent, po received"/>
    <s v="Geo X"/>
  </r>
  <r>
    <s v="13-05-2026 11:52 AM"/>
    <s v="POT86770"/>
    <s v="Kohler India Corp. Pvt.Ltd."/>
    <s v="Suhas Mistry"/>
    <s v="Velo Cloud RNWL PO 3- ITC Pune"/>
    <x v="17"/>
    <s v="Rocky Braganza+Nishant Jalan+Hrushikesh Bagade"/>
    <s v="Self"/>
    <s v="NA"/>
    <s v="Rocky Braganza"/>
    <x v="4"/>
    <s v="DC Networking"/>
    <s v="Arista"/>
    <s v="Closed Won"/>
    <n v="1331348"/>
    <n v="119821.3"/>
    <n v="119820.8"/>
    <s v="13-05-2026"/>
    <s v="Green"/>
    <n v="100"/>
    <s v="CP-HB-0032"/>
    <s v="-"/>
    <s v="-"/>
    <s v="-"/>
    <s v="EU was looking renewal cost for Arista Velo Cloud, price sent, PO received"/>
    <s v="Geo X"/>
  </r>
  <r>
    <d v="2026-08-06T15:45:00"/>
    <s v="POT87073"/>
    <s v="POONAWALLA FINCORP LIMITED"/>
    <s v="Rohit Verma"/>
    <s v="Iraje PAM renewal"/>
    <x v="17"/>
    <s v="Rocky Braganza+Nishant Jalan+Hrushikesh Bagade"/>
    <s v="Self"/>
    <s v="NA"/>
    <s v="Rocky Braganza"/>
    <x v="4"/>
    <s v="Security"/>
    <s v="Iraje"/>
    <s v="Closed Won"/>
    <n v="9325000"/>
    <n v="373000"/>
    <n v="277000"/>
    <d v="2026-05-06T00:00:00"/>
    <s v="Green"/>
    <n v="100"/>
    <s v="CP-HB-0046"/>
    <s v="-"/>
    <s v="-"/>
    <s v="-"/>
    <s v="EU was looking Iraje PAM renewal, price sent, PO received"/>
    <s v="Geo X"/>
  </r>
  <r>
    <s v="19-06-2026 4:26 PM"/>
    <s v="POT87155"/>
    <s v="Varroc Engineering Ltd"/>
    <s v="Ravindra Walunj"/>
    <s v="Addon PAM lics - 42 QTY SUPPORT - 3Yrs Contract"/>
    <x v="17"/>
    <s v="Rocky Braganza+Nishant Jalan+Hrushikesh Bagade"/>
    <s v="Self"/>
    <s v="NA"/>
    <s v="Rocky Braganza"/>
    <x v="4"/>
    <s v="Security"/>
    <s v="Iraje"/>
    <s v="Closed Won"/>
    <n v="1032784"/>
    <n v="162184"/>
    <n v="0"/>
    <s v="19-06-2026"/>
    <s v="Green"/>
    <n v="100"/>
    <s v="-"/>
    <s v="-"/>
    <s v="-"/>
    <s v="-"/>
    <s v="EU want 42lic iraje PAM support, price sent, po received"/>
    <s v="Geo X"/>
  </r>
  <r>
    <s v="23-06-2026 12:05 PM"/>
    <s v="POT87211"/>
    <s v="i2e Consulting"/>
    <s v="JAyesh Gaikwad"/>
    <s v="Falcon Endpoint Protection Pro"/>
    <x v="21"/>
    <s v="Rocky Braganza+Nishant Jalan+Pravin Tapase+Ayushman Singh"/>
    <s v="OEM Lead"/>
    <s v="NA"/>
    <s v="Pravin Tapase"/>
    <x v="4"/>
    <s v="Endpoint &amp; Email Security"/>
    <s v="CrowdStrike"/>
    <s v="Closed Won"/>
    <n v="168960"/>
    <n v="15361"/>
    <n v="0"/>
    <s v="22-06-2026"/>
    <s v="Green"/>
    <n v="100"/>
    <s v="-"/>
    <s v="-"/>
    <s v="-"/>
    <s v="-"/>
    <s v="-"/>
    <s v="GB"/>
  </r>
  <r>
    <s v="26-06-2026 1:52 PM"/>
    <s v="POT87234"/>
    <s v="Air India Sats Pvt Ltd"/>
    <s v="Hemant Puralkar"/>
    <s v="EDR"/>
    <x v="21"/>
    <s v="Rocky Braganza+Nishant Jalan+Pravin Tapase+Ayushman Singh"/>
    <s v="Self"/>
    <s v="NA"/>
    <s v="Pravin Tapase"/>
    <x v="4"/>
    <s v="EDR/XDR"/>
    <s v="CrowdStrike"/>
    <s v="Closed Won"/>
    <n v="572000"/>
    <n v="25623"/>
    <n v="0"/>
    <s v="26-06-2026"/>
    <s v="Green"/>
    <n v="100"/>
    <s v="-"/>
    <s v="-"/>
    <s v="-"/>
    <s v="-"/>
    <s v="-"/>
    <s v="GB"/>
  </r>
  <r>
    <d v="2026-02-05T20:51:00"/>
    <s v="POT86674"/>
    <s v="Varroc Engineering Ltd"/>
    <s v="Ravindra V Walunj"/>
    <s v="Addon PAM lics - 42 QTY LICS - 3Yrs Contract"/>
    <x v="17"/>
    <s v="Rocky Braganza+Nishant Jalan+Pravin Tapase+Hrushikesh Bagade"/>
    <s v="Self"/>
    <s v="NA"/>
    <s v="Pravin Tapase"/>
    <x v="4"/>
    <s v="Security"/>
    <s v="Iraje"/>
    <s v="Closed Won"/>
    <n v="3029670"/>
    <n v="673470"/>
    <n v="0"/>
    <s v="19-06-2026"/>
    <s v="Green"/>
    <n v="100"/>
    <s v="-"/>
    <s v="-"/>
    <s v="-"/>
    <s v="-"/>
    <s v="EU want 42 QTY additional PAM lics, PO received but support cost EU has missed, waiting for revised PO. po received"/>
    <s v="Geo X"/>
  </r>
  <r>
    <s v="29-06-2026 1:09 PM"/>
    <s v="POT87250"/>
    <s v="DP world"/>
    <s v="Ramesh Paynaik"/>
    <s v="Palo Alto - 420 - Hindustan Infralog Private Limited"/>
    <x v="23"/>
    <s v="Rocky Braganza+Nishant Jalan+Pravin Tapase+Jimesh Shah"/>
    <s v="Self"/>
    <s v="NA"/>
    <s v="Pravin Tapase"/>
    <x v="4"/>
    <s v="Security"/>
    <s v="PaloAlto"/>
    <s v="Closed Won"/>
    <n v="195272"/>
    <n v="9300"/>
    <n v="0"/>
    <s v="29-06-2026"/>
    <s v="Green"/>
    <n v="100"/>
    <s v="-"/>
    <s v="-"/>
    <s v="-"/>
    <s v="-"/>
    <s v="-"/>
    <s v="TL - CB"/>
  </r>
  <r>
    <d v="2026-10-01T10:15:00"/>
    <s v="POT85645"/>
    <s v="Future Generali India Life Insurance Co Ltd"/>
    <s v="Michael Fernando"/>
    <s v="Akamai Additional URL"/>
    <x v="6"/>
    <s v="Rocky Braganza+Nishant Jalan+Pravin Tapase+Prachi Mayekar"/>
    <s v="Self"/>
    <s v="NA"/>
    <s v="Pravin Tapase"/>
    <x v="4"/>
    <s v="WAF"/>
    <s v="Akamai"/>
    <s v="Closed Won"/>
    <n v="43400000"/>
    <n v="100000"/>
    <n v="1043986.48"/>
    <s v="14-05-2026"/>
    <s v="Green"/>
    <n v="100"/>
    <s v="CP-PC-0006"/>
    <s v="-"/>
    <s v="-"/>
    <s v="-"/>
    <s v="-"/>
    <s v="CB"/>
  </r>
  <r>
    <d v="2026-07-02T16:28:00"/>
    <s v="POT85963"/>
    <s v="Parle Products"/>
    <s v="Dinesh Vora"/>
    <s v="Zscalar ZTNA 900 Lic"/>
    <x v="6"/>
    <s v="Rocky Braganza+Nishant Jalan+Pravin Tapase+Prachi Mayekar"/>
    <s v="Self"/>
    <s v="NA"/>
    <s v="Pravin Tapase"/>
    <x v="4"/>
    <s v="Security"/>
    <s v="Others"/>
    <s v="Closed Won"/>
    <n v="2546045"/>
    <n v="50000"/>
    <n v="232151"/>
    <s v="30-04-2026"/>
    <s v="Green"/>
    <n v="100"/>
    <s v="CP-PC-0004"/>
    <s v="-"/>
    <s v="-"/>
    <s v="-"/>
    <s v="POT85363"/>
    <s v="CB"/>
  </r>
  <r>
    <d v="2026-09-03T13:20:00"/>
    <s v="POT86213"/>
    <s v="Lupin Ltd"/>
    <s v="Rajesh Shrivastava"/>
    <s v="SSC Tool"/>
    <x v="6"/>
    <s v="Rocky Braganza+Nishant Jalan+Pravin Tapase+Prachi Mayekar"/>
    <s v="Self"/>
    <s v="NA"/>
    <s v="Pravin Tapase"/>
    <x v="4"/>
    <s v="Security"/>
    <s v="Others"/>
    <s v="Closed Won"/>
    <n v="1555151"/>
    <n v="100000"/>
    <n v="153986"/>
    <d v="2026-09-04T00:00:00"/>
    <s v="Green"/>
    <n v="70"/>
    <s v="CP-PC-0001"/>
    <s v="-"/>
    <s v="-"/>
    <s v="-"/>
    <s v="margin taken all"/>
    <s v="CB"/>
  </r>
  <r>
    <s v="28-04-2026 1:46 PM"/>
    <s v="POT86646"/>
    <s v="AU SMALL FINANCE BANK LIMITED"/>
    <s v="Vikrant Sharma"/>
    <s v="SDWAN Q1'26"/>
    <x v="24"/>
    <s v="Rocky Braganza+Nishant Jalan+Pravin Tapase+Sanjeev Kohli"/>
    <s v="Self"/>
    <s v="NA"/>
    <s v="Pravin Tapase"/>
    <x v="4"/>
    <s v="SD-WAN"/>
    <s v="HPE/Aruba"/>
    <s v="Closed Won"/>
    <n v="21966500"/>
    <n v="200000"/>
    <n v="0"/>
    <d v="2026-06-06T00:00:00"/>
    <s v="Green"/>
    <n v="90"/>
    <s v="-"/>
    <s v="-"/>
    <s v="-"/>
    <s v="-"/>
    <s v="-"/>
    <s v="BU - Geo Expansion"/>
  </r>
  <r>
    <s v="27-03-2026 2:36 PM"/>
    <s v="POT86361"/>
    <s v="PharmNXT Biotech LLP"/>
    <s v="Vilas Tarekar"/>
    <s v="Pharmnxt_CheckPoint"/>
    <x v="25"/>
    <s v="Rocky Braganza+Nishant Jalan+Pravin Tapase+Shubhangi Srinivasan"/>
    <s v="Self"/>
    <s v="NA"/>
    <s v="Pravin Tapase"/>
    <x v="4"/>
    <s v="Security"/>
    <s v="Checkpoint"/>
    <s v="Closed Won"/>
    <n v="210216.41"/>
    <n v="16247"/>
    <n v="10010.120000000001"/>
    <s v="30-04-2026"/>
    <s v="Green"/>
    <n v="10"/>
    <s v="CP-SU-0005"/>
    <s v="-"/>
    <s v="-"/>
    <s v="-"/>
    <s v="-"/>
    <s v="GB"/>
  </r>
  <r>
    <d v="2026-07-04T14:10:00"/>
    <s v="POT86446"/>
    <s v="ESDS Software Solutions Limited"/>
    <s v="Shailendra Kulkarni"/>
    <s v="ESDS_CheckPoint"/>
    <x v="25"/>
    <s v="Rocky Braganza+Nishant Jalan+Pravin Tapase+Shubhangi Srinivasan"/>
    <s v="Self"/>
    <s v="NA"/>
    <s v="Pravin Tapase"/>
    <x v="4"/>
    <s v="Firewall"/>
    <s v="Checkpoint"/>
    <s v="Closed Won"/>
    <n v="7200000"/>
    <n v="559999"/>
    <n v="559514.17000000004"/>
    <d v="2026-07-05T00:00:00"/>
    <s v="Green"/>
    <n v="100"/>
    <s v="CP-SU-0008"/>
    <s v="-"/>
    <s v="-"/>
    <s v="-"/>
    <s v="-"/>
    <s v="GB"/>
  </r>
  <r>
    <s v="17-04-2026 4:03 PM"/>
    <s v="POT86559"/>
    <s v="Aditya Birla Health Insurance Co"/>
    <s v="ADITYA PATIL"/>
    <s v="End User Price of Luna HSM A700 with 3 yrs"/>
    <x v="7"/>
    <s v="Rocky Braganza+Nishant Jalan+Richa Tiwari"/>
    <s v="Self"/>
    <s v="NA"/>
    <s v="None"/>
    <x v="4"/>
    <s v="HSM"/>
    <s v="Thales"/>
    <s v="Closed Won"/>
    <n v="6750000"/>
    <n v="400000"/>
    <n v="399999.99"/>
    <d v="2026-11-06T00:00:00"/>
    <s v="Green"/>
    <n v="100"/>
    <s v="CP-RT-0037"/>
    <s v="-"/>
    <s v="-"/>
    <s v="-"/>
    <s v="-"/>
    <s v="S1"/>
  </r>
  <r>
    <d v="2026-01-06T17:59:00"/>
    <s v="POT87003"/>
    <s v="Birla Carbon"/>
    <s v="S Ilango L"/>
    <s v="42 gears licneses qty 90"/>
    <x v="7"/>
    <s v="Rocky Braganza+Nishant Jalan+Richa Tiwari"/>
    <s v="Self"/>
    <s v="NA"/>
    <s v="None"/>
    <x v="4"/>
    <s v="Others"/>
    <s v="42Gears"/>
    <s v="Closed Won"/>
    <n v="134100"/>
    <n v="20000"/>
    <n v="0"/>
    <s v="30-06-2026"/>
    <s v="Green"/>
    <n v="100"/>
    <s v="-"/>
    <s v="-"/>
    <s v="-"/>
    <s v="-"/>
    <s v="-"/>
    <s v="S1"/>
  </r>
  <r>
    <s v="20-04-2026 1:58 PM"/>
    <s v="POT86590"/>
    <s v="National Payments Corporation of India"/>
    <s v="Benny Joseph"/>
    <s v="RSA 1900 licenses"/>
    <x v="8"/>
    <s v="Rocky Braganza+Nishant Jalan+Riya Bhatt"/>
    <s v="Self"/>
    <s v="NA"/>
    <s v="None"/>
    <x v="4"/>
    <s v="Security"/>
    <s v="RSA"/>
    <s v="Closed Won"/>
    <n v="4248000"/>
    <n v="0"/>
    <n v="394800.05"/>
    <s v="16-05-2026"/>
    <s v="Green"/>
    <n v="100"/>
    <s v="CP-RB-0002"/>
    <s v="-"/>
    <s v="-"/>
    <s v="-"/>
    <s v="-"/>
    <s v="S1"/>
  </r>
  <r>
    <d v="2026-09-04T15:44:00"/>
    <s v="POT86476"/>
    <s v="CHUBB Systems Pvt Ltd"/>
    <s v="sudhindra acharya"/>
    <s v="Dlink Acessories"/>
    <x v="10"/>
    <s v="Rocky Braganza+Nishant Jalan+Sagar TR"/>
    <s v="Self"/>
    <s v="NA"/>
    <s v="None"/>
    <x v="4"/>
    <s v="Security"/>
    <s v="D-Link"/>
    <s v="Closed Won"/>
    <n v="230359"/>
    <n v="21277"/>
    <n v="21979"/>
    <s v="15-04-2026"/>
    <s v="Green"/>
    <n v="100"/>
    <s v="CP-SC-0001"/>
    <s v="-"/>
    <s v="-"/>
    <s v="-"/>
    <s v="OPF no:CP-SC-0001"/>
    <s v="South"/>
  </r>
  <r>
    <s v="20-04-2026 10:40 AM"/>
    <s v="POT86577"/>
    <s v="CHUBB Systems Pvt Ltd"/>
    <s v="sudhindra acharya"/>
    <s v="AMP Accessories &amp; Dlink 6U rack"/>
    <x v="10"/>
    <s v="Rocky Braganza+Nishant Jalan+Sagar TR"/>
    <s v="Self"/>
    <s v="NA"/>
    <s v="None"/>
    <x v="4"/>
    <s v="Security"/>
    <s v="Others"/>
    <s v="Closed Won"/>
    <n v="80955"/>
    <n v="5415"/>
    <n v="5415"/>
    <s v="20-04-2026"/>
    <s v="Green"/>
    <n v="100"/>
    <s v="CP-SC-0003"/>
    <s v="-"/>
    <s v="-"/>
    <s v="-"/>
    <s v="OPF no: CP-SC-0003"/>
    <s v="South"/>
  </r>
  <r>
    <s v="20-04-2026 10:43 AM"/>
    <s v="POT86578"/>
    <s v="CHUBB Systems Pvt Ltd"/>
    <s v="sudhindra acharya"/>
    <s v="AMP &amp; Dlink 6U Rack"/>
    <x v="10"/>
    <s v="Rocky Braganza+Nishant Jalan+Sagar TR"/>
    <s v="Self"/>
    <s v="NA"/>
    <s v="None"/>
    <x v="4"/>
    <s v="Security"/>
    <s v="Others"/>
    <s v="Closed Won"/>
    <n v="29635"/>
    <n v="6405"/>
    <n v="6405"/>
    <s v="20-04-2026"/>
    <s v="Green"/>
    <n v="100"/>
    <s v="CP-SC-0002"/>
    <s v="-"/>
    <s v="-"/>
    <s v="-"/>
    <s v="OPF no: CP-SC-0002"/>
    <s v="South"/>
  </r>
  <r>
    <s v="17-05-2026 6:20 PM"/>
    <s v="POT86812"/>
    <s v="ZENSCIENCES BUSINESS SOLUTIONS LLP"/>
    <s v="Jegan T Bose"/>
    <s v="Networking - Engunius &amp; Dlink"/>
    <x v="10"/>
    <s v="Rocky Braganza+Nishant Jalan+Sagar TR"/>
    <s v="Self"/>
    <s v="NA"/>
    <s v="None"/>
    <x v="4"/>
    <s v="Active"/>
    <s v="Others"/>
    <s v="Closed Won"/>
    <n v="839290"/>
    <n v="67750"/>
    <n v="67750"/>
    <s v="18-05-2026"/>
    <s v="Green"/>
    <n v="100"/>
    <s v="CP-SC-0015"/>
    <s v="-"/>
    <s v="-"/>
    <s v="-"/>
    <s v="OPF no: CP-SC-0015"/>
    <s v="South"/>
  </r>
  <r>
    <s v="25-05-2026 11:55 AM"/>
    <s v="POT86897"/>
    <s v="CHUBB Systems Pvt Ltd"/>
    <s v="sudhindra acharya"/>
    <s v="Dlink IO &amp; Patch cards"/>
    <x v="10"/>
    <s v="Rocky Braganza+Nishant Jalan+Sagar TR"/>
    <s v="Self"/>
    <s v="NA"/>
    <s v="None"/>
    <x v="4"/>
    <s v="Passive"/>
    <s v="D-Link"/>
    <s v="Closed Won"/>
    <n v="11130"/>
    <n v="810"/>
    <n v="810"/>
    <s v="25-05-2026"/>
    <s v="Green"/>
    <n v="100"/>
    <s v="CP-SC-0020"/>
    <s v="-"/>
    <s v="-"/>
    <s v="-"/>
    <s v="OPF no: CP-SC-0020"/>
    <s v="South"/>
  </r>
  <r>
    <s v="29-05-2026 3:49 PM"/>
    <s v="POT86963"/>
    <s v="CHUBB Systems Pvt Ltd"/>
    <s v="sudhindra acharya"/>
    <s v="Cisco Switch"/>
    <x v="10"/>
    <s v="Rocky Braganza+Nishant Jalan+Sagar TR"/>
    <s v="Self"/>
    <s v="NA"/>
    <s v="None"/>
    <x v="4"/>
    <s v="Passive"/>
    <s v="CISCO"/>
    <s v="Closed Won"/>
    <n v="32000"/>
    <n v="7000"/>
    <n v="7000"/>
    <d v="2026-02-06T00:00:00"/>
    <s v="Green"/>
    <n v="100"/>
    <s v="CP-SC-0023"/>
    <s v="-"/>
    <s v="-"/>
    <s v="-"/>
    <s v="OPF no: CP-SC-0023"/>
    <s v="South"/>
  </r>
  <r>
    <d v="2026-02-06T11:00:00"/>
    <s v="POT87005"/>
    <s v="CHUBB Systems Pvt Ltd"/>
    <s v="sudhindra acharya"/>
    <s v="Cisco Switch"/>
    <x v="10"/>
    <s v="Rocky Braganza+Nishant Jalan+Sagar TR"/>
    <s v="Self"/>
    <s v="NA"/>
    <s v="None"/>
    <x v="4"/>
    <s v="Passive"/>
    <s v="CISCO"/>
    <s v="Closed Won"/>
    <n v="31000"/>
    <n v="4000"/>
    <n v="4000"/>
    <d v="2026-02-06T00:00:00"/>
    <s v="Green"/>
    <n v="100"/>
    <s v="CP-SC-0022"/>
    <s v="-"/>
    <s v="-"/>
    <s v="-"/>
    <s v="OPF no: CP-SC-0022"/>
    <s v="South"/>
  </r>
  <r>
    <d v="2026-02-06T15:16:00"/>
    <s v="POT87009"/>
    <s v="ZENSCIENCES BUSINESS SOLUTIONS LLP"/>
    <s v="Jegan T Bose"/>
    <s v="Sophos End Point EDR User â€“ 12 MOS for 200 users"/>
    <x v="10"/>
    <s v="Rocky Braganza+Nishant Jalan+Sagar TR"/>
    <s v="Self"/>
    <s v="NA"/>
    <s v="None"/>
    <x v="4"/>
    <s v="DeepSecurity"/>
    <s v="Others"/>
    <s v="Closed Won"/>
    <n v="162000"/>
    <n v="35536"/>
    <n v="35536"/>
    <d v="2026-02-06T00:00:00"/>
    <s v="Green"/>
    <n v="100"/>
    <s v="CP-SC-0025"/>
    <s v="-"/>
    <s v="-"/>
    <s v="-"/>
    <s v="OPF no: CP-SC-0025"/>
    <s v="South"/>
  </r>
  <r>
    <s v="26-06-2026 10:03 AM"/>
    <s v="POT87231"/>
    <s v="CHUBB Systems Pvt Ltd"/>
    <s v="sudhindra acharya"/>
    <s v="Dlink RAcks &amp; Switch"/>
    <x v="10"/>
    <s v="Rocky Braganza+Nishant Jalan+Sagar TR"/>
    <s v="Self"/>
    <s v="NA"/>
    <s v="None"/>
    <x v="4"/>
    <s v="Passive"/>
    <s v="D-Link"/>
    <s v="Closed Won"/>
    <n v="147150"/>
    <n v="28000"/>
    <n v="0"/>
    <s v="29-06-2026"/>
    <s v="Green"/>
    <n v="100"/>
    <s v="CP-SC-0034"/>
    <s v="-"/>
    <s v="-"/>
    <s v="-"/>
    <s v="OPF no: CP-SC-0034"/>
    <s v="South"/>
  </r>
  <r>
    <d v="2026-07-04T12:43:00"/>
    <s v="POT86445"/>
    <s v="Indira IVF Fertility Centre"/>
    <s v="Mahesh Sharma"/>
    <s v="Team Viewer Licenses"/>
    <x v="20"/>
    <s v="Rocky Braganza+Nishant Jalan+Shilpa Kavde"/>
    <s v="Self"/>
    <s v="NA"/>
    <s v="None"/>
    <x v="4"/>
    <s v="Others"/>
    <s v="Microsoft"/>
    <s v="Closed Won"/>
    <n v="800000"/>
    <n v="10000"/>
    <n v="64000"/>
    <d v="2026-07-04T00:00:00"/>
    <s v="Green"/>
    <n v="100"/>
    <s v="CG-SL-0002"/>
    <s v="-"/>
    <s v="-"/>
    <s v="-"/>
    <s v="-"/>
    <s v="CB"/>
  </r>
  <r>
    <s v="28-04-2026 6:03 PM"/>
    <s v="POT86653"/>
    <s v="Indira IVF Fertility Centre"/>
    <s v="Mahesh Sharma"/>
    <s v="MDM License"/>
    <x v="20"/>
    <s v="Rocky Braganza+Nishant Jalan+Shilpa Kavde"/>
    <s v="Self"/>
    <s v="NA"/>
    <s v="None"/>
    <x v="4"/>
    <s v="MDM/UEM"/>
    <s v="Others"/>
    <s v="Closed Won"/>
    <n v="10537500"/>
    <n v="50000"/>
    <n v="1048500"/>
    <s v="13-06-2026"/>
    <s v="Amber"/>
    <n v="50"/>
    <s v="CG-SL-0022"/>
    <s v="-"/>
    <s v="-"/>
    <s v="-"/>
    <s v="-"/>
    <s v="CB"/>
  </r>
  <r>
    <s v="29-06-2026 11:28 AM"/>
    <s v="POT87249"/>
    <s v="Indira IVF Fertility Centre"/>
    <s v="Mahesh Sharma"/>
    <s v="MDM License"/>
    <x v="20"/>
    <s v="Rocky Braganza+Nishant Jalan+Shilpa Kavde"/>
    <s v="Self"/>
    <s v="NA"/>
    <s v="None"/>
    <x v="4"/>
    <s v="MDM/UEM"/>
    <s v="Others"/>
    <s v="Closed Won"/>
    <n v="16500"/>
    <n v="5000"/>
    <n v="0"/>
    <s v="29-06-2026"/>
    <s v="Green"/>
    <n v="100"/>
    <s v="-"/>
    <s v="-"/>
    <s v="-"/>
    <s v="-"/>
    <s v="-"/>
    <s v="CB"/>
  </r>
  <r>
    <s v="16-03-2026 3:37 PM"/>
    <s v="POT86276"/>
    <s v="Nibe Limited"/>
    <s v="Varun Hegde"/>
    <s v="NibeLtd_Seclore"/>
    <x v="25"/>
    <s v="Rocky Braganza+Nishant Jalan+Shubhangi Srinivasan"/>
    <s v="Self"/>
    <s v="NA"/>
    <s v="Yogesh Bhatia"/>
    <x v="4"/>
    <s v="Security"/>
    <s v="Seclore"/>
    <s v="Closed Won"/>
    <n v="659812.5"/>
    <n v="52785"/>
    <n v="52785"/>
    <d v="2026-02-04T00:00:00"/>
    <s v="Green"/>
    <n v="10"/>
    <s v="CP-SU-0003"/>
    <s v="-"/>
    <s v="-"/>
    <s v="-"/>
    <s v="-"/>
    <s v="GB"/>
  </r>
  <r>
    <d v="2026-07-04T14:52:00"/>
    <s v="POT86447"/>
    <s v="NCDEX e Markets Ltd. (NeML)"/>
    <s v="Prasad Patil"/>
    <s v="NCDEX_iRaje_Renewal"/>
    <x v="25"/>
    <s v="Rocky Braganza+Nishant Jalan+Shubhangi Srinivasan"/>
    <s v="Self"/>
    <s v="NA"/>
    <s v="Yogesh Bhatia"/>
    <x v="4"/>
    <s v="Security"/>
    <s v="Iraje"/>
    <s v="Closed Won"/>
    <n v="840000"/>
    <n v="42000"/>
    <n v="42000"/>
    <s v="15-04-2026"/>
    <s v="Green"/>
    <n v="10"/>
    <s v="CP-SU-0001"/>
    <s v="-"/>
    <s v="-"/>
    <s v="-"/>
    <s v="-"/>
    <s v="GB"/>
  </r>
  <r>
    <d v="2026-09-04T16:37:00"/>
    <s v="POT86478"/>
    <s v="GLOBE FORGE LIMITED"/>
    <s v="Varun Hegde"/>
    <s v="GlobeForge_Seclore"/>
    <x v="25"/>
    <s v="Rocky Braganza+Nishant Jalan+Shubhangi Srinivasan"/>
    <s v="Self"/>
    <s v="NA"/>
    <s v="Yogesh Bhatia"/>
    <x v="4"/>
    <s v="Security"/>
    <s v="Seclore"/>
    <s v="Closed Won"/>
    <n v="659812.5"/>
    <n v="52785"/>
    <n v="52784.5"/>
    <s v="24-04-2026"/>
    <s v="Green"/>
    <n v="10"/>
    <s v="CP-SU-0004"/>
    <s v="-"/>
    <s v="-"/>
    <s v="-"/>
    <s v="-"/>
    <s v="GB"/>
  </r>
  <r>
    <s v="15-04-2026 4:19 PM"/>
    <s v="POT86540"/>
    <s v="BENNETT, COLEMAN &amp; CO. LTD"/>
    <s v="Akanksha Kumari"/>
    <s v="BCCL_iRaje_Renewal"/>
    <x v="25"/>
    <s v="Rocky Braganza+Nishant Jalan+Shubhangi Srinivasan"/>
    <s v="Self"/>
    <s v="NA"/>
    <s v="Yogesh Bhatia"/>
    <x v="4"/>
    <s v="Security"/>
    <s v="Iraje"/>
    <s v="Closed Won"/>
    <n v="501000"/>
    <n v="25050"/>
    <n v="25050"/>
    <s v="15-04-2026"/>
    <s v="Green"/>
    <n v="100"/>
    <s v="CP-SU-0002"/>
    <s v="-"/>
    <s v="-"/>
    <s v="-"/>
    <s v="-"/>
    <s v="GB"/>
  </r>
  <r>
    <s v="20-04-2026 11:31 AM"/>
    <s v="POT86583"/>
    <s v="Usha Com"/>
    <s v="Arun M"/>
    <s v="Ushacomm_Barracuda"/>
    <x v="25"/>
    <s v="Rocky Braganza+Nishant Jalan+Shubhangi Srinivasan"/>
    <s v="Self"/>
    <s v="NA"/>
    <s v="Yogesh Bhatia"/>
    <x v="4"/>
    <s v="Endpoint &amp; Email Security"/>
    <s v="Others"/>
    <s v="Closed Won"/>
    <n v="286651"/>
    <n v="39642.75"/>
    <n v="25006"/>
    <d v="2026-11-05T00:00:00"/>
    <s v="Green"/>
    <n v="10"/>
    <s v="CP-SU-0009"/>
    <s v="-"/>
    <s v="-"/>
    <s v="-"/>
    <s v="-"/>
    <s v="GB"/>
  </r>
  <r>
    <s v="20-04-2026 11:48 AM"/>
    <s v="POT86587"/>
    <s v="Auchtel Products Ltd."/>
    <s v="Lokesh Gautam"/>
    <s v="Auchtel_TrendMicro"/>
    <x v="25"/>
    <s v="Rocky Braganza+Nishant Jalan+Shubhangi Srinivasan"/>
    <s v="Self"/>
    <s v="NA"/>
    <s v="Yogesh Bhatia"/>
    <x v="4"/>
    <s v="Endpoint &amp; Email Security"/>
    <s v="Trend Micro"/>
    <s v="Closed Won"/>
    <n v="9750"/>
    <n v="10000"/>
    <n v="2405"/>
    <d v="2026-05-05T00:00:00"/>
    <s v="Green"/>
    <n v="10"/>
    <s v="CP-SU-0006"/>
    <s v="-"/>
    <s v="-"/>
    <s v="-"/>
    <s v="-"/>
    <s v="GB"/>
  </r>
  <r>
    <d v="2026-04-05T15:41:00"/>
    <s v="POT86684"/>
    <s v="KURODA ELECTRIC INDIA PVT. LTD"/>
    <s v="SHIVRAJ SINGH"/>
    <s v="Kurado_Cisco_Meraki"/>
    <x v="25"/>
    <s v="Rocky Braganza+Nishant Jalan+Shubhangi Srinivasan"/>
    <s v="Self"/>
    <s v="NA"/>
    <s v="Yogesh Bhatia"/>
    <x v="4"/>
    <s v="Security"/>
    <s v="CISCO"/>
    <s v="Closed Won"/>
    <n v="371520"/>
    <n v="269597.26"/>
    <n v="269147.26"/>
    <d v="2026-04-05T00:00:00"/>
    <s v="Green"/>
    <n v="10"/>
    <s v="CP-SU-0007"/>
    <s v="-"/>
    <s v="-"/>
    <s v="-"/>
    <s v="-"/>
    <s v="GB"/>
  </r>
  <r>
    <d v="2026-12-05T12:29:00"/>
    <s v="POT86766"/>
    <s v="CFM Asset Reconstruction Pvt Ltd"/>
    <s v="Shirish Shinde"/>
    <s v="CFM_CheckPoint"/>
    <x v="25"/>
    <s v="Rocky Braganza+Nishant Jalan+Shubhangi Srinivasan"/>
    <s v="Self"/>
    <s v="NA"/>
    <s v="Yogesh Bhatia"/>
    <x v="4"/>
    <s v="Endpoint &amp; Email Security"/>
    <s v="Checkpoint"/>
    <s v="Closed Won"/>
    <n v="600000"/>
    <n v="411432"/>
    <n v="0"/>
    <d v="2026-05-06T00:00:00"/>
    <s v="Green"/>
    <n v="10"/>
    <s v="CP-SU-0010"/>
    <s v="-"/>
    <s v="-"/>
    <s v="-"/>
    <s v="-"/>
    <s v="GB"/>
  </r>
  <r>
    <d v="2026-03-06T12:44:00"/>
    <s v="POT87017"/>
    <s v="Lyseis Technologies Pvt. Ltd."/>
    <s v="Sushma Pandurang Arolkar"/>
    <s v="Lyseis_CheckPoint"/>
    <x v="25"/>
    <s v="Rocky Braganza+Nishant Jalan+Shubhangi Srinivasan"/>
    <s v="Self"/>
    <s v="NA"/>
    <s v="Yogesh Bhatia"/>
    <x v="4"/>
    <s v="Firewall"/>
    <s v="Checkpoint"/>
    <s v="Closed Won"/>
    <n v="20617402"/>
    <n v="1000870"/>
    <n v="0"/>
    <s v="15-06-2026"/>
    <s v="Green"/>
    <n v="100"/>
    <s v="-"/>
    <s v="-"/>
    <s v="-"/>
    <s v="-"/>
    <s v="-"/>
    <s v="GB"/>
  </r>
  <r>
    <d v="2026-03-06T14:31:00"/>
    <s v="POT87019"/>
    <s v="WNS Global Services (P) Ltd."/>
    <s v="Akshay Prabhu"/>
    <s v="WNS_iRaje"/>
    <x v="25"/>
    <s v="Rocky Braganza+Nishant Jalan+Shubhangi Srinivasan"/>
    <s v="Self"/>
    <s v="NA"/>
    <s v="Yogesh Bhatia"/>
    <x v="4"/>
    <s v="PAM"/>
    <s v="Iraje"/>
    <s v="Closed Won"/>
    <n v="2611609.2000000002"/>
    <n v="110580"/>
    <n v="130605.2"/>
    <s v="15-06-2026"/>
    <s v="Green"/>
    <n v="100"/>
    <s v="CP-SU-0011"/>
    <s v="-"/>
    <s v="-"/>
    <s v="-"/>
    <s v="-"/>
    <s v="GB"/>
  </r>
  <r>
    <d v="2026-09-06T12:17:00"/>
    <s v="POT87080"/>
    <s v="Lyseis Technologies Pvt. Ltd."/>
    <s v="Sushma Pandurang Arolkar"/>
    <s v="Lyseis_CheckPoint"/>
    <x v="25"/>
    <s v="Rocky Braganza+Nishant Jalan+Shubhangi Srinivasan"/>
    <s v="Self"/>
    <s v="NA"/>
    <s v="Yogesh Bhatia"/>
    <x v="4"/>
    <s v="Firewall"/>
    <s v="Checkpoint"/>
    <s v="Closed Won"/>
    <n v="20617402"/>
    <n v="1000870"/>
    <n v="0"/>
    <s v="15-06-2026"/>
    <s v="Green"/>
    <n v="100"/>
    <s v="-"/>
    <s v="-"/>
    <s v="-"/>
    <s v="-"/>
    <s v="-"/>
    <s v="GB"/>
  </r>
  <r>
    <s v="26-03-2026 3:11 PM"/>
    <s v="POT86356"/>
    <s v="Bank of Baroda"/>
    <s v="shubham sachan"/>
    <s v="NTP"/>
    <x v="13"/>
    <s v="Rocky Braganza+Nishant Jalan+Tasneem K"/>
    <s v="Self"/>
    <s v="NA"/>
    <s v="Nishant Jalan"/>
    <x v="4"/>
    <s v="Security"/>
    <s v="Others"/>
    <s v="Closed Won"/>
    <n v="33000000"/>
    <n v="10000000"/>
    <n v="9088502"/>
    <s v="21-05-2026"/>
    <s v="Green"/>
    <n v="100"/>
    <s v="CP-TK-0008"/>
    <s v="-"/>
    <s v="-"/>
    <s v="-"/>
    <s v="CP-TK-0008 and CP-TK-0009_x000a_Margin as per SP"/>
    <s v="S1"/>
  </r>
  <r>
    <s v="21-04-2026 11:01 AM"/>
    <s v="POT86593"/>
    <s v="Tilaknagar Industries Ltd"/>
    <s v="Gerald Rodrigues"/>
    <s v="tilaknagar sonicwall"/>
    <x v="16"/>
    <s v="Rocky Braganza+Nishant Jalan+Yogesh Bhatia+Jay Rushi"/>
    <s v="Self"/>
    <s v="NA"/>
    <s v="Yogesh Bhatia"/>
    <x v="4"/>
    <s v="DC Networking"/>
    <s v="Sonicwall"/>
    <s v="Closed Won"/>
    <n v="150000"/>
    <n v="20000"/>
    <n v="24600"/>
    <s v="21-04-2026"/>
    <s v="Green"/>
    <n v="80"/>
    <s v="CP-JU-0005"/>
    <s v="-"/>
    <s v="-"/>
    <s v="-"/>
    <s v="Got Approval from Sanjay sir on mail 23/5/26 to change the amount as there was an error in it"/>
    <s v="GB"/>
  </r>
  <r>
    <s v="21-04-2026 1:51 PM"/>
    <s v="POT86595"/>
    <s v="SBM Bank"/>
    <s v="Daniel Muthukaden"/>
    <s v="SBM - NAS AD Integration"/>
    <x v="16"/>
    <s v="Rocky Braganza+Nishant Jalan+Yogesh Bhatia+Jay Rushi"/>
    <s v="Self"/>
    <s v="NA"/>
    <s v="Yogesh Bhatia"/>
    <x v="4"/>
    <s v="Active"/>
    <s v="HP"/>
    <s v="Closed Won"/>
    <n v="127119"/>
    <n v="10000"/>
    <n v="72744"/>
    <d v="2026-11-05T00:00:00"/>
    <s v="Green"/>
    <n v="100"/>
    <s v="PM-JU-0006"/>
    <s v="-"/>
    <s v="-"/>
    <s v="-"/>
    <s v="-"/>
    <s v="GB"/>
  </r>
  <r>
    <s v="26-05-2026 12:24 PM"/>
    <s v="POT86913"/>
    <s v="Tilaknagar Industries Ltd"/>
    <s v="Gerald Rodrigues"/>
    <s v="Tilaknagar Cisco rental"/>
    <x v="16"/>
    <s v="Rocky Braganza+Nishant Jalan+Yogesh Bhatia+Jay Rushi"/>
    <s v="Self"/>
    <s v="NA"/>
    <s v="Yogesh Bhatia"/>
    <x v="4"/>
    <s v="Routing &amp; Switching"/>
    <s v="CISCO"/>
    <s v="Closed Won"/>
    <n v="11000"/>
    <n v="2500"/>
    <n v="0"/>
    <d v="2026-12-06T00:00:00"/>
    <s v="Green"/>
    <n v="90"/>
    <s v="-"/>
    <s v="-"/>
    <s v="-"/>
    <s v="-"/>
    <s v="-"/>
    <s v="GB"/>
  </r>
  <r>
    <s v="28-05-2026 1:16 PM"/>
    <s v="POT86949"/>
    <s v="RIBBON Communication"/>
    <s v="Sandip Deo"/>
    <s v="Ribbon â€“ Dlink, Model - DGS1024"/>
    <x v="16"/>
    <s v="Rocky Braganza+Nishant Jalan+Yogesh Bhatia+Jay Rushi"/>
    <s v="Self"/>
    <s v="NA"/>
    <s v="Yogesh Bhatia"/>
    <x v="4"/>
    <s v="Routing &amp; Switching"/>
    <s v="D-Link"/>
    <s v="Closed Won"/>
    <n v="38395"/>
    <n v="5145"/>
    <n v="5145"/>
    <s v="29-05-2026"/>
    <s v="Green"/>
    <n v="80"/>
    <s v="CP-JU-0013"/>
    <s v="-"/>
    <s v="-"/>
    <s v="-"/>
    <s v="-"/>
    <s v="GB"/>
  </r>
  <r>
    <s v="30-06-2026 1:12 PM"/>
    <s v="POT87258"/>
    <s v="5Sec Cyberpwn Technologies Private Limited"/>
    <s v="Sasidhar Sigipalli"/>
    <s v="Implementation"/>
    <x v="26"/>
    <s v="Rocky Braganza+Nishant Jalan+Yusufali Petiwala"/>
    <s v="Self"/>
    <s v="NA"/>
    <s v="None"/>
    <x v="4"/>
    <s v="Security"/>
    <s v="Others"/>
    <s v="Closed Won"/>
    <n v="5000000"/>
    <n v="250000"/>
    <n v="250000"/>
    <s v="30-06-2026"/>
    <s v="Green"/>
    <n v="100"/>
    <s v="CP-YP-0014"/>
    <s v="-"/>
    <s v="-"/>
    <s v="-"/>
    <s v="5% as per SP - Margin"/>
    <s v="Self"/>
  </r>
  <r>
    <s v="17-04-2026 8:32 PM"/>
    <s v="POT86568"/>
    <s v="Axis Bank Ltd"/>
    <s v="Sarvesh Shrivastava"/>
    <s v="Dell Workstation - 4 Qty"/>
    <x v="9"/>
    <s v="Rohit Deshmukh"/>
    <s v="Enterprise Coverage"/>
    <s v="Rohit Deshmukh"/>
    <s v="None"/>
    <x v="0"/>
    <s v="Workstation"/>
    <s v="Dell"/>
    <s v="Closed Won"/>
    <n v="740000"/>
    <n v="46000"/>
    <n v="57200"/>
    <s v="28-05-2026"/>
    <s v="Green"/>
    <n v="100"/>
    <s v="CG-RD-0006"/>
    <s v="-"/>
    <s v="-"/>
    <s v="-"/>
    <s v="-"/>
    <s v="S2"/>
  </r>
  <r>
    <s v="16-04-2026 1:33 PM"/>
    <s v="POT86543"/>
    <s v="NEWTAP FINANCE PRIVATE LIMITED"/>
    <s v="Nithin HP"/>
    <s v="Apple Mouse &amp; Keyboard"/>
    <x v="10"/>
    <s v="Sagar TR"/>
    <s v="Self"/>
    <s v="NA"/>
    <s v="None"/>
    <x v="0"/>
    <s v="Accessories"/>
    <s v="HP"/>
    <s v="Closed Won"/>
    <n v="30800"/>
    <n v="0"/>
    <n v="0"/>
    <s v="24-04-2026"/>
    <s v="Green"/>
    <n v="100"/>
    <s v="CG-SC-0006"/>
    <s v="-"/>
    <s v="-"/>
    <s v="-"/>
    <s v="OPF no: CG-SC-0006_x000a_Margin is covered under OPF CG-SC-0005 dated: 24.04.2026"/>
    <s v="South"/>
  </r>
  <r>
    <s v="21-04-2026 11:33 AM"/>
    <s v="POT86594"/>
    <s v="THE INK NIBBED"/>
    <s v="Devyani Mohanty"/>
    <s v="Dell 7020 micro PC"/>
    <x v="10"/>
    <s v="Sagar TR"/>
    <s v="Self"/>
    <s v="NA"/>
    <s v="None"/>
    <x v="0"/>
    <s v="Desktop"/>
    <s v="Dell"/>
    <s v="Closed Won"/>
    <n v="128200"/>
    <n v="10100"/>
    <n v="10100"/>
    <s v="21-04-2026"/>
    <s v="Green"/>
    <n v="100"/>
    <s v="CG-SC-0004"/>
    <s v="-"/>
    <s v="-"/>
    <s v="-"/>
    <s v="OPF no: CG-SC-0004"/>
    <s v="South"/>
  </r>
  <r>
    <s v="24-04-2026 2:11 PM"/>
    <s v="POT86614"/>
    <s v="NEWTAP FINANCE PRIVATE LIMITED"/>
    <s v="Nithin HP"/>
    <s v="Poly Headset"/>
    <x v="10"/>
    <s v="Sagar TR"/>
    <s v="Self"/>
    <s v="NA"/>
    <s v="None"/>
    <x v="0"/>
    <s v="Accessories"/>
    <s v="HP"/>
    <s v="Closed Won"/>
    <n v="147500"/>
    <n v="10000"/>
    <n v="10000"/>
    <s v="24-04-2026"/>
    <s v="Green"/>
    <n v="100"/>
    <s v="CG-SC-0005"/>
    <s v="-"/>
    <s v="-"/>
    <s v="-"/>
    <s v="OPF no: CG-SC-0005"/>
    <s v="South"/>
  </r>
  <r>
    <s v="27-04-2026 4:31 PM"/>
    <s v="POT86643"/>
    <s v="THE INK NIBBED"/>
    <s v="Devyani Mohanty"/>
    <s v="Dell 7020 Micro PC"/>
    <x v="10"/>
    <s v="Sagar TR"/>
    <s v="Self"/>
    <s v="NA"/>
    <s v="None"/>
    <x v="0"/>
    <s v="Desktop"/>
    <s v="Dell"/>
    <s v="Closed Won"/>
    <n v="128200"/>
    <n v="10100"/>
    <n v="10100"/>
    <s v="27-04-2026"/>
    <s v="Green"/>
    <n v="100"/>
    <s v="CG-SC-0007"/>
    <s v="-"/>
    <s v="-"/>
    <s v="-"/>
    <s v="OPF no: CG-SC-0007"/>
    <s v="South"/>
  </r>
  <r>
    <s v="30-04-2026 2:09 PM"/>
    <s v="POT86666"/>
    <s v="NEWTAP FINANCE PRIVATE LIMITED"/>
    <s v="Nithin HP"/>
    <s v="Cartridges"/>
    <x v="10"/>
    <s v="Sagar TR"/>
    <s v="Self"/>
    <s v="NA"/>
    <s v="None"/>
    <x v="0"/>
    <s v="Accessories"/>
    <s v="Others"/>
    <s v="Closed Won"/>
    <n v="6950"/>
    <n v="700"/>
    <n v="700"/>
    <s v="30-04-2026"/>
    <s v="Green"/>
    <n v="100"/>
    <s v="CG-SC-0008"/>
    <s v="-"/>
    <s v="-"/>
    <s v="-"/>
    <s v="OPF no: CG-SC-0008"/>
    <s v="South"/>
  </r>
  <r>
    <d v="2026-05-05T11:14:00"/>
    <s v="POT86686"/>
    <s v="ELEXCELLENCE PRIVATE LIMITED"/>
    <s v="Tej Kumar"/>
    <s v="HP 280G9 Desktop with Monitor"/>
    <x v="10"/>
    <s v="Sagar TR"/>
    <s v="Self"/>
    <s v="NA"/>
    <s v="None"/>
    <x v="0"/>
    <s v="Desktop"/>
    <s v="HP"/>
    <s v="Closed Won"/>
    <n v="1717500"/>
    <n v="44375"/>
    <n v="44375"/>
    <d v="2026-06-05T00:00:00"/>
    <s v="Green"/>
    <n v="100"/>
    <s v="CG-SC-0009"/>
    <s v="-"/>
    <s v="-"/>
    <s v="-"/>
    <s v="OPF no: CG-SC-0009"/>
    <s v="South"/>
  </r>
  <r>
    <d v="2026-05-05T15:52:00"/>
    <s v="POT86689"/>
    <s v="ASTRA GLOBAL SKILLS"/>
    <s v="Mukund M"/>
    <s v="HP 280G9 Desktop with Monitor"/>
    <x v="10"/>
    <s v="Sagar TR"/>
    <s v="Self"/>
    <s v="NA"/>
    <s v="None"/>
    <x v="0"/>
    <s v="Desktop"/>
    <s v="HP"/>
    <s v="Closed Won"/>
    <n v="1717500"/>
    <n v="44375"/>
    <n v="44375"/>
    <d v="2026-06-05T00:00:00"/>
    <s v="Green"/>
    <n v="100"/>
    <s v="CG-SC-0010"/>
    <s v="-"/>
    <s v="-"/>
    <s v="-"/>
    <s v="OPF no: CG-SC-0010"/>
    <s v="South"/>
  </r>
  <r>
    <d v="2026-05-05T18:10:00"/>
    <s v="POT86692"/>
    <s v="CHUBB Systems Pvt Ltd"/>
    <s v="sudhindra acharya"/>
    <s v="512GB SD Card"/>
    <x v="10"/>
    <s v="Sagar TR"/>
    <s v="Self"/>
    <s v="NA"/>
    <s v="None"/>
    <x v="0"/>
    <s v="Mobile Devices"/>
    <s v="Others"/>
    <s v="Closed Won"/>
    <n v="70000"/>
    <n v="8269.52"/>
    <n v="8400"/>
    <d v="2026-06-05T00:00:00"/>
    <s v="Green"/>
    <n v="100"/>
    <s v="CG-SC-0011"/>
    <s v="-"/>
    <s v="-"/>
    <s v="-"/>
    <s v="OPF no: CG-SC-0011"/>
    <s v="South"/>
  </r>
  <r>
    <d v="2026-07-05T12:38:00"/>
    <s v="POT86706"/>
    <s v="NEWTAP FINANCE PRIVATE LIMITED"/>
    <s v="Nithin HP"/>
    <s v="Microsoft 365 Business Standard"/>
    <x v="10"/>
    <s v="Sagar TR"/>
    <s v="Self"/>
    <s v="NA"/>
    <s v="None"/>
    <x v="0"/>
    <s v="Accessories"/>
    <s v="Microsoft"/>
    <s v="Closed Won"/>
    <n v="230000"/>
    <n v="15400"/>
    <n v="18600"/>
    <d v="2026-12-05T00:00:00"/>
    <s v="Green"/>
    <n v="100"/>
    <s v="CG-SC-0012"/>
    <s v="-"/>
    <s v="-"/>
    <s v="-"/>
    <s v="OPF no:"/>
    <s v="South"/>
  </r>
  <r>
    <d v="2026-07-05T12:41:00"/>
    <s v="POT86707"/>
    <s v="NEWTAP FINANCE PRIVATE LIMITED"/>
    <s v="Nithin HP"/>
    <s v="Macbook 14inch"/>
    <x v="10"/>
    <s v="Sagar TR"/>
    <s v="Self"/>
    <s v="NA"/>
    <s v="None"/>
    <x v="0"/>
    <s v="Laptop"/>
    <s v="Apple"/>
    <s v="Closed Won"/>
    <n v="317678"/>
    <n v="28000"/>
    <n v="27200.04"/>
    <s v="13-05-2026"/>
    <s v="Green"/>
    <n v="100"/>
    <s v="CG-SC-0014"/>
    <s v="-"/>
    <s v="-"/>
    <s v="-"/>
    <s v="OPF no: CG-SC-0014"/>
    <s v="South"/>
  </r>
  <r>
    <d v="2026-11-05T10:18:00"/>
    <s v="POT86756"/>
    <s v="CHUBB Systems Pvt Ltd"/>
    <s v="sudhindra acharya"/>
    <s v="Seagate HDD &amp; Dlink Accessories"/>
    <x v="10"/>
    <s v="Sagar TR"/>
    <s v="Self"/>
    <s v="NA"/>
    <s v="None"/>
    <x v="0"/>
    <s v="Accessories"/>
    <s v="Others"/>
    <s v="Closed Won"/>
    <n v="101350"/>
    <n v="3200"/>
    <n v="4300"/>
    <s v="13-05-2026"/>
    <s v="Green"/>
    <n v="100"/>
    <s v="CG-SC-0013"/>
    <s v="-"/>
    <s v="-"/>
    <s v="-"/>
    <s v="OPF no: CG-SC-0013"/>
    <s v="South"/>
  </r>
  <r>
    <s v="17-05-2026 6:26 PM"/>
    <s v="POT86813"/>
    <s v="XT Silicon Brains Technologies Private Limited"/>
    <s v="Kumar P"/>
    <s v="Asus NUC"/>
    <x v="10"/>
    <s v="Sagar TR"/>
    <s v="Self"/>
    <s v="NA"/>
    <s v="None"/>
    <x v="0"/>
    <s v="Desktop"/>
    <s v="Others"/>
    <s v="Closed Won"/>
    <n v="336000"/>
    <n v="13600"/>
    <n v="13600"/>
    <s v="18-05-2026"/>
    <s v="Green"/>
    <n v="100"/>
    <s v="CG-SC-0017"/>
    <s v="-"/>
    <s v="-"/>
    <s v="-"/>
    <s v="OPF no: CG-SC-0017"/>
    <s v="South"/>
  </r>
  <r>
    <s v="18-05-2026 5:33 PM"/>
    <s v="POT86833"/>
    <s v="XT Silicon Brains Technologies Private Limited"/>
    <s v="Kumar P"/>
    <s v="Asus NUC"/>
    <x v="10"/>
    <s v="Sagar TR"/>
    <s v="Self"/>
    <s v="NA"/>
    <s v="None"/>
    <x v="0"/>
    <s v="Desktop"/>
    <s v="Others"/>
    <s v="Closed Won"/>
    <n v="84000"/>
    <n v="3400"/>
    <n v="3400"/>
    <s v="18-05-2026"/>
    <s v="Green"/>
    <n v="100"/>
    <s v="CG-SC-0018"/>
    <s v="-"/>
    <s v="-"/>
    <s v="-"/>
    <s v="OPF no: CG-SC-0018"/>
    <s v="South"/>
  </r>
  <r>
    <s v="25-05-2026 12:09 PM"/>
    <s v="POT86899"/>
    <s v="CHUBB Systems Pvt Ltd"/>
    <s v="sudhindra acharya"/>
    <s v="Samsung Monitor"/>
    <x v="10"/>
    <s v="Sagar TR"/>
    <s v="Self"/>
    <s v="NA"/>
    <s v="None"/>
    <x v="0"/>
    <s v="Accessories"/>
    <s v="Samsung"/>
    <s v="Closed Won"/>
    <n v="46000"/>
    <n v="16127.15"/>
    <n v="16127.1"/>
    <s v="25-05-2026"/>
    <s v="Green"/>
    <n v="100"/>
    <s v="CG-SC-0019"/>
    <s v="-"/>
    <s v="-"/>
    <s v="-"/>
    <s v="OPF no: CG-SC-0019"/>
    <s v="South"/>
  </r>
  <r>
    <s v="27-05-2026 3:52 PM"/>
    <s v="POT86936"/>
    <s v="CHUBB Systems Pvt Ltd"/>
    <s v="sudhindra acharya"/>
    <s v="Samsung 43&quot; LED Monitor"/>
    <x v="10"/>
    <s v="Sagar TR"/>
    <s v="Self"/>
    <s v="NA"/>
    <s v="None"/>
    <x v="0"/>
    <s v="Mobile Devices"/>
    <s v="Samsung"/>
    <s v="Closed Won"/>
    <n v="36000"/>
    <n v="7000"/>
    <n v="7000"/>
    <s v="29-05-2026"/>
    <s v="Green"/>
    <n v="100"/>
    <s v="CG-SC-0021"/>
    <s v="-"/>
    <s v="-"/>
    <s v="-"/>
    <s v="OPF no: CG-SC-0021"/>
    <s v="South"/>
  </r>
  <r>
    <d v="2026-02-06T15:19:00"/>
    <s v="POT87010"/>
    <s v="ZENSCIENCES BUSINESS SOLUTIONS LLP"/>
    <s v="Jegan T Bose"/>
    <s v="MS Office o365"/>
    <x v="10"/>
    <s v="Sagar TR"/>
    <s v="Self"/>
    <s v="NA"/>
    <s v="None"/>
    <x v="0"/>
    <s v="Accessories"/>
    <s v="Microsoft"/>
    <s v="Closed Won"/>
    <n v="36000"/>
    <n v="3810"/>
    <n v="4290"/>
    <d v="2026-02-06T00:00:00"/>
    <s v="Green"/>
    <n v="100"/>
    <s v="CG-SC-0024"/>
    <s v="-"/>
    <s v="-"/>
    <s v="-"/>
    <s v="OPF no: CG-SC-0024"/>
    <s v="South"/>
  </r>
  <r>
    <d v="2026-10-06T16:41:00"/>
    <s v="POT87090"/>
    <s v="TECDIA (INDIA) PRIVATE LIMITED"/>
    <s v="Mukund N M"/>
    <s v="HP 440 G11"/>
    <x v="10"/>
    <s v="Sagar TR"/>
    <s v="Self"/>
    <s v="NA"/>
    <s v="None"/>
    <x v="0"/>
    <s v="Laptop"/>
    <s v="HP"/>
    <s v="Closed Won"/>
    <n v="321000"/>
    <n v="12000"/>
    <n v="12000"/>
    <d v="2026-10-06T00:00:00"/>
    <s v="Green"/>
    <n v="100"/>
    <s v="CG-SC-0026"/>
    <s v="-"/>
    <s v="-"/>
    <s v="-"/>
    <s v="OPF no: CG-SC-0026"/>
    <s v="South"/>
  </r>
  <r>
    <d v="2026-11-06T09:12:00"/>
    <s v="POT87091"/>
    <s v="Binary Systems Pvt. Ltd."/>
    <s v="Daniel M"/>
    <s v="HP 16GB RAM DDR5"/>
    <x v="10"/>
    <s v="Sagar TR"/>
    <s v="Self"/>
    <s v="NA"/>
    <s v="None"/>
    <x v="0"/>
    <s v="Accessories"/>
    <s v="HP"/>
    <s v="Closed Won"/>
    <n v="2112000"/>
    <n v="112000"/>
    <n v="112000"/>
    <d v="2026-11-06T00:00:00"/>
    <s v="Green"/>
    <n v="100"/>
    <s v="CG-SC-0027"/>
    <s v="-"/>
    <s v="-"/>
    <s v="-"/>
    <s v="OPF no: CG-SC-0027"/>
    <s v="South"/>
  </r>
  <r>
    <s v="18-06-2026 09:26 AM"/>
    <s v="POT87144"/>
    <s v="CHUBB Systems Pvt Ltd"/>
    <s v="sudhindra acharya"/>
    <s v="Lenovo M70T Desktop"/>
    <x v="10"/>
    <s v="Sagar TR"/>
    <s v="Self"/>
    <s v="NA"/>
    <s v="None"/>
    <x v="0"/>
    <s v="Desktop"/>
    <s v="Lenovo"/>
    <s v="Closed Won"/>
    <n v="111300"/>
    <n v="9850"/>
    <n v="10300"/>
    <s v="18-06-2026"/>
    <s v="Green"/>
    <n v="100"/>
    <s v="CG-SC-0028"/>
    <s v="-"/>
    <s v="-"/>
    <s v="-"/>
    <s v="OPF no: CG-SC-0028"/>
    <s v="South"/>
  </r>
  <r>
    <s v="18-06-2026 09:29 AM"/>
    <s v="POT87145"/>
    <s v="CHUBB Systems Pvt Ltd"/>
    <s v="sudhindra acharya"/>
    <s v="Seagate 8TB HDD"/>
    <x v="10"/>
    <s v="Sagar TR"/>
    <s v="Self"/>
    <s v="NA"/>
    <s v="None"/>
    <x v="0"/>
    <s v="Accessories"/>
    <s v="Others"/>
    <s v="Closed Won"/>
    <n v="30000"/>
    <n v="1000"/>
    <n v="1000"/>
    <s v="18-06-2026"/>
    <s v="Green"/>
    <n v="100"/>
    <s v="CG-SC-0029"/>
    <s v="-"/>
    <s v="-"/>
    <s v="-"/>
    <s v="OPF no: CG-SC-0029"/>
    <s v="South"/>
  </r>
  <r>
    <s v="18-06-2026 09:35 AM"/>
    <s v="POT87146"/>
    <s v="CHUBB Systems Pvt Ltd"/>
    <s v="sudhindra acharya"/>
    <s v="HP 280 G9 Desktop"/>
    <x v="10"/>
    <s v="Sagar TR"/>
    <s v="Self"/>
    <s v="NA"/>
    <s v="None"/>
    <x v="0"/>
    <s v="Desktop"/>
    <s v="HP"/>
    <s v="Closed Won"/>
    <n v="118800"/>
    <n v="9000"/>
    <n v="9800"/>
    <s v="19-06-2026"/>
    <s v="Green"/>
    <n v="100"/>
    <s v="CG-SC-0030"/>
    <s v="-"/>
    <s v="-"/>
    <s v="-"/>
    <s v="OPF no: CG-SC-0030"/>
    <s v="South"/>
  </r>
  <r>
    <s v="22-06-2026 10:27 AM"/>
    <s v="POT87190"/>
    <s v="CHUBB Systems Pvt Ltd"/>
    <s v="sudhindra acharya"/>
    <s v="HP 280 G9 Desktop"/>
    <x v="10"/>
    <s v="Sagar TR"/>
    <s v="Self"/>
    <s v="NA"/>
    <s v="None"/>
    <x v="0"/>
    <s v="Desktop"/>
    <s v="HP"/>
    <s v="Closed Won"/>
    <n v="744000"/>
    <n v="63000"/>
    <n v="63000"/>
    <s v="22-06-2026"/>
    <s v="Green"/>
    <n v="100"/>
    <s v="CG-SC-0031"/>
    <s v="-"/>
    <s v="-"/>
    <s v="-"/>
    <s v="OPF no: CG-SC-0031"/>
    <s v="South"/>
  </r>
  <r>
    <s v="22-06-2026 10:51 AM"/>
    <s v="POT87193"/>
    <s v="CHUBB Systems Pvt Ltd"/>
    <s v="sudhindra acharya"/>
    <s v="Sandisk 512GB SD card"/>
    <x v="10"/>
    <s v="Sagar TR"/>
    <s v="Self"/>
    <s v="NA"/>
    <s v="None"/>
    <x v="0"/>
    <s v="Accessories"/>
    <s v="Others"/>
    <s v="Closed Won"/>
    <n v="250000"/>
    <n v="25000"/>
    <n v="37500"/>
    <s v="22-06-2026"/>
    <s v="Green"/>
    <n v="100"/>
    <s v="CG-SC-0032"/>
    <s v="-"/>
    <s v="-"/>
    <s v="-"/>
    <s v="OPF no: CG-SC-0032"/>
    <s v="South"/>
  </r>
  <r>
    <s v="29-06-2026 09:31 AM"/>
    <s v="POT87238"/>
    <s v="CHUBB Systems Pvt Ltd"/>
    <s v="sudhindra acharya"/>
    <s v="Lenovo 70T with Monitor"/>
    <x v="10"/>
    <s v="Sagar TR"/>
    <s v="Self"/>
    <s v="NA"/>
    <s v="None"/>
    <x v="0"/>
    <s v="Desktop"/>
    <s v="Lenovo"/>
    <s v="Closed Won"/>
    <n v="93250"/>
    <n v="3750"/>
    <n v="3750"/>
    <s v="29-06-2026"/>
    <s v="Green"/>
    <n v="100"/>
    <s v="CG-SC-0035"/>
    <s v="-"/>
    <s v="-"/>
    <s v="-"/>
    <s v="OPF no: CG-SC-0035"/>
    <s v="South"/>
  </r>
  <r>
    <s v="14-05-2026 11:48 AM"/>
    <s v="POT86773"/>
    <s v="ITMantra TechIntellect Pvt Ltd"/>
    <s v="Minakshi J"/>
    <s v="Engineer visit charges"/>
    <x v="27"/>
    <s v="Sandeep Makwana+Jitesh Rajput+Anil Zachariah"/>
    <s v="Self"/>
    <s v="NA"/>
    <s v="Jitesh Rajput"/>
    <x v="3"/>
    <s v="Time &amp; Material Services"/>
    <s v="Others"/>
    <s v="Closed Won"/>
    <n v="5250"/>
    <n v="4000"/>
    <n v="4000"/>
    <s v="14-05-2026"/>
    <s v="Green"/>
    <n v="100"/>
    <s v="PM-JI-0001"/>
    <s v="-"/>
    <s v="-"/>
    <s v="-"/>
    <s v="-"/>
    <s v="BU - Cloud"/>
  </r>
  <r>
    <d v="2026-03-06T12:06:00"/>
    <s v="POT87016"/>
    <s v="ITMantra TechIntellect Pvt Ltd"/>
    <s v="Minakshi J"/>
    <s v="Engineer visit charges"/>
    <x v="27"/>
    <s v="Sandeep Makwana+Jitesh Rajput+Anil Zachariah"/>
    <s v="Self"/>
    <s v="NA"/>
    <s v="Jitesh Rajput"/>
    <x v="3"/>
    <s v="Time &amp; Material Services"/>
    <s v="Others"/>
    <s v="Closed Won"/>
    <n v="5400"/>
    <n v="4500"/>
    <n v="0"/>
    <d v="2026-03-06T00:00:00"/>
    <s v="Green"/>
    <n v="100"/>
    <s v="-"/>
    <s v="-"/>
    <s v="-"/>
    <s v="-"/>
    <s v="-"/>
    <s v="BU - Cloud"/>
  </r>
  <r>
    <s v="17-06-2026 4:31 PM"/>
    <s v="POT87135"/>
    <s v="Madhu Infotech India Pvt. Ltd"/>
    <s v="Sebastian M G"/>
    <s v="Zero touch integration"/>
    <x v="27"/>
    <s v="Sandeep Makwana+Jitesh Rajput+Anil Zachariah"/>
    <s v="Self"/>
    <s v="NA"/>
    <s v="Anoop Pai Dhungat"/>
    <x v="3"/>
    <s v="Time &amp; Material Services"/>
    <s v="Others"/>
    <s v="Closed Won"/>
    <n v="4830"/>
    <n v="4830"/>
    <n v="3905"/>
    <s v="17-06-2026"/>
    <s v="Green"/>
    <n v="100"/>
    <s v="PM-JI-0003"/>
    <s v="-"/>
    <s v="-"/>
    <s v="-"/>
    <s v="-"/>
    <s v="BU - Cloud"/>
  </r>
  <r>
    <s v="25-05-2026 09:43 AM"/>
    <s v="POT86888"/>
    <s v="Alkem Laboratories Limited"/>
    <s v="Hemant Dhamane"/>
    <s v="Docker Pro - License  - 01"/>
    <x v="23"/>
    <s v="Sandeep Makwana+Jitesh Rajput+Anil Zachariah+Jimesh Shah"/>
    <s v="Self"/>
    <s v="NA"/>
    <s v="Sandeep Makwana"/>
    <x v="2"/>
    <s v="Cloud"/>
    <s v="Others"/>
    <s v="Closed Won"/>
    <n v="32000"/>
    <n v="7000"/>
    <n v="7000"/>
    <s v="25-05-2026"/>
    <s v="Green"/>
    <n v="100"/>
    <s v="CL-JS-0004"/>
    <s v="-"/>
    <s v="-"/>
    <s v="-"/>
    <s v="PO received"/>
    <s v="TL - CB"/>
  </r>
  <r>
    <d v="2026-02-04T15:40:00"/>
    <s v="POT86393"/>
    <s v="Emcure Pharmaceuticals Ltd"/>
    <s v="Vijay Sidhapura"/>
    <s v="DELL 12 QTY NB"/>
    <x v="17"/>
    <s v="Sanjay Patodia+Hrushikesh Bagade"/>
    <s v="Self"/>
    <s v="NA"/>
    <s v="Sanjay Patodia"/>
    <x v="0"/>
    <s v="Laptop"/>
    <s v="Dell"/>
    <s v="Closed Won"/>
    <n v="846144"/>
    <n v="60144"/>
    <n v="60144"/>
    <d v="2026-02-04T00:00:00"/>
    <s v="Green"/>
    <n v="100"/>
    <s v="CG-HB-0005"/>
    <s v="-"/>
    <s v="-"/>
    <s v="-"/>
    <s v="EU was looking DELL NB, price sent, PO received"/>
    <s v="Geo X"/>
  </r>
  <r>
    <d v="2026-02-04T15:55:00"/>
    <s v="POT86395"/>
    <s v="Emcure Pharmaceuticals Ltd"/>
    <s v="Vijay Sidhapura"/>
    <s v="DELL 12 QTY NB PO 2"/>
    <x v="17"/>
    <s v="Sanjay Patodia+Hrushikesh Bagade"/>
    <s v="Self"/>
    <s v="NA"/>
    <s v="Sanjay Patodia"/>
    <x v="0"/>
    <s v="Laptop"/>
    <s v="Dell"/>
    <s v="Closed Won"/>
    <n v="846144"/>
    <n v="60144"/>
    <n v="60144"/>
    <d v="2026-02-04T00:00:00"/>
    <s v="Green"/>
    <n v="100"/>
    <s v="CG-HB-0006"/>
    <s v="-"/>
    <s v="-"/>
    <s v="-"/>
    <s v="EU was looking DELL NB, price sent, PO received"/>
    <s v="Geo X"/>
  </r>
  <r>
    <d v="2026-02-04T16:11:00"/>
    <s v="POT86396"/>
    <s v="Emcure Pharmaceuticals Ltd"/>
    <s v="Vijay Sidhapura"/>
    <s v="DELL Laptops 9 QTY"/>
    <x v="17"/>
    <s v="Sanjay Patodia+Hrushikesh Bagade"/>
    <s v="Self"/>
    <s v="NA"/>
    <s v="Sanjay Patodia"/>
    <x v="0"/>
    <s v="Laptop"/>
    <s v="Dell"/>
    <s v="Closed Won"/>
    <n v="634608"/>
    <n v="45108"/>
    <n v="45108"/>
    <d v="2026-02-04T00:00:00"/>
    <s v="Green"/>
    <n v="100"/>
    <s v="CG-HB-0007"/>
    <s v="-"/>
    <s v="-"/>
    <s v="-"/>
    <s v="EU was looking DELL NB, price sent, PO received"/>
    <s v="Geo X"/>
  </r>
  <r>
    <d v="2026-02-04T16:20:00"/>
    <s v="POT86397"/>
    <s v="Emcure Pharmaceuticals Ltd"/>
    <s v="Vijay Sidhapura"/>
    <s v="DELL Laptops 4 QTY"/>
    <x v="17"/>
    <s v="Sanjay Patodia+Hrushikesh Bagade"/>
    <s v="Self"/>
    <s v="NA"/>
    <s v="Sanjay Patodia"/>
    <x v="0"/>
    <s v="Laptop"/>
    <s v="Dell"/>
    <s v="Closed Won"/>
    <n v="282048"/>
    <n v="20048"/>
    <n v="20048"/>
    <d v="2026-02-04T00:00:00"/>
    <s v="Green"/>
    <n v="100"/>
    <s v="CG-HB-0008"/>
    <s v="-"/>
    <s v="-"/>
    <s v="-"/>
    <s v="EU was looking DELL NB, price sent, PO received"/>
    <s v="Geo X"/>
  </r>
  <r>
    <d v="2026-02-04T17:13:00"/>
    <s v="POT86398"/>
    <s v="Emcure Pharmaceuticals Ltd"/>
    <s v="Vijay Sidhapura"/>
    <s v="DELL Laptops 3 QTY"/>
    <x v="17"/>
    <s v="Sanjay Patodia+Hrushikesh Bagade"/>
    <s v="Self"/>
    <s v="NA"/>
    <s v="Sanjay Patodia"/>
    <x v="0"/>
    <s v="Laptop"/>
    <s v="Dell"/>
    <s v="Closed Won"/>
    <n v="211536"/>
    <n v="15036"/>
    <n v="15036"/>
    <d v="2026-02-04T00:00:00"/>
    <s v="Green"/>
    <n v="100"/>
    <s v="CG-HB-0009"/>
    <s v="-"/>
    <s v="-"/>
    <s v="-"/>
    <s v="EU was looking DELL NB, price sent, PO received"/>
    <s v="Geo X"/>
  </r>
  <r>
    <d v="2026-02-04T17:47:00"/>
    <s v="POT86399"/>
    <s v="Emcure Pharmaceuticals Ltd"/>
    <s v="Vijay Sidhapura"/>
    <s v="DELL Laptops 1 QTY"/>
    <x v="17"/>
    <s v="Sanjay Patodia+Hrushikesh Bagade"/>
    <s v="Self"/>
    <s v="NA"/>
    <s v="Sanjay Patodia"/>
    <x v="0"/>
    <s v="Laptop"/>
    <s v="Dell"/>
    <s v="Closed Won"/>
    <n v="70512"/>
    <n v="5012"/>
    <n v="5012"/>
    <d v="2026-02-04T00:00:00"/>
    <s v="Green"/>
    <n v="100"/>
    <s v="CG-HB-0003"/>
    <s v="-"/>
    <s v="-"/>
    <s v="-"/>
    <s v="EU was looking DELL NB, price sent, PO received"/>
    <s v="Geo X"/>
  </r>
  <r>
    <d v="2026-02-04T18:01:00"/>
    <s v="POT86400"/>
    <s v="Emcure Pharmaceuticals Ltd"/>
    <s v="Vijay Sidhapura"/>
    <s v="PO 2 DELL NB 4QTY"/>
    <x v="17"/>
    <s v="Sanjay Patodia+Hrushikesh Bagade"/>
    <s v="Self"/>
    <s v="NA"/>
    <s v="Sanjay Patodia"/>
    <x v="0"/>
    <s v="Laptop"/>
    <s v="Dell"/>
    <s v="Closed Won"/>
    <n v="282048"/>
    <n v="20048"/>
    <n v="20048"/>
    <d v="2026-02-04T00:00:00"/>
    <s v="Green"/>
    <n v="100"/>
    <s v="CG-HB-0004"/>
    <s v="-"/>
    <s v="-"/>
    <s v="-"/>
    <s v="EU was looking DELL NB, price sent, PO received"/>
    <s v="Geo X"/>
  </r>
  <r>
    <d v="2026-02-04T18:30:00"/>
    <s v="POT86401"/>
    <s v="Emcure Pharmaceuticals Ltd"/>
    <s v="Vijay Sidhapura"/>
    <s v="DELL Laptops 2 QTY"/>
    <x v="17"/>
    <s v="Sanjay Patodia+Hrushikesh Bagade"/>
    <s v="Self"/>
    <s v="NA"/>
    <s v="Sanjay Patodia"/>
    <x v="0"/>
    <s v="Laptop"/>
    <s v="Dell"/>
    <s v="Closed Won"/>
    <n v="141024"/>
    <n v="10024"/>
    <n v="10024"/>
    <d v="2026-02-04T00:00:00"/>
    <s v="Green"/>
    <n v="100"/>
    <s v="CG-HB-0010"/>
    <s v="-"/>
    <s v="-"/>
    <s v="-"/>
    <s v="EU was looking DELL NB, price sent, PO received"/>
    <s v="Geo X"/>
  </r>
  <r>
    <d v="2026-02-04T18:35:00"/>
    <s v="POT86402"/>
    <s v="Emcure Pharmaceuticals Ltd"/>
    <s v="Vijay Sidhapura"/>
    <s v="DELL Laptops 1 QTY PO2"/>
    <x v="17"/>
    <s v="Sanjay Patodia+Hrushikesh Bagade"/>
    <s v="Self"/>
    <s v="NA"/>
    <s v="Sanjay Patodia"/>
    <x v="0"/>
    <s v="Laptop"/>
    <s v="Dell"/>
    <s v="Closed Won"/>
    <n v="70512"/>
    <n v="5012"/>
    <n v="5012"/>
    <d v="2026-02-04T00:00:00"/>
    <s v="Green"/>
    <n v="100"/>
    <s v="CG-HB-0011"/>
    <s v="-"/>
    <s v="-"/>
    <s v="-"/>
    <s v="EU was looking DELL NB, price sent, PO received"/>
    <s v="Geo X"/>
  </r>
  <r>
    <d v="2026-02-04T19:12:00"/>
    <s v="POT86404"/>
    <s v="Emcure Pharmaceuticals Ltd"/>
    <s v="Vijay Sidhapura"/>
    <s v="DELL Laptops 1 QTY PO4"/>
    <x v="17"/>
    <s v="Sanjay Patodia+Hrushikesh Bagade"/>
    <s v="Self"/>
    <s v="NA"/>
    <s v="Sanjay Patodia"/>
    <x v="0"/>
    <s v="Laptop"/>
    <s v="Dell"/>
    <s v="Closed Won"/>
    <n v="70512"/>
    <n v="5012"/>
    <n v="5012"/>
    <d v="2026-02-04T00:00:00"/>
    <s v="Green"/>
    <n v="100"/>
    <s v="CG-HB-0012"/>
    <s v="-"/>
    <s v="-"/>
    <s v="-"/>
    <s v="EU was looking DELL NB, price sent, PO received"/>
    <s v="Geo X"/>
  </r>
  <r>
    <d v="2026-02-04T19:24:00"/>
    <s v="POT86405"/>
    <s v="Emcure Pharmaceuticals Ltd"/>
    <s v="Vijay Sidhapura"/>
    <s v="DELL Laptops 2 QTY PO2"/>
    <x v="17"/>
    <s v="Sanjay Patodia+Hrushikesh Bagade"/>
    <s v="Self"/>
    <s v="NA"/>
    <s v="Sanjay Patodia"/>
    <x v="0"/>
    <s v="Laptop"/>
    <s v="Dell"/>
    <s v="Closed Won"/>
    <n v="141024"/>
    <n v="10024"/>
    <n v="10024"/>
    <d v="2026-02-04T00:00:00"/>
    <s v="Green"/>
    <n v="100"/>
    <s v="CG-HB-0013"/>
    <s v="-"/>
    <s v="-"/>
    <s v="-"/>
    <s v="EU was looking DELL NB, price sent, PO received"/>
    <s v="Geo X"/>
  </r>
  <r>
    <d v="2026-02-04T19:32:00"/>
    <s v="POT86406"/>
    <s v="Emcure Pharmaceuticals Ltd"/>
    <s v="Vijay Sidhapura"/>
    <s v="DELL Laptops 1 QTY PO5"/>
    <x v="17"/>
    <s v="Sanjay Patodia+Hrushikesh Bagade"/>
    <s v="Self"/>
    <s v="NA"/>
    <s v="Sanjay Patodia"/>
    <x v="0"/>
    <s v="Laptop"/>
    <s v="Dell"/>
    <s v="Closed Won"/>
    <n v="70512"/>
    <n v="10024"/>
    <n v="5012"/>
    <d v="2026-02-04T00:00:00"/>
    <s v="Green"/>
    <n v="100"/>
    <s v="CG-HB-0014"/>
    <s v="-"/>
    <s v="-"/>
    <s v="-"/>
    <s v="EU was looking DELL NB, price sent, PO received"/>
    <s v="Geo X"/>
  </r>
  <r>
    <d v="2026-02-04T19:39:00"/>
    <s v="POT86407"/>
    <s v="Emcure Pharmaceuticals Ltd"/>
    <s v="Vijay Sidhapura"/>
    <s v="DELL Laptops 2 QTY PO3"/>
    <x v="17"/>
    <s v="Sanjay Patodia+Hrushikesh Bagade"/>
    <s v="Self"/>
    <s v="NA"/>
    <s v="Sanjay Patodia"/>
    <x v="0"/>
    <s v="Laptop"/>
    <s v="Dell"/>
    <s v="Closed Won"/>
    <n v="141024"/>
    <n v="10024"/>
    <n v="10024"/>
    <d v="2026-02-04T00:00:00"/>
    <s v="Green"/>
    <n v="100"/>
    <s v="CG-HB-0015"/>
    <s v="-"/>
    <s v="-"/>
    <s v="-"/>
    <s v="EU was looking DELL NB, price sent, PO received"/>
    <s v="Geo X"/>
  </r>
  <r>
    <d v="2026-05-04T13:26:00"/>
    <s v="POT86422"/>
    <s v="ZUVENTUS HEALTHCARE LIMITED"/>
    <s v="Vijay Sidhapura"/>
    <s v="DELL Laptops 2 QTY"/>
    <x v="17"/>
    <s v="Sanjay Patodia+Hrushikesh Bagade"/>
    <s v="Self"/>
    <s v="NA"/>
    <s v="Sanjay Patodia"/>
    <x v="0"/>
    <s v="Laptop"/>
    <s v="Dell"/>
    <s v="Closed Won"/>
    <n v="141024"/>
    <n v="10024"/>
    <n v="10024"/>
    <d v="2026-05-04T00:00:00"/>
    <s v="Green"/>
    <n v="100"/>
    <s v="CG-HB-0017"/>
    <s v="-"/>
    <s v="-"/>
    <s v="-"/>
    <s v="EU was looking DELL NB, price sent, PO received"/>
    <s v="Geo X"/>
  </r>
  <r>
    <d v="2026-05-04T13:29:00"/>
    <s v="POT86423"/>
    <s v="GENNOVA BIOPHARMACEUTICALS LIMITED"/>
    <s v="Vijay Sidhapura"/>
    <s v="DELL Laptops 3 QTY"/>
    <x v="17"/>
    <s v="Sanjay Patodia+Hrushikesh Bagade"/>
    <s v="Self"/>
    <s v="NA"/>
    <s v="Sanjay Patodia"/>
    <x v="0"/>
    <s v="Laptop"/>
    <s v="Dell"/>
    <s v="Closed Won"/>
    <n v="211536"/>
    <n v="15036"/>
    <n v="15036"/>
    <d v="2026-05-04T00:00:00"/>
    <s v="Green"/>
    <n v="100"/>
    <s v="CG-HB-0016"/>
    <s v="-"/>
    <s v="-"/>
    <s v="-"/>
    <s v="EU was looking DELL NB, price sent, PO received"/>
    <s v="Geo X"/>
  </r>
  <r>
    <d v="2026-05-04T14:19:00"/>
    <s v="POT86424"/>
    <s v="GENNOVA BIOPHARMACEUTICALS LIMITED"/>
    <s v="Vijay Sidhapura"/>
    <s v="DELL Laptops 7 QTY"/>
    <x v="17"/>
    <s v="Sanjay Patodia+Hrushikesh Bagade"/>
    <s v="Self"/>
    <s v="NA"/>
    <s v="Sanjay Patodia"/>
    <x v="0"/>
    <s v="Laptop"/>
    <s v="Others"/>
    <s v="Closed Won"/>
    <n v="493584"/>
    <n v="35084"/>
    <n v="35084"/>
    <d v="2026-05-04T00:00:00"/>
    <s v="Green"/>
    <n v="100"/>
    <s v="CG-HB-0019"/>
    <s v="-"/>
    <s v="-"/>
    <s v="-"/>
    <s v="EU was looking DELL NB, price sent, PO received"/>
    <s v="Geo X"/>
  </r>
  <r>
    <d v="2026-05-04T14:22:00"/>
    <s v="POT86425"/>
    <s v="GENNOVA BIOPHARMACEUTICALS LIMITED"/>
    <s v="Vijay Sidhapura"/>
    <s v="DELL Laptops 2 QTY"/>
    <x v="17"/>
    <s v="Sanjay Patodia+Hrushikesh Bagade"/>
    <s v="Self"/>
    <s v="NA"/>
    <s v="Sanjay Patodia"/>
    <x v="0"/>
    <s v="Laptop"/>
    <s v="Dell"/>
    <s v="Closed Won"/>
    <n v="141024"/>
    <n v="10024"/>
    <n v="10024"/>
    <d v="2026-05-04T00:00:00"/>
    <s v="Green"/>
    <n v="100"/>
    <s v="CG-HB-0023"/>
    <s v="-"/>
    <s v="-"/>
    <s v="-"/>
    <s v="EU was looking DELL NB, price sent, PO received"/>
    <s v="Geo X"/>
  </r>
  <r>
    <d v="2026-05-04T14:23:00"/>
    <s v="POT86426"/>
    <s v="GENNOVA BIOPHARMACEUTICALS LIMITED"/>
    <s v="Vijay Sidhapura"/>
    <s v="DELL Laptops 1 QTY"/>
    <x v="17"/>
    <s v="Sanjay Patodia+Hrushikesh Bagade"/>
    <s v="Self"/>
    <s v="NA"/>
    <s v="Sanjay Patodia"/>
    <x v="0"/>
    <s v="Laptop"/>
    <s v="Others"/>
    <s v="Closed Won"/>
    <n v="70512"/>
    <n v="5012"/>
    <n v="5012"/>
    <d v="2026-05-04T00:00:00"/>
    <s v="Green"/>
    <n v="100"/>
    <s v="CG-HB-0022"/>
    <s v="-"/>
    <s v="-"/>
    <s v="-"/>
    <s v="EU was looking DELL NB, price sent, PO received"/>
    <s v="Geo X"/>
  </r>
  <r>
    <d v="2026-05-04T14:26:00"/>
    <s v="POT86427"/>
    <s v="GENNOVA BIOPHARMACEUTICALS LIMITED"/>
    <s v="Vijay Sidhapura"/>
    <s v="DELL Laptops 5 QTY"/>
    <x v="17"/>
    <s v="Sanjay Patodia+Hrushikesh Bagade"/>
    <s v="Self"/>
    <s v="NA"/>
    <s v="Sanjay Patodia"/>
    <x v="0"/>
    <s v="Laptop"/>
    <s v="Others"/>
    <s v="Closed Won"/>
    <n v="352560"/>
    <n v="25060"/>
    <n v="25060"/>
    <d v="2026-05-04T00:00:00"/>
    <s v="Green"/>
    <n v="100"/>
    <s v="CG-HB-0020"/>
    <s v="-"/>
    <s v="-"/>
    <s v="-"/>
    <s v="EU was looking DELL NB, price sent, PO received"/>
    <s v="Geo X"/>
  </r>
  <r>
    <d v="2026-05-04T14:28:00"/>
    <s v="POT86428"/>
    <s v="GENNOVA BIOPHARMACEUTICALS LIMITED"/>
    <s v="Vijay Sidhapura"/>
    <s v="DELL Laptops 1 QTY PO2"/>
    <x v="17"/>
    <s v="Sanjay Patodia+Hrushikesh Bagade"/>
    <s v="Self"/>
    <s v="NA"/>
    <s v="Sanjay Patodia"/>
    <x v="0"/>
    <s v="Laptop"/>
    <s v="Others"/>
    <s v="Closed Won"/>
    <n v="70512"/>
    <n v="5012"/>
    <n v="5012"/>
    <d v="2026-05-04T00:00:00"/>
    <s v="Green"/>
    <n v="100"/>
    <s v="CG-HB-0024"/>
    <s v="-"/>
    <s v="-"/>
    <s v="-"/>
    <s v="EU was looking DELL NB, price sent, PO received"/>
    <s v="Geo X"/>
  </r>
  <r>
    <d v="2026-05-04T14:29:00"/>
    <s v="POT86429"/>
    <s v="GENNOVA BIOPHARMACEUTICALS LIMITED"/>
    <s v="Vijay Sidhapura"/>
    <s v="DELL Laptops 1 QTY PO3"/>
    <x v="17"/>
    <s v="Sanjay Patodia+Hrushikesh Bagade"/>
    <s v="Self"/>
    <s v="NA"/>
    <s v="Sanjay Patodia"/>
    <x v="0"/>
    <s v="Laptop"/>
    <s v="Others"/>
    <s v="Closed Won"/>
    <n v="70512"/>
    <n v="5012"/>
    <n v="5012"/>
    <d v="2026-05-04T00:00:00"/>
    <s v="Green"/>
    <n v="100"/>
    <s v="CG-HB-0025"/>
    <s v="-"/>
    <s v="-"/>
    <s v="-"/>
    <s v="EU was looking DELL NB, price sent, PO received"/>
    <s v="Geo X"/>
  </r>
  <r>
    <d v="2026-05-04T14:32:00"/>
    <s v="POT86430"/>
    <s v="GENNOVA BIOPHARMACEUTICALS LIMITED"/>
    <s v="Vijay Sidhapura"/>
    <s v="DELL Laptops 10 QTY"/>
    <x v="17"/>
    <s v="Sanjay Patodia+Hrushikesh Bagade"/>
    <s v="Self"/>
    <s v="NA"/>
    <s v="Sanjay Patodia"/>
    <x v="0"/>
    <s v="Laptop"/>
    <s v="Others"/>
    <s v="Closed Won"/>
    <n v="705120"/>
    <n v="50120"/>
    <n v="50120"/>
    <d v="2026-05-04T00:00:00"/>
    <s v="Green"/>
    <n v="100"/>
    <s v="CG-HB-0021"/>
    <s v="-"/>
    <s v="-"/>
    <s v="-"/>
    <s v="EU was looking DELL NB, price sent, PO received"/>
    <s v="Geo X"/>
  </r>
  <r>
    <d v="2026-05-04T14:36:00"/>
    <s v="POT86431"/>
    <s v="GENNOVA BIOPHARMACEUTICALS LIMITED"/>
    <s v="Vijay Sidhapura"/>
    <s v="DELL Laptops 2 QTY PO2"/>
    <x v="17"/>
    <s v="Sanjay Patodia+Hrushikesh Bagade"/>
    <s v="Self"/>
    <s v="NA"/>
    <s v="Sanjay Patodia"/>
    <x v="0"/>
    <s v="Laptop"/>
    <s v="Others"/>
    <s v="Closed Won"/>
    <n v="141024"/>
    <n v="10024"/>
    <n v="10024"/>
    <d v="2026-05-04T00:00:00"/>
    <s v="Green"/>
    <n v="100"/>
    <s v="CG-HB-0018"/>
    <s v="-"/>
    <s v="-"/>
    <s v="-"/>
    <s v="EU was looking DELL NB, price sent, PO received"/>
    <s v="Geo X"/>
  </r>
  <r>
    <s v="23-04-2026 8:04 PM"/>
    <s v="POT86607"/>
    <s v="Emcure Pharmaceuticals Ltd"/>
    <s v="Vijay Sidhapura"/>
    <s v="DELL Laptops 1 QTY"/>
    <x v="17"/>
    <s v="Sanjay Patodia+Hrushikesh Bagade"/>
    <s v="Self"/>
    <s v="NA"/>
    <s v="Sanjay Patodia"/>
    <x v="0"/>
    <s v="Laptop"/>
    <s v="Dell"/>
    <s v="Closed Won"/>
    <n v="70512"/>
    <n v="5012"/>
    <n v="5012"/>
    <s v="23-04-2026"/>
    <s v="Green"/>
    <n v="100"/>
    <s v="CG-HB-0026"/>
    <s v="-"/>
    <s v="-"/>
    <s v="-"/>
    <s v="EU was looking DELL NB, price sent, PO received"/>
    <s v="Geo X"/>
  </r>
  <r>
    <s v="29-05-2026 11:52 AM"/>
    <s v="POT86951"/>
    <s v="Emcure Pharmaceuticals Ltd"/>
    <s v="Vijay Sidhapura"/>
    <s v="Emcure DELL NB P1 3 QTY"/>
    <x v="17"/>
    <s v="Sanjay Patodia+Hrushikesh Bagade"/>
    <s v="Self"/>
    <s v="NA"/>
    <s v="Sanjay Patodia"/>
    <x v="0"/>
    <s v="Laptop"/>
    <s v="Dell"/>
    <s v="Closed Won"/>
    <n v="217500"/>
    <n v="21000"/>
    <n v="21000"/>
    <s v="29-05-2026"/>
    <s v="Green"/>
    <n v="100"/>
    <s v="CG-HB-0035"/>
    <s v="-"/>
    <s v="-"/>
    <s v="-"/>
    <s v="EU want DELL laptop price, quote sent, order received"/>
    <s v="Geo X"/>
  </r>
  <r>
    <s v="29-05-2026 11:55 AM"/>
    <s v="POT86952"/>
    <s v="Emcure Pharmaceuticals Ltd"/>
    <s v="Vijay Sidhapura"/>
    <s v="Emcure DELL NB P2 1 QTY"/>
    <x v="17"/>
    <s v="Sanjay Patodia+Hrushikesh Bagade"/>
    <s v="Self"/>
    <s v="NA"/>
    <s v="Sanjay Patodia"/>
    <x v="0"/>
    <s v="Laptop"/>
    <s v="Dell"/>
    <s v="Closed Won"/>
    <n v="72500"/>
    <n v="7000"/>
    <n v="7000"/>
    <s v="29-05-2026"/>
    <s v="Green"/>
    <n v="100"/>
    <s v="CG-HB-0036"/>
    <s v="-"/>
    <s v="-"/>
    <s v="-"/>
    <s v="EU want DELL laptop price, quote sent, order received"/>
    <s v="Geo X"/>
  </r>
  <r>
    <s v="29-05-2026 11:58 AM"/>
    <s v="POT86953"/>
    <s v="Emcure Pharmaceuticals Ltd"/>
    <s v="Vijay Sidhapura"/>
    <s v="Emcure DELL NB P3 2 QTY"/>
    <x v="17"/>
    <s v="Sanjay Patodia+Hrushikesh Bagade"/>
    <s v="Self"/>
    <s v="NA"/>
    <s v="Sanjay Patodia"/>
    <x v="0"/>
    <s v="Laptop"/>
    <s v="Dell"/>
    <s v="Closed Won"/>
    <n v="145000"/>
    <n v="14000"/>
    <n v="14000"/>
    <s v="29-05-2026"/>
    <s v="Green"/>
    <n v="100"/>
    <s v="CG-HB-0037"/>
    <s v="-"/>
    <s v="-"/>
    <s v="-"/>
    <s v="EU want DELL laptop price, quote sent, order received"/>
    <s v="Geo X"/>
  </r>
  <r>
    <s v="29-05-2026 12:04 PM"/>
    <s v="POT86954"/>
    <s v="GENNOVA BIOPHARMACEUTICALS LIMITED"/>
    <s v="Vijay Sidhapura"/>
    <s v="Gennova DELL NB P1 1 QTY"/>
    <x v="17"/>
    <s v="Sanjay Patodia+Hrushikesh Bagade"/>
    <s v="Self"/>
    <s v="NA"/>
    <s v="Sanjay Patodia"/>
    <x v="0"/>
    <s v="Laptop"/>
    <s v="Dell"/>
    <s v="Closed Won"/>
    <n v="72500"/>
    <n v="7000"/>
    <n v="7000"/>
    <s v="30-05-2026"/>
    <s v="Green"/>
    <n v="100"/>
    <s v="CG-HB-0038"/>
    <s v="-"/>
    <s v="-"/>
    <s v="-"/>
    <s v="EU want DELL laptop price, quote sent, order received"/>
    <s v="Geo X"/>
  </r>
  <r>
    <s v="29-05-2026 7:22 PM"/>
    <s v="POT86975"/>
    <s v="GENNOVA BIOPHARMACEUTICALS LIMITED"/>
    <s v="Vijay Sidhapura"/>
    <s v="DELL Laptops 9 QTY"/>
    <x v="17"/>
    <s v="Sanjay Patodia+Hrushikesh Bagade"/>
    <s v="Self"/>
    <s v="NA"/>
    <s v="Sanjay Patodia"/>
    <x v="0"/>
    <s v="Laptop"/>
    <s v="Dell"/>
    <s v="Closed Won"/>
    <n v="652500"/>
    <n v="63000"/>
    <n v="63000"/>
    <s v="29-05-2026"/>
    <s v="Green"/>
    <n v="100"/>
    <s v="CG-HB-0040"/>
    <s v="-"/>
    <s v="-"/>
    <s v="-"/>
    <s v="EU want DELL laptop price, quote sent, order received"/>
    <s v="Geo X"/>
  </r>
  <r>
    <d v="2026-03-06T15:48:00"/>
    <s v="POT87020"/>
    <s v="GENNOVA BIOPHARMACEUTICALS LIMITED"/>
    <s v="Vijay Sidhapura"/>
    <s v="DELL Laptops 8 QTY"/>
    <x v="17"/>
    <s v="Sanjay Patodia+Hrushikesh Bagade"/>
    <s v="Self"/>
    <s v="NA"/>
    <s v="Sanjay Patodia"/>
    <x v="0"/>
    <s v="Laptop"/>
    <s v="Dell"/>
    <s v="Closed Won"/>
    <n v="580000"/>
    <n v="56000"/>
    <n v="56000"/>
    <d v="2026-03-06T00:00:00"/>
    <s v="Green"/>
    <n v="100"/>
    <s v="CG-HB-0043"/>
    <s v="-"/>
    <s v="-"/>
    <s v="-"/>
    <s v="EU looking for 8QTY DELL NB, price sent, po received"/>
    <s v="Geo X"/>
  </r>
  <r>
    <d v="2026-03-06T15:50:00"/>
    <s v="POT87021"/>
    <s v="Emcure Pharmaceuticals Ltd"/>
    <s v="Vijay Sidhapura"/>
    <s v="DELL Laptops 1 QTY"/>
    <x v="17"/>
    <s v="Sanjay Patodia+Hrushikesh Bagade"/>
    <s v="Self"/>
    <s v="NA"/>
    <s v="Sanjay Patodia"/>
    <x v="0"/>
    <s v="Laptop"/>
    <s v="Dell"/>
    <s v="Closed Won"/>
    <n v="72500"/>
    <n v="7000"/>
    <n v="7000"/>
    <d v="2026-03-06T00:00:00"/>
    <s v="Green"/>
    <n v="100"/>
    <s v="CG-HB-0044"/>
    <s v="-"/>
    <s v="-"/>
    <s v="-"/>
    <s v="EU looking for 1QTY DELL NB, price sent, po received"/>
    <s v="Geo X"/>
  </r>
  <r>
    <d v="2026-03-06T20:19:00"/>
    <s v="POT87022"/>
    <s v="Emcure Pharmaceuticals Ltd"/>
    <s v="Vijay Sidhapura"/>
    <s v="DELL Laptops 2 QTY"/>
    <x v="17"/>
    <s v="Sanjay Patodia+Hrushikesh Bagade"/>
    <s v="Self"/>
    <s v="NA"/>
    <s v="Sanjay Patodia"/>
    <x v="0"/>
    <s v="Laptop"/>
    <s v="Dell"/>
    <s v="Closed Won"/>
    <n v="145000"/>
    <n v="14000"/>
    <n v="14000"/>
    <d v="2026-03-06T00:00:00"/>
    <s v="Green"/>
    <n v="100"/>
    <s v="CG-HB-0045"/>
    <s v="-"/>
    <s v="-"/>
    <s v="-"/>
    <s v="EU want 2 QTY DELL NB, price sent, po received."/>
    <s v="Geo X"/>
  </r>
  <r>
    <d v="2026-11-06T14:29:00"/>
    <s v="POT87098"/>
    <s v="GENNOVA BIOPHARMACEUTICALS LIMITED"/>
    <s v="Vijay Sidhapura"/>
    <s v="DELL Laptops 10 QTY"/>
    <x v="17"/>
    <s v="Sanjay Patodia+Hrushikesh Bagade"/>
    <s v="Self"/>
    <s v="NA"/>
    <s v="Sanjay Patodia"/>
    <x v="0"/>
    <s v="Laptop"/>
    <s v="Dell"/>
    <s v="Closed Won"/>
    <n v="725000"/>
    <n v="70000"/>
    <n v="70000"/>
    <d v="2026-11-06T00:00:00"/>
    <s v="Green"/>
    <n v="100"/>
    <s v="CG-HB-0047"/>
    <s v="-"/>
    <s v="-"/>
    <s v="-"/>
    <s v="EU want looking 10 QTY NB, price sent for DELL NB, po received"/>
    <s v="Geo X"/>
  </r>
  <r>
    <d v="2026-11-06T14:42:00"/>
    <s v="POT87099"/>
    <s v="Emcure Pharmaceuticals Ltd"/>
    <s v="Vijay Sidhapura"/>
    <s v="DELL Laptops 1 QTY"/>
    <x v="17"/>
    <s v="Sanjay Patodia+Hrushikesh Bagade"/>
    <s v="Self"/>
    <s v="NA"/>
    <s v="Sanjay Patodia"/>
    <x v="0"/>
    <s v="Laptop"/>
    <s v="Dell"/>
    <s v="Closed Won"/>
    <n v="72500"/>
    <n v="7000"/>
    <n v="7000"/>
    <d v="2026-11-06T00:00:00"/>
    <s v="Green"/>
    <n v="100"/>
    <s v="CG-HB-0048"/>
    <s v="-"/>
    <s v="-"/>
    <s v="-"/>
    <s v="EU want price for 1 QTY NB, price sent for DELL 1 QTY NB, PO received"/>
    <s v="Geo X"/>
  </r>
  <r>
    <d v="2026-12-06T14:29:00"/>
    <s v="POT87103"/>
    <s v="GENNOVA BIOPHARMACEUTICALS LIMITED"/>
    <s v="Vijay Sidhapura"/>
    <s v="DELL Laptop 1 QTY"/>
    <x v="17"/>
    <s v="Sanjay Patodia+Hrushikesh Bagade"/>
    <s v="Self"/>
    <s v="NA"/>
    <s v="Sanjay Patodia"/>
    <x v="0"/>
    <s v="Laptop"/>
    <s v="Dell"/>
    <s v="Closed Won"/>
    <n v="72500"/>
    <n v="7000"/>
    <n v="7000"/>
    <d v="2026-12-06T00:00:00"/>
    <s v="Green"/>
    <n v="100"/>
    <s v="CG-HB-0049"/>
    <s v="-"/>
    <s v="-"/>
    <s v="-"/>
    <s v="po received. 1 QTY DELL NB"/>
    <s v="Geo X"/>
  </r>
  <r>
    <s v="29-06-2026 5:09 PM"/>
    <s v="POT87253"/>
    <s v="Emcure Pharmaceuticals Ltd"/>
    <s v="Abid Sayyad"/>
    <s v="DELL NB 3 QTY"/>
    <x v="17"/>
    <s v="Sanjay Patodia+Hrushikesh Bagade"/>
    <s v="Self"/>
    <s v="NA"/>
    <s v="Sanjay Patodia"/>
    <x v="0"/>
    <s v="Laptop"/>
    <s v="Dell"/>
    <s v="Closed Won"/>
    <n v="217500"/>
    <n v="21000"/>
    <n v="0"/>
    <s v="29-06-2026"/>
    <s v="Green"/>
    <n v="100"/>
    <s v="-"/>
    <s v="-"/>
    <s v="-"/>
    <s v="-"/>
    <s v="EU want 3 QTY NB, price sent, po received."/>
    <s v="Geo X"/>
  </r>
  <r>
    <s v="29-06-2026 5:31 PM"/>
    <s v="POT87254"/>
    <s v="Emcure Pharmaceuticals Ltd"/>
    <s v="Vijay Sidhapura"/>
    <s v="DELL NB 1 QTY"/>
    <x v="17"/>
    <s v="Sanjay Patodia+Hrushikesh Bagade"/>
    <s v="Self"/>
    <s v="NA"/>
    <s v="Sanjay Patodia"/>
    <x v="0"/>
    <s v="Laptop"/>
    <s v="Dell"/>
    <s v="Closed Won"/>
    <n v="72500"/>
    <n v="7000"/>
    <n v="0"/>
    <s v="29-06-2026"/>
    <s v="Green"/>
    <n v="100"/>
    <s v="-"/>
    <s v="-"/>
    <s v="-"/>
    <s v="-"/>
    <s v="EU want price for 1 QTY - DELL Laptop, price sent, PO received."/>
    <s v="Geo X"/>
  </r>
  <r>
    <s v="25-04-2026 11:39 AM"/>
    <s v="POT86624"/>
    <s v="Indira IVF Fertility Centre"/>
    <s v="Mahesh Sharma"/>
    <s v="Laptop"/>
    <x v="20"/>
    <s v="Sanjay Patodia+Shilpa Kavde"/>
    <s v="Self"/>
    <s v="NA"/>
    <s v="Sanjay Patodia"/>
    <x v="0"/>
    <s v="Laptop"/>
    <s v="Lenovo"/>
    <s v="Closed Won"/>
    <n v="230000"/>
    <n v="10000"/>
    <n v="7000"/>
    <d v="2026-09-05T00:00:00"/>
    <s v="Green"/>
    <n v="80"/>
    <s v="CG-SL-0008"/>
    <s v="-"/>
    <s v="-"/>
    <s v="-"/>
    <s v="-"/>
    <s v="CB"/>
  </r>
  <r>
    <s v="29-04-2026 1:31 PM"/>
    <s v="POT86660"/>
    <s v="Metropolis Healthcare Pvt Ltd"/>
    <s v="Siddhesh Manjrekar"/>
    <s v="MAC Mini"/>
    <x v="20"/>
    <s v="Sanjay Patodia+Shilpa Kavde"/>
    <s v="Self"/>
    <s v="NA"/>
    <s v="Sanjay Patodia"/>
    <x v="0"/>
    <s v="Desktop"/>
    <s v="Apple"/>
    <s v="Closed Won"/>
    <n v="6000"/>
    <n v="100"/>
    <n v="1000"/>
    <s v="30-04-2026"/>
    <s v="Green"/>
    <n v="100"/>
    <s v="CG-SL-0007"/>
    <s v="-"/>
    <s v="-"/>
    <s v="-"/>
    <s v="-"/>
    <s v="CB"/>
  </r>
  <r>
    <s v="14-05-2026 12:36 PM"/>
    <s v="POT86774"/>
    <s v="Resource E-waste Soultion Pvt Ltd"/>
    <s v="ashish singhal"/>
    <s v="Desktop buy back"/>
    <x v="20"/>
    <s v="Sanjay Patodia+Shilpa Kavde"/>
    <s v="Self"/>
    <s v="NA"/>
    <s v="Sanjay Patodia"/>
    <x v="0"/>
    <s v="Desktop"/>
    <s v="Accer"/>
    <s v="Closed Won"/>
    <n v="847460"/>
    <n v="100000"/>
    <n v="0"/>
    <s v="14-05-2026"/>
    <s v="Green"/>
    <n v="100"/>
    <s v="CG-SL-0009"/>
    <s v="-"/>
    <s v="-"/>
    <s v="-"/>
    <s v="-"/>
    <s v="CB"/>
  </r>
  <r>
    <s v="13-06-2026 6:38 PM"/>
    <s v="POT87105"/>
    <s v="Crisil Limited"/>
    <s v="Saquib Kazi"/>
    <s v="Accessories"/>
    <x v="20"/>
    <s v="Sanjay Patodia+Shilpa Kavde"/>
    <s v="Self"/>
    <s v="NA"/>
    <s v="Sanjay Patodia"/>
    <x v="0"/>
    <s v="Desktop"/>
    <s v="Dell"/>
    <s v="Closed Won"/>
    <n v="830800"/>
    <n v="10000"/>
    <n v="63732.06"/>
    <s v="29-06-2026"/>
    <s v="Green"/>
    <n v="80"/>
    <s v="CG-SL-0031"/>
    <s v="-"/>
    <s v="-"/>
    <s v="-"/>
    <s v="-"/>
    <s v="CB"/>
  </r>
  <r>
    <s v="23-04-2026 6:13 PM"/>
    <s v="POT86606"/>
    <s v="Prince Pipes And Fittings Ltd."/>
    <s v="Tejas S Shah"/>
    <s v="Surface Arc Mouce"/>
    <x v="28"/>
    <s v="Sanjay Patodia+Vidula Chawan"/>
    <s v="Self"/>
    <s v="NA"/>
    <s v="Sanjay Patodia"/>
    <x v="0"/>
    <s v="Accessories"/>
    <s v="Microsoft"/>
    <s v="Closed Won"/>
    <n v="7600"/>
    <n v="1000"/>
    <n v="1244.07"/>
    <s v="27-04-2026"/>
    <s v="Green"/>
    <n v="100"/>
    <s v="CG-VC-0001"/>
    <s v="-"/>
    <s v="-"/>
    <s v="-"/>
    <s v="-"/>
    <s v="CB"/>
  </r>
  <r>
    <s v="13-04-2026 10:11 AM"/>
    <s v="POT86513"/>
    <s v="Centre for Advanced Financial Research and Learning (CAFRAL)"/>
    <s v="Anup Sonawane"/>
    <s v="HP Workstation"/>
    <x v="29"/>
    <s v="Sankeerth Bhargav"/>
    <s v="Self"/>
    <s v="NA"/>
    <s v="None"/>
    <x v="0"/>
    <s v="Laptop"/>
    <s v="HP"/>
    <s v="Closed Won"/>
    <n v="261350"/>
    <n v="13350"/>
    <n v="0"/>
    <s v="21-04-2026"/>
    <s v="Grey"/>
    <n v="50"/>
    <s v="CG-SE-0001"/>
    <s v="-"/>
    <s v="-"/>
    <s v="-"/>
    <s v="-"/>
    <s v="S2"/>
  </r>
  <r>
    <d v="2026-02-06T14:20:00"/>
    <s v="POT87008"/>
    <s v="Indian Financial Technology &amp; Allied Services"/>
    <s v="T.R. Uma Maheswari"/>
    <s v="Dell Monitors"/>
    <x v="29"/>
    <s v="Sankeerth Bhargav"/>
    <s v="Self"/>
    <s v="NA"/>
    <s v="None"/>
    <x v="0"/>
    <s v="Accessories"/>
    <s v="Dell"/>
    <s v="Closed Won"/>
    <n v="355850"/>
    <n v="22550"/>
    <n v="22550"/>
    <d v="2026-03-06T00:00:00"/>
    <s v="Green"/>
    <n v="100"/>
    <s v="CG-SE-0003"/>
    <s v="-"/>
    <s v="-"/>
    <s v="-"/>
    <s v="-"/>
    <s v="S2"/>
  </r>
  <r>
    <d v="2026-09-06T12:04:00"/>
    <s v="POT87079"/>
    <s v="Indian Financial Technology &amp; Allied Services"/>
    <s v="T.R. Uma Maheswari"/>
    <s v="rental Laptop"/>
    <x v="29"/>
    <s v="Sankeerth Bhargav"/>
    <s v="Self"/>
    <s v="NA"/>
    <s v="None"/>
    <x v="0"/>
    <s v="Rental"/>
    <s v="Dell"/>
    <s v="Closed Won"/>
    <n v="1548000"/>
    <n v="360000"/>
    <n v="0"/>
    <s v="23-06-2026"/>
    <s v="Green"/>
    <n v="100"/>
    <s v="-"/>
    <s v="-"/>
    <s v="-"/>
    <s v="-"/>
    <s v="-"/>
    <s v="S2"/>
  </r>
  <r>
    <d v="2026-01-04T16:07:00"/>
    <s v="POT86391"/>
    <s v="BNB Security &amp; Automation Solutions (P) Ltd"/>
    <s v="Rudresh A"/>
    <s v="Lenovo Yoga Laptop"/>
    <x v="11"/>
    <s v="Shahbaz Khan"/>
    <s v="Self"/>
    <s v="NA"/>
    <s v="None"/>
    <x v="0"/>
    <s v="Laptop"/>
    <s v="Lenovo"/>
    <s v="Closed Won"/>
    <n v="72542"/>
    <n v="1567"/>
    <n v="1567.42"/>
    <d v="2026-01-04T00:00:00"/>
    <s v="Green"/>
    <n v="100"/>
    <s v="CG-SZ-0001"/>
    <s v="-"/>
    <s v="-"/>
    <s v="-"/>
    <s v="OPF no: CG-SZ-0001"/>
    <s v="South"/>
  </r>
  <r>
    <s v="14-04-2026 3:20 PM"/>
    <s v="POT86538"/>
    <s v="BNB Security &amp; Automation Solutions (P) Ltd"/>
    <s v="Rudresh A"/>
    <s v="LENOVO X9 LAPTOP"/>
    <x v="11"/>
    <s v="Shahbaz Khan"/>
    <s v="Self"/>
    <s v="NA"/>
    <s v="None"/>
    <x v="0"/>
    <s v="Laptop"/>
    <s v="Lenovo"/>
    <s v="Closed Won"/>
    <n v="180250"/>
    <n v="5250"/>
    <n v="5250"/>
    <s v="15-04-2026"/>
    <s v="Green"/>
    <n v="100"/>
    <s v="CG-SZ-0002"/>
    <s v="-"/>
    <s v="-"/>
    <s v="-"/>
    <s v="OPF no: CG-SZ-0002"/>
    <s v="South"/>
  </r>
  <r>
    <s v="28-04-2026 3:34 PM"/>
    <s v="POT86648"/>
    <s v="Sapiens Technologies (1982) India Private Limited"/>
    <s v="Pavan Kumar"/>
    <s v="Accessories"/>
    <x v="11"/>
    <s v="Shahbaz Khan"/>
    <s v="Self"/>
    <s v="NA"/>
    <s v="None"/>
    <x v="0"/>
    <s v="Accessories"/>
    <s v="Others"/>
    <s v="Closed Won"/>
    <n v="5180"/>
    <n v="1380"/>
    <n v="1080"/>
    <s v="29-04-2026"/>
    <s v="Green"/>
    <n v="100"/>
    <s v="CG-SZ-0006"/>
    <s v="-"/>
    <s v="-"/>
    <s v="-"/>
    <s v="OPF no: CG-SZ-0006"/>
    <s v="South"/>
  </r>
  <r>
    <s v="28-04-2026 3:42 PM"/>
    <s v="POT86649"/>
    <s v="BNB Security &amp; Automation Solutions (P) Ltd"/>
    <s v="Rudresh A"/>
    <s v="Dell PRECISION 3680 TOWER"/>
    <x v="11"/>
    <s v="Shahbaz Khan"/>
    <s v="Self"/>
    <s v="NA"/>
    <s v="None"/>
    <x v="0"/>
    <s v="Workstation"/>
    <s v="Dell"/>
    <s v="Closed Won"/>
    <n v="163315"/>
    <n v="7699.4"/>
    <n v="9093.4699999999993"/>
    <s v="28-04-2026"/>
    <s v="Green"/>
    <n v="100"/>
    <s v="CG-SZ-0005"/>
    <s v="-"/>
    <s v="-"/>
    <s v="-"/>
    <s v="OPF no: CG-SZ-0005"/>
    <s v="South"/>
  </r>
  <r>
    <s v="26-05-2026 11:05 AM"/>
    <s v="POT86911"/>
    <s v="OmneNEST Technologies Pvt. Ltd"/>
    <s v="Nishant Trivedi"/>
    <s v="CISCO ROUTER"/>
    <x v="11"/>
    <s v="Shahbaz Khan"/>
    <s v="Self"/>
    <s v="NA"/>
    <s v="None"/>
    <x v="4"/>
    <s v="Routing &amp; Switching"/>
    <s v="CISCO"/>
    <s v="Closed Won"/>
    <n v="961984"/>
    <n v="47592"/>
    <n v="23600"/>
    <s v="27-05-2026"/>
    <s v="Green"/>
    <n v="100"/>
    <s v="CP-SZ-0009"/>
    <s v="-"/>
    <s v="-"/>
    <s v="-"/>
    <s v="Please process the order._x000a_Received multiple PO _x000a_OPF no: CP-SZ-0009"/>
    <s v="South"/>
  </r>
  <r>
    <s v="29-05-2026 2:03 PM"/>
    <s v="POT86956"/>
    <s v="OmneNEST Technologies Pvt. Ltd"/>
    <s v="Nishant Trivedi"/>
    <s v="CISCO ROUTER"/>
    <x v="11"/>
    <s v="Shahbaz Khan"/>
    <s v="Self"/>
    <s v="NA"/>
    <s v="None"/>
    <x v="4"/>
    <s v="Routing &amp; Switching"/>
    <s v="CISCO"/>
    <s v="Closed Won"/>
    <n v="961984"/>
    <n v="47592"/>
    <n v="47592"/>
    <s v="27-05-2026"/>
    <s v="Green"/>
    <n v="100"/>
    <s v="CP-SZ-0010"/>
    <s v="-"/>
    <s v="-"/>
    <s v="-"/>
    <s v="Please process the order._x000a_Received multiple PO _x000a_OPF no: CP-SZ-0010"/>
    <s v="South"/>
  </r>
  <r>
    <s v="29-05-2026 2:12 PM"/>
    <s v="POT86957"/>
    <s v="OmneNEST Technologies Pvt. Ltd"/>
    <s v="Nishant Trivedi"/>
    <s v="CISCO ROUTER"/>
    <x v="11"/>
    <s v="Shahbaz Khan"/>
    <s v="Self"/>
    <s v="NA"/>
    <s v="None"/>
    <x v="4"/>
    <s v="Routing &amp; Switching"/>
    <s v="CISCO"/>
    <s v="Closed Won"/>
    <n v="961984"/>
    <n v="47592"/>
    <n v="23600"/>
    <s v="27-05-2026"/>
    <s v="Green"/>
    <n v="100"/>
    <s v="CP-SZ-0011"/>
    <s v="-"/>
    <s v="-"/>
    <s v="-"/>
    <s v="Please process the order._x000a_Received multiple PO _x000a_OPF no: CP-SZ-0011"/>
    <s v="South"/>
  </r>
  <r>
    <s v="29-05-2026 2:21 PM"/>
    <s v="POT86958"/>
    <s v="OmneNEST Technologies Pvt. Ltd"/>
    <s v="Nishant Trivedi"/>
    <s v="CISCO ROUTER"/>
    <x v="11"/>
    <s v="Shahbaz Khan"/>
    <s v="Self"/>
    <s v="NA"/>
    <s v="None"/>
    <x v="4"/>
    <s v="Routing &amp; Switching"/>
    <s v="CISCO"/>
    <s v="Closed Won"/>
    <n v="961984"/>
    <n v="47592"/>
    <n v="47592"/>
    <s v="27-05-2026"/>
    <s v="Green"/>
    <n v="100"/>
    <s v="CP-SZ-0012"/>
    <s v="-"/>
    <s v="-"/>
    <s v="-"/>
    <s v="Please process the order._x000a_Received multiple PO _x000a_OPF no: CP-SZ-0012"/>
    <s v="South"/>
  </r>
  <r>
    <s v="27-04-2026 1:18 PM"/>
    <s v="POT86640"/>
    <s v="Astra Microwave Product Limited"/>
    <s v="Aditya Eshwar"/>
    <s v="HP Z8 G5 Workstation"/>
    <x v="12"/>
    <s v="Shaik Khadhar"/>
    <s v="Self"/>
    <s v="NA"/>
    <s v="None"/>
    <x v="0"/>
    <s v="Workstation"/>
    <s v="HP"/>
    <s v="Closed Won"/>
    <n v="30480000"/>
    <n v="850000"/>
    <n v="0"/>
    <d v="2026-08-05T00:00:00"/>
    <s v="Green"/>
    <n v="50"/>
    <s v="-"/>
    <s v="-"/>
    <s v="-"/>
    <s v="-"/>
    <s v="-"/>
    <s v="South"/>
  </r>
  <r>
    <s v="18-04-2026 09:24 AM"/>
    <s v="POT86569"/>
    <s v="Indira IVF Fertility Centre"/>
    <s v="Mahesh Sharma"/>
    <s v="Laptop"/>
    <x v="20"/>
    <s v="Shilpa Kavde"/>
    <s v="Self"/>
    <s v="NA"/>
    <s v="None"/>
    <x v="0"/>
    <s v="Laptop"/>
    <s v="Lenovo"/>
    <s v="Closed Won"/>
    <n v="230000"/>
    <n v="15000"/>
    <n v="15000"/>
    <s v="24-04-2026"/>
    <s v="Green"/>
    <n v="90"/>
    <s v="CG-SL-0006"/>
    <s v="-"/>
    <s v="-"/>
    <s v="-"/>
    <s v="-"/>
    <s v="CB"/>
  </r>
  <r>
    <s v="22-06-2026 6:04 PM"/>
    <s v="POT87209"/>
    <s v="PUNJAB AND SINDH BANK"/>
    <s v="Vijay kumar"/>
    <s v="PSB- TABLET -41 QTY"/>
    <x v="19"/>
    <s v="Tasneem K+Pratik Kadam"/>
    <s v="Self"/>
    <s v="NA"/>
    <s v="Tasneem K"/>
    <x v="0"/>
    <s v="Tablet"/>
    <s v="Others"/>
    <s v="Closed Won"/>
    <n v="674901.69"/>
    <n v="39401.69"/>
    <n v="39401.82"/>
    <s v="22-06-2026"/>
    <s v="Green"/>
    <n v="100"/>
    <s v="CG-PM-0038"/>
    <s v="-"/>
    <s v="-"/>
    <s v="-"/>
    <s v="-"/>
    <s v="S1"/>
  </r>
  <r>
    <d v="2026-08-04T16:08:00"/>
    <s v="POT86463"/>
    <s v="Prince Pipes And Fittings Ltd."/>
    <s v="Tejas S Shah"/>
    <s v="Monitor_05 nos"/>
    <x v="28"/>
    <s v="Vidula Chawan"/>
    <s v="Self"/>
    <s v="NA"/>
    <s v="Bhavesh Chauhan"/>
    <x v="0"/>
    <s v="Accessories"/>
    <s v="Others"/>
    <s v="Closed Won"/>
    <n v="22000"/>
    <n v="1750"/>
    <n v="1750"/>
    <d v="2026-03-06T00:00:00"/>
    <s v="Green"/>
    <n v="100"/>
    <s v="CG-VC-0002"/>
    <s v="-"/>
    <s v="-"/>
    <s v="-"/>
    <s v="-"/>
    <s v="CB"/>
  </r>
  <r>
    <d v="2026-05-06T10:48:00"/>
    <s v="POT87026"/>
    <s v="Prince Pipes And Fittings Ltd."/>
    <s v="Tejas S Shah"/>
    <s v="Monitor_02 nos"/>
    <x v="28"/>
    <s v="Vidula Chawan"/>
    <s v="Self"/>
    <s v="NA"/>
    <s v="Bhavesh Chauhan"/>
    <x v="0"/>
    <s v="Accessories"/>
    <s v="Others"/>
    <s v="Closed Won"/>
    <n v="8800"/>
    <n v="700"/>
    <n v="700"/>
    <d v="2026-03-06T00:00:00"/>
    <s v="Green"/>
    <n v="100"/>
    <s v="CG-VC-0003"/>
    <s v="-"/>
    <s v="-"/>
    <s v="-"/>
    <s v="-"/>
    <s v="CB"/>
  </r>
  <r>
    <s v="18-03-2026 10:47 AM"/>
    <s v="POT86291"/>
    <s v="Esyasoft Technologies Pvt.Ltd."/>
    <s v="Shyam C N"/>
    <s v="Esyasoft - Laptops"/>
    <x v="15"/>
    <s v="Yogesh Bhatia+Atharva Karpe"/>
    <s v="Self"/>
    <s v="NA"/>
    <s v="Yogesh Bhatia"/>
    <x v="0"/>
    <s v="Laptop"/>
    <s v="Dell"/>
    <s v="Closed Won"/>
    <n v="25340000"/>
    <n v="1778000"/>
    <n v="1884774.65"/>
    <d v="2026-04-05T00:00:00"/>
    <s v="Green"/>
    <n v="100"/>
    <s v="CG-AC-0004"/>
    <s v="30938604 / DRPA20001"/>
    <s v="Approved"/>
    <s v="17-06-2026"/>
    <s v="3000 approx cost taken for extended warranty"/>
    <s v="GB"/>
  </r>
  <r>
    <s v="31-03-2026 12:14 PM"/>
    <s v="POT86378"/>
    <s v="Schneider Electric India Private Limited"/>
    <s v="Hrishikesh Kadrekar"/>
    <s v="Schneider Electric - IT Hardware Birla"/>
    <x v="15"/>
    <s v="Yogesh Bhatia+Atharva Karpe"/>
    <s v="Self"/>
    <s v="NA"/>
    <s v="Yogesh Bhatia"/>
    <x v="0"/>
    <s v="Desktop"/>
    <s v="HP"/>
    <s v="Closed Won"/>
    <n v="2484368"/>
    <n v="189000"/>
    <n v="274244"/>
    <d v="2026-10-04T00:00:00"/>
    <s v="Green"/>
    <n v="100"/>
    <s v="CG-AC-0008"/>
    <s v="-"/>
    <s v="-"/>
    <s v="-"/>
    <s v="-"/>
    <s v="GB"/>
  </r>
  <r>
    <s v="16-04-2026 5:38 PM"/>
    <s v="POT86545"/>
    <s v="National Investment and Infrastructure Fund Limited (NIIFL)"/>
    <s v="Junaid Azizi"/>
    <s v="Samsung Phone"/>
    <x v="15"/>
    <s v="Yogesh Bhatia+Atharva Karpe"/>
    <s v="Self"/>
    <s v="NA"/>
    <s v="Yogesh Bhatia"/>
    <x v="0"/>
    <s v="Mobile Devices"/>
    <s v="Samsung"/>
    <s v="Closed Won"/>
    <n v="66529"/>
    <n v="1700"/>
    <n v="2206.9699999999998"/>
    <s v="17-04-2026"/>
    <s v="Green"/>
    <n v="100"/>
    <s v="CG-AC-0001"/>
    <s v="-"/>
    <s v="-"/>
    <s v="-"/>
    <s v="-"/>
    <s v="GB"/>
  </r>
  <r>
    <s v="16-04-2026 5:41 PM"/>
    <s v="POT86546"/>
    <s v="Hilti Technology Solutions India Private Limited"/>
    <s v="Akhilesh Mokashi"/>
    <s v="Hilti - IT Hardware"/>
    <x v="15"/>
    <s v="Yogesh Bhatia+Atharva Karpe"/>
    <s v="Self"/>
    <s v="NA"/>
    <s v="Yogesh Bhatia"/>
    <x v="0"/>
    <s v="Laptop"/>
    <s v="Apple"/>
    <s v="Closed Won"/>
    <n v="169500"/>
    <n v="5848"/>
    <n v="5846.61"/>
    <s v="28-04-2026"/>
    <s v="Green"/>
    <n v="100"/>
    <s v="CG-AC-0003"/>
    <s v="-"/>
    <s v="-"/>
    <s v="-"/>
    <s v="-"/>
    <s v="GB"/>
  </r>
  <r>
    <s v="17-04-2026 09:18 AM"/>
    <s v="POT86549"/>
    <s v="Esyasoft Technologies Pvt.Ltd."/>
    <s v="Shyam C N"/>
    <s v="Laptop - U5 U7"/>
    <x v="15"/>
    <s v="Yogesh Bhatia+Atharva Karpe"/>
    <s v="Self"/>
    <s v="NA"/>
    <s v="Yogesh Bhatia"/>
    <x v="0"/>
    <s v="Laptop"/>
    <s v="Dell"/>
    <s v="Closed Won"/>
    <n v="225000"/>
    <n v="8700"/>
    <n v="0"/>
    <s v="17-04-2026"/>
    <s v="Green"/>
    <n v="100"/>
    <s v="-"/>
    <s v="-"/>
    <s v="-"/>
    <s v="-"/>
    <s v="-"/>
    <s v="GB"/>
  </r>
  <r>
    <d v="2026-04-05T10:47:00"/>
    <s v="POT86677"/>
    <s v="Esyasoft Smart Research Private Limited"/>
    <s v="Yatendra Singh"/>
    <s v="EsyaSoft Smart Research - Laptops"/>
    <x v="15"/>
    <s v="Yogesh Bhatia+Atharva Karpe"/>
    <s v="Self"/>
    <s v="NA"/>
    <s v="Yogesh Bhatia"/>
    <x v="0"/>
    <s v="Laptop"/>
    <s v="HP"/>
    <s v="Closed Won"/>
    <n v="5413000"/>
    <n v="465100"/>
    <n v="562599.35"/>
    <d v="2026-04-05T00:00:00"/>
    <s v="Green"/>
    <n v="100"/>
    <s v="CG-AC-0005"/>
    <s v="-"/>
    <s v="-"/>
    <s v="-"/>
    <s v="extended warranty cost taken apprx"/>
    <s v="GB"/>
  </r>
  <r>
    <d v="2026-04-05T10:49:00"/>
    <s v="POT86678"/>
    <s v="Esyasoft Smart Service Private Limited"/>
    <s v="Yatendra Singh"/>
    <s v="Esyasoft Smart Service - Laptops"/>
    <x v="15"/>
    <s v="Yogesh Bhatia+Atharva Karpe"/>
    <s v="Self"/>
    <s v="NA"/>
    <s v="Yogesh Bhatia"/>
    <x v="0"/>
    <s v="Laptop"/>
    <s v="Dell"/>
    <s v="Closed Won"/>
    <n v="10095000"/>
    <n v="1000000"/>
    <n v="974576.49"/>
    <d v="2026-05-05T00:00:00"/>
    <s v="Green"/>
    <n v="100"/>
    <s v="CG-AC-0002"/>
    <s v="-"/>
    <s v="-"/>
    <s v="-"/>
    <s v="apprx cost taken for HP warranty - 3000"/>
    <s v="GB"/>
  </r>
  <r>
    <d v="2026-06-05T15:34:00"/>
    <s v="POT86699"/>
    <s v="Hilti Technology Solutions India Private Limited"/>
    <s v="Akhilesh Mokashi"/>
    <s v="Samsung Phone - S26 Plus"/>
    <x v="15"/>
    <s v="Yogesh Bhatia+Atharva Karpe"/>
    <s v="Self"/>
    <s v="NA"/>
    <s v="Yogesh Bhatia"/>
    <x v="0"/>
    <s v="Mobile Devices"/>
    <s v="Samsung"/>
    <s v="Closed Won"/>
    <n v="87500"/>
    <n v="7077"/>
    <n v="7077"/>
    <d v="2026-06-05T00:00:00"/>
    <s v="Green"/>
    <n v="100"/>
    <s v="CG-AC-0006"/>
    <s v="-"/>
    <s v="-"/>
    <s v="-"/>
    <s v="-"/>
    <s v="GB"/>
  </r>
  <r>
    <d v="2026-08-05T11:47:00"/>
    <s v="POT86710"/>
    <s v="National Investment and Infrastructure Fund Limited (NIIFL)"/>
    <s v="Junaid Azizi"/>
    <s v="Phone NIIFL"/>
    <x v="15"/>
    <s v="Yogesh Bhatia+Atharva Karpe"/>
    <s v="Self"/>
    <s v="NA"/>
    <s v="Yogesh Bhatia"/>
    <x v="0"/>
    <s v="Mobile Devices"/>
    <s v="Samsung"/>
    <s v="Closed Won"/>
    <n v="60800"/>
    <n v="1730"/>
    <n v="0"/>
    <d v="2026-09-05T00:00:00"/>
    <s v="Green"/>
    <n v="100"/>
    <s v="-"/>
    <s v="-"/>
    <s v="-"/>
    <s v="-"/>
    <s v="-"/>
    <s v="GB"/>
  </r>
  <r>
    <s v="24-06-2026 1:28 PM"/>
    <s v="POT87222"/>
    <s v="Esyasoft Smart Service Private Limited"/>
    <s v="Yatendra Singh"/>
    <s v="Esyasoft Laptops - DELL / HP"/>
    <x v="15"/>
    <s v="Yogesh Bhatia+Atharva Karpe"/>
    <s v="Self"/>
    <s v="NA"/>
    <s v="Yogesh Bhatia"/>
    <x v="0"/>
    <s v="Laptop"/>
    <s v="HP"/>
    <s v="Closed Won"/>
    <n v="18182000"/>
    <n v="768136"/>
    <n v="808136"/>
    <s v="27-06-2026"/>
    <s v="Green"/>
    <n v="100"/>
    <s v="CG-AC-0010"/>
    <s v="-"/>
    <s v="-"/>
    <s v="-"/>
    <s v="-"/>
    <s v="GB"/>
  </r>
  <r>
    <s v="16-03-2026 10:58 AM"/>
    <s v="POT86259"/>
    <s v="Ajanta Pharma Limited"/>
    <s v="Drashti Mistry"/>
    <s v="Seclore"/>
    <x v="21"/>
    <s v="Yogesh Bhatia+Ayushman Singh"/>
    <s v="Galaxy Management"/>
    <s v="Sanjay Patodia"/>
    <s v="Yogesh Bhatia"/>
    <x v="0"/>
    <s v="Laptop"/>
    <s v="Seclore"/>
    <s v="Closed Won"/>
    <n v="2206500"/>
    <n v="200000"/>
    <n v="79268.039999999994"/>
    <d v="2026-07-05T00:00:00"/>
    <s v="Grey"/>
    <n v="50"/>
    <s v="CP-AY-0002"/>
    <s v="-"/>
    <s v="-"/>
    <s v="-"/>
    <s v="-"/>
    <s v="GB"/>
  </r>
  <r>
    <d v="2026-07-04T12:24:00"/>
    <s v="POT86444"/>
    <s v="Priya Chemicals"/>
    <s v="Dr. Angle"/>
    <s v="Priya Chemicals - Adobe License"/>
    <x v="16"/>
    <s v="Yogesh Bhatia+Jay Rushi"/>
    <s v="Self"/>
    <s v="NA"/>
    <s v="Yogesh Bhatia"/>
    <x v="0"/>
    <s v="Other OEM Services"/>
    <s v="Lenovo"/>
    <s v="Closed Won"/>
    <n v="24350"/>
    <n v="1400"/>
    <n v="1631"/>
    <d v="2026-07-04T00:00:00"/>
    <s v="Green"/>
    <n v="80"/>
    <s v="CG-JU-0001"/>
    <s v="-"/>
    <s v="-"/>
    <s v="-"/>
    <s v="-"/>
    <s v="GB"/>
  </r>
  <r>
    <d v="2026-09-04T12:43:00"/>
    <s v="POT86475"/>
    <s v="Tilaknagar Industries Ltd"/>
    <s v="Gerald Rodrigues"/>
    <s v="tilaknagar Industries - endpoints"/>
    <x v="16"/>
    <s v="Yogesh Bhatia+Jay Rushi"/>
    <s v="Self"/>
    <s v="NA"/>
    <s v="Yogesh Bhatia"/>
    <x v="0"/>
    <s v="Desktop"/>
    <s v="Dell"/>
    <s v="Closed Won"/>
    <n v="91100"/>
    <n v="8600"/>
    <n v="11461.86"/>
    <d v="2026-09-04T00:00:00"/>
    <s v="Green"/>
    <n v="80"/>
    <s v="CG-JU-0002"/>
    <s v="-"/>
    <s v="-"/>
    <s v="-"/>
    <s v="-"/>
    <s v="GB"/>
  </r>
  <r>
    <s v="16-04-2026 6:18 PM"/>
    <s v="POT86547"/>
    <s v="Tilaknagar Industries Ltd"/>
    <s v="Gerald Rodrigues"/>
    <s v="Tilak Nagar - Laptops"/>
    <x v="16"/>
    <s v="Yogesh Bhatia+Jay Rushi"/>
    <s v="Self"/>
    <s v="NA"/>
    <s v="Yogesh Bhatia"/>
    <x v="0"/>
    <s v="Laptop"/>
    <s v="HP"/>
    <s v="Closed Won"/>
    <n v="3200000"/>
    <n v="1000"/>
    <n v="138000"/>
    <s v="17-04-2026"/>
    <s v="Grey"/>
    <n v="90"/>
    <s v="CG-JU-0003"/>
    <s v="-"/>
    <s v="-"/>
    <s v="-"/>
    <s v="-"/>
    <s v="GB"/>
  </r>
  <r>
    <s v="20-04-2026 4:03 PM"/>
    <s v="POT86592"/>
    <s v="Tilaknagar Industries Ltd"/>
    <s v="Gerald Rodrigues"/>
    <s v="tilaknagar Industries - ups, endpoint"/>
    <x v="16"/>
    <s v="Yogesh Bhatia+Jay Rushi"/>
    <s v="Self"/>
    <s v="NA"/>
    <s v="Yogesh Bhatia"/>
    <x v="0"/>
    <s v="Desktop"/>
    <s v="Dell"/>
    <s v="Closed Won"/>
    <n v="62250"/>
    <n v="10400"/>
    <n v="11511.86"/>
    <s v="20-04-2026"/>
    <s v="Green"/>
    <n v="90"/>
    <s v="CG-JU-0004"/>
    <s v="-"/>
    <s v="-"/>
    <s v="-"/>
    <s v="-"/>
    <s v="GB"/>
  </r>
  <r>
    <s v="25-05-2026 12:59 PM"/>
    <s v="POT86902"/>
    <s v="Sterling Wilson"/>
    <s v="Vivek Chavan"/>
    <s v="Sterling - TV"/>
    <x v="16"/>
    <s v="Yogesh Bhatia+Jay Rushi"/>
    <s v="Self"/>
    <s v="NA"/>
    <s v="Yogesh Bhatia"/>
    <x v="0"/>
    <s v="Desktop"/>
    <s v="Others"/>
    <s v="Closed Won"/>
    <n v="43720"/>
    <n v="3820"/>
    <n v="4220"/>
    <s v="26-05-2026"/>
    <s v="Green"/>
    <n v="80"/>
    <s v="CG-JU-0011"/>
    <s v="-"/>
    <s v="-"/>
    <s v="-"/>
    <s v="-"/>
    <s v="GB"/>
  </r>
  <r>
    <d v="2026-04-06T12:20:00"/>
    <s v="POT87023"/>
    <s v="Infobahn Technical Solutions (I) Pvt Ltd."/>
    <s v="Swapnil Raul"/>
    <s v="Infobahn Tech Solutions - Endpoints"/>
    <x v="16"/>
    <s v="Yogesh Bhatia+Jay Rushi"/>
    <s v="Self"/>
    <s v="NA"/>
    <s v="Yogesh Bhatia"/>
    <x v="0"/>
    <s v="Laptop"/>
    <s v="HP"/>
    <s v="Closed Won"/>
    <n v="7800000"/>
    <n v="100000"/>
    <n v="38925"/>
    <d v="2026-04-06T00:00:00"/>
    <s v="Green"/>
    <n v="80"/>
    <s v="CG-JU-0014"/>
    <s v="-"/>
    <s v="-"/>
    <s v="-"/>
    <s v="-"/>
    <s v="GB"/>
  </r>
  <r>
    <d v="2026-10-04T16:11:00"/>
    <s v="POT86492"/>
    <s v="DYNAMIX CONTRACTORS &amp; BUILDERS PRIVATE LIMITED"/>
    <s v="Sahil Modi"/>
    <s v="SONY BRAVIA 5 , FABER BELLA HT 904 , SAMSUNG 650 Lts"/>
    <x v="26"/>
    <s v="Yusufali Petiwala"/>
    <s v="Self"/>
    <s v="NA"/>
    <s v="None"/>
    <x v="0"/>
    <s v="Accessories"/>
    <s v="Samsung"/>
    <s v="Closed Won"/>
    <n v="549855.07999999996"/>
    <n v="23185.59"/>
    <n v="23185.59"/>
    <d v="2026-09-04T00:00:00"/>
    <s v="Green"/>
    <n v="4.22"/>
    <s v="CG-YP-0001"/>
    <s v="-"/>
    <s v="-"/>
    <s v="-"/>
    <s v="Margin taken all"/>
    <s v="Self"/>
  </r>
  <r>
    <s v="13-04-2026 10:20 AM"/>
    <s v="POT86514"/>
    <s v="SHREE SHANTINATHJI"/>
    <s v="Vikram Singh"/>
    <s v="5D20Z51462 - 1 Qty"/>
    <x v="26"/>
    <s v="Yusufali Petiwala"/>
    <s v="Self"/>
    <s v="NA"/>
    <s v="None"/>
    <x v="0"/>
    <s v="Accessories"/>
    <s v="Lenovo"/>
    <s v="Closed Won"/>
    <n v="7850"/>
    <n v="0"/>
    <n v="0"/>
    <s v="13-04-2026"/>
    <s v="Green"/>
    <n v="0"/>
    <s v="CG-YP-0002"/>
    <s v="-"/>
    <s v="-"/>
    <s v="-"/>
    <s v="-"/>
    <s v="Self"/>
  </r>
  <r>
    <s v="20-04-2026 10:18 AM"/>
    <s v="POT86576"/>
    <s v="ABN Edge India Pvt Ltd"/>
    <s v="Aslam Sheikh"/>
    <s v="21S7S3QX00-9 Qty and 21S7S3QV00  - 10 qty"/>
    <x v="26"/>
    <s v="Yusufali Petiwala"/>
    <s v="Self"/>
    <s v="NA"/>
    <s v="None"/>
    <x v="0"/>
    <s v="Laptop"/>
    <s v="Lenovo"/>
    <s v="Closed Won"/>
    <n v="1826670"/>
    <n v="19000"/>
    <n v="19000"/>
    <s v="15-04-2026"/>
    <s v="Green"/>
    <n v="1"/>
    <s v="CG-YP-0003"/>
    <s v="-"/>
    <s v="-"/>
    <s v="-"/>
    <s v="-"/>
    <s v="Self"/>
  </r>
  <r>
    <d v="2026-04-05T16:43:00"/>
    <s v="POT86685"/>
    <s v="Teknor"/>
    <s v="Vishal Mehta"/>
    <s v="Samsung 16GB RAM - 2 Qty"/>
    <x v="26"/>
    <s v="Yusufali Petiwala"/>
    <s v="Self"/>
    <s v="NA"/>
    <s v="None"/>
    <x v="0"/>
    <s v="Accessories"/>
    <s v="Samsung"/>
    <s v="Closed Won"/>
    <n v="19000"/>
    <n v="4000"/>
    <n v="4000"/>
    <d v="2026-04-05T00:00:00"/>
    <s v="Green"/>
    <n v="21"/>
    <s v="CG-YP-0004"/>
    <s v="-"/>
    <s v="-"/>
    <s v="-"/>
    <s v="-"/>
    <s v="Self"/>
  </r>
  <r>
    <s v="18-05-2026 12:37 PM"/>
    <s v="POT86822"/>
    <s v="SEVEN IT SOLUTIONS"/>
    <s v="Prashant Kamble"/>
    <s v="Idemia MSO 1300E3 - 50 Qty"/>
    <x v="26"/>
    <s v="Yusufali Petiwala"/>
    <s v="Self"/>
    <s v="NA"/>
    <s v="None"/>
    <x v="0"/>
    <s v="Accessories"/>
    <s v="Others"/>
    <s v="Closed Won"/>
    <n v="124500"/>
    <n v="17000"/>
    <n v="17000"/>
    <s v="18-05-2026"/>
    <s v="Green"/>
    <n v="13.65"/>
    <s v="CG-YP-0005"/>
    <s v="-"/>
    <s v="-"/>
    <s v="-"/>
    <s v="-"/>
    <s v="Self"/>
  </r>
  <r>
    <s v="18-05-2026 12:55 PM"/>
    <s v="POT86823"/>
    <s v="Teknor"/>
    <s v="Vishal Mehta"/>
    <s v="Dell Pro 14 (PC14250) XCTO Base -1 qty"/>
    <x v="26"/>
    <s v="Yusufali Petiwala"/>
    <s v="Self"/>
    <s v="NA"/>
    <s v="None"/>
    <x v="0"/>
    <s v="Laptop"/>
    <s v="Dell"/>
    <s v="Closed Won"/>
    <n v="100000"/>
    <n v="3100"/>
    <n v="3100"/>
    <s v="18-05-2026"/>
    <s v="Green"/>
    <n v="3.1"/>
    <s v="CG-YP-0006"/>
    <s v="-"/>
    <s v="-"/>
    <s v="-"/>
    <s v="-"/>
    <s v="Self"/>
  </r>
  <r>
    <s v="20-05-2026 5:38 PM"/>
    <s v="POT86849"/>
    <s v="Micro Infotech Inc"/>
    <s v="Feroz Shaikh"/>
    <s v="ZAC60016IN - 36 Qty"/>
    <x v="26"/>
    <s v="Yusufali Petiwala"/>
    <s v="Self"/>
    <s v="NA"/>
    <s v="None"/>
    <x v="0"/>
    <s v="Tablet"/>
    <s v="Lenovo"/>
    <s v="Closed Won"/>
    <n v="316800"/>
    <n v="6768"/>
    <n v="6768"/>
    <s v="20-05-2026"/>
    <s v="Green"/>
    <n v="2.13"/>
    <s v="CG-YP-0008"/>
    <s v="-"/>
    <s v="-"/>
    <s v="-"/>
    <s v="-"/>
    <s v="Self"/>
  </r>
  <r>
    <d v="2026-11-06T17:37:00"/>
    <s v="POT87101"/>
    <s v="Micro Infotech Inc"/>
    <s v="Feroz Shaikh"/>
    <s v="ZAC60016IN Lenovo Tab M9-Tb310xu-4gb-64gb-Wifi+Lte ( With bundled cover )"/>
    <x v="26"/>
    <s v="Yusufali Petiwala"/>
    <s v="Self"/>
    <s v="NA"/>
    <s v="None"/>
    <x v="0"/>
    <s v="Tablet"/>
    <s v="Lenovo"/>
    <s v="Closed Won"/>
    <n v="220000"/>
    <n v="4700"/>
    <n v="4700"/>
    <d v="2026-11-06T00:00:00"/>
    <s v="Green"/>
    <n v="2.13"/>
    <s v="CG-YP-0009"/>
    <s v="-"/>
    <s v="-"/>
    <s v="-"/>
    <s v="-"/>
    <s v="Self"/>
  </r>
  <r>
    <s v="13-06-2026 10:23 PM"/>
    <s v="POT87107"/>
    <s v="Micro Infotech Inc"/>
    <s v="Feroz Shaikh"/>
    <s v="ZAC60016IN Lenovo Tab M9-Tb310xu-4gb-64gb-Wifi+Lte ( With bundled cover )"/>
    <x v="26"/>
    <s v="Yusufali Petiwala"/>
    <s v="Self"/>
    <s v="NA"/>
    <s v="None"/>
    <x v="0"/>
    <s v="Tablet"/>
    <s v="Lenovo"/>
    <s v="Closed Won"/>
    <n v="1504800"/>
    <n v="32148"/>
    <n v="32148"/>
    <s v="13-06-2026"/>
    <s v="Green"/>
    <n v="2.14"/>
    <s v="CG-YP-0010"/>
    <s v="-"/>
    <s v="-"/>
    <s v="-"/>
    <s v="-"/>
    <s v="Self"/>
  </r>
  <r>
    <s v="13-06-2026 10:25 PM"/>
    <s v="POT87108"/>
    <s v="Micro Infotech Inc"/>
    <s v="Feroz Shaikh"/>
    <s v="ZAC60016IN Lenovo Tab M9-Tb310xu-4gb-64gb-Wifi+Lte ( With bundled cover )"/>
    <x v="26"/>
    <s v="Yusufali Petiwala"/>
    <s v="Self"/>
    <s v="NA"/>
    <s v="None"/>
    <x v="0"/>
    <s v="Tablet"/>
    <s v="Lenovo"/>
    <s v="Closed Won"/>
    <n v="211200"/>
    <n v="4512"/>
    <n v="4512"/>
    <s v="13-06-2026"/>
    <s v="Green"/>
    <n v="2.14"/>
    <s v="CG-YP-0011"/>
    <s v="-"/>
    <s v="-"/>
    <s v="-"/>
    <s v="-"/>
    <s v="Self"/>
  </r>
  <r>
    <s v="16-06-2026 11:23 AM"/>
    <s v="POT87120"/>
    <s v="Advance IQ Solutions Pvt Ltd"/>
    <s v="Neeraj Sabarwal"/>
    <s v="Scan head assembly with Installation Charges"/>
    <x v="26"/>
    <s v="Yusufali Petiwala"/>
    <s v="Self"/>
    <s v="NA"/>
    <s v="None"/>
    <x v="0"/>
    <s v="Accessories"/>
    <s v="Others"/>
    <s v="Closed Won"/>
    <n v="2800"/>
    <n v="1400"/>
    <n v="1400"/>
    <s v="16-06-2026"/>
    <s v="Green"/>
    <n v="50"/>
    <s v="CG-YP-0012"/>
    <s v="-"/>
    <s v="-"/>
    <s v="-"/>
    <s v="-"/>
    <s v="Self"/>
  </r>
  <r>
    <s v="16-06-2026 12:16 PM"/>
    <s v="POT87126"/>
    <s v="SBI Life Insurance Co. Ltd"/>
    <s v="Kasturi P"/>
    <s v="Dell Pro Max Tower T2 Workstation"/>
    <x v="26"/>
    <s v="Yusufali Petiwala"/>
    <s v="Self"/>
    <s v="NA"/>
    <s v="None"/>
    <x v="0"/>
    <s v="Workstation"/>
    <s v="Dell"/>
    <s v="Closed Won"/>
    <n v="877000"/>
    <n v="33431.89"/>
    <n v="33431.89"/>
    <s v="16-06-2026"/>
    <s v="Green"/>
    <n v="3.81"/>
    <s v="CG-YP-0013"/>
    <s v="-"/>
    <s v="-"/>
    <s v="-"/>
    <s v="-"/>
    <s v="Self"/>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9697A9-28C0-43E8-B620-64CAFFC779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3" firstHeaderRow="0" firstDataRow="1" firstDataCol="1"/>
  <pivotFields count="26">
    <pivotField showAll="0"/>
    <pivotField showAll="0"/>
    <pivotField showAll="0"/>
    <pivotField showAll="0"/>
    <pivotField showAll="0"/>
    <pivotField axis="axisRow" dataField="1" showAll="0">
      <items count="31">
        <item x="0"/>
        <item x="1"/>
        <item x="22"/>
        <item x="18"/>
        <item x="15"/>
        <item x="21"/>
        <item x="2"/>
        <item x="3"/>
        <item x="4"/>
        <item x="17"/>
        <item x="5"/>
        <item x="16"/>
        <item x="23"/>
        <item x="27"/>
        <item x="6"/>
        <item x="19"/>
        <item x="7"/>
        <item x="8"/>
        <item x="9"/>
        <item x="10"/>
        <item x="24"/>
        <item x="29"/>
        <item x="11"/>
        <item x="12"/>
        <item x="20"/>
        <item x="25"/>
        <item x="13"/>
        <item x="14"/>
        <item x="28"/>
        <item x="26"/>
        <item t="default"/>
      </items>
    </pivotField>
    <pivotField showAll="0"/>
    <pivotField showAll="0"/>
    <pivotField showAll="0"/>
    <pivotField showAll="0"/>
    <pivotField axis="axisRow" showAll="0">
      <items count="6">
        <item x="2"/>
        <item x="0"/>
        <item x="4"/>
        <item x="1"/>
        <item x="3"/>
        <item t="default"/>
      </items>
    </pivotField>
    <pivotField showAll="0"/>
    <pivotField showAll="0"/>
    <pivotField showAll="0"/>
    <pivotField dataField="1" numFmtId="2" showAll="0"/>
    <pivotField dataField="1" showAll="0"/>
    <pivotField showAll="0"/>
    <pivotField showAll="0"/>
    <pivotField showAll="0"/>
    <pivotField showAll="0"/>
    <pivotField showAll="0"/>
    <pivotField showAll="0"/>
    <pivotField showAll="0"/>
    <pivotField showAll="0"/>
    <pivotField showAll="0"/>
    <pivotField showAll="0"/>
  </pivotFields>
  <rowFields count="2">
    <field x="5"/>
    <field x="10"/>
  </rowFields>
  <rowItems count="100">
    <i>
      <x/>
    </i>
    <i r="1">
      <x v="1"/>
    </i>
    <i r="1">
      <x v="2"/>
    </i>
    <i r="1">
      <x v="3"/>
    </i>
    <i>
      <x v="1"/>
    </i>
    <i r="1">
      <x v="3"/>
    </i>
    <i>
      <x v="2"/>
    </i>
    <i r="1">
      <x v="2"/>
    </i>
    <i>
      <x v="3"/>
    </i>
    <i r="1">
      <x/>
    </i>
    <i r="1">
      <x v="4"/>
    </i>
    <i>
      <x v="4"/>
    </i>
    <i r="1">
      <x v="1"/>
    </i>
    <i r="1">
      <x v="3"/>
    </i>
    <i r="1">
      <x v="4"/>
    </i>
    <i>
      <x v="5"/>
    </i>
    <i r="1">
      <x v="1"/>
    </i>
    <i r="1">
      <x v="2"/>
    </i>
    <i>
      <x v="6"/>
    </i>
    <i r="1">
      <x v="1"/>
    </i>
    <i r="1">
      <x v="2"/>
    </i>
    <i r="1">
      <x v="3"/>
    </i>
    <i r="1">
      <x v="4"/>
    </i>
    <i>
      <x v="7"/>
    </i>
    <i r="1">
      <x v="2"/>
    </i>
    <i r="1">
      <x v="3"/>
    </i>
    <i>
      <x v="8"/>
    </i>
    <i r="1">
      <x v="1"/>
    </i>
    <i r="1">
      <x v="2"/>
    </i>
    <i r="1">
      <x v="3"/>
    </i>
    <i>
      <x v="9"/>
    </i>
    <i r="1">
      <x/>
    </i>
    <i r="1">
      <x v="1"/>
    </i>
    <i r="1">
      <x v="2"/>
    </i>
    <i r="1">
      <x v="4"/>
    </i>
    <i>
      <x v="10"/>
    </i>
    <i r="1">
      <x v="3"/>
    </i>
    <i>
      <x v="11"/>
    </i>
    <i r="1">
      <x v="1"/>
    </i>
    <i r="1">
      <x v="2"/>
    </i>
    <i r="1">
      <x v="3"/>
    </i>
    <i>
      <x v="12"/>
    </i>
    <i r="1">
      <x/>
    </i>
    <i r="1">
      <x v="2"/>
    </i>
    <i>
      <x v="13"/>
    </i>
    <i r="1">
      <x v="4"/>
    </i>
    <i>
      <x v="14"/>
    </i>
    <i r="1">
      <x v="1"/>
    </i>
    <i r="1">
      <x v="2"/>
    </i>
    <i r="1">
      <x v="3"/>
    </i>
    <i>
      <x v="15"/>
    </i>
    <i r="1">
      <x v="1"/>
    </i>
    <i r="1">
      <x v="4"/>
    </i>
    <i>
      <x v="16"/>
    </i>
    <i r="1">
      <x v="1"/>
    </i>
    <i r="1">
      <x v="2"/>
    </i>
    <i r="1">
      <x v="3"/>
    </i>
    <i r="1">
      <x v="4"/>
    </i>
    <i>
      <x v="17"/>
    </i>
    <i r="1">
      <x v="2"/>
    </i>
    <i r="1">
      <x v="3"/>
    </i>
    <i>
      <x v="18"/>
    </i>
    <i r="1">
      <x v="1"/>
    </i>
    <i r="1">
      <x v="2"/>
    </i>
    <i r="1">
      <x v="3"/>
    </i>
    <i>
      <x v="19"/>
    </i>
    <i r="1">
      <x v="1"/>
    </i>
    <i r="1">
      <x v="2"/>
    </i>
    <i r="1">
      <x v="3"/>
    </i>
    <i>
      <x v="20"/>
    </i>
    <i r="1">
      <x v="2"/>
    </i>
    <i>
      <x v="21"/>
    </i>
    <i r="1">
      <x v="1"/>
    </i>
    <i>
      <x v="22"/>
    </i>
    <i r="1">
      <x v="1"/>
    </i>
    <i r="1">
      <x v="2"/>
    </i>
    <i r="1">
      <x v="3"/>
    </i>
    <i>
      <x v="23"/>
    </i>
    <i r="1">
      <x v="1"/>
    </i>
    <i r="1">
      <x v="3"/>
    </i>
    <i>
      <x v="24"/>
    </i>
    <i r="1">
      <x/>
    </i>
    <i r="1">
      <x v="1"/>
    </i>
    <i r="1">
      <x v="2"/>
    </i>
    <i>
      <x v="25"/>
    </i>
    <i r="1">
      <x v="2"/>
    </i>
    <i>
      <x v="26"/>
    </i>
    <i r="1">
      <x v="2"/>
    </i>
    <i r="1">
      <x v="3"/>
    </i>
    <i r="1">
      <x v="4"/>
    </i>
    <i>
      <x v="27"/>
    </i>
    <i r="1">
      <x v="2"/>
    </i>
    <i r="1">
      <x v="3"/>
    </i>
    <i r="1">
      <x v="4"/>
    </i>
    <i>
      <x v="28"/>
    </i>
    <i r="1">
      <x v="1"/>
    </i>
    <i>
      <x v="29"/>
    </i>
    <i r="1">
      <x v="1"/>
    </i>
    <i r="1">
      <x v="2"/>
    </i>
    <i t="grand">
      <x/>
    </i>
  </rowItems>
  <colFields count="1">
    <field x="-2"/>
  </colFields>
  <colItems count="3">
    <i>
      <x/>
    </i>
    <i i="1">
      <x v="1"/>
    </i>
    <i i="2">
      <x v="2"/>
    </i>
  </colItems>
  <dataFields count="3">
    <dataField name="Count of Opportunity Led By" fld="5" subtotal="count" baseField="0" baseItem="0"/>
    <dataField name="Sum of Amount" fld="14" baseField="0" baseItem="0" numFmtId="2"/>
    <dataField name="Sum of Estimated Bottomline" fld="15" baseField="0" baseItem="0"/>
  </dataFields>
  <formats count="2">
    <format dxfId="5">
      <pivotArea outline="0" collapsedLevelsAreSubtotals="1" fieldPosition="0">
        <references count="1">
          <reference field="4294967294" count="1" selected="0">
            <x v="1"/>
          </reference>
        </references>
      </pivotArea>
    </format>
    <format dxfId="4">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6AE79E-9194-4B59-B9CC-9B6E72DFA18C}" name="PipelineData" displayName="PipelineData" ref="A1:Z380" totalsRowShown="0">
  <tableColumns count="26">
    <tableColumn id="1" xr3:uid="{DCA610E8-1315-4324-B57D-7FB2A163A990}" name="Created Time"/>
    <tableColumn id="2" xr3:uid="{729FC86D-7420-4183-BE52-156A46C8048B}" name="Opportunity Number"/>
    <tableColumn id="3" xr3:uid="{B1A81A0C-467F-41D5-9B89-34941C2ACF5A}" name="Organization Name"/>
    <tableColumn id="4" xr3:uid="{3806FCDC-ADAB-4F24-B696-E9F868BB4CEA}" name="Contact Name"/>
    <tableColumn id="5" xr3:uid="{13AB0DCD-FF01-483C-BB25-058C18637486}" name="Opportunity Name"/>
    <tableColumn id="6" xr3:uid="{ECB333D1-AC2A-479D-993E-336C916A3EF6}" name="Opportunity Led By"/>
    <tableColumn id="7" xr3:uid="{823949BE-681D-441D-90F2-5D810D4C4682}" name="Assigned To"/>
    <tableColumn id="8" xr3:uid="{3D0B714B-5BAA-46B7-AD63-2B2AC5A731A6}" name="Lead Source"/>
    <tableColumn id="9" xr3:uid="{1A4610BA-219C-4DFD-99B8-57D46C6F9A1A}" name="Identifier"/>
    <tableColumn id="10" xr3:uid="{FC55CD5D-0C1D-436A-8136-400CA1F71468}" name="Supported By"/>
    <tableColumn id="11" xr3:uid="{41CD9A86-E35A-48EF-9CD1-9D0D339ED56E}" name="Category"/>
    <tableColumn id="12" xr3:uid="{546893AB-70CB-4601-BC1E-929A4FCF425A}" name="Sub Category"/>
    <tableColumn id="13" xr3:uid="{6C451046-88B7-4C5A-9C8B-CC4F424AA40D}" name="Brand"/>
    <tableColumn id="14" xr3:uid="{025421F8-9D85-4CEC-8403-BAB65367102A}" name="Sales Stage"/>
    <tableColumn id="15" xr3:uid="{13FE8E5B-72C9-4F2F-B970-99A4CD219E86}" name="Amount" dataDxfId="3"/>
    <tableColumn id="16" xr3:uid="{CF11DD17-AD5F-4970-938E-E9ECE12B374A}" name="Estimated Bottomline" dataDxfId="2"/>
    <tableColumn id="17" xr3:uid="{2F6A1015-2637-4E12-AE7B-BA47F39CF98E}" name="Actual Bottomline -" dataDxfId="1"/>
    <tableColumn id="18" xr3:uid="{FAF9F509-249B-4A6C-8C83-C87845C37887}" name="Expected Close Date"/>
    <tableColumn id="19" xr3:uid="{A08AA5D4-C275-4A90-B06B-B16F9909EAE0}" name="Deal Category"/>
    <tableColumn id="20" xr3:uid="{A3D529B4-536A-4C06-9238-FA436C7A7950}" name="Probability"/>
    <tableColumn id="21" xr3:uid="{03A2B5B5-486B-4189-988E-BFFF608A4230}" name="OPF No."/>
    <tableColumn id="22" xr3:uid="{0E45A798-BC49-49B8-B53A-AE4177E633DB}" name="Deal ID"/>
    <tableColumn id="23" xr3:uid="{D3A50605-1CA7-4901-80C9-27B8B1455572}" name="Deal Status"/>
    <tableColumn id="24" xr3:uid="{5DCBE7B3-A7F4-4E50-BE80-1286F5D472E8}" name="Deal Expiry Date"/>
    <tableColumn id="25" xr3:uid="{5AB097B5-6FBB-494D-BACB-CD5B2BA47808}" name="Description"/>
    <tableColumn id="26" xr3:uid="{EB225DD3-46DE-4204-93CF-41A85251DA91}" name="Divis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9F7DE-DBE0-4E9F-B22C-1FAD02DB4EA9}">
  <dimension ref="A3:AC103"/>
  <sheetViews>
    <sheetView topLeftCell="A11" zoomScale="145" zoomScaleNormal="145" workbookViewId="0">
      <selection activeCell="B12" sqref="B12"/>
    </sheetView>
  </sheetViews>
  <sheetFormatPr defaultRowHeight="14.4" x14ac:dyDescent="0.3"/>
  <cols>
    <col min="1" max="1" width="27.109375" bestFit="1" customWidth="1"/>
    <col min="2" max="2" width="25.33203125" bestFit="1" customWidth="1"/>
    <col min="3" max="3" width="15" style="6" bestFit="1" customWidth="1"/>
    <col min="4" max="4" width="26.109375" bestFit="1" customWidth="1"/>
    <col min="5" max="5" width="11" bestFit="1" customWidth="1"/>
  </cols>
  <sheetData>
    <row r="3" spans="1:29" x14ac:dyDescent="0.3">
      <c r="A3" s="7" t="s">
        <v>1938</v>
      </c>
      <c r="B3" t="s">
        <v>1940</v>
      </c>
      <c r="C3" s="6" t="s">
        <v>1941</v>
      </c>
      <c r="D3" t="s">
        <v>1942</v>
      </c>
      <c r="X3">
        <f>GETPIVOTDATA("Sum of Amount",$A$3,"Opportunity Led By","Ajay Patodia")/10^7</f>
        <v>9.4460405699999974</v>
      </c>
    </row>
    <row r="4" spans="1:29" x14ac:dyDescent="0.3">
      <c r="A4" s="8" t="s">
        <v>30</v>
      </c>
      <c r="B4">
        <v>6</v>
      </c>
      <c r="C4" s="6">
        <v>414570.89</v>
      </c>
      <c r="D4">
        <v>37690.89</v>
      </c>
    </row>
    <row r="5" spans="1:29" x14ac:dyDescent="0.3">
      <c r="A5" s="9" t="s">
        <v>34</v>
      </c>
      <c r="B5">
        <v>3</v>
      </c>
      <c r="C5" s="6">
        <v>283570.89</v>
      </c>
      <c r="D5">
        <v>16190.89</v>
      </c>
      <c r="AC5">
        <f>AA6/10^7</f>
        <v>29.030123182000001</v>
      </c>
    </row>
    <row r="6" spans="1:29" x14ac:dyDescent="0.3">
      <c r="A6" s="9" t="s">
        <v>990</v>
      </c>
      <c r="B6">
        <v>2</v>
      </c>
      <c r="C6" s="6">
        <v>45000</v>
      </c>
      <c r="D6">
        <v>5500</v>
      </c>
      <c r="AA6">
        <v>290301231.81999999</v>
      </c>
    </row>
    <row r="7" spans="1:29" x14ac:dyDescent="0.3">
      <c r="A7" s="9" t="s">
        <v>63</v>
      </c>
      <c r="B7">
        <v>1</v>
      </c>
      <c r="C7" s="6">
        <v>86000</v>
      </c>
      <c r="D7">
        <v>16000</v>
      </c>
    </row>
    <row r="8" spans="1:29" x14ac:dyDescent="0.3">
      <c r="A8" s="8" t="s">
        <v>52</v>
      </c>
      <c r="B8">
        <v>28</v>
      </c>
      <c r="C8" s="6">
        <v>94460405.699999973</v>
      </c>
      <c r="D8">
        <v>3014870</v>
      </c>
    </row>
    <row r="9" spans="1:29" x14ac:dyDescent="0.3">
      <c r="A9" s="9" t="s">
        <v>63</v>
      </c>
      <c r="B9">
        <v>28</v>
      </c>
      <c r="C9" s="6">
        <v>94460405.699999973</v>
      </c>
      <c r="D9">
        <v>3014870</v>
      </c>
    </row>
    <row r="10" spans="1:29" x14ac:dyDescent="0.3">
      <c r="A10" s="8" t="s">
        <v>1071</v>
      </c>
      <c r="B10">
        <v>2</v>
      </c>
      <c r="C10" s="6">
        <v>563958.32999999996</v>
      </c>
      <c r="D10">
        <v>56396</v>
      </c>
    </row>
    <row r="11" spans="1:29" x14ac:dyDescent="0.3">
      <c r="A11" s="9" t="s">
        <v>990</v>
      </c>
      <c r="B11">
        <v>2</v>
      </c>
      <c r="C11" s="6">
        <v>563958.32999999996</v>
      </c>
      <c r="D11">
        <v>56396</v>
      </c>
    </row>
    <row r="12" spans="1:29" x14ac:dyDescent="0.3">
      <c r="A12" s="8" t="s">
        <v>541</v>
      </c>
      <c r="B12">
        <v>9</v>
      </c>
      <c r="C12" s="6">
        <v>13458430.57</v>
      </c>
      <c r="D12">
        <v>1184528</v>
      </c>
    </row>
    <row r="13" spans="1:29" x14ac:dyDescent="0.3">
      <c r="A13" s="9" t="s">
        <v>244</v>
      </c>
      <c r="B13">
        <v>2</v>
      </c>
      <c r="C13" s="6">
        <v>10873971</v>
      </c>
      <c r="D13">
        <v>746657</v>
      </c>
    </row>
    <row r="14" spans="1:29" x14ac:dyDescent="0.3">
      <c r="A14" s="9" t="s">
        <v>556</v>
      </c>
      <c r="B14">
        <v>7</v>
      </c>
      <c r="C14" s="6">
        <v>2584459.5699999998</v>
      </c>
      <c r="D14">
        <v>437871</v>
      </c>
    </row>
    <row r="15" spans="1:29" x14ac:dyDescent="0.3">
      <c r="A15" s="8" t="s">
        <v>432</v>
      </c>
      <c r="B15">
        <v>12</v>
      </c>
      <c r="C15" s="6">
        <v>64578697</v>
      </c>
      <c r="D15">
        <v>4375291</v>
      </c>
    </row>
    <row r="16" spans="1:29" x14ac:dyDescent="0.3">
      <c r="A16" s="9" t="s">
        <v>34</v>
      </c>
      <c r="B16">
        <v>10</v>
      </c>
      <c r="C16" s="6">
        <v>62123697</v>
      </c>
      <c r="D16">
        <v>4225291</v>
      </c>
    </row>
    <row r="17" spans="1:25" x14ac:dyDescent="0.3">
      <c r="A17" s="9" t="s">
        <v>63</v>
      </c>
      <c r="B17">
        <v>1</v>
      </c>
      <c r="C17" s="6">
        <v>2210000</v>
      </c>
      <c r="D17">
        <v>100000</v>
      </c>
    </row>
    <row r="18" spans="1:25" x14ac:dyDescent="0.3">
      <c r="A18" s="9" t="s">
        <v>556</v>
      </c>
      <c r="B18">
        <v>1</v>
      </c>
      <c r="C18" s="6">
        <v>245000</v>
      </c>
      <c r="D18">
        <v>50000</v>
      </c>
    </row>
    <row r="19" spans="1:25" x14ac:dyDescent="0.3">
      <c r="A19" s="8" t="s">
        <v>1008</v>
      </c>
      <c r="B19">
        <v>4</v>
      </c>
      <c r="C19" s="6">
        <v>3020589</v>
      </c>
      <c r="D19">
        <v>298984</v>
      </c>
    </row>
    <row r="20" spans="1:25" x14ac:dyDescent="0.3">
      <c r="A20" s="9" t="s">
        <v>34</v>
      </c>
      <c r="B20">
        <v>1</v>
      </c>
      <c r="C20" s="6">
        <v>2206500</v>
      </c>
      <c r="D20">
        <v>200000</v>
      </c>
    </row>
    <row r="21" spans="1:25" x14ac:dyDescent="0.3">
      <c r="A21" s="9" t="s">
        <v>990</v>
      </c>
      <c r="B21">
        <v>3</v>
      </c>
      <c r="C21" s="6">
        <v>814089</v>
      </c>
      <c r="D21">
        <v>98984</v>
      </c>
    </row>
    <row r="22" spans="1:25" x14ac:dyDescent="0.3">
      <c r="A22" s="8" t="s">
        <v>219</v>
      </c>
      <c r="B22">
        <v>7</v>
      </c>
      <c r="C22" s="6">
        <v>117710685.72</v>
      </c>
      <c r="D22">
        <v>16226289.43</v>
      </c>
    </row>
    <row r="23" spans="1:25" x14ac:dyDescent="0.3">
      <c r="A23" s="9" t="s">
        <v>34</v>
      </c>
      <c r="B23">
        <v>1</v>
      </c>
      <c r="C23" s="6">
        <v>72034</v>
      </c>
      <c r="D23">
        <v>0</v>
      </c>
    </row>
    <row r="24" spans="1:25" x14ac:dyDescent="0.3">
      <c r="A24" s="9" t="s">
        <v>990</v>
      </c>
      <c r="B24">
        <v>1</v>
      </c>
      <c r="C24" s="6">
        <v>524744.72</v>
      </c>
      <c r="D24">
        <v>36916.720000000001</v>
      </c>
    </row>
    <row r="25" spans="1:25" x14ac:dyDescent="0.3">
      <c r="A25" s="9" t="s">
        <v>63</v>
      </c>
      <c r="B25">
        <v>3</v>
      </c>
      <c r="C25" s="6">
        <v>46072067</v>
      </c>
      <c r="D25">
        <v>1822251.71</v>
      </c>
    </row>
    <row r="26" spans="1:25" x14ac:dyDescent="0.3">
      <c r="A26" s="9" t="s">
        <v>556</v>
      </c>
      <c r="B26">
        <v>2</v>
      </c>
      <c r="C26" s="6">
        <v>71041840</v>
      </c>
      <c r="D26">
        <v>14367121</v>
      </c>
    </row>
    <row r="27" spans="1:25" x14ac:dyDescent="0.3">
      <c r="A27" s="8" t="s">
        <v>242</v>
      </c>
      <c r="B27">
        <v>3</v>
      </c>
      <c r="C27" s="6">
        <v>1286674</v>
      </c>
      <c r="D27">
        <v>79050</v>
      </c>
      <c r="X27">
        <f>GETPIVOTDATA("Sum of Amount",$A$3,"Opportunity Led By","Yusufali Petiwala")/10^7</f>
        <v>1.076047508</v>
      </c>
    </row>
    <row r="28" spans="1:25" x14ac:dyDescent="0.3">
      <c r="A28" s="9" t="s">
        <v>990</v>
      </c>
      <c r="B28">
        <v>2</v>
      </c>
      <c r="C28" s="6">
        <v>811100</v>
      </c>
      <c r="D28">
        <v>31920</v>
      </c>
    </row>
    <row r="29" spans="1:25" x14ac:dyDescent="0.3">
      <c r="A29" s="9" t="s">
        <v>63</v>
      </c>
      <c r="B29">
        <v>1</v>
      </c>
      <c r="C29" s="6">
        <v>475574</v>
      </c>
      <c r="D29">
        <v>47130</v>
      </c>
    </row>
    <row r="30" spans="1:25" x14ac:dyDescent="0.3">
      <c r="A30" s="8" t="s">
        <v>252</v>
      </c>
      <c r="B30">
        <v>14</v>
      </c>
      <c r="C30" s="6">
        <v>62075615.039999999</v>
      </c>
      <c r="D30">
        <v>6200980.5999999996</v>
      </c>
      <c r="Y30">
        <f>GETPIVOTDATA("Sum of Amount",$A$3,"Opportunity Led By","Yusufali Petiwala")/10^7</f>
        <v>1.076047508</v>
      </c>
    </row>
    <row r="31" spans="1:25" x14ac:dyDescent="0.3">
      <c r="A31" s="9" t="s">
        <v>34</v>
      </c>
      <c r="B31">
        <v>9</v>
      </c>
      <c r="C31" s="6">
        <v>351500</v>
      </c>
      <c r="D31">
        <v>45856.770000000004</v>
      </c>
      <c r="X31">
        <f>GETPIVOTDATA("Sum of Amount",$A$3)/10^7</f>
        <v>122.55159167000001</v>
      </c>
    </row>
    <row r="32" spans="1:25" x14ac:dyDescent="0.3">
      <c r="A32" s="9" t="s">
        <v>990</v>
      </c>
      <c r="B32">
        <v>2</v>
      </c>
      <c r="C32" s="6">
        <v>328000</v>
      </c>
      <c r="D32">
        <v>37951.800000000003</v>
      </c>
    </row>
    <row r="33" spans="1:4" x14ac:dyDescent="0.3">
      <c r="A33" s="9" t="s">
        <v>63</v>
      </c>
      <c r="B33">
        <v>3</v>
      </c>
      <c r="C33" s="6">
        <v>61396115.039999999</v>
      </c>
      <c r="D33">
        <v>6117172.0299999993</v>
      </c>
    </row>
    <row r="34" spans="1:4" x14ac:dyDescent="0.3">
      <c r="A34" s="8" t="s">
        <v>515</v>
      </c>
      <c r="B34">
        <v>53</v>
      </c>
      <c r="C34" s="6">
        <v>38126084</v>
      </c>
      <c r="D34">
        <v>5046260.63</v>
      </c>
    </row>
    <row r="35" spans="1:4" x14ac:dyDescent="0.3">
      <c r="A35" s="9" t="s">
        <v>244</v>
      </c>
      <c r="B35">
        <v>1</v>
      </c>
      <c r="C35" s="6">
        <v>1186225</v>
      </c>
      <c r="D35">
        <v>177918</v>
      </c>
    </row>
    <row r="36" spans="1:4" x14ac:dyDescent="0.3">
      <c r="A36" s="9" t="s">
        <v>34</v>
      </c>
      <c r="B36">
        <v>41</v>
      </c>
      <c r="C36" s="6">
        <v>14018849</v>
      </c>
      <c r="D36">
        <v>1104619</v>
      </c>
    </row>
    <row r="37" spans="1:4" x14ac:dyDescent="0.3">
      <c r="A37" s="9" t="s">
        <v>990</v>
      </c>
      <c r="B37">
        <v>7</v>
      </c>
      <c r="C37" s="6">
        <v>17841852</v>
      </c>
      <c r="D37">
        <v>1753862.3</v>
      </c>
    </row>
    <row r="38" spans="1:4" x14ac:dyDescent="0.3">
      <c r="A38" s="9" t="s">
        <v>556</v>
      </c>
      <c r="B38">
        <v>4</v>
      </c>
      <c r="C38" s="6">
        <v>5079158</v>
      </c>
      <c r="D38">
        <v>2009861.33</v>
      </c>
    </row>
    <row r="39" spans="1:4" x14ac:dyDescent="0.3">
      <c r="A39" s="8" t="s">
        <v>273</v>
      </c>
      <c r="B39">
        <v>4</v>
      </c>
      <c r="C39" s="6">
        <v>62669400</v>
      </c>
      <c r="D39">
        <v>4713400</v>
      </c>
    </row>
    <row r="40" spans="1:4" x14ac:dyDescent="0.3">
      <c r="A40" s="9" t="s">
        <v>63</v>
      </c>
      <c r="B40">
        <v>4</v>
      </c>
      <c r="C40" s="6">
        <v>62669400</v>
      </c>
      <c r="D40">
        <v>4713400</v>
      </c>
    </row>
    <row r="41" spans="1:4" x14ac:dyDescent="0.3">
      <c r="A41" s="8" t="s">
        <v>441</v>
      </c>
      <c r="B41">
        <v>12</v>
      </c>
      <c r="C41" s="6">
        <v>14900934</v>
      </c>
      <c r="D41">
        <v>269852</v>
      </c>
    </row>
    <row r="42" spans="1:4" x14ac:dyDescent="0.3">
      <c r="A42" s="9" t="s">
        <v>34</v>
      </c>
      <c r="B42">
        <v>7</v>
      </c>
      <c r="C42" s="6">
        <v>14346420</v>
      </c>
      <c r="D42">
        <v>202207</v>
      </c>
    </row>
    <row r="43" spans="1:4" x14ac:dyDescent="0.3">
      <c r="A43" s="9" t="s">
        <v>990</v>
      </c>
      <c r="B43">
        <v>4</v>
      </c>
      <c r="C43" s="6">
        <v>326514</v>
      </c>
      <c r="D43">
        <v>37645</v>
      </c>
    </row>
    <row r="44" spans="1:4" x14ac:dyDescent="0.3">
      <c r="A44" s="9" t="s">
        <v>63</v>
      </c>
      <c r="B44">
        <v>1</v>
      </c>
      <c r="C44" s="6">
        <v>228000</v>
      </c>
      <c r="D44">
        <v>30000</v>
      </c>
    </row>
    <row r="45" spans="1:4" x14ac:dyDescent="0.3">
      <c r="A45" s="8" t="s">
        <v>1210</v>
      </c>
      <c r="B45">
        <v>2</v>
      </c>
      <c r="C45" s="6">
        <v>227272</v>
      </c>
      <c r="D45">
        <v>16300</v>
      </c>
    </row>
    <row r="46" spans="1:4" x14ac:dyDescent="0.3">
      <c r="A46" s="9" t="s">
        <v>244</v>
      </c>
      <c r="B46">
        <v>1</v>
      </c>
      <c r="C46" s="6">
        <v>32000</v>
      </c>
      <c r="D46">
        <v>7000</v>
      </c>
    </row>
    <row r="47" spans="1:4" x14ac:dyDescent="0.3">
      <c r="A47" s="9" t="s">
        <v>990</v>
      </c>
      <c r="B47">
        <v>1</v>
      </c>
      <c r="C47" s="6">
        <v>195272</v>
      </c>
      <c r="D47">
        <v>9300</v>
      </c>
    </row>
    <row r="48" spans="1:4" x14ac:dyDescent="0.3">
      <c r="A48" s="8" t="s">
        <v>597</v>
      </c>
      <c r="B48">
        <v>3</v>
      </c>
      <c r="C48" s="6">
        <v>15480</v>
      </c>
      <c r="D48">
        <v>13330</v>
      </c>
    </row>
    <row r="49" spans="1:4" x14ac:dyDescent="0.3">
      <c r="A49" s="9" t="s">
        <v>556</v>
      </c>
      <c r="B49">
        <v>3</v>
      </c>
      <c r="C49" s="6">
        <v>15480</v>
      </c>
      <c r="D49">
        <v>13330</v>
      </c>
    </row>
    <row r="50" spans="1:4" x14ac:dyDescent="0.3">
      <c r="A50" s="8" t="s">
        <v>294</v>
      </c>
      <c r="B50">
        <v>10</v>
      </c>
      <c r="C50" s="6">
        <v>128976844</v>
      </c>
      <c r="D50">
        <v>863700</v>
      </c>
    </row>
    <row r="51" spans="1:4" x14ac:dyDescent="0.3">
      <c r="A51" s="9" t="s">
        <v>34</v>
      </c>
      <c r="B51">
        <v>4</v>
      </c>
      <c r="C51" s="6">
        <v>217600</v>
      </c>
      <c r="D51">
        <v>13700</v>
      </c>
    </row>
    <row r="52" spans="1:4" x14ac:dyDescent="0.3">
      <c r="A52" s="9" t="s">
        <v>990</v>
      </c>
      <c r="B52">
        <v>3</v>
      </c>
      <c r="C52" s="6">
        <v>47501196</v>
      </c>
      <c r="D52">
        <v>250000</v>
      </c>
    </row>
    <row r="53" spans="1:4" x14ac:dyDescent="0.3">
      <c r="A53" s="9" t="s">
        <v>63</v>
      </c>
      <c r="B53">
        <v>3</v>
      </c>
      <c r="C53" s="6">
        <v>81258048</v>
      </c>
      <c r="D53">
        <v>600000</v>
      </c>
    </row>
    <row r="54" spans="1:4" x14ac:dyDescent="0.3">
      <c r="A54" s="8" t="s">
        <v>630</v>
      </c>
      <c r="B54">
        <v>38</v>
      </c>
      <c r="C54" s="6">
        <v>14004570.359999999</v>
      </c>
      <c r="D54">
        <v>1893110.24</v>
      </c>
    </row>
    <row r="55" spans="1:4" x14ac:dyDescent="0.3">
      <c r="A55" s="9" t="s">
        <v>34</v>
      </c>
      <c r="B55">
        <v>37</v>
      </c>
      <c r="C55" s="6">
        <v>12684729.359999999</v>
      </c>
      <c r="D55">
        <v>1373269.24</v>
      </c>
    </row>
    <row r="56" spans="1:4" x14ac:dyDescent="0.3">
      <c r="A56" s="9" t="s">
        <v>556</v>
      </c>
      <c r="B56">
        <v>1</v>
      </c>
      <c r="C56" s="6">
        <v>1319841</v>
      </c>
      <c r="D56">
        <v>519841</v>
      </c>
    </row>
    <row r="57" spans="1:4" x14ac:dyDescent="0.3">
      <c r="A57" s="8" t="s">
        <v>312</v>
      </c>
      <c r="B57">
        <v>41</v>
      </c>
      <c r="C57" s="6">
        <v>188879807.78000003</v>
      </c>
      <c r="D57">
        <v>6934787</v>
      </c>
    </row>
    <row r="58" spans="1:4" x14ac:dyDescent="0.3">
      <c r="A58" s="9" t="s">
        <v>34</v>
      </c>
      <c r="B58">
        <v>21</v>
      </c>
      <c r="C58" s="6">
        <v>96255626</v>
      </c>
      <c r="D58">
        <v>3139826</v>
      </c>
    </row>
    <row r="59" spans="1:4" x14ac:dyDescent="0.3">
      <c r="A59" s="9" t="s">
        <v>990</v>
      </c>
      <c r="B59">
        <v>11</v>
      </c>
      <c r="C59" s="6">
        <v>75250781.780000001</v>
      </c>
      <c r="D59">
        <v>1804918</v>
      </c>
    </row>
    <row r="60" spans="1:4" x14ac:dyDescent="0.3">
      <c r="A60" s="9" t="s">
        <v>63</v>
      </c>
      <c r="B60">
        <v>6</v>
      </c>
      <c r="C60" s="6">
        <v>14763400</v>
      </c>
      <c r="D60">
        <v>700043</v>
      </c>
    </row>
    <row r="61" spans="1:4" x14ac:dyDescent="0.3">
      <c r="A61" s="9" t="s">
        <v>556</v>
      </c>
      <c r="B61">
        <v>3</v>
      </c>
      <c r="C61" s="6">
        <v>2610000</v>
      </c>
      <c r="D61">
        <v>1290000</v>
      </c>
    </row>
    <row r="62" spans="1:4" x14ac:dyDescent="0.3">
      <c r="A62" s="8" t="s">
        <v>354</v>
      </c>
      <c r="B62">
        <v>2</v>
      </c>
      <c r="C62" s="6">
        <v>5798000</v>
      </c>
      <c r="D62">
        <v>183000</v>
      </c>
    </row>
    <row r="63" spans="1:4" x14ac:dyDescent="0.3">
      <c r="A63" s="9" t="s">
        <v>990</v>
      </c>
      <c r="B63">
        <v>1</v>
      </c>
      <c r="C63" s="6">
        <v>4248000</v>
      </c>
      <c r="D63">
        <v>0</v>
      </c>
    </row>
    <row r="64" spans="1:4" x14ac:dyDescent="0.3">
      <c r="A64" s="9" t="s">
        <v>63</v>
      </c>
      <c r="B64">
        <v>1</v>
      </c>
      <c r="C64" s="6">
        <v>1550000</v>
      </c>
      <c r="D64">
        <v>183000</v>
      </c>
    </row>
    <row r="65" spans="1:4" x14ac:dyDescent="0.3">
      <c r="A65" s="8" t="s">
        <v>363</v>
      </c>
      <c r="B65">
        <v>9</v>
      </c>
      <c r="C65" s="6">
        <v>22971171.5</v>
      </c>
      <c r="D65">
        <v>3252109.6</v>
      </c>
    </row>
    <row r="66" spans="1:4" x14ac:dyDescent="0.3">
      <c r="A66" s="9" t="s">
        <v>34</v>
      </c>
      <c r="B66">
        <v>1</v>
      </c>
      <c r="C66" s="6">
        <v>740000</v>
      </c>
      <c r="D66">
        <v>46000</v>
      </c>
    </row>
    <row r="67" spans="1:4" x14ac:dyDescent="0.3">
      <c r="A67" s="9" t="s">
        <v>990</v>
      </c>
      <c r="B67">
        <v>7</v>
      </c>
      <c r="C67" s="6">
        <v>10231171.5</v>
      </c>
      <c r="D67">
        <v>2206109.6</v>
      </c>
    </row>
    <row r="68" spans="1:4" x14ac:dyDescent="0.3">
      <c r="A68" s="9" t="s">
        <v>63</v>
      </c>
      <c r="B68">
        <v>1</v>
      </c>
      <c r="C68" s="6">
        <v>12000000</v>
      </c>
      <c r="D68">
        <v>1000000</v>
      </c>
    </row>
    <row r="69" spans="1:4" x14ac:dyDescent="0.3">
      <c r="A69" s="8" t="s">
        <v>372</v>
      </c>
      <c r="B69">
        <v>34</v>
      </c>
      <c r="C69" s="6">
        <v>11067547</v>
      </c>
      <c r="D69">
        <v>674749.67</v>
      </c>
    </row>
    <row r="70" spans="1:4" x14ac:dyDescent="0.3">
      <c r="A70" s="9" t="s">
        <v>34</v>
      </c>
      <c r="B70">
        <v>24</v>
      </c>
      <c r="C70" s="6">
        <v>8914028</v>
      </c>
      <c r="D70">
        <v>454056.67000000004</v>
      </c>
    </row>
    <row r="71" spans="1:4" x14ac:dyDescent="0.3">
      <c r="A71" s="9" t="s">
        <v>990</v>
      </c>
      <c r="B71">
        <v>9</v>
      </c>
      <c r="C71" s="6">
        <v>1563519</v>
      </c>
      <c r="D71">
        <v>176193</v>
      </c>
    </row>
    <row r="72" spans="1:4" x14ac:dyDescent="0.3">
      <c r="A72" s="9" t="s">
        <v>63</v>
      </c>
      <c r="B72">
        <v>1</v>
      </c>
      <c r="C72" s="6">
        <v>590000</v>
      </c>
      <c r="D72">
        <v>44500</v>
      </c>
    </row>
    <row r="73" spans="1:4" x14ac:dyDescent="0.3">
      <c r="A73" s="8" t="s">
        <v>1237</v>
      </c>
      <c r="B73">
        <v>1</v>
      </c>
      <c r="C73" s="6">
        <v>21966500</v>
      </c>
      <c r="D73">
        <v>200000</v>
      </c>
    </row>
    <row r="74" spans="1:4" x14ac:dyDescent="0.3">
      <c r="A74" s="9" t="s">
        <v>990</v>
      </c>
      <c r="B74">
        <v>1</v>
      </c>
      <c r="C74" s="6">
        <v>21966500</v>
      </c>
      <c r="D74">
        <v>200000</v>
      </c>
    </row>
    <row r="75" spans="1:4" x14ac:dyDescent="0.3">
      <c r="A75" s="8" t="s">
        <v>1731</v>
      </c>
      <c r="B75">
        <v>3</v>
      </c>
      <c r="C75" s="6">
        <v>2165200</v>
      </c>
      <c r="D75">
        <v>395900</v>
      </c>
    </row>
    <row r="76" spans="1:4" x14ac:dyDescent="0.3">
      <c r="A76" s="9" t="s">
        <v>34</v>
      </c>
      <c r="B76">
        <v>3</v>
      </c>
      <c r="C76" s="6">
        <v>2165200</v>
      </c>
      <c r="D76">
        <v>395900</v>
      </c>
    </row>
    <row r="77" spans="1:4" x14ac:dyDescent="0.3">
      <c r="A77" s="8" t="s">
        <v>382</v>
      </c>
      <c r="B77">
        <v>12</v>
      </c>
      <c r="C77" s="6">
        <v>38053236</v>
      </c>
      <c r="D77">
        <v>1643777.4</v>
      </c>
    </row>
    <row r="78" spans="1:4" x14ac:dyDescent="0.3">
      <c r="A78" s="9" t="s">
        <v>34</v>
      </c>
      <c r="B78">
        <v>6</v>
      </c>
      <c r="C78" s="6">
        <v>2228355</v>
      </c>
      <c r="D78">
        <v>31464.400000000001</v>
      </c>
    </row>
    <row r="79" spans="1:4" x14ac:dyDescent="0.3">
      <c r="A79" s="9" t="s">
        <v>990</v>
      </c>
      <c r="B79">
        <v>4</v>
      </c>
      <c r="C79" s="6">
        <v>3847936</v>
      </c>
      <c r="D79">
        <v>190368</v>
      </c>
    </row>
    <row r="80" spans="1:4" x14ac:dyDescent="0.3">
      <c r="A80" s="9" t="s">
        <v>63</v>
      </c>
      <c r="B80">
        <v>2</v>
      </c>
      <c r="C80" s="6">
        <v>31976945</v>
      </c>
      <c r="D80">
        <v>1421945</v>
      </c>
    </row>
    <row r="81" spans="1:4" x14ac:dyDescent="0.3">
      <c r="A81" s="8" t="s">
        <v>397</v>
      </c>
      <c r="B81">
        <v>2</v>
      </c>
      <c r="C81" s="6">
        <v>53360915</v>
      </c>
      <c r="D81">
        <v>1850000</v>
      </c>
    </row>
    <row r="82" spans="1:4" x14ac:dyDescent="0.3">
      <c r="A82" s="9" t="s">
        <v>34</v>
      </c>
      <c r="B82">
        <v>1</v>
      </c>
      <c r="C82" s="6">
        <v>30480000</v>
      </c>
      <c r="D82">
        <v>850000</v>
      </c>
    </row>
    <row r="83" spans="1:4" x14ac:dyDescent="0.3">
      <c r="A83" s="9" t="s">
        <v>63</v>
      </c>
      <c r="B83">
        <v>1</v>
      </c>
      <c r="C83" s="6">
        <v>22880915</v>
      </c>
      <c r="D83">
        <v>1000000</v>
      </c>
    </row>
    <row r="84" spans="1:4" x14ac:dyDescent="0.3">
      <c r="A84" s="8" t="s">
        <v>654</v>
      </c>
      <c r="B84">
        <v>28</v>
      </c>
      <c r="C84" s="6">
        <v>29018713.600000001</v>
      </c>
      <c r="D84">
        <v>363100</v>
      </c>
    </row>
    <row r="85" spans="1:4" x14ac:dyDescent="0.3">
      <c r="A85" s="9" t="s">
        <v>244</v>
      </c>
      <c r="B85">
        <v>20</v>
      </c>
      <c r="C85" s="6">
        <v>15520453.6</v>
      </c>
      <c r="D85">
        <v>163000</v>
      </c>
    </row>
    <row r="86" spans="1:4" x14ac:dyDescent="0.3">
      <c r="A86" s="9" t="s">
        <v>34</v>
      </c>
      <c r="B86">
        <v>5</v>
      </c>
      <c r="C86" s="6">
        <v>2144260</v>
      </c>
      <c r="D86">
        <v>135100</v>
      </c>
    </row>
    <row r="87" spans="1:4" x14ac:dyDescent="0.3">
      <c r="A87" s="9" t="s">
        <v>990</v>
      </c>
      <c r="B87">
        <v>3</v>
      </c>
      <c r="C87" s="6">
        <v>11354000</v>
      </c>
      <c r="D87">
        <v>65000</v>
      </c>
    </row>
    <row r="88" spans="1:4" x14ac:dyDescent="0.3">
      <c r="A88" s="8" t="s">
        <v>1246</v>
      </c>
      <c r="B88">
        <v>13</v>
      </c>
      <c r="C88" s="6">
        <v>55185175.609999999</v>
      </c>
      <c r="D88">
        <v>3591858.01</v>
      </c>
    </row>
    <row r="89" spans="1:4" x14ac:dyDescent="0.3">
      <c r="A89" s="9" t="s">
        <v>990</v>
      </c>
      <c r="B89">
        <v>13</v>
      </c>
      <c r="C89" s="6">
        <v>55185175.609999999</v>
      </c>
      <c r="D89">
        <v>3591858.01</v>
      </c>
    </row>
    <row r="90" spans="1:4" x14ac:dyDescent="0.3">
      <c r="A90" s="8" t="s">
        <v>407</v>
      </c>
      <c r="B90">
        <v>7</v>
      </c>
      <c r="C90" s="6">
        <v>159205874.79000002</v>
      </c>
      <c r="D90">
        <v>45750193</v>
      </c>
    </row>
    <row r="91" spans="1:4" x14ac:dyDescent="0.3">
      <c r="A91" s="9" t="s">
        <v>990</v>
      </c>
      <c r="B91">
        <v>2</v>
      </c>
      <c r="C91" s="6">
        <v>33999360</v>
      </c>
      <c r="D91">
        <v>10110193</v>
      </c>
    </row>
    <row r="92" spans="1:4" x14ac:dyDescent="0.3">
      <c r="A92" s="9" t="s">
        <v>63</v>
      </c>
      <c r="B92">
        <v>3</v>
      </c>
      <c r="C92" s="6">
        <v>113606518.79000001</v>
      </c>
      <c r="D92">
        <v>34040000</v>
      </c>
    </row>
    <row r="93" spans="1:4" x14ac:dyDescent="0.3">
      <c r="A93" s="9" t="s">
        <v>556</v>
      </c>
      <c r="B93">
        <v>2</v>
      </c>
      <c r="C93" s="6">
        <v>11599996</v>
      </c>
      <c r="D93">
        <v>1600000</v>
      </c>
    </row>
    <row r="94" spans="1:4" x14ac:dyDescent="0.3">
      <c r="A94" s="8" t="s">
        <v>425</v>
      </c>
      <c r="B94">
        <v>4</v>
      </c>
      <c r="C94" s="6">
        <v>10554689.73</v>
      </c>
      <c r="D94">
        <v>559308.41</v>
      </c>
    </row>
    <row r="95" spans="1:4" x14ac:dyDescent="0.3">
      <c r="A95" s="9" t="s">
        <v>990</v>
      </c>
      <c r="B95">
        <v>2</v>
      </c>
      <c r="C95" s="6">
        <v>7990400</v>
      </c>
      <c r="D95">
        <v>241583.25</v>
      </c>
    </row>
    <row r="96" spans="1:4" x14ac:dyDescent="0.3">
      <c r="A96" s="9" t="s">
        <v>63</v>
      </c>
      <c r="B96">
        <v>1</v>
      </c>
      <c r="C96" s="6">
        <v>2264289.73</v>
      </c>
      <c r="D96">
        <v>167725.16</v>
      </c>
    </row>
    <row r="97" spans="1:4" x14ac:dyDescent="0.3">
      <c r="A97" s="9" t="s">
        <v>556</v>
      </c>
      <c r="B97">
        <v>1</v>
      </c>
      <c r="C97" s="6">
        <v>300000</v>
      </c>
      <c r="D97">
        <v>150000</v>
      </c>
    </row>
    <row r="98" spans="1:4" x14ac:dyDescent="0.3">
      <c r="A98" s="8" t="s">
        <v>1723</v>
      </c>
      <c r="B98">
        <v>3</v>
      </c>
      <c r="C98" s="6">
        <v>38400</v>
      </c>
      <c r="D98">
        <v>3450</v>
      </c>
    </row>
    <row r="99" spans="1:4" x14ac:dyDescent="0.3">
      <c r="A99" s="9" t="s">
        <v>34</v>
      </c>
      <c r="B99">
        <v>3</v>
      </c>
      <c r="C99" s="6">
        <v>38400</v>
      </c>
      <c r="D99">
        <v>3450</v>
      </c>
    </row>
    <row r="100" spans="1:4" x14ac:dyDescent="0.3">
      <c r="A100" s="8" t="s">
        <v>1422</v>
      </c>
      <c r="B100">
        <v>13</v>
      </c>
      <c r="C100" s="6">
        <v>10760475.08</v>
      </c>
      <c r="D100">
        <v>399245.48</v>
      </c>
    </row>
    <row r="101" spans="1:4" x14ac:dyDescent="0.3">
      <c r="A101" s="9" t="s">
        <v>34</v>
      </c>
      <c r="B101">
        <v>12</v>
      </c>
      <c r="C101" s="6">
        <v>5760475.0800000001</v>
      </c>
      <c r="D101">
        <v>149245.47999999998</v>
      </c>
    </row>
    <row r="102" spans="1:4" x14ac:dyDescent="0.3">
      <c r="A102" s="9" t="s">
        <v>990</v>
      </c>
      <c r="B102">
        <v>1</v>
      </c>
      <c r="C102" s="6">
        <v>5000000</v>
      </c>
      <c r="D102">
        <v>250000</v>
      </c>
    </row>
    <row r="103" spans="1:4" x14ac:dyDescent="0.3">
      <c r="A103" s="8" t="s">
        <v>1939</v>
      </c>
      <c r="B103">
        <v>379</v>
      </c>
      <c r="C103" s="6">
        <v>1225515916.7</v>
      </c>
      <c r="D103">
        <v>110091511.36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5E0A6-1A35-4BEA-977E-E5FE8304A0F7}">
  <dimension ref="A1:Z380"/>
  <sheetViews>
    <sheetView tabSelected="1" topLeftCell="C2" zoomScale="145" zoomScaleNormal="145" workbookViewId="0">
      <selection activeCell="O2" sqref="O2:O380"/>
    </sheetView>
  </sheetViews>
  <sheetFormatPr defaultColWidth="11.33203125" defaultRowHeight="13.8" customHeight="1" x14ac:dyDescent="0.3"/>
  <cols>
    <col min="1" max="1" width="18.33203125" bestFit="1" customWidth="1"/>
    <col min="3" max="3" width="53.5546875" bestFit="1" customWidth="1"/>
    <col min="4" max="4" width="23.33203125" bestFit="1" customWidth="1"/>
    <col min="5" max="5" width="67.109375" bestFit="1" customWidth="1"/>
    <col min="6" max="6" width="20.44140625" bestFit="1" customWidth="1"/>
    <col min="11" max="11" width="23.77734375" bestFit="1" customWidth="1"/>
    <col min="15" max="15" width="12.5546875" style="6" bestFit="1" customWidth="1"/>
    <col min="16" max="16" width="19.5546875" bestFit="1" customWidth="1"/>
    <col min="17" max="17" width="19.21875" bestFit="1" customWidth="1"/>
  </cols>
  <sheetData>
    <row r="1" spans="1:26" ht="13.8" customHeight="1" x14ac:dyDescent="0.3">
      <c r="A1" t="s">
        <v>0</v>
      </c>
      <c r="B1" t="s">
        <v>1</v>
      </c>
      <c r="C1" t="s">
        <v>2</v>
      </c>
      <c r="D1" t="s">
        <v>3</v>
      </c>
      <c r="E1" t="s">
        <v>4</v>
      </c>
      <c r="F1" t="s">
        <v>5</v>
      </c>
      <c r="G1" t="s">
        <v>6</v>
      </c>
      <c r="H1" t="s">
        <v>7</v>
      </c>
      <c r="I1" t="s">
        <v>8</v>
      </c>
      <c r="J1" t="s">
        <v>9</v>
      </c>
      <c r="K1" t="s">
        <v>10</v>
      </c>
      <c r="L1" t="s">
        <v>11</v>
      </c>
      <c r="M1" t="s">
        <v>12</v>
      </c>
      <c r="N1" t="s">
        <v>13</v>
      </c>
      <c r="O1" s="6" t="s">
        <v>14</v>
      </c>
      <c r="P1" t="s">
        <v>15</v>
      </c>
      <c r="Q1" t="s">
        <v>16</v>
      </c>
      <c r="R1" t="s">
        <v>17</v>
      </c>
      <c r="S1" t="s">
        <v>18</v>
      </c>
      <c r="T1" t="s">
        <v>19</v>
      </c>
      <c r="U1" t="s">
        <v>20</v>
      </c>
      <c r="V1" t="s">
        <v>21</v>
      </c>
      <c r="W1" t="s">
        <v>22</v>
      </c>
      <c r="X1" t="s">
        <v>23</v>
      </c>
      <c r="Y1" t="s">
        <v>24</v>
      </c>
      <c r="Z1" s="5" t="s">
        <v>25</v>
      </c>
    </row>
    <row r="2" spans="1:26" ht="13.8" customHeight="1" x14ac:dyDescent="0.3">
      <c r="A2" s="1">
        <v>46177.646527777775</v>
      </c>
      <c r="B2" t="s">
        <v>26</v>
      </c>
      <c r="C2" t="s">
        <v>27</v>
      </c>
      <c r="D2" t="s">
        <v>28</v>
      </c>
      <c r="E2" t="s">
        <v>29</v>
      </c>
      <c r="F2" t="s">
        <v>30</v>
      </c>
      <c r="G2" t="s">
        <v>30</v>
      </c>
      <c r="H2" t="s">
        <v>31</v>
      </c>
      <c r="I2" t="s">
        <v>32</v>
      </c>
      <c r="J2" t="s">
        <v>33</v>
      </c>
      <c r="K2" t="s">
        <v>34</v>
      </c>
      <c r="L2" t="s">
        <v>35</v>
      </c>
      <c r="M2" t="s">
        <v>36</v>
      </c>
      <c r="N2" t="s">
        <v>37</v>
      </c>
      <c r="O2" s="6">
        <v>16380</v>
      </c>
      <c r="P2" s="2">
        <v>2550</v>
      </c>
      <c r="Q2" s="2">
        <v>2550</v>
      </c>
      <c r="R2" s="3">
        <v>46177</v>
      </c>
      <c r="S2" t="s">
        <v>38</v>
      </c>
      <c r="T2">
        <v>100</v>
      </c>
      <c r="U2" t="s">
        <v>39</v>
      </c>
      <c r="V2" t="s">
        <v>40</v>
      </c>
      <c r="W2" t="s">
        <v>40</v>
      </c>
      <c r="X2" t="s">
        <v>40</v>
      </c>
      <c r="Y2" t="s">
        <v>41</v>
      </c>
      <c r="Z2" s="5" t="s">
        <v>42</v>
      </c>
    </row>
    <row r="3" spans="1:26" ht="13.8" customHeight="1" x14ac:dyDescent="0.3">
      <c r="A3" s="1">
        <v>46208.540972222225</v>
      </c>
      <c r="B3" t="s">
        <v>43</v>
      </c>
      <c r="C3" t="s">
        <v>27</v>
      </c>
      <c r="D3" t="s">
        <v>28</v>
      </c>
      <c r="E3" t="s">
        <v>44</v>
      </c>
      <c r="F3" t="s">
        <v>30</v>
      </c>
      <c r="G3" t="s">
        <v>30</v>
      </c>
      <c r="H3" t="s">
        <v>31</v>
      </c>
      <c r="I3" t="s">
        <v>32</v>
      </c>
      <c r="J3" t="s">
        <v>33</v>
      </c>
      <c r="K3" t="s">
        <v>34</v>
      </c>
      <c r="L3" t="s">
        <v>35</v>
      </c>
      <c r="M3" t="s">
        <v>36</v>
      </c>
      <c r="N3" t="s">
        <v>37</v>
      </c>
      <c r="O3" s="6">
        <v>4100</v>
      </c>
      <c r="P3">
        <v>550</v>
      </c>
      <c r="Q3">
        <v>550</v>
      </c>
      <c r="R3" s="3">
        <v>46208</v>
      </c>
      <c r="S3" t="s">
        <v>38</v>
      </c>
      <c r="T3">
        <v>100</v>
      </c>
      <c r="U3" t="s">
        <v>45</v>
      </c>
      <c r="V3" t="s">
        <v>40</v>
      </c>
      <c r="W3" t="s">
        <v>40</v>
      </c>
      <c r="X3" t="s">
        <v>40</v>
      </c>
      <c r="Y3" t="s">
        <v>46</v>
      </c>
      <c r="Z3" s="5" t="s">
        <v>42</v>
      </c>
    </row>
    <row r="4" spans="1:26" ht="13.8" customHeight="1" x14ac:dyDescent="0.3">
      <c r="A4" s="1">
        <v>46331.740277777775</v>
      </c>
      <c r="B4" t="s">
        <v>47</v>
      </c>
      <c r="C4" t="s">
        <v>48</v>
      </c>
      <c r="D4" t="s">
        <v>49</v>
      </c>
      <c r="E4" t="s">
        <v>50</v>
      </c>
      <c r="F4" t="s">
        <v>30</v>
      </c>
      <c r="G4" t="s">
        <v>51</v>
      </c>
      <c r="H4" t="s">
        <v>31</v>
      </c>
      <c r="I4" t="s">
        <v>32</v>
      </c>
      <c r="J4" t="s">
        <v>52</v>
      </c>
      <c r="K4" t="s">
        <v>34</v>
      </c>
      <c r="L4" t="s">
        <v>53</v>
      </c>
      <c r="M4" t="s">
        <v>54</v>
      </c>
      <c r="N4" t="s">
        <v>37</v>
      </c>
      <c r="O4" s="6">
        <v>263090.89</v>
      </c>
      <c r="P4" s="2">
        <v>13090.89</v>
      </c>
      <c r="Q4">
        <v>0</v>
      </c>
      <c r="R4" s="3">
        <v>46361</v>
      </c>
      <c r="S4" t="s">
        <v>38</v>
      </c>
      <c r="T4">
        <v>100</v>
      </c>
      <c r="U4" t="s">
        <v>55</v>
      </c>
      <c r="V4" t="s">
        <v>40</v>
      </c>
      <c r="W4" t="s">
        <v>40</v>
      </c>
      <c r="X4" t="s">
        <v>40</v>
      </c>
      <c r="Y4" t="s">
        <v>56</v>
      </c>
      <c r="Z4" s="5" t="s">
        <v>42</v>
      </c>
    </row>
    <row r="5" spans="1:26" ht="13.8" customHeight="1" x14ac:dyDescent="0.3">
      <c r="A5" t="s">
        <v>57</v>
      </c>
      <c r="B5" t="s">
        <v>58</v>
      </c>
      <c r="C5" t="s">
        <v>59</v>
      </c>
      <c r="D5" t="s">
        <v>60</v>
      </c>
      <c r="E5" t="s">
        <v>61</v>
      </c>
      <c r="F5" t="s">
        <v>52</v>
      </c>
      <c r="G5" t="s">
        <v>62</v>
      </c>
      <c r="H5" t="s">
        <v>31</v>
      </c>
      <c r="I5" t="s">
        <v>32</v>
      </c>
      <c r="J5" t="s">
        <v>33</v>
      </c>
      <c r="K5" t="s">
        <v>63</v>
      </c>
      <c r="L5" t="s">
        <v>64</v>
      </c>
      <c r="M5" t="s">
        <v>65</v>
      </c>
      <c r="N5" t="s">
        <v>37</v>
      </c>
      <c r="O5" s="6">
        <v>27839236</v>
      </c>
      <c r="P5" s="2">
        <v>100000</v>
      </c>
      <c r="Q5">
        <v>0</v>
      </c>
      <c r="R5" t="s">
        <v>66</v>
      </c>
      <c r="S5" t="s">
        <v>38</v>
      </c>
      <c r="T5">
        <v>100</v>
      </c>
      <c r="U5" t="s">
        <v>40</v>
      </c>
      <c r="V5" t="s">
        <v>40</v>
      </c>
      <c r="W5" t="s">
        <v>40</v>
      </c>
      <c r="X5" t="s">
        <v>40</v>
      </c>
      <c r="Y5" s="4" t="s">
        <v>67</v>
      </c>
      <c r="Z5" s="5" t="s">
        <v>68</v>
      </c>
    </row>
    <row r="6" spans="1:26" ht="13.8" customHeight="1" x14ac:dyDescent="0.3">
      <c r="A6" t="s">
        <v>69</v>
      </c>
      <c r="B6" t="s">
        <v>70</v>
      </c>
      <c r="C6" t="s">
        <v>71</v>
      </c>
      <c r="D6" t="s">
        <v>72</v>
      </c>
      <c r="E6" t="s">
        <v>73</v>
      </c>
      <c r="F6" t="s">
        <v>52</v>
      </c>
      <c r="G6" t="s">
        <v>62</v>
      </c>
      <c r="H6" t="s">
        <v>74</v>
      </c>
      <c r="I6" t="s">
        <v>32</v>
      </c>
      <c r="J6" t="s">
        <v>33</v>
      </c>
      <c r="K6" t="s">
        <v>63</v>
      </c>
      <c r="L6" t="s">
        <v>75</v>
      </c>
      <c r="M6" t="s">
        <v>65</v>
      </c>
      <c r="N6" t="s">
        <v>37</v>
      </c>
      <c r="O6" s="6">
        <v>1555020</v>
      </c>
      <c r="P6" s="2">
        <v>125000</v>
      </c>
      <c r="Q6" s="2">
        <v>95020</v>
      </c>
      <c r="R6" t="s">
        <v>76</v>
      </c>
      <c r="S6" t="s">
        <v>38</v>
      </c>
      <c r="T6">
        <v>100</v>
      </c>
      <c r="U6" t="s">
        <v>77</v>
      </c>
      <c r="V6" t="s">
        <v>40</v>
      </c>
      <c r="W6" t="s">
        <v>40</v>
      </c>
      <c r="X6" t="s">
        <v>40</v>
      </c>
      <c r="Y6" s="4" t="s">
        <v>78</v>
      </c>
      <c r="Z6" s="5" t="s">
        <v>68</v>
      </c>
    </row>
    <row r="7" spans="1:26" ht="13.8" customHeight="1" x14ac:dyDescent="0.3">
      <c r="A7" t="s">
        <v>79</v>
      </c>
      <c r="B7" t="s">
        <v>80</v>
      </c>
      <c r="C7" t="s">
        <v>71</v>
      </c>
      <c r="D7" t="s">
        <v>81</v>
      </c>
      <c r="E7" t="s">
        <v>82</v>
      </c>
      <c r="F7" t="s">
        <v>52</v>
      </c>
      <c r="G7" t="s">
        <v>62</v>
      </c>
      <c r="H7" t="s">
        <v>74</v>
      </c>
      <c r="I7" t="s">
        <v>32</v>
      </c>
      <c r="J7" t="s">
        <v>33</v>
      </c>
      <c r="K7" t="s">
        <v>63</v>
      </c>
      <c r="L7" t="s">
        <v>64</v>
      </c>
      <c r="M7" t="s">
        <v>83</v>
      </c>
      <c r="N7" t="s">
        <v>37</v>
      </c>
      <c r="O7" s="6">
        <v>450000</v>
      </c>
      <c r="P7" s="2">
        <v>45000</v>
      </c>
      <c r="Q7" s="2">
        <v>30000</v>
      </c>
      <c r="R7" s="3">
        <v>46207</v>
      </c>
      <c r="S7" t="s">
        <v>38</v>
      </c>
      <c r="T7">
        <v>100</v>
      </c>
      <c r="U7" t="s">
        <v>84</v>
      </c>
      <c r="V7" t="s">
        <v>40</v>
      </c>
      <c r="W7" t="s">
        <v>40</v>
      </c>
      <c r="X7" t="s">
        <v>40</v>
      </c>
      <c r="Y7" s="4" t="s">
        <v>85</v>
      </c>
      <c r="Z7" s="5" t="s">
        <v>68</v>
      </c>
    </row>
    <row r="8" spans="1:26" ht="13.8" customHeight="1" x14ac:dyDescent="0.3">
      <c r="A8" s="1">
        <v>46085.511111111111</v>
      </c>
      <c r="B8" t="s">
        <v>86</v>
      </c>
      <c r="C8" t="s">
        <v>71</v>
      </c>
      <c r="D8" t="s">
        <v>72</v>
      </c>
      <c r="E8" t="s">
        <v>87</v>
      </c>
      <c r="F8" t="s">
        <v>52</v>
      </c>
      <c r="G8" t="s">
        <v>62</v>
      </c>
      <c r="H8" t="s">
        <v>74</v>
      </c>
      <c r="I8" t="s">
        <v>32</v>
      </c>
      <c r="J8" t="s">
        <v>33</v>
      </c>
      <c r="K8" t="s">
        <v>63</v>
      </c>
      <c r="L8" t="s">
        <v>75</v>
      </c>
      <c r="M8" t="s">
        <v>65</v>
      </c>
      <c r="N8" t="s">
        <v>37</v>
      </c>
      <c r="O8" s="6">
        <v>3592913.74</v>
      </c>
      <c r="P8" s="2">
        <v>300000</v>
      </c>
      <c r="Q8" s="2">
        <v>232913.74</v>
      </c>
      <c r="R8" s="3">
        <v>46085</v>
      </c>
      <c r="S8" t="s">
        <v>38</v>
      </c>
      <c r="T8">
        <v>100</v>
      </c>
      <c r="U8" t="s">
        <v>88</v>
      </c>
      <c r="V8" t="s">
        <v>40</v>
      </c>
      <c r="W8" t="s">
        <v>40</v>
      </c>
      <c r="X8" t="s">
        <v>40</v>
      </c>
      <c r="Y8" s="4" t="s">
        <v>89</v>
      </c>
      <c r="Z8" s="5" t="s">
        <v>68</v>
      </c>
    </row>
    <row r="9" spans="1:26" ht="13.8" customHeight="1" x14ac:dyDescent="0.3">
      <c r="A9" s="1">
        <v>46116.53402777778</v>
      </c>
      <c r="B9" t="s">
        <v>90</v>
      </c>
      <c r="C9" t="s">
        <v>91</v>
      </c>
      <c r="D9" t="s">
        <v>92</v>
      </c>
      <c r="E9" t="s">
        <v>93</v>
      </c>
      <c r="F9" t="s">
        <v>52</v>
      </c>
      <c r="G9" t="s">
        <v>62</v>
      </c>
      <c r="H9" t="s">
        <v>31</v>
      </c>
      <c r="I9" t="s">
        <v>32</v>
      </c>
      <c r="J9" t="s">
        <v>33</v>
      </c>
      <c r="K9" t="s">
        <v>63</v>
      </c>
      <c r="L9" t="s">
        <v>75</v>
      </c>
      <c r="M9" t="s">
        <v>65</v>
      </c>
      <c r="N9" t="s">
        <v>37</v>
      </c>
      <c r="O9" s="6">
        <v>40741531.43</v>
      </c>
      <c r="P9" s="2">
        <v>500000</v>
      </c>
      <c r="Q9" s="2">
        <v>2741531.43</v>
      </c>
      <c r="R9" s="3">
        <v>46148</v>
      </c>
      <c r="S9" t="s">
        <v>38</v>
      </c>
      <c r="T9">
        <v>100</v>
      </c>
      <c r="U9" t="s">
        <v>94</v>
      </c>
      <c r="V9" t="s">
        <v>40</v>
      </c>
      <c r="W9" t="s">
        <v>40</v>
      </c>
      <c r="X9" t="s">
        <v>40</v>
      </c>
      <c r="Y9" s="4" t="s">
        <v>95</v>
      </c>
      <c r="Z9" s="5" t="s">
        <v>68</v>
      </c>
    </row>
    <row r="10" spans="1:26" ht="13.8" customHeight="1" x14ac:dyDescent="0.3">
      <c r="A10" t="s">
        <v>96</v>
      </c>
      <c r="B10" t="s">
        <v>97</v>
      </c>
      <c r="C10" t="s">
        <v>71</v>
      </c>
      <c r="D10" t="s">
        <v>72</v>
      </c>
      <c r="E10" t="s">
        <v>98</v>
      </c>
      <c r="F10" t="s">
        <v>52</v>
      </c>
      <c r="G10" t="s">
        <v>62</v>
      </c>
      <c r="H10" t="s">
        <v>74</v>
      </c>
      <c r="I10" t="s">
        <v>32</v>
      </c>
      <c r="J10" t="s">
        <v>33</v>
      </c>
      <c r="K10" t="s">
        <v>63</v>
      </c>
      <c r="L10" t="s">
        <v>75</v>
      </c>
      <c r="M10" t="s">
        <v>65</v>
      </c>
      <c r="N10" t="s">
        <v>37</v>
      </c>
      <c r="O10" s="6">
        <v>76000</v>
      </c>
      <c r="P10" s="2">
        <v>5000</v>
      </c>
      <c r="Q10" s="2">
        <v>5000</v>
      </c>
      <c r="R10" t="s">
        <v>99</v>
      </c>
      <c r="S10" t="s">
        <v>38</v>
      </c>
      <c r="T10">
        <v>100</v>
      </c>
      <c r="U10" t="s">
        <v>100</v>
      </c>
      <c r="V10" t="s">
        <v>40</v>
      </c>
      <c r="W10" t="s">
        <v>40</v>
      </c>
      <c r="X10" t="s">
        <v>40</v>
      </c>
      <c r="Y10" s="4" t="s">
        <v>101</v>
      </c>
      <c r="Z10" s="5" t="s">
        <v>68</v>
      </c>
    </row>
    <row r="11" spans="1:26" ht="13.8" customHeight="1" x14ac:dyDescent="0.3">
      <c r="A11" t="s">
        <v>102</v>
      </c>
      <c r="B11" t="s">
        <v>103</v>
      </c>
      <c r="C11" t="s">
        <v>104</v>
      </c>
      <c r="D11" t="s">
        <v>105</v>
      </c>
      <c r="E11" t="s">
        <v>106</v>
      </c>
      <c r="F11" t="s">
        <v>52</v>
      </c>
      <c r="G11" t="s">
        <v>62</v>
      </c>
      <c r="H11" t="s">
        <v>74</v>
      </c>
      <c r="I11" t="s">
        <v>32</v>
      </c>
      <c r="J11" t="s">
        <v>33</v>
      </c>
      <c r="K11" t="s">
        <v>63</v>
      </c>
      <c r="L11" t="s">
        <v>75</v>
      </c>
      <c r="M11" t="s">
        <v>65</v>
      </c>
      <c r="N11" t="s">
        <v>37</v>
      </c>
      <c r="O11" s="6">
        <v>1272406.6599999999</v>
      </c>
      <c r="P11" s="2">
        <v>100000</v>
      </c>
      <c r="Q11" s="2">
        <v>83407</v>
      </c>
      <c r="R11" t="s">
        <v>107</v>
      </c>
      <c r="S11" t="s">
        <v>38</v>
      </c>
      <c r="T11">
        <v>100</v>
      </c>
      <c r="U11" t="s">
        <v>108</v>
      </c>
      <c r="V11" t="s">
        <v>40</v>
      </c>
      <c r="W11" t="s">
        <v>40</v>
      </c>
      <c r="X11" t="s">
        <v>40</v>
      </c>
      <c r="Y11" s="4" t="s">
        <v>109</v>
      </c>
      <c r="Z11" s="5" t="s">
        <v>68</v>
      </c>
    </row>
    <row r="12" spans="1:26" ht="13.8" customHeight="1" x14ac:dyDescent="0.3">
      <c r="A12" t="s">
        <v>110</v>
      </c>
      <c r="B12" t="s">
        <v>111</v>
      </c>
      <c r="C12" t="s">
        <v>71</v>
      </c>
      <c r="D12" t="s">
        <v>72</v>
      </c>
      <c r="E12" t="s">
        <v>112</v>
      </c>
      <c r="F12" t="s">
        <v>52</v>
      </c>
      <c r="G12" t="s">
        <v>62</v>
      </c>
      <c r="H12" t="s">
        <v>74</v>
      </c>
      <c r="I12" t="s">
        <v>32</v>
      </c>
      <c r="J12" t="s">
        <v>33</v>
      </c>
      <c r="K12" t="s">
        <v>63</v>
      </c>
      <c r="L12" t="s">
        <v>75</v>
      </c>
      <c r="M12" t="s">
        <v>65</v>
      </c>
      <c r="N12" t="s">
        <v>37</v>
      </c>
      <c r="O12" s="6">
        <v>446200</v>
      </c>
      <c r="P12" s="2">
        <v>30000</v>
      </c>
      <c r="Q12" s="2">
        <v>26200</v>
      </c>
      <c r="R12" s="3">
        <v>46239</v>
      </c>
      <c r="S12" t="s">
        <v>38</v>
      </c>
      <c r="T12">
        <v>100</v>
      </c>
      <c r="U12" t="s">
        <v>113</v>
      </c>
      <c r="V12" t="s">
        <v>40</v>
      </c>
      <c r="W12" t="s">
        <v>40</v>
      </c>
      <c r="X12" t="s">
        <v>40</v>
      </c>
      <c r="Y12" s="4" t="s">
        <v>114</v>
      </c>
      <c r="Z12" s="5" t="s">
        <v>68</v>
      </c>
    </row>
    <row r="13" spans="1:26" ht="13.8" customHeight="1" x14ac:dyDescent="0.3">
      <c r="A13" t="s">
        <v>115</v>
      </c>
      <c r="B13" t="s">
        <v>116</v>
      </c>
      <c r="C13" t="s">
        <v>71</v>
      </c>
      <c r="D13" t="s">
        <v>72</v>
      </c>
      <c r="E13" t="s">
        <v>117</v>
      </c>
      <c r="F13" t="s">
        <v>52</v>
      </c>
      <c r="G13" t="s">
        <v>62</v>
      </c>
      <c r="H13" t="s">
        <v>74</v>
      </c>
      <c r="I13" t="s">
        <v>32</v>
      </c>
      <c r="J13" t="s">
        <v>33</v>
      </c>
      <c r="K13" t="s">
        <v>63</v>
      </c>
      <c r="L13" t="s">
        <v>75</v>
      </c>
      <c r="M13" t="s">
        <v>65</v>
      </c>
      <c r="N13" t="s">
        <v>37</v>
      </c>
      <c r="O13" s="6">
        <v>374193.55</v>
      </c>
      <c r="P13" s="2">
        <v>20000</v>
      </c>
      <c r="Q13" s="2">
        <v>21193.55</v>
      </c>
      <c r="R13" t="s">
        <v>118</v>
      </c>
      <c r="S13" t="s">
        <v>38</v>
      </c>
      <c r="T13">
        <v>100</v>
      </c>
      <c r="U13" t="s">
        <v>119</v>
      </c>
      <c r="V13" t="s">
        <v>40</v>
      </c>
      <c r="W13" t="s">
        <v>40</v>
      </c>
      <c r="X13" t="s">
        <v>40</v>
      </c>
      <c r="Y13" s="4" t="s">
        <v>120</v>
      </c>
      <c r="Z13" s="5" t="s">
        <v>68</v>
      </c>
    </row>
    <row r="14" spans="1:26" ht="13.8" customHeight="1" x14ac:dyDescent="0.3">
      <c r="A14" t="s">
        <v>121</v>
      </c>
      <c r="B14" t="s">
        <v>122</v>
      </c>
      <c r="C14" t="s">
        <v>91</v>
      </c>
      <c r="D14" t="s">
        <v>92</v>
      </c>
      <c r="E14" t="s">
        <v>93</v>
      </c>
      <c r="F14" t="s">
        <v>52</v>
      </c>
      <c r="G14" t="s">
        <v>62</v>
      </c>
      <c r="H14" t="s">
        <v>31</v>
      </c>
      <c r="I14" t="s">
        <v>32</v>
      </c>
      <c r="J14" t="s">
        <v>33</v>
      </c>
      <c r="K14" t="s">
        <v>63</v>
      </c>
      <c r="L14" t="s">
        <v>75</v>
      </c>
      <c r="M14" t="s">
        <v>65</v>
      </c>
      <c r="N14" t="s">
        <v>37</v>
      </c>
      <c r="O14" s="6">
        <v>678597.96</v>
      </c>
      <c r="P14" s="2">
        <v>67859</v>
      </c>
      <c r="Q14" s="2">
        <v>41679.42</v>
      </c>
      <c r="R14" t="s">
        <v>123</v>
      </c>
      <c r="S14" t="s">
        <v>38</v>
      </c>
      <c r="T14">
        <v>100</v>
      </c>
      <c r="U14" t="s">
        <v>124</v>
      </c>
      <c r="V14" t="s">
        <v>40</v>
      </c>
      <c r="W14" t="s">
        <v>40</v>
      </c>
      <c r="X14" t="s">
        <v>40</v>
      </c>
      <c r="Y14" s="4" t="s">
        <v>125</v>
      </c>
      <c r="Z14" s="5" t="s">
        <v>68</v>
      </c>
    </row>
    <row r="15" spans="1:26" ht="13.8" customHeight="1" x14ac:dyDescent="0.3">
      <c r="A15" t="s">
        <v>126</v>
      </c>
      <c r="B15" t="s">
        <v>127</v>
      </c>
      <c r="C15" t="s">
        <v>91</v>
      </c>
      <c r="D15" t="s">
        <v>92</v>
      </c>
      <c r="E15" t="s">
        <v>93</v>
      </c>
      <c r="F15" t="s">
        <v>52</v>
      </c>
      <c r="G15" t="s">
        <v>62</v>
      </c>
      <c r="H15" t="s">
        <v>31</v>
      </c>
      <c r="I15" t="s">
        <v>32</v>
      </c>
      <c r="J15" t="s">
        <v>33</v>
      </c>
      <c r="K15" t="s">
        <v>63</v>
      </c>
      <c r="L15" t="s">
        <v>75</v>
      </c>
      <c r="M15" t="s">
        <v>65</v>
      </c>
      <c r="N15" t="s">
        <v>37</v>
      </c>
      <c r="O15" s="6">
        <v>113278.2</v>
      </c>
      <c r="P15" s="2">
        <v>11327</v>
      </c>
      <c r="Q15" s="2">
        <v>6957.54</v>
      </c>
      <c r="R15" t="s">
        <v>123</v>
      </c>
      <c r="S15" t="s">
        <v>38</v>
      </c>
      <c r="T15">
        <v>100</v>
      </c>
      <c r="U15" t="s">
        <v>128</v>
      </c>
      <c r="V15" t="s">
        <v>40</v>
      </c>
      <c r="W15" t="s">
        <v>40</v>
      </c>
      <c r="X15" t="s">
        <v>40</v>
      </c>
      <c r="Y15" s="4" t="s">
        <v>129</v>
      </c>
      <c r="Z15" s="5" t="s">
        <v>68</v>
      </c>
    </row>
    <row r="16" spans="1:26" ht="13.8" customHeight="1" x14ac:dyDescent="0.3">
      <c r="A16" t="s">
        <v>130</v>
      </c>
      <c r="B16" t="s">
        <v>131</v>
      </c>
      <c r="C16" t="s">
        <v>91</v>
      </c>
      <c r="D16" t="s">
        <v>92</v>
      </c>
      <c r="E16" t="s">
        <v>93</v>
      </c>
      <c r="F16" t="s">
        <v>52</v>
      </c>
      <c r="G16" t="s">
        <v>62</v>
      </c>
      <c r="H16" t="s">
        <v>31</v>
      </c>
      <c r="I16" t="s">
        <v>32</v>
      </c>
      <c r="J16" t="s">
        <v>33</v>
      </c>
      <c r="K16" t="s">
        <v>63</v>
      </c>
      <c r="L16" t="s">
        <v>75</v>
      </c>
      <c r="M16" t="s">
        <v>65</v>
      </c>
      <c r="N16" t="s">
        <v>37</v>
      </c>
      <c r="O16" s="6">
        <v>259894.56</v>
      </c>
      <c r="P16" s="2">
        <v>25989</v>
      </c>
      <c r="Q16" s="2">
        <v>15962.7</v>
      </c>
      <c r="R16" t="s">
        <v>123</v>
      </c>
      <c r="S16" t="s">
        <v>38</v>
      </c>
      <c r="T16">
        <v>100</v>
      </c>
      <c r="U16" t="s">
        <v>132</v>
      </c>
      <c r="V16" t="s">
        <v>40</v>
      </c>
      <c r="W16" t="s">
        <v>40</v>
      </c>
      <c r="X16" t="s">
        <v>40</v>
      </c>
      <c r="Y16" s="4" t="s">
        <v>133</v>
      </c>
      <c r="Z16" s="5" t="s">
        <v>68</v>
      </c>
    </row>
    <row r="17" spans="1:26" ht="13.8" customHeight="1" x14ac:dyDescent="0.3">
      <c r="A17" t="s">
        <v>134</v>
      </c>
      <c r="B17" t="s">
        <v>135</v>
      </c>
      <c r="C17" t="s">
        <v>136</v>
      </c>
      <c r="D17" t="s">
        <v>92</v>
      </c>
      <c r="E17" t="s">
        <v>93</v>
      </c>
      <c r="F17" t="s">
        <v>52</v>
      </c>
      <c r="G17" t="s">
        <v>62</v>
      </c>
      <c r="H17" t="s">
        <v>31</v>
      </c>
      <c r="I17" t="s">
        <v>32</v>
      </c>
      <c r="J17" t="s">
        <v>33</v>
      </c>
      <c r="K17" t="s">
        <v>63</v>
      </c>
      <c r="L17" t="s">
        <v>75</v>
      </c>
      <c r="M17" t="s">
        <v>65</v>
      </c>
      <c r="N17" t="s">
        <v>37</v>
      </c>
      <c r="O17" s="6">
        <v>920221.56</v>
      </c>
      <c r="P17" s="2">
        <v>92022</v>
      </c>
      <c r="Q17" s="2">
        <v>56519.92</v>
      </c>
      <c r="R17" t="s">
        <v>123</v>
      </c>
      <c r="S17" t="s">
        <v>38</v>
      </c>
      <c r="T17">
        <v>100</v>
      </c>
      <c r="U17" t="s">
        <v>137</v>
      </c>
      <c r="V17" t="s">
        <v>40</v>
      </c>
      <c r="W17" t="s">
        <v>40</v>
      </c>
      <c r="X17" t="s">
        <v>40</v>
      </c>
      <c r="Y17" s="4" t="s">
        <v>138</v>
      </c>
      <c r="Z17" s="5" t="s">
        <v>68</v>
      </c>
    </row>
    <row r="18" spans="1:26" ht="13.8" customHeight="1" x14ac:dyDescent="0.3">
      <c r="A18" t="s">
        <v>139</v>
      </c>
      <c r="B18" t="s">
        <v>140</v>
      </c>
      <c r="C18" t="s">
        <v>91</v>
      </c>
      <c r="D18" t="s">
        <v>92</v>
      </c>
      <c r="E18" t="s">
        <v>93</v>
      </c>
      <c r="F18" t="s">
        <v>52</v>
      </c>
      <c r="G18" t="s">
        <v>62</v>
      </c>
      <c r="H18" t="s">
        <v>31</v>
      </c>
      <c r="I18" t="s">
        <v>32</v>
      </c>
      <c r="J18" t="s">
        <v>33</v>
      </c>
      <c r="K18" t="s">
        <v>63</v>
      </c>
      <c r="L18" t="s">
        <v>75</v>
      </c>
      <c r="M18" t="s">
        <v>65</v>
      </c>
      <c r="N18" t="s">
        <v>37</v>
      </c>
      <c r="O18" s="6">
        <v>1026669.24</v>
      </c>
      <c r="P18" s="2">
        <v>102666</v>
      </c>
      <c r="Q18" s="2">
        <v>63057.919999999998</v>
      </c>
      <c r="R18" t="s">
        <v>123</v>
      </c>
      <c r="S18" t="s">
        <v>38</v>
      </c>
      <c r="T18">
        <v>100</v>
      </c>
      <c r="U18" t="s">
        <v>141</v>
      </c>
      <c r="V18" t="s">
        <v>40</v>
      </c>
      <c r="W18" t="s">
        <v>40</v>
      </c>
      <c r="X18" t="s">
        <v>40</v>
      </c>
      <c r="Y18" s="4" t="s">
        <v>142</v>
      </c>
      <c r="Z18" s="5" t="s">
        <v>68</v>
      </c>
    </row>
    <row r="19" spans="1:26" ht="13.8" customHeight="1" x14ac:dyDescent="0.3">
      <c r="A19" t="s">
        <v>143</v>
      </c>
      <c r="B19" t="s">
        <v>144</v>
      </c>
      <c r="C19" t="s">
        <v>136</v>
      </c>
      <c r="D19" t="s">
        <v>92</v>
      </c>
      <c r="E19" t="s">
        <v>93</v>
      </c>
      <c r="F19" t="s">
        <v>52</v>
      </c>
      <c r="G19" t="s">
        <v>62</v>
      </c>
      <c r="H19" t="s">
        <v>31</v>
      </c>
      <c r="I19" t="s">
        <v>32</v>
      </c>
      <c r="J19" t="s">
        <v>33</v>
      </c>
      <c r="K19" t="s">
        <v>63</v>
      </c>
      <c r="L19" t="s">
        <v>75</v>
      </c>
      <c r="M19" t="s">
        <v>65</v>
      </c>
      <c r="N19" t="s">
        <v>37</v>
      </c>
      <c r="O19" s="6">
        <v>161595.72</v>
      </c>
      <c r="P19" s="2">
        <v>16159</v>
      </c>
      <c r="Q19" s="2">
        <v>9925.19</v>
      </c>
      <c r="R19" t="s">
        <v>123</v>
      </c>
      <c r="S19" t="s">
        <v>38</v>
      </c>
      <c r="T19">
        <v>100</v>
      </c>
      <c r="U19" t="s">
        <v>145</v>
      </c>
      <c r="V19" t="s">
        <v>40</v>
      </c>
      <c r="W19" t="s">
        <v>40</v>
      </c>
      <c r="X19" t="s">
        <v>40</v>
      </c>
      <c r="Y19" s="4" t="s">
        <v>146</v>
      </c>
      <c r="Z19" s="5" t="s">
        <v>68</v>
      </c>
    </row>
    <row r="20" spans="1:26" ht="13.8" customHeight="1" x14ac:dyDescent="0.3">
      <c r="A20" t="s">
        <v>147</v>
      </c>
      <c r="B20" t="s">
        <v>148</v>
      </c>
      <c r="C20" t="s">
        <v>91</v>
      </c>
      <c r="D20" t="s">
        <v>92</v>
      </c>
      <c r="E20" t="s">
        <v>93</v>
      </c>
      <c r="F20" t="s">
        <v>52</v>
      </c>
      <c r="G20" t="s">
        <v>62</v>
      </c>
      <c r="H20" t="s">
        <v>31</v>
      </c>
      <c r="I20" t="s">
        <v>32</v>
      </c>
      <c r="J20" t="s">
        <v>33</v>
      </c>
      <c r="K20" t="s">
        <v>63</v>
      </c>
      <c r="L20" t="s">
        <v>75</v>
      </c>
      <c r="M20" t="s">
        <v>65</v>
      </c>
      <c r="N20" t="s">
        <v>37</v>
      </c>
      <c r="O20" s="6">
        <v>1514239.56</v>
      </c>
      <c r="P20" s="2">
        <v>151423</v>
      </c>
      <c r="Q20" s="2">
        <v>93004.44</v>
      </c>
      <c r="R20" t="s">
        <v>123</v>
      </c>
      <c r="S20" t="s">
        <v>38</v>
      </c>
      <c r="T20">
        <v>100</v>
      </c>
      <c r="U20" t="s">
        <v>149</v>
      </c>
      <c r="V20" t="s">
        <v>40</v>
      </c>
      <c r="W20" t="s">
        <v>40</v>
      </c>
      <c r="X20" t="s">
        <v>40</v>
      </c>
      <c r="Y20" s="4" t="s">
        <v>150</v>
      </c>
      <c r="Z20" s="5" t="s">
        <v>68</v>
      </c>
    </row>
    <row r="21" spans="1:26" ht="13.8" customHeight="1" x14ac:dyDescent="0.3">
      <c r="A21" t="s">
        <v>151</v>
      </c>
      <c r="B21" t="s">
        <v>152</v>
      </c>
      <c r="C21" t="s">
        <v>91</v>
      </c>
      <c r="D21" t="s">
        <v>92</v>
      </c>
      <c r="E21" t="s">
        <v>93</v>
      </c>
      <c r="F21" t="s">
        <v>52</v>
      </c>
      <c r="G21" t="s">
        <v>62</v>
      </c>
      <c r="H21" t="s">
        <v>31</v>
      </c>
      <c r="I21" t="s">
        <v>32</v>
      </c>
      <c r="J21" t="s">
        <v>33</v>
      </c>
      <c r="K21" t="s">
        <v>63</v>
      </c>
      <c r="L21" t="s">
        <v>75</v>
      </c>
      <c r="M21" t="s">
        <v>65</v>
      </c>
      <c r="N21" t="s">
        <v>37</v>
      </c>
      <c r="O21" s="6">
        <v>259894.56</v>
      </c>
      <c r="P21" s="2">
        <v>25989</v>
      </c>
      <c r="Q21" s="2">
        <v>15962.7</v>
      </c>
      <c r="R21" t="s">
        <v>123</v>
      </c>
      <c r="S21" t="s">
        <v>38</v>
      </c>
      <c r="T21">
        <v>100</v>
      </c>
      <c r="U21" t="s">
        <v>153</v>
      </c>
      <c r="V21" t="s">
        <v>40</v>
      </c>
      <c r="W21" t="s">
        <v>40</v>
      </c>
      <c r="X21" t="s">
        <v>40</v>
      </c>
      <c r="Y21" s="4" t="s">
        <v>154</v>
      </c>
      <c r="Z21" s="5" t="s">
        <v>68</v>
      </c>
    </row>
    <row r="22" spans="1:26" ht="13.8" customHeight="1" x14ac:dyDescent="0.3">
      <c r="A22" t="s">
        <v>155</v>
      </c>
      <c r="B22" t="s">
        <v>156</v>
      </c>
      <c r="C22" t="s">
        <v>91</v>
      </c>
      <c r="D22" t="s">
        <v>92</v>
      </c>
      <c r="E22" t="s">
        <v>93</v>
      </c>
      <c r="F22" t="s">
        <v>52</v>
      </c>
      <c r="G22" t="s">
        <v>62</v>
      </c>
      <c r="H22" t="s">
        <v>31</v>
      </c>
      <c r="I22" t="s">
        <v>32</v>
      </c>
      <c r="J22" t="s">
        <v>33</v>
      </c>
      <c r="K22" t="s">
        <v>63</v>
      </c>
      <c r="L22" t="s">
        <v>75</v>
      </c>
      <c r="M22" t="s">
        <v>65</v>
      </c>
      <c r="N22" t="s">
        <v>37</v>
      </c>
      <c r="O22" s="6">
        <v>259894.56</v>
      </c>
      <c r="P22" s="2">
        <v>25989</v>
      </c>
      <c r="Q22" s="2">
        <v>15962.7</v>
      </c>
      <c r="R22" t="s">
        <v>123</v>
      </c>
      <c r="S22" t="s">
        <v>38</v>
      </c>
      <c r="T22">
        <v>100</v>
      </c>
      <c r="U22" t="s">
        <v>157</v>
      </c>
      <c r="V22" t="s">
        <v>40</v>
      </c>
      <c r="W22" t="s">
        <v>40</v>
      </c>
      <c r="X22" t="s">
        <v>40</v>
      </c>
      <c r="Y22" s="4" t="s">
        <v>158</v>
      </c>
      <c r="Z22" s="5" t="s">
        <v>68</v>
      </c>
    </row>
    <row r="23" spans="1:26" ht="13.8" customHeight="1" x14ac:dyDescent="0.3">
      <c r="A23" t="s">
        <v>159</v>
      </c>
      <c r="B23" t="s">
        <v>160</v>
      </c>
      <c r="C23" t="s">
        <v>91</v>
      </c>
      <c r="D23" t="s">
        <v>92</v>
      </c>
      <c r="E23" t="s">
        <v>93</v>
      </c>
      <c r="F23" t="s">
        <v>52</v>
      </c>
      <c r="G23" t="s">
        <v>62</v>
      </c>
      <c r="H23" t="s">
        <v>31</v>
      </c>
      <c r="I23" t="s">
        <v>32</v>
      </c>
      <c r="J23" t="s">
        <v>33</v>
      </c>
      <c r="K23" t="s">
        <v>63</v>
      </c>
      <c r="L23" t="s">
        <v>75</v>
      </c>
      <c r="M23" t="s">
        <v>65</v>
      </c>
      <c r="N23" t="s">
        <v>37</v>
      </c>
      <c r="O23" s="6">
        <v>321296.15999999997</v>
      </c>
      <c r="P23" s="2">
        <v>32129</v>
      </c>
      <c r="Q23" s="2">
        <v>19733.98</v>
      </c>
      <c r="R23" t="s">
        <v>123</v>
      </c>
      <c r="S23" t="s">
        <v>38</v>
      </c>
      <c r="T23">
        <v>100</v>
      </c>
      <c r="U23" t="s">
        <v>161</v>
      </c>
      <c r="V23" t="s">
        <v>40</v>
      </c>
      <c r="W23" t="s">
        <v>40</v>
      </c>
      <c r="X23" t="s">
        <v>40</v>
      </c>
      <c r="Y23" s="4" t="s">
        <v>162</v>
      </c>
      <c r="Z23" s="5" t="s">
        <v>68</v>
      </c>
    </row>
    <row r="24" spans="1:26" ht="13.8" customHeight="1" x14ac:dyDescent="0.3">
      <c r="A24" t="s">
        <v>163</v>
      </c>
      <c r="B24" t="s">
        <v>164</v>
      </c>
      <c r="C24" t="s">
        <v>136</v>
      </c>
      <c r="D24" t="s">
        <v>92</v>
      </c>
      <c r="E24" t="s">
        <v>93</v>
      </c>
      <c r="F24" t="s">
        <v>52</v>
      </c>
      <c r="G24" t="s">
        <v>62</v>
      </c>
      <c r="H24" t="s">
        <v>31</v>
      </c>
      <c r="I24" t="s">
        <v>32</v>
      </c>
      <c r="J24" t="s">
        <v>33</v>
      </c>
      <c r="K24" t="s">
        <v>63</v>
      </c>
      <c r="L24" t="s">
        <v>75</v>
      </c>
      <c r="M24" t="s">
        <v>65</v>
      </c>
      <c r="N24" t="s">
        <v>37</v>
      </c>
      <c r="O24" s="6">
        <v>165424.44</v>
      </c>
      <c r="P24" s="2">
        <v>16542</v>
      </c>
      <c r="Q24" s="2">
        <v>10160.35</v>
      </c>
      <c r="R24" t="s">
        <v>123</v>
      </c>
      <c r="S24" t="s">
        <v>38</v>
      </c>
      <c r="T24">
        <v>100</v>
      </c>
      <c r="U24" t="s">
        <v>165</v>
      </c>
      <c r="V24" t="s">
        <v>40</v>
      </c>
      <c r="W24" t="s">
        <v>40</v>
      </c>
      <c r="X24" t="s">
        <v>40</v>
      </c>
      <c r="Y24" s="4" t="s">
        <v>166</v>
      </c>
      <c r="Z24" s="5" t="s">
        <v>68</v>
      </c>
    </row>
    <row r="25" spans="1:26" ht="13.8" customHeight="1" x14ac:dyDescent="0.3">
      <c r="A25" t="s">
        <v>167</v>
      </c>
      <c r="B25" t="s">
        <v>168</v>
      </c>
      <c r="C25" t="s">
        <v>136</v>
      </c>
      <c r="D25" t="s">
        <v>92</v>
      </c>
      <c r="E25" t="s">
        <v>93</v>
      </c>
      <c r="F25" t="s">
        <v>52</v>
      </c>
      <c r="G25" t="s">
        <v>62</v>
      </c>
      <c r="H25" t="s">
        <v>31</v>
      </c>
      <c r="I25" t="s">
        <v>32</v>
      </c>
      <c r="J25" t="s">
        <v>33</v>
      </c>
      <c r="K25" t="s">
        <v>63</v>
      </c>
      <c r="L25" t="s">
        <v>75</v>
      </c>
      <c r="M25" t="s">
        <v>65</v>
      </c>
      <c r="N25" t="s">
        <v>37</v>
      </c>
      <c r="O25" s="6">
        <v>165424.44</v>
      </c>
      <c r="P25" s="2">
        <v>16542</v>
      </c>
      <c r="Q25" s="2">
        <v>10160.35</v>
      </c>
      <c r="R25" t="s">
        <v>123</v>
      </c>
      <c r="S25" t="s">
        <v>38</v>
      </c>
      <c r="T25">
        <v>100</v>
      </c>
      <c r="U25" t="s">
        <v>169</v>
      </c>
      <c r="V25" t="s">
        <v>40</v>
      </c>
      <c r="W25" t="s">
        <v>40</v>
      </c>
      <c r="X25" t="s">
        <v>40</v>
      </c>
      <c r="Y25" s="4" t="s">
        <v>170</v>
      </c>
      <c r="Z25" s="5" t="s">
        <v>68</v>
      </c>
    </row>
    <row r="26" spans="1:26" ht="13.8" customHeight="1" x14ac:dyDescent="0.3">
      <c r="A26" t="s">
        <v>171</v>
      </c>
      <c r="B26" t="s">
        <v>172</v>
      </c>
      <c r="C26" t="s">
        <v>91</v>
      </c>
      <c r="D26" t="s">
        <v>92</v>
      </c>
      <c r="E26" t="s">
        <v>93</v>
      </c>
      <c r="F26" t="s">
        <v>52</v>
      </c>
      <c r="G26" t="s">
        <v>62</v>
      </c>
      <c r="H26" t="s">
        <v>31</v>
      </c>
      <c r="I26" t="s">
        <v>32</v>
      </c>
      <c r="J26" t="s">
        <v>33</v>
      </c>
      <c r="K26" t="s">
        <v>63</v>
      </c>
      <c r="L26" t="s">
        <v>75</v>
      </c>
      <c r="M26" t="s">
        <v>65</v>
      </c>
      <c r="N26" t="s">
        <v>37</v>
      </c>
      <c r="O26" s="6">
        <v>1715328.96</v>
      </c>
      <c r="P26" s="2">
        <v>171532</v>
      </c>
      <c r="Q26" s="2">
        <v>105355.33</v>
      </c>
      <c r="R26" t="s">
        <v>123</v>
      </c>
      <c r="S26" t="s">
        <v>38</v>
      </c>
      <c r="T26">
        <v>100</v>
      </c>
      <c r="U26" t="s">
        <v>173</v>
      </c>
      <c r="V26" t="s">
        <v>40</v>
      </c>
      <c r="W26" t="s">
        <v>40</v>
      </c>
      <c r="X26" t="s">
        <v>40</v>
      </c>
      <c r="Y26" s="4" t="s">
        <v>174</v>
      </c>
      <c r="Z26" s="5" t="s">
        <v>68</v>
      </c>
    </row>
    <row r="27" spans="1:26" ht="13.8" customHeight="1" x14ac:dyDescent="0.3">
      <c r="A27" t="s">
        <v>175</v>
      </c>
      <c r="B27" t="s">
        <v>176</v>
      </c>
      <c r="C27" t="s">
        <v>91</v>
      </c>
      <c r="D27" t="s">
        <v>92</v>
      </c>
      <c r="E27" t="s">
        <v>93</v>
      </c>
      <c r="F27" t="s">
        <v>52</v>
      </c>
      <c r="G27" t="s">
        <v>62</v>
      </c>
      <c r="H27" t="s">
        <v>31</v>
      </c>
      <c r="I27" t="s">
        <v>32</v>
      </c>
      <c r="J27" t="s">
        <v>33</v>
      </c>
      <c r="K27" t="s">
        <v>63</v>
      </c>
      <c r="L27" t="s">
        <v>75</v>
      </c>
      <c r="M27" t="s">
        <v>65</v>
      </c>
      <c r="N27" t="s">
        <v>37</v>
      </c>
      <c r="O27" s="6">
        <v>977213.64</v>
      </c>
      <c r="P27" s="2">
        <v>97721</v>
      </c>
      <c r="Q27" s="2">
        <v>60020.36</v>
      </c>
      <c r="R27" t="s">
        <v>123</v>
      </c>
      <c r="S27" t="s">
        <v>38</v>
      </c>
      <c r="T27">
        <v>100</v>
      </c>
      <c r="U27" t="s">
        <v>177</v>
      </c>
      <c r="V27" t="s">
        <v>40</v>
      </c>
      <c r="W27" t="s">
        <v>40</v>
      </c>
      <c r="X27" t="s">
        <v>40</v>
      </c>
      <c r="Y27" s="4" t="s">
        <v>178</v>
      </c>
      <c r="Z27" s="5" t="s">
        <v>68</v>
      </c>
    </row>
    <row r="28" spans="1:26" ht="13.8" customHeight="1" x14ac:dyDescent="0.3">
      <c r="A28" t="s">
        <v>179</v>
      </c>
      <c r="B28" t="s">
        <v>180</v>
      </c>
      <c r="C28" t="s">
        <v>91</v>
      </c>
      <c r="D28" t="s">
        <v>92</v>
      </c>
      <c r="E28" t="s">
        <v>93</v>
      </c>
      <c r="F28" t="s">
        <v>52</v>
      </c>
      <c r="G28" t="s">
        <v>62</v>
      </c>
      <c r="H28" t="s">
        <v>31</v>
      </c>
      <c r="I28" t="s">
        <v>32</v>
      </c>
      <c r="J28" t="s">
        <v>33</v>
      </c>
      <c r="K28" t="s">
        <v>63</v>
      </c>
      <c r="L28" t="s">
        <v>75</v>
      </c>
      <c r="M28" t="s">
        <v>65</v>
      </c>
      <c r="N28" t="s">
        <v>37</v>
      </c>
      <c r="O28" s="6">
        <v>5280824.88</v>
      </c>
      <c r="P28" s="2">
        <v>528082</v>
      </c>
      <c r="Q28" s="2">
        <v>324347.74</v>
      </c>
      <c r="R28" t="s">
        <v>123</v>
      </c>
      <c r="S28" t="s">
        <v>38</v>
      </c>
      <c r="T28">
        <v>100</v>
      </c>
      <c r="U28" t="s">
        <v>181</v>
      </c>
      <c r="V28" t="s">
        <v>40</v>
      </c>
      <c r="W28" t="s">
        <v>40</v>
      </c>
      <c r="X28" t="s">
        <v>40</v>
      </c>
      <c r="Y28" s="4" t="s">
        <v>182</v>
      </c>
      <c r="Z28" s="5" t="s">
        <v>68</v>
      </c>
    </row>
    <row r="29" spans="1:26" ht="13.8" customHeight="1" x14ac:dyDescent="0.3">
      <c r="A29" t="s">
        <v>183</v>
      </c>
      <c r="B29" t="s">
        <v>184</v>
      </c>
      <c r="C29" t="s">
        <v>91</v>
      </c>
      <c r="D29" t="s">
        <v>92</v>
      </c>
      <c r="E29" t="s">
        <v>93</v>
      </c>
      <c r="F29" t="s">
        <v>52</v>
      </c>
      <c r="G29" t="s">
        <v>62</v>
      </c>
      <c r="H29" t="s">
        <v>31</v>
      </c>
      <c r="I29" t="s">
        <v>32</v>
      </c>
      <c r="J29" t="s">
        <v>33</v>
      </c>
      <c r="K29" t="s">
        <v>63</v>
      </c>
      <c r="L29" t="s">
        <v>75</v>
      </c>
      <c r="M29" t="s">
        <v>65</v>
      </c>
      <c r="N29" t="s">
        <v>37</v>
      </c>
      <c r="O29" s="6">
        <v>1629069.48</v>
      </c>
      <c r="P29" s="2">
        <v>162906</v>
      </c>
      <c r="Q29" s="2">
        <v>100057.28</v>
      </c>
      <c r="R29" t="s">
        <v>123</v>
      </c>
      <c r="S29" t="s">
        <v>38</v>
      </c>
      <c r="T29">
        <v>100</v>
      </c>
      <c r="U29" t="s">
        <v>185</v>
      </c>
      <c r="V29" t="s">
        <v>40</v>
      </c>
      <c r="W29" t="s">
        <v>40</v>
      </c>
      <c r="X29" t="s">
        <v>40</v>
      </c>
      <c r="Y29" s="4" t="s">
        <v>186</v>
      </c>
      <c r="Z29" s="5" t="s">
        <v>68</v>
      </c>
    </row>
    <row r="30" spans="1:26" ht="13.8" customHeight="1" x14ac:dyDescent="0.3">
      <c r="A30" s="1">
        <v>46240.62777777778</v>
      </c>
      <c r="B30" t="s">
        <v>187</v>
      </c>
      <c r="C30" t="s">
        <v>188</v>
      </c>
      <c r="D30" t="s">
        <v>189</v>
      </c>
      <c r="E30" t="s">
        <v>190</v>
      </c>
      <c r="F30" t="s">
        <v>52</v>
      </c>
      <c r="G30" t="s">
        <v>62</v>
      </c>
      <c r="H30" t="s">
        <v>74</v>
      </c>
      <c r="I30" t="s">
        <v>32</v>
      </c>
      <c r="J30" t="s">
        <v>33</v>
      </c>
      <c r="K30" t="s">
        <v>63</v>
      </c>
      <c r="L30" t="s">
        <v>75</v>
      </c>
      <c r="M30" t="s">
        <v>191</v>
      </c>
      <c r="N30" t="s">
        <v>37</v>
      </c>
      <c r="O30" s="6">
        <v>1271186.44</v>
      </c>
      <c r="P30" s="2">
        <v>127118</v>
      </c>
      <c r="Q30" s="2">
        <v>1271186.44</v>
      </c>
      <c r="R30" s="3">
        <v>46240</v>
      </c>
      <c r="S30" t="s">
        <v>38</v>
      </c>
      <c r="T30">
        <v>100</v>
      </c>
      <c r="U30" t="s">
        <v>192</v>
      </c>
      <c r="V30" t="s">
        <v>40</v>
      </c>
      <c r="W30" t="s">
        <v>40</v>
      </c>
      <c r="X30" t="s">
        <v>40</v>
      </c>
      <c r="Y30" t="s">
        <v>193</v>
      </c>
      <c r="Z30" s="5" t="s">
        <v>68</v>
      </c>
    </row>
    <row r="31" spans="1:26" ht="13.8" customHeight="1" x14ac:dyDescent="0.3">
      <c r="A31" s="1">
        <v>46271.743055555555</v>
      </c>
      <c r="B31" t="s">
        <v>194</v>
      </c>
      <c r="C31" t="s">
        <v>195</v>
      </c>
      <c r="D31" t="s">
        <v>196</v>
      </c>
      <c r="E31" t="s">
        <v>197</v>
      </c>
      <c r="F31" t="s">
        <v>52</v>
      </c>
      <c r="G31" t="s">
        <v>62</v>
      </c>
      <c r="H31" t="s">
        <v>31</v>
      </c>
      <c r="I31" t="s">
        <v>32</v>
      </c>
      <c r="J31" t="s">
        <v>52</v>
      </c>
      <c r="K31" t="s">
        <v>63</v>
      </c>
      <c r="L31" t="s">
        <v>64</v>
      </c>
      <c r="M31" t="s">
        <v>198</v>
      </c>
      <c r="N31" t="s">
        <v>37</v>
      </c>
      <c r="O31" s="6">
        <v>464100</v>
      </c>
      <c r="P31" s="2">
        <v>25000</v>
      </c>
      <c r="Q31" s="2">
        <v>20000</v>
      </c>
      <c r="R31" s="3">
        <v>46271</v>
      </c>
      <c r="S31" t="s">
        <v>38</v>
      </c>
      <c r="T31">
        <v>80</v>
      </c>
      <c r="U31" t="s">
        <v>199</v>
      </c>
      <c r="V31" t="s">
        <v>40</v>
      </c>
      <c r="W31" t="s">
        <v>40</v>
      </c>
      <c r="X31" t="s">
        <v>40</v>
      </c>
      <c r="Y31" t="s">
        <v>40</v>
      </c>
      <c r="Z31" s="5" t="s">
        <v>68</v>
      </c>
    </row>
    <row r="32" spans="1:26" ht="13.8" customHeight="1" x14ac:dyDescent="0.3">
      <c r="A32" t="s">
        <v>200</v>
      </c>
      <c r="B32" t="s">
        <v>201</v>
      </c>
      <c r="C32" t="s">
        <v>202</v>
      </c>
      <c r="D32" t="s">
        <v>92</v>
      </c>
      <c r="E32" t="s">
        <v>203</v>
      </c>
      <c r="F32" t="s">
        <v>52</v>
      </c>
      <c r="G32" t="s">
        <v>62</v>
      </c>
      <c r="H32" t="s">
        <v>31</v>
      </c>
      <c r="I32" t="s">
        <v>32</v>
      </c>
      <c r="J32" t="s">
        <v>33</v>
      </c>
      <c r="K32" t="s">
        <v>63</v>
      </c>
      <c r="L32" t="s">
        <v>75</v>
      </c>
      <c r="M32" t="s">
        <v>65</v>
      </c>
      <c r="N32" t="s">
        <v>37</v>
      </c>
      <c r="O32" s="6">
        <v>928749.96</v>
      </c>
      <c r="P32" s="2">
        <v>92875</v>
      </c>
      <c r="Q32" s="2">
        <v>53749.96</v>
      </c>
      <c r="R32" t="s">
        <v>204</v>
      </c>
      <c r="S32" t="s">
        <v>38</v>
      </c>
      <c r="T32">
        <v>100</v>
      </c>
      <c r="U32" t="s">
        <v>205</v>
      </c>
      <c r="V32" t="s">
        <v>40</v>
      </c>
      <c r="W32" t="s">
        <v>40</v>
      </c>
      <c r="X32" t="s">
        <v>40</v>
      </c>
      <c r="Y32" s="4" t="s">
        <v>206</v>
      </c>
      <c r="Z32" s="5" t="s">
        <v>68</v>
      </c>
    </row>
    <row r="33" spans="1:26" ht="13.8" customHeight="1" x14ac:dyDescent="0.3">
      <c r="A33" t="s">
        <v>207</v>
      </c>
      <c r="B33" t="s">
        <v>208</v>
      </c>
      <c r="C33" t="s">
        <v>27</v>
      </c>
      <c r="D33" t="s">
        <v>28</v>
      </c>
      <c r="E33" t="s">
        <v>209</v>
      </c>
      <c r="F33" t="s">
        <v>30</v>
      </c>
      <c r="G33" t="s">
        <v>210</v>
      </c>
      <c r="H33" t="s">
        <v>31</v>
      </c>
      <c r="I33" t="s">
        <v>32</v>
      </c>
      <c r="J33" t="s">
        <v>33</v>
      </c>
      <c r="K33" t="s">
        <v>63</v>
      </c>
      <c r="L33" t="s">
        <v>75</v>
      </c>
      <c r="M33" t="s">
        <v>36</v>
      </c>
      <c r="N33" t="s">
        <v>37</v>
      </c>
      <c r="O33" s="6">
        <v>86000</v>
      </c>
      <c r="P33" s="2">
        <v>16000</v>
      </c>
      <c r="Q33" s="2">
        <v>16000</v>
      </c>
      <c r="R33" t="s">
        <v>211</v>
      </c>
      <c r="S33" t="s">
        <v>38</v>
      </c>
      <c r="T33">
        <v>100</v>
      </c>
      <c r="U33" t="s">
        <v>212</v>
      </c>
      <c r="V33" t="s">
        <v>40</v>
      </c>
      <c r="W33" t="s">
        <v>40</v>
      </c>
      <c r="X33" t="s">
        <v>40</v>
      </c>
      <c r="Y33" t="s">
        <v>213</v>
      </c>
      <c r="Z33" s="5" t="s">
        <v>42</v>
      </c>
    </row>
    <row r="34" spans="1:26" ht="13.8" customHeight="1" x14ac:dyDescent="0.3">
      <c r="A34" t="s">
        <v>214</v>
      </c>
      <c r="B34" t="s">
        <v>215</v>
      </c>
      <c r="C34" t="s">
        <v>216</v>
      </c>
      <c r="D34" t="s">
        <v>217</v>
      </c>
      <c r="E34" t="s">
        <v>218</v>
      </c>
      <c r="F34" t="s">
        <v>219</v>
      </c>
      <c r="G34" t="s">
        <v>220</v>
      </c>
      <c r="H34" t="s">
        <v>31</v>
      </c>
      <c r="I34" t="s">
        <v>32</v>
      </c>
      <c r="J34" t="s">
        <v>221</v>
      </c>
      <c r="K34" t="s">
        <v>63</v>
      </c>
      <c r="L34" t="s">
        <v>222</v>
      </c>
      <c r="M34" t="s">
        <v>65</v>
      </c>
      <c r="N34" t="s">
        <v>37</v>
      </c>
      <c r="O34" s="6">
        <v>5738727</v>
      </c>
      <c r="P34" s="2">
        <v>688915.46</v>
      </c>
      <c r="Q34" s="2">
        <v>1038915.38</v>
      </c>
      <c r="R34" t="s">
        <v>223</v>
      </c>
      <c r="S34" t="s">
        <v>38</v>
      </c>
      <c r="T34">
        <v>90</v>
      </c>
      <c r="U34" t="s">
        <v>224</v>
      </c>
      <c r="V34" t="s">
        <v>40</v>
      </c>
      <c r="W34" t="s">
        <v>40</v>
      </c>
      <c r="X34" t="s">
        <v>40</v>
      </c>
      <c r="Y34" t="s">
        <v>40</v>
      </c>
      <c r="Z34" s="5" t="s">
        <v>225</v>
      </c>
    </row>
    <row r="35" spans="1:26" ht="13.8" customHeight="1" x14ac:dyDescent="0.3">
      <c r="A35" s="1">
        <v>46270.557638888888</v>
      </c>
      <c r="B35" t="s">
        <v>226</v>
      </c>
      <c r="C35" t="s">
        <v>227</v>
      </c>
      <c r="D35" t="s">
        <v>228</v>
      </c>
      <c r="E35" t="s">
        <v>229</v>
      </c>
      <c r="F35" t="s">
        <v>219</v>
      </c>
      <c r="G35" t="s">
        <v>220</v>
      </c>
      <c r="H35" t="s">
        <v>31</v>
      </c>
      <c r="I35" t="s">
        <v>32</v>
      </c>
      <c r="J35" t="s">
        <v>221</v>
      </c>
      <c r="K35" t="s">
        <v>63</v>
      </c>
      <c r="L35" t="s">
        <v>222</v>
      </c>
      <c r="M35" t="s">
        <v>65</v>
      </c>
      <c r="N35" t="s">
        <v>37</v>
      </c>
      <c r="O35" s="6">
        <v>13333340</v>
      </c>
      <c r="P35" s="2">
        <v>833336.25</v>
      </c>
      <c r="Q35" s="2">
        <v>333334.5</v>
      </c>
      <c r="R35" s="3">
        <v>46362</v>
      </c>
      <c r="S35" t="s">
        <v>38</v>
      </c>
      <c r="T35">
        <v>100</v>
      </c>
      <c r="U35" t="s">
        <v>230</v>
      </c>
      <c r="V35" t="s">
        <v>40</v>
      </c>
      <c r="W35" t="s">
        <v>40</v>
      </c>
      <c r="X35" t="s">
        <v>40</v>
      </c>
      <c r="Y35" t="s">
        <v>40</v>
      </c>
      <c r="Z35" s="5" t="s">
        <v>225</v>
      </c>
    </row>
    <row r="36" spans="1:26" ht="13.8" customHeight="1" x14ac:dyDescent="0.3">
      <c r="A36" t="s">
        <v>231</v>
      </c>
      <c r="B36" t="s">
        <v>232</v>
      </c>
      <c r="C36" t="s">
        <v>227</v>
      </c>
      <c r="D36" t="s">
        <v>233</v>
      </c>
      <c r="E36" t="s">
        <v>234</v>
      </c>
      <c r="F36" t="s">
        <v>219</v>
      </c>
      <c r="G36" t="s">
        <v>220</v>
      </c>
      <c r="H36" t="s">
        <v>31</v>
      </c>
      <c r="I36" t="s">
        <v>32</v>
      </c>
      <c r="J36" t="s">
        <v>221</v>
      </c>
      <c r="K36" t="s">
        <v>63</v>
      </c>
      <c r="L36" t="s">
        <v>222</v>
      </c>
      <c r="M36" t="s">
        <v>65</v>
      </c>
      <c r="N36" t="s">
        <v>37</v>
      </c>
      <c r="O36" s="6">
        <v>27000000</v>
      </c>
      <c r="P36" s="2">
        <v>300000</v>
      </c>
      <c r="Q36" s="2">
        <v>1620000</v>
      </c>
      <c r="R36" t="s">
        <v>235</v>
      </c>
      <c r="S36" t="s">
        <v>38</v>
      </c>
      <c r="T36">
        <v>100</v>
      </c>
      <c r="U36" t="s">
        <v>236</v>
      </c>
      <c r="V36" t="s">
        <v>40</v>
      </c>
      <c r="W36" t="s">
        <v>40</v>
      </c>
      <c r="X36" t="s">
        <v>40</v>
      </c>
      <c r="Y36" t="s">
        <v>237</v>
      </c>
      <c r="Z36" s="5" t="s">
        <v>225</v>
      </c>
    </row>
    <row r="37" spans="1:26" ht="13.8" customHeight="1" x14ac:dyDescent="0.3">
      <c r="A37" s="1">
        <v>46177.511111111111</v>
      </c>
      <c r="B37" t="s">
        <v>238</v>
      </c>
      <c r="C37" t="s">
        <v>239</v>
      </c>
      <c r="D37" t="s">
        <v>240</v>
      </c>
      <c r="E37" t="s">
        <v>241</v>
      </c>
      <c r="F37" t="s">
        <v>242</v>
      </c>
      <c r="G37" t="s">
        <v>243</v>
      </c>
      <c r="H37" t="s">
        <v>31</v>
      </c>
      <c r="I37" t="s">
        <v>32</v>
      </c>
      <c r="J37" t="s">
        <v>221</v>
      </c>
      <c r="K37" t="s">
        <v>63</v>
      </c>
      <c r="L37" t="s">
        <v>244</v>
      </c>
      <c r="M37" t="s">
        <v>36</v>
      </c>
      <c r="N37" t="s">
        <v>37</v>
      </c>
      <c r="O37" s="6">
        <v>475574</v>
      </c>
      <c r="P37" s="2">
        <v>47130</v>
      </c>
      <c r="Q37" s="2">
        <v>47130</v>
      </c>
      <c r="R37" s="3">
        <v>46177</v>
      </c>
      <c r="S37" t="s">
        <v>38</v>
      </c>
      <c r="T37">
        <v>100</v>
      </c>
      <c r="U37" t="s">
        <v>245</v>
      </c>
      <c r="V37" t="s">
        <v>40</v>
      </c>
      <c r="W37" t="s">
        <v>40</v>
      </c>
      <c r="X37" t="s">
        <v>40</v>
      </c>
      <c r="Y37" t="s">
        <v>40</v>
      </c>
      <c r="Z37" s="5" t="s">
        <v>246</v>
      </c>
    </row>
    <row r="38" spans="1:26" ht="13.8" customHeight="1" x14ac:dyDescent="0.3">
      <c r="A38" t="s">
        <v>247</v>
      </c>
      <c r="B38" t="s">
        <v>248</v>
      </c>
      <c r="C38" t="s">
        <v>249</v>
      </c>
      <c r="D38" t="s">
        <v>250</v>
      </c>
      <c r="E38" t="s">
        <v>251</v>
      </c>
      <c r="F38" t="s">
        <v>252</v>
      </c>
      <c r="G38" t="s">
        <v>253</v>
      </c>
      <c r="H38" t="s">
        <v>31</v>
      </c>
      <c r="I38" t="s">
        <v>32</v>
      </c>
      <c r="J38" t="s">
        <v>221</v>
      </c>
      <c r="K38" t="s">
        <v>63</v>
      </c>
      <c r="L38" t="s">
        <v>75</v>
      </c>
      <c r="M38" t="s">
        <v>254</v>
      </c>
      <c r="N38" t="s">
        <v>37</v>
      </c>
      <c r="O38" s="6">
        <v>60566168</v>
      </c>
      <c r="P38" s="2">
        <v>6056616.7999999998</v>
      </c>
      <c r="Q38">
        <v>0</v>
      </c>
      <c r="R38" s="3">
        <v>46148</v>
      </c>
      <c r="S38" t="s">
        <v>38</v>
      </c>
      <c r="T38">
        <v>40</v>
      </c>
      <c r="U38" t="s">
        <v>40</v>
      </c>
      <c r="V38">
        <v>30919598</v>
      </c>
      <c r="W38" t="s">
        <v>255</v>
      </c>
      <c r="X38" t="s">
        <v>40</v>
      </c>
      <c r="Y38" t="s">
        <v>40</v>
      </c>
      <c r="Z38" s="5" t="s">
        <v>32</v>
      </c>
    </row>
    <row r="39" spans="1:26" ht="13.8" customHeight="1" x14ac:dyDescent="0.3">
      <c r="A39" t="s">
        <v>256</v>
      </c>
      <c r="B39" t="s">
        <v>257</v>
      </c>
      <c r="C39" t="s">
        <v>258</v>
      </c>
      <c r="D39" t="s">
        <v>259</v>
      </c>
      <c r="E39" t="s">
        <v>260</v>
      </c>
      <c r="F39" t="s">
        <v>252</v>
      </c>
      <c r="G39" t="s">
        <v>253</v>
      </c>
      <c r="H39" t="s">
        <v>31</v>
      </c>
      <c r="I39" t="s">
        <v>32</v>
      </c>
      <c r="J39" t="s">
        <v>52</v>
      </c>
      <c r="K39" t="s">
        <v>63</v>
      </c>
      <c r="L39" t="s">
        <v>261</v>
      </c>
      <c r="M39" t="s">
        <v>262</v>
      </c>
      <c r="N39" t="s">
        <v>37</v>
      </c>
      <c r="O39" s="6">
        <v>523947.04</v>
      </c>
      <c r="P39" s="2">
        <v>30208.6</v>
      </c>
      <c r="Q39" s="2">
        <v>30208.6</v>
      </c>
      <c r="R39" t="s">
        <v>263</v>
      </c>
      <c r="S39" t="s">
        <v>38</v>
      </c>
      <c r="T39">
        <v>100</v>
      </c>
      <c r="U39" t="s">
        <v>264</v>
      </c>
      <c r="V39" t="s">
        <v>40</v>
      </c>
      <c r="W39" t="s">
        <v>40</v>
      </c>
      <c r="X39" t="s">
        <v>40</v>
      </c>
      <c r="Y39" t="s">
        <v>40</v>
      </c>
      <c r="Z39" s="5" t="s">
        <v>32</v>
      </c>
    </row>
    <row r="40" spans="1:26" ht="13.8" customHeight="1" x14ac:dyDescent="0.3">
      <c r="A40" t="s">
        <v>265</v>
      </c>
      <c r="B40" t="s">
        <v>266</v>
      </c>
      <c r="C40" t="s">
        <v>258</v>
      </c>
      <c r="D40" t="s">
        <v>259</v>
      </c>
      <c r="E40" t="s">
        <v>260</v>
      </c>
      <c r="F40" t="s">
        <v>252</v>
      </c>
      <c r="G40" t="s">
        <v>253</v>
      </c>
      <c r="H40" t="s">
        <v>31</v>
      </c>
      <c r="I40" t="s">
        <v>32</v>
      </c>
      <c r="J40" t="s">
        <v>52</v>
      </c>
      <c r="K40" t="s">
        <v>63</v>
      </c>
      <c r="L40" t="s">
        <v>261</v>
      </c>
      <c r="M40" t="s">
        <v>262</v>
      </c>
      <c r="N40" t="s">
        <v>37</v>
      </c>
      <c r="O40" s="6">
        <v>306000</v>
      </c>
      <c r="P40" s="2">
        <v>30346.63</v>
      </c>
      <c r="Q40" s="2">
        <v>30346.62</v>
      </c>
      <c r="R40" t="s">
        <v>267</v>
      </c>
      <c r="S40" t="s">
        <v>38</v>
      </c>
      <c r="T40">
        <v>100</v>
      </c>
      <c r="U40" t="s">
        <v>268</v>
      </c>
      <c r="V40" t="s">
        <v>40</v>
      </c>
      <c r="W40" t="s">
        <v>40</v>
      </c>
      <c r="X40" t="s">
        <v>40</v>
      </c>
      <c r="Y40" t="s">
        <v>40</v>
      </c>
      <c r="Z40" s="5" t="s">
        <v>32</v>
      </c>
    </row>
    <row r="41" spans="1:26" ht="13.8" customHeight="1" x14ac:dyDescent="0.3">
      <c r="A41" s="1">
        <v>46177.584027777775</v>
      </c>
      <c r="B41" t="s">
        <v>269</v>
      </c>
      <c r="C41" t="s">
        <v>270</v>
      </c>
      <c r="D41" t="s">
        <v>271</v>
      </c>
      <c r="E41" t="s">
        <v>272</v>
      </c>
      <c r="F41" t="s">
        <v>273</v>
      </c>
      <c r="G41" t="s">
        <v>274</v>
      </c>
      <c r="H41" t="s">
        <v>31</v>
      </c>
      <c r="I41" t="s">
        <v>32</v>
      </c>
      <c r="J41" t="s">
        <v>52</v>
      </c>
      <c r="K41" t="s">
        <v>63</v>
      </c>
      <c r="L41" t="s">
        <v>75</v>
      </c>
      <c r="M41" t="s">
        <v>191</v>
      </c>
      <c r="N41" t="s">
        <v>37</v>
      </c>
      <c r="O41" s="6">
        <v>59491500</v>
      </c>
      <c r="P41" s="2">
        <v>4193000</v>
      </c>
      <c r="Q41">
        <v>0</v>
      </c>
      <c r="R41" s="3">
        <v>46299</v>
      </c>
      <c r="S41" t="s">
        <v>38</v>
      </c>
      <c r="T41">
        <v>100</v>
      </c>
      <c r="U41" t="s">
        <v>275</v>
      </c>
      <c r="V41" t="s">
        <v>40</v>
      </c>
      <c r="W41" t="s">
        <v>40</v>
      </c>
      <c r="X41" t="s">
        <v>40</v>
      </c>
      <c r="Y41" t="s">
        <v>40</v>
      </c>
      <c r="Z41" s="5" t="s">
        <v>276</v>
      </c>
    </row>
    <row r="42" spans="1:26" ht="13.8" customHeight="1" x14ac:dyDescent="0.3">
      <c r="A42" t="s">
        <v>277</v>
      </c>
      <c r="B42" t="s">
        <v>278</v>
      </c>
      <c r="C42" t="s">
        <v>270</v>
      </c>
      <c r="D42" t="s">
        <v>271</v>
      </c>
      <c r="E42" t="s">
        <v>279</v>
      </c>
      <c r="F42" t="s">
        <v>273</v>
      </c>
      <c r="G42" t="s">
        <v>274</v>
      </c>
      <c r="H42" t="s">
        <v>31</v>
      </c>
      <c r="I42" t="s">
        <v>32</v>
      </c>
      <c r="J42" t="s">
        <v>52</v>
      </c>
      <c r="K42" t="s">
        <v>63</v>
      </c>
      <c r="L42" t="s">
        <v>75</v>
      </c>
      <c r="M42" t="s">
        <v>54</v>
      </c>
      <c r="N42" t="s">
        <v>37</v>
      </c>
      <c r="O42" s="6">
        <v>1506000</v>
      </c>
      <c r="P42" s="2">
        <v>70000</v>
      </c>
      <c r="Q42" s="2">
        <v>49469</v>
      </c>
      <c r="R42" t="s">
        <v>66</v>
      </c>
      <c r="S42" t="s">
        <v>38</v>
      </c>
      <c r="T42">
        <v>100</v>
      </c>
      <c r="U42" t="s">
        <v>280</v>
      </c>
      <c r="V42" t="s">
        <v>40</v>
      </c>
      <c r="W42" t="s">
        <v>40</v>
      </c>
      <c r="X42" t="s">
        <v>40</v>
      </c>
      <c r="Y42" t="s">
        <v>40</v>
      </c>
      <c r="Z42" s="5" t="s">
        <v>276</v>
      </c>
    </row>
    <row r="43" spans="1:26" ht="13.8" customHeight="1" x14ac:dyDescent="0.3">
      <c r="A43" s="1">
        <v>46147.499305555553</v>
      </c>
      <c r="B43" t="s">
        <v>281</v>
      </c>
      <c r="C43" t="s">
        <v>270</v>
      </c>
      <c r="D43" t="s">
        <v>271</v>
      </c>
      <c r="E43" t="s">
        <v>282</v>
      </c>
      <c r="F43" t="s">
        <v>273</v>
      </c>
      <c r="G43" t="s">
        <v>274</v>
      </c>
      <c r="H43" t="s">
        <v>31</v>
      </c>
      <c r="I43" t="s">
        <v>32</v>
      </c>
      <c r="J43" t="s">
        <v>33</v>
      </c>
      <c r="K43" t="s">
        <v>63</v>
      </c>
      <c r="L43" t="s">
        <v>222</v>
      </c>
      <c r="M43" t="s">
        <v>54</v>
      </c>
      <c r="N43" t="s">
        <v>37</v>
      </c>
      <c r="O43" s="6">
        <v>55500</v>
      </c>
      <c r="P43" s="2">
        <v>10000</v>
      </c>
      <c r="Q43" s="2">
        <v>10500</v>
      </c>
      <c r="R43" s="3">
        <v>46147</v>
      </c>
      <c r="S43" t="s">
        <v>38</v>
      </c>
      <c r="T43">
        <v>100</v>
      </c>
      <c r="U43" t="s">
        <v>283</v>
      </c>
      <c r="V43" t="s">
        <v>40</v>
      </c>
      <c r="W43" t="s">
        <v>40</v>
      </c>
      <c r="X43" t="s">
        <v>40</v>
      </c>
      <c r="Y43" t="s">
        <v>40</v>
      </c>
      <c r="Z43" s="5" t="s">
        <v>276</v>
      </c>
    </row>
    <row r="44" spans="1:26" ht="13.8" customHeight="1" x14ac:dyDescent="0.3">
      <c r="A44" t="s">
        <v>284</v>
      </c>
      <c r="B44" t="s">
        <v>285</v>
      </c>
      <c r="C44" t="s">
        <v>286</v>
      </c>
      <c r="D44" t="s">
        <v>271</v>
      </c>
      <c r="E44" t="s">
        <v>287</v>
      </c>
      <c r="F44" t="s">
        <v>273</v>
      </c>
      <c r="G44" t="s">
        <v>274</v>
      </c>
      <c r="H44" t="s">
        <v>31</v>
      </c>
      <c r="I44" t="s">
        <v>32</v>
      </c>
      <c r="J44" t="s">
        <v>33</v>
      </c>
      <c r="K44" t="s">
        <v>63</v>
      </c>
      <c r="L44" t="s">
        <v>288</v>
      </c>
      <c r="M44" t="s">
        <v>198</v>
      </c>
      <c r="N44" t="s">
        <v>37</v>
      </c>
      <c r="O44" s="6">
        <v>1616400</v>
      </c>
      <c r="P44" s="2">
        <v>440400</v>
      </c>
      <c r="Q44" s="2">
        <v>110100</v>
      </c>
      <c r="R44" t="s">
        <v>263</v>
      </c>
      <c r="S44" t="s">
        <v>38</v>
      </c>
      <c r="T44">
        <v>100</v>
      </c>
      <c r="U44" t="s">
        <v>289</v>
      </c>
      <c r="V44" t="s">
        <v>40</v>
      </c>
      <c r="W44" t="s">
        <v>40</v>
      </c>
      <c r="X44" t="s">
        <v>40</v>
      </c>
      <c r="Y44" t="s">
        <v>40</v>
      </c>
      <c r="Z44" s="5" t="s">
        <v>276</v>
      </c>
    </row>
    <row r="45" spans="1:26" ht="13.8" customHeight="1" x14ac:dyDescent="0.3">
      <c r="A45" s="1">
        <v>46177.533333333333</v>
      </c>
      <c r="B45" t="s">
        <v>290</v>
      </c>
      <c r="C45" t="s">
        <v>291</v>
      </c>
      <c r="D45" t="s">
        <v>292</v>
      </c>
      <c r="E45" t="s">
        <v>293</v>
      </c>
      <c r="F45" t="s">
        <v>294</v>
      </c>
      <c r="G45" t="s">
        <v>295</v>
      </c>
      <c r="H45" t="s">
        <v>31</v>
      </c>
      <c r="I45" t="s">
        <v>32</v>
      </c>
      <c r="J45" t="s">
        <v>52</v>
      </c>
      <c r="K45" t="s">
        <v>63</v>
      </c>
      <c r="L45" t="s">
        <v>222</v>
      </c>
      <c r="M45" t="s">
        <v>65</v>
      </c>
      <c r="N45" t="s">
        <v>37</v>
      </c>
      <c r="O45" s="6">
        <v>1890000</v>
      </c>
      <c r="P45" s="2">
        <v>50000</v>
      </c>
      <c r="Q45">
        <v>0</v>
      </c>
      <c r="R45" t="s">
        <v>296</v>
      </c>
      <c r="S45" t="s">
        <v>38</v>
      </c>
      <c r="T45">
        <v>10</v>
      </c>
      <c r="U45" t="s">
        <v>40</v>
      </c>
      <c r="V45" t="s">
        <v>40</v>
      </c>
      <c r="W45" t="s">
        <v>40</v>
      </c>
      <c r="X45" t="s">
        <v>40</v>
      </c>
      <c r="Y45" t="s">
        <v>40</v>
      </c>
      <c r="Z45" s="5" t="s">
        <v>297</v>
      </c>
    </row>
    <row r="46" spans="1:26" ht="13.8" customHeight="1" x14ac:dyDescent="0.3">
      <c r="A46" t="s">
        <v>298</v>
      </c>
      <c r="B46" t="s">
        <v>299</v>
      </c>
      <c r="C46" t="s">
        <v>300</v>
      </c>
      <c r="D46" t="s">
        <v>301</v>
      </c>
      <c r="E46" t="s">
        <v>302</v>
      </c>
      <c r="F46" t="s">
        <v>294</v>
      </c>
      <c r="G46" t="s">
        <v>295</v>
      </c>
      <c r="H46" t="s">
        <v>31</v>
      </c>
      <c r="I46" t="s">
        <v>32</v>
      </c>
      <c r="J46" t="s">
        <v>221</v>
      </c>
      <c r="K46" t="s">
        <v>63</v>
      </c>
      <c r="L46" t="s">
        <v>75</v>
      </c>
      <c r="M46" t="s">
        <v>65</v>
      </c>
      <c r="N46" t="s">
        <v>37</v>
      </c>
      <c r="O46" s="6">
        <v>78738048</v>
      </c>
      <c r="P46" s="2">
        <v>500000</v>
      </c>
      <c r="Q46" s="2">
        <v>5036349.4400000004</v>
      </c>
      <c r="R46" t="s">
        <v>303</v>
      </c>
      <c r="S46" t="s">
        <v>38</v>
      </c>
      <c r="T46">
        <v>100</v>
      </c>
      <c r="U46" t="s">
        <v>304</v>
      </c>
      <c r="V46">
        <v>31062110</v>
      </c>
      <c r="W46" t="s">
        <v>255</v>
      </c>
      <c r="X46" t="s">
        <v>40</v>
      </c>
      <c r="Y46" t="s">
        <v>40</v>
      </c>
      <c r="Z46" s="5" t="s">
        <v>297</v>
      </c>
    </row>
    <row r="47" spans="1:26" ht="13.8" customHeight="1" x14ac:dyDescent="0.3">
      <c r="A47" t="s">
        <v>305</v>
      </c>
      <c r="B47" t="s">
        <v>306</v>
      </c>
      <c r="C47" t="s">
        <v>291</v>
      </c>
      <c r="D47" t="s">
        <v>292</v>
      </c>
      <c r="E47" t="s">
        <v>307</v>
      </c>
      <c r="F47" t="s">
        <v>294</v>
      </c>
      <c r="G47" t="s">
        <v>295</v>
      </c>
      <c r="H47" t="s">
        <v>31</v>
      </c>
      <c r="I47" t="s">
        <v>32</v>
      </c>
      <c r="J47" t="s">
        <v>52</v>
      </c>
      <c r="K47" t="s">
        <v>63</v>
      </c>
      <c r="L47" t="s">
        <v>222</v>
      </c>
      <c r="M47" t="s">
        <v>65</v>
      </c>
      <c r="N47" t="s">
        <v>37</v>
      </c>
      <c r="O47" s="6">
        <v>630000</v>
      </c>
      <c r="P47" s="2">
        <v>50000</v>
      </c>
      <c r="Q47">
        <v>0</v>
      </c>
      <c r="R47" t="s">
        <v>296</v>
      </c>
      <c r="S47" t="s">
        <v>38</v>
      </c>
      <c r="T47">
        <v>100</v>
      </c>
      <c r="U47" t="s">
        <v>40</v>
      </c>
      <c r="V47" t="s">
        <v>40</v>
      </c>
      <c r="W47" t="s">
        <v>40</v>
      </c>
      <c r="X47" t="s">
        <v>40</v>
      </c>
      <c r="Y47" t="s">
        <v>40</v>
      </c>
      <c r="Z47" s="5" t="s">
        <v>297</v>
      </c>
    </row>
    <row r="48" spans="1:26" ht="13.8" customHeight="1" x14ac:dyDescent="0.3">
      <c r="A48" s="1">
        <v>46056.451388888891</v>
      </c>
      <c r="B48" t="s">
        <v>308</v>
      </c>
      <c r="C48" t="s">
        <v>309</v>
      </c>
      <c r="D48" t="s">
        <v>310</v>
      </c>
      <c r="E48" t="s">
        <v>311</v>
      </c>
      <c r="F48" t="s">
        <v>312</v>
      </c>
      <c r="G48" t="s">
        <v>313</v>
      </c>
      <c r="H48" t="s">
        <v>31</v>
      </c>
      <c r="I48" t="s">
        <v>32</v>
      </c>
      <c r="J48" t="s">
        <v>52</v>
      </c>
      <c r="K48" t="s">
        <v>63</v>
      </c>
      <c r="L48" t="s">
        <v>75</v>
      </c>
      <c r="M48" t="s">
        <v>65</v>
      </c>
      <c r="N48" t="s">
        <v>37</v>
      </c>
      <c r="O48" s="6">
        <v>670400</v>
      </c>
      <c r="P48" s="2">
        <v>49823</v>
      </c>
      <c r="Q48" s="2">
        <v>49825</v>
      </c>
      <c r="R48" s="3">
        <v>46299</v>
      </c>
      <c r="S48" t="s">
        <v>38</v>
      </c>
      <c r="T48">
        <v>100</v>
      </c>
      <c r="U48" t="s">
        <v>314</v>
      </c>
      <c r="V48" t="s">
        <v>40</v>
      </c>
      <c r="W48" t="s">
        <v>40</v>
      </c>
      <c r="X48" t="s">
        <v>40</v>
      </c>
      <c r="Y48" t="s">
        <v>40</v>
      </c>
      <c r="Z48" s="5" t="s">
        <v>246</v>
      </c>
    </row>
    <row r="49" spans="1:26" ht="13.8" customHeight="1" x14ac:dyDescent="0.3">
      <c r="A49" t="s">
        <v>315</v>
      </c>
      <c r="B49" t="s">
        <v>316</v>
      </c>
      <c r="C49" t="s">
        <v>317</v>
      </c>
      <c r="D49" t="s">
        <v>318</v>
      </c>
      <c r="E49" t="s">
        <v>319</v>
      </c>
      <c r="F49" t="s">
        <v>312</v>
      </c>
      <c r="G49" t="s">
        <v>313</v>
      </c>
      <c r="H49" t="s">
        <v>31</v>
      </c>
      <c r="I49" t="s">
        <v>32</v>
      </c>
      <c r="J49" t="s">
        <v>52</v>
      </c>
      <c r="K49" t="s">
        <v>63</v>
      </c>
      <c r="L49" t="s">
        <v>320</v>
      </c>
      <c r="M49" t="s">
        <v>262</v>
      </c>
      <c r="N49" t="s">
        <v>37</v>
      </c>
      <c r="O49" s="6">
        <v>158000</v>
      </c>
      <c r="P49" s="2">
        <v>9114</v>
      </c>
      <c r="Q49" s="2">
        <v>19536.02</v>
      </c>
      <c r="R49" s="3">
        <v>46208</v>
      </c>
      <c r="S49" t="s">
        <v>38</v>
      </c>
      <c r="T49">
        <v>100</v>
      </c>
      <c r="U49" t="s">
        <v>321</v>
      </c>
      <c r="V49" t="s">
        <v>40</v>
      </c>
      <c r="W49" t="s">
        <v>40</v>
      </c>
      <c r="X49" t="s">
        <v>40</v>
      </c>
      <c r="Y49" t="s">
        <v>40</v>
      </c>
      <c r="Z49" s="5" t="s">
        <v>246</v>
      </c>
    </row>
    <row r="50" spans="1:26" ht="13.8" customHeight="1" x14ac:dyDescent="0.3">
      <c r="A50" t="s">
        <v>322</v>
      </c>
      <c r="B50" t="s">
        <v>323</v>
      </c>
      <c r="C50" t="s">
        <v>324</v>
      </c>
      <c r="D50" t="s">
        <v>318</v>
      </c>
      <c r="E50" t="s">
        <v>325</v>
      </c>
      <c r="F50" t="s">
        <v>312</v>
      </c>
      <c r="G50" t="s">
        <v>313</v>
      </c>
      <c r="H50" t="s">
        <v>31</v>
      </c>
      <c r="I50" t="s">
        <v>32</v>
      </c>
      <c r="J50" t="s">
        <v>33</v>
      </c>
      <c r="K50" t="s">
        <v>63</v>
      </c>
      <c r="L50" t="s">
        <v>320</v>
      </c>
      <c r="M50" t="s">
        <v>326</v>
      </c>
      <c r="N50" t="s">
        <v>37</v>
      </c>
      <c r="O50" s="6">
        <v>609000</v>
      </c>
      <c r="P50" s="2">
        <v>22310</v>
      </c>
      <c r="Q50">
        <v>0</v>
      </c>
      <c r="R50" t="s">
        <v>327</v>
      </c>
      <c r="S50" t="s">
        <v>38</v>
      </c>
      <c r="T50">
        <v>100</v>
      </c>
      <c r="U50" t="s">
        <v>40</v>
      </c>
      <c r="V50" t="s">
        <v>40</v>
      </c>
      <c r="W50" t="s">
        <v>40</v>
      </c>
      <c r="X50" t="s">
        <v>40</v>
      </c>
      <c r="Y50" t="s">
        <v>40</v>
      </c>
      <c r="Z50" s="5" t="s">
        <v>246</v>
      </c>
    </row>
    <row r="51" spans="1:26" ht="13.8" customHeight="1" x14ac:dyDescent="0.3">
      <c r="A51" t="s">
        <v>328</v>
      </c>
      <c r="B51" t="s">
        <v>329</v>
      </c>
      <c r="C51" t="s">
        <v>330</v>
      </c>
      <c r="D51" t="s">
        <v>331</v>
      </c>
      <c r="E51" t="s">
        <v>332</v>
      </c>
      <c r="F51" t="s">
        <v>312</v>
      </c>
      <c r="G51" t="s">
        <v>313</v>
      </c>
      <c r="H51" t="s">
        <v>31</v>
      </c>
      <c r="I51" t="s">
        <v>32</v>
      </c>
      <c r="J51" t="s">
        <v>33</v>
      </c>
      <c r="K51" t="s">
        <v>63</v>
      </c>
      <c r="L51" t="s">
        <v>333</v>
      </c>
      <c r="M51" t="s">
        <v>36</v>
      </c>
      <c r="N51" t="s">
        <v>37</v>
      </c>
      <c r="O51" s="6">
        <v>350000</v>
      </c>
      <c r="P51" s="2">
        <v>10000</v>
      </c>
      <c r="Q51" s="2">
        <v>44400</v>
      </c>
      <c r="R51" t="s">
        <v>334</v>
      </c>
      <c r="S51" t="s">
        <v>38</v>
      </c>
      <c r="T51">
        <v>100</v>
      </c>
      <c r="U51" t="s">
        <v>335</v>
      </c>
      <c r="V51" t="s">
        <v>40</v>
      </c>
      <c r="W51" t="s">
        <v>40</v>
      </c>
      <c r="X51" t="s">
        <v>40</v>
      </c>
      <c r="Y51" t="s">
        <v>40</v>
      </c>
      <c r="Z51" s="5" t="s">
        <v>246</v>
      </c>
    </row>
    <row r="52" spans="1:26" ht="13.8" customHeight="1" x14ac:dyDescent="0.3">
      <c r="A52" t="s">
        <v>336</v>
      </c>
      <c r="B52" t="s">
        <v>337</v>
      </c>
      <c r="C52" t="s">
        <v>338</v>
      </c>
      <c r="D52" t="s">
        <v>339</v>
      </c>
      <c r="E52" t="s">
        <v>340</v>
      </c>
      <c r="F52" t="s">
        <v>312</v>
      </c>
      <c r="G52" t="s">
        <v>313</v>
      </c>
      <c r="H52" t="s">
        <v>31</v>
      </c>
      <c r="I52" t="s">
        <v>32</v>
      </c>
      <c r="J52" t="s">
        <v>33</v>
      </c>
      <c r="K52" t="s">
        <v>63</v>
      </c>
      <c r="L52" t="s">
        <v>75</v>
      </c>
      <c r="M52" t="s">
        <v>65</v>
      </c>
      <c r="N52" t="s">
        <v>37</v>
      </c>
      <c r="O52" s="6">
        <v>276000</v>
      </c>
      <c r="P52" s="2">
        <v>20000</v>
      </c>
      <c r="Q52">
        <v>0</v>
      </c>
      <c r="R52" t="s">
        <v>341</v>
      </c>
      <c r="S52" t="s">
        <v>38</v>
      </c>
      <c r="T52">
        <v>80</v>
      </c>
      <c r="U52" t="s">
        <v>40</v>
      </c>
      <c r="V52" t="s">
        <v>40</v>
      </c>
      <c r="W52" t="s">
        <v>40</v>
      </c>
      <c r="X52" t="s">
        <v>40</v>
      </c>
      <c r="Y52" t="s">
        <v>40</v>
      </c>
      <c r="Z52" s="5" t="s">
        <v>246</v>
      </c>
    </row>
    <row r="53" spans="1:26" ht="13.8" customHeight="1" x14ac:dyDescent="0.3">
      <c r="A53" t="s">
        <v>342</v>
      </c>
      <c r="B53" t="s">
        <v>343</v>
      </c>
      <c r="C53" t="s">
        <v>344</v>
      </c>
      <c r="D53" t="s">
        <v>345</v>
      </c>
      <c r="E53" t="s">
        <v>346</v>
      </c>
      <c r="F53" t="s">
        <v>312</v>
      </c>
      <c r="G53" t="s">
        <v>313</v>
      </c>
      <c r="H53" t="s">
        <v>31</v>
      </c>
      <c r="I53" t="s">
        <v>32</v>
      </c>
      <c r="J53" t="s">
        <v>33</v>
      </c>
      <c r="K53" t="s">
        <v>63</v>
      </c>
      <c r="L53" t="s">
        <v>64</v>
      </c>
      <c r="M53" t="s">
        <v>347</v>
      </c>
      <c r="N53" t="s">
        <v>37</v>
      </c>
      <c r="O53" s="6">
        <v>12700000</v>
      </c>
      <c r="P53" s="2">
        <v>588796</v>
      </c>
      <c r="Q53">
        <v>0</v>
      </c>
      <c r="R53" t="s">
        <v>348</v>
      </c>
      <c r="S53" t="s">
        <v>38</v>
      </c>
      <c r="T53">
        <v>100</v>
      </c>
      <c r="U53" t="s">
        <v>40</v>
      </c>
      <c r="V53" t="s">
        <v>40</v>
      </c>
      <c r="W53" t="s">
        <v>40</v>
      </c>
      <c r="X53" t="s">
        <v>40</v>
      </c>
      <c r="Y53" t="s">
        <v>40</v>
      </c>
      <c r="Z53" s="5" t="s">
        <v>246</v>
      </c>
    </row>
    <row r="54" spans="1:26" ht="13.8" customHeight="1" x14ac:dyDescent="0.3">
      <c r="A54" t="s">
        <v>349</v>
      </c>
      <c r="B54" t="s">
        <v>350</v>
      </c>
      <c r="C54" t="s">
        <v>351</v>
      </c>
      <c r="D54" t="s">
        <v>352</v>
      </c>
      <c r="E54" t="s">
        <v>353</v>
      </c>
      <c r="F54" t="s">
        <v>354</v>
      </c>
      <c r="G54" t="s">
        <v>355</v>
      </c>
      <c r="H54" t="s">
        <v>31</v>
      </c>
      <c r="I54" t="s">
        <v>32</v>
      </c>
      <c r="J54" t="s">
        <v>52</v>
      </c>
      <c r="K54" t="s">
        <v>63</v>
      </c>
      <c r="L54" t="s">
        <v>75</v>
      </c>
      <c r="M54" t="s">
        <v>356</v>
      </c>
      <c r="N54" t="s">
        <v>37</v>
      </c>
      <c r="O54" s="6">
        <v>1550000</v>
      </c>
      <c r="P54" s="2">
        <v>183000</v>
      </c>
      <c r="Q54">
        <v>0</v>
      </c>
      <c r="R54" t="s">
        <v>357</v>
      </c>
      <c r="S54" t="s">
        <v>38</v>
      </c>
      <c r="T54">
        <v>100</v>
      </c>
      <c r="U54" t="s">
        <v>40</v>
      </c>
      <c r="V54" t="s">
        <v>40</v>
      </c>
      <c r="W54" t="s">
        <v>40</v>
      </c>
      <c r="X54" t="s">
        <v>40</v>
      </c>
      <c r="Y54" t="s">
        <v>40</v>
      </c>
      <c r="Z54" s="5" t="s">
        <v>246</v>
      </c>
    </row>
    <row r="55" spans="1:26" ht="13.8" customHeight="1" x14ac:dyDescent="0.3">
      <c r="A55" t="s">
        <v>358</v>
      </c>
      <c r="B55" t="s">
        <v>359</v>
      </c>
      <c r="C55" t="s">
        <v>360</v>
      </c>
      <c r="D55" t="s">
        <v>361</v>
      </c>
      <c r="E55" t="s">
        <v>362</v>
      </c>
      <c r="F55" t="s">
        <v>363</v>
      </c>
      <c r="G55" t="s">
        <v>364</v>
      </c>
      <c r="H55" t="s">
        <v>365</v>
      </c>
      <c r="I55" t="s">
        <v>363</v>
      </c>
      <c r="J55" t="s">
        <v>221</v>
      </c>
      <c r="K55" t="s">
        <v>63</v>
      </c>
      <c r="L55" t="s">
        <v>64</v>
      </c>
      <c r="M55" t="s">
        <v>65</v>
      </c>
      <c r="N55" t="s">
        <v>37</v>
      </c>
      <c r="O55" s="6">
        <v>12000000</v>
      </c>
      <c r="P55" s="2">
        <v>1000000</v>
      </c>
      <c r="Q55" s="2">
        <v>1000000</v>
      </c>
      <c r="R55" t="s">
        <v>334</v>
      </c>
      <c r="S55" t="s">
        <v>38</v>
      </c>
      <c r="T55">
        <v>100</v>
      </c>
      <c r="U55" t="s">
        <v>366</v>
      </c>
      <c r="V55" t="s">
        <v>40</v>
      </c>
      <c r="W55" t="s">
        <v>40</v>
      </c>
      <c r="X55" t="s">
        <v>40</v>
      </c>
      <c r="Y55" t="s">
        <v>40</v>
      </c>
      <c r="Z55" s="5" t="s">
        <v>225</v>
      </c>
    </row>
    <row r="56" spans="1:26" ht="13.8" customHeight="1" x14ac:dyDescent="0.3">
      <c r="A56" t="s">
        <v>367</v>
      </c>
      <c r="B56" t="s">
        <v>368</v>
      </c>
      <c r="C56" t="s">
        <v>369</v>
      </c>
      <c r="D56" t="s">
        <v>370</v>
      </c>
      <c r="E56" t="s">
        <v>371</v>
      </c>
      <c r="F56" t="s">
        <v>372</v>
      </c>
      <c r="G56" t="s">
        <v>373</v>
      </c>
      <c r="H56" t="s">
        <v>31</v>
      </c>
      <c r="I56" t="s">
        <v>32</v>
      </c>
      <c r="J56" t="s">
        <v>33</v>
      </c>
      <c r="K56" t="s">
        <v>63</v>
      </c>
      <c r="L56" t="s">
        <v>75</v>
      </c>
      <c r="M56" t="s">
        <v>65</v>
      </c>
      <c r="N56" t="s">
        <v>37</v>
      </c>
      <c r="O56" s="6">
        <v>590000</v>
      </c>
      <c r="P56" s="2">
        <v>44500</v>
      </c>
      <c r="Q56" s="2">
        <v>44500</v>
      </c>
      <c r="R56" t="s">
        <v>374</v>
      </c>
      <c r="S56" t="s">
        <v>38</v>
      </c>
      <c r="T56">
        <v>100</v>
      </c>
      <c r="U56" t="s">
        <v>375</v>
      </c>
      <c r="V56" t="s">
        <v>40</v>
      </c>
      <c r="W56" t="s">
        <v>40</v>
      </c>
      <c r="X56" t="s">
        <v>40</v>
      </c>
      <c r="Y56" t="s">
        <v>376</v>
      </c>
      <c r="Z56" s="5" t="s">
        <v>42</v>
      </c>
    </row>
    <row r="57" spans="1:26" ht="13.8" customHeight="1" x14ac:dyDescent="0.3">
      <c r="A57" t="s">
        <v>377</v>
      </c>
      <c r="B57" t="s">
        <v>378</v>
      </c>
      <c r="C57" t="s">
        <v>379</v>
      </c>
      <c r="D57" t="s">
        <v>380</v>
      </c>
      <c r="E57" t="s">
        <v>381</v>
      </c>
      <c r="F57" t="s">
        <v>382</v>
      </c>
      <c r="G57" t="s">
        <v>383</v>
      </c>
      <c r="H57" t="s">
        <v>31</v>
      </c>
      <c r="I57" t="s">
        <v>32</v>
      </c>
      <c r="J57" t="s">
        <v>52</v>
      </c>
      <c r="K57" t="s">
        <v>63</v>
      </c>
      <c r="L57" t="s">
        <v>64</v>
      </c>
      <c r="M57" t="s">
        <v>347</v>
      </c>
      <c r="N57" t="s">
        <v>37</v>
      </c>
      <c r="O57" s="6">
        <v>30776945</v>
      </c>
      <c r="P57" s="2">
        <v>1376945</v>
      </c>
      <c r="Q57">
        <v>0</v>
      </c>
      <c r="R57" t="s">
        <v>107</v>
      </c>
      <c r="S57" t="s">
        <v>38</v>
      </c>
      <c r="T57">
        <v>100</v>
      </c>
      <c r="U57" t="s">
        <v>384</v>
      </c>
      <c r="V57" t="s">
        <v>40</v>
      </c>
      <c r="W57" t="s">
        <v>40</v>
      </c>
      <c r="X57" t="s">
        <v>40</v>
      </c>
      <c r="Y57" t="s">
        <v>385</v>
      </c>
      <c r="Z57" s="5" t="s">
        <v>42</v>
      </c>
    </row>
    <row r="58" spans="1:26" ht="13.8" customHeight="1" x14ac:dyDescent="0.3">
      <c r="A58" t="s">
        <v>386</v>
      </c>
      <c r="B58" t="s">
        <v>387</v>
      </c>
      <c r="C58" t="s">
        <v>388</v>
      </c>
      <c r="D58" t="s">
        <v>389</v>
      </c>
      <c r="E58" t="s">
        <v>390</v>
      </c>
      <c r="F58" t="s">
        <v>382</v>
      </c>
      <c r="G58" t="s">
        <v>383</v>
      </c>
      <c r="H58" t="s">
        <v>31</v>
      </c>
      <c r="I58" t="s">
        <v>32</v>
      </c>
      <c r="J58" t="s">
        <v>52</v>
      </c>
      <c r="K58" t="s">
        <v>63</v>
      </c>
      <c r="L58" t="s">
        <v>75</v>
      </c>
      <c r="M58" t="s">
        <v>65</v>
      </c>
      <c r="N58" t="s">
        <v>37</v>
      </c>
      <c r="O58" s="6">
        <v>1200000</v>
      </c>
      <c r="P58" s="2">
        <v>45000</v>
      </c>
      <c r="Q58" s="2">
        <v>34000</v>
      </c>
      <c r="R58" t="s">
        <v>334</v>
      </c>
      <c r="S58" t="s">
        <v>38</v>
      </c>
      <c r="T58">
        <v>100</v>
      </c>
      <c r="U58" t="s">
        <v>391</v>
      </c>
      <c r="V58" t="s">
        <v>40</v>
      </c>
      <c r="W58" t="s">
        <v>40</v>
      </c>
      <c r="X58" t="s">
        <v>40</v>
      </c>
      <c r="Y58" t="s">
        <v>392</v>
      </c>
      <c r="Z58" s="5" t="s">
        <v>42</v>
      </c>
    </row>
    <row r="59" spans="1:26" ht="13.8" customHeight="1" x14ac:dyDescent="0.3">
      <c r="A59" s="1">
        <v>46028.415972222225</v>
      </c>
      <c r="B59" t="s">
        <v>393</v>
      </c>
      <c r="C59" t="s">
        <v>394</v>
      </c>
      <c r="D59" t="s">
        <v>395</v>
      </c>
      <c r="E59" t="s">
        <v>396</v>
      </c>
      <c r="F59" t="s">
        <v>397</v>
      </c>
      <c r="G59" t="s">
        <v>398</v>
      </c>
      <c r="H59" t="s">
        <v>31</v>
      </c>
      <c r="I59" t="s">
        <v>32</v>
      </c>
      <c r="J59" t="s">
        <v>52</v>
      </c>
      <c r="K59" t="s">
        <v>63</v>
      </c>
      <c r="L59" t="s">
        <v>64</v>
      </c>
      <c r="M59" t="s">
        <v>399</v>
      </c>
      <c r="N59" t="s">
        <v>37</v>
      </c>
      <c r="O59" s="6">
        <v>22880915</v>
      </c>
      <c r="P59" s="2">
        <v>1000000</v>
      </c>
      <c r="Q59">
        <v>0</v>
      </c>
      <c r="R59" t="s">
        <v>327</v>
      </c>
      <c r="S59" t="s">
        <v>38</v>
      </c>
      <c r="T59">
        <v>100</v>
      </c>
      <c r="U59" t="s">
        <v>400</v>
      </c>
      <c r="V59" t="s">
        <v>40</v>
      </c>
      <c r="W59" t="s">
        <v>40</v>
      </c>
      <c r="X59" t="s">
        <v>40</v>
      </c>
      <c r="Y59" s="4" t="s">
        <v>401</v>
      </c>
      <c r="Z59" s="5" t="s">
        <v>42</v>
      </c>
    </row>
    <row r="60" spans="1:26" ht="13.8" customHeight="1" x14ac:dyDescent="0.3">
      <c r="A60" t="s">
        <v>402</v>
      </c>
      <c r="B60" t="s">
        <v>403</v>
      </c>
      <c r="C60" t="s">
        <v>404</v>
      </c>
      <c r="D60" t="s">
        <v>405</v>
      </c>
      <c r="E60" t="s">
        <v>406</v>
      </c>
      <c r="F60" t="s">
        <v>407</v>
      </c>
      <c r="G60" t="s">
        <v>408</v>
      </c>
      <c r="H60" t="s">
        <v>31</v>
      </c>
      <c r="I60" t="s">
        <v>32</v>
      </c>
      <c r="J60" t="s">
        <v>52</v>
      </c>
      <c r="K60" t="s">
        <v>63</v>
      </c>
      <c r="L60" t="s">
        <v>64</v>
      </c>
      <c r="M60" t="s">
        <v>65</v>
      </c>
      <c r="N60" t="s">
        <v>37</v>
      </c>
      <c r="O60" s="6">
        <v>95900000</v>
      </c>
      <c r="P60" s="2">
        <v>30000000</v>
      </c>
      <c r="Q60">
        <v>0</v>
      </c>
      <c r="R60" t="s">
        <v>267</v>
      </c>
      <c r="S60" t="s">
        <v>38</v>
      </c>
      <c r="T60">
        <v>100</v>
      </c>
      <c r="U60" t="s">
        <v>40</v>
      </c>
      <c r="V60" t="s">
        <v>40</v>
      </c>
      <c r="W60" t="s">
        <v>40</v>
      </c>
      <c r="X60" t="s">
        <v>40</v>
      </c>
      <c r="Y60" t="s">
        <v>40</v>
      </c>
      <c r="Z60" s="5" t="s">
        <v>246</v>
      </c>
    </row>
    <row r="61" spans="1:26" ht="13.8" customHeight="1" x14ac:dyDescent="0.3">
      <c r="A61" t="s">
        <v>409</v>
      </c>
      <c r="B61" t="s">
        <v>410</v>
      </c>
      <c r="C61" t="s">
        <v>411</v>
      </c>
      <c r="D61" t="s">
        <v>412</v>
      </c>
      <c r="E61" t="s">
        <v>413</v>
      </c>
      <c r="F61" t="s">
        <v>407</v>
      </c>
      <c r="G61" t="s">
        <v>408</v>
      </c>
      <c r="H61" t="s">
        <v>31</v>
      </c>
      <c r="I61" t="s">
        <v>32</v>
      </c>
      <c r="J61" t="s">
        <v>52</v>
      </c>
      <c r="K61" t="s">
        <v>63</v>
      </c>
      <c r="L61" t="s">
        <v>64</v>
      </c>
      <c r="M61" t="s">
        <v>65</v>
      </c>
      <c r="N61" t="s">
        <v>37</v>
      </c>
      <c r="O61" s="6">
        <v>234518.79</v>
      </c>
      <c r="P61" s="2">
        <v>40000</v>
      </c>
      <c r="Q61" s="2">
        <v>40000</v>
      </c>
      <c r="R61" t="s">
        <v>66</v>
      </c>
      <c r="S61" t="s">
        <v>38</v>
      </c>
      <c r="T61">
        <v>100</v>
      </c>
      <c r="U61" t="s">
        <v>414</v>
      </c>
      <c r="V61" t="s">
        <v>40</v>
      </c>
      <c r="W61" t="s">
        <v>40</v>
      </c>
      <c r="X61" t="s">
        <v>40</v>
      </c>
      <c r="Y61" t="s">
        <v>40</v>
      </c>
      <c r="Z61" s="5" t="s">
        <v>246</v>
      </c>
    </row>
    <row r="62" spans="1:26" ht="13.8" customHeight="1" x14ac:dyDescent="0.3">
      <c r="A62" s="1">
        <v>46300.675694444442</v>
      </c>
      <c r="B62" t="s">
        <v>415</v>
      </c>
      <c r="C62" t="s">
        <v>416</v>
      </c>
      <c r="D62" t="s">
        <v>417</v>
      </c>
      <c r="E62" t="s">
        <v>418</v>
      </c>
      <c r="F62" t="s">
        <v>407</v>
      </c>
      <c r="G62" t="s">
        <v>408</v>
      </c>
      <c r="H62" t="s">
        <v>74</v>
      </c>
      <c r="I62" t="s">
        <v>32</v>
      </c>
      <c r="J62" t="s">
        <v>33</v>
      </c>
      <c r="K62" t="s">
        <v>63</v>
      </c>
      <c r="L62" t="s">
        <v>261</v>
      </c>
      <c r="M62" t="s">
        <v>254</v>
      </c>
      <c r="N62" t="s">
        <v>37</v>
      </c>
      <c r="O62" s="6">
        <v>17472000</v>
      </c>
      <c r="P62" s="2">
        <v>4000000</v>
      </c>
      <c r="Q62">
        <v>0</v>
      </c>
      <c r="R62" t="s">
        <v>419</v>
      </c>
      <c r="S62" t="s">
        <v>38</v>
      </c>
      <c r="T62">
        <v>100</v>
      </c>
      <c r="U62" t="s">
        <v>40</v>
      </c>
      <c r="V62" t="s">
        <v>40</v>
      </c>
      <c r="W62" t="s">
        <v>40</v>
      </c>
      <c r="X62" t="s">
        <v>40</v>
      </c>
      <c r="Y62" t="s">
        <v>40</v>
      </c>
      <c r="Z62" s="5" t="s">
        <v>246</v>
      </c>
    </row>
    <row r="63" spans="1:26" ht="13.8" customHeight="1" x14ac:dyDescent="0.3">
      <c r="A63" t="s">
        <v>420</v>
      </c>
      <c r="B63" t="s">
        <v>421</v>
      </c>
      <c r="C63" t="s">
        <v>422</v>
      </c>
      <c r="D63" t="s">
        <v>423</v>
      </c>
      <c r="E63" t="s">
        <v>424</v>
      </c>
      <c r="F63" t="s">
        <v>425</v>
      </c>
      <c r="G63" t="s">
        <v>426</v>
      </c>
      <c r="H63" t="s">
        <v>31</v>
      </c>
      <c r="I63" t="s">
        <v>32</v>
      </c>
      <c r="J63" t="s">
        <v>33</v>
      </c>
      <c r="K63" t="s">
        <v>63</v>
      </c>
      <c r="L63" t="s">
        <v>222</v>
      </c>
      <c r="M63" t="s">
        <v>65</v>
      </c>
      <c r="N63" t="s">
        <v>37</v>
      </c>
      <c r="O63" s="6">
        <v>2264289.73</v>
      </c>
      <c r="P63" s="2">
        <v>167725.16</v>
      </c>
      <c r="Q63">
        <v>0</v>
      </c>
      <c r="R63" s="3">
        <v>46118</v>
      </c>
      <c r="S63" t="s">
        <v>38</v>
      </c>
      <c r="T63">
        <v>100</v>
      </c>
      <c r="U63" t="s">
        <v>40</v>
      </c>
      <c r="V63" t="s">
        <v>40</v>
      </c>
      <c r="W63" t="s">
        <v>40</v>
      </c>
      <c r="X63" t="s">
        <v>40</v>
      </c>
      <c r="Y63" t="s">
        <v>40</v>
      </c>
      <c r="Z63" s="5" t="s">
        <v>32</v>
      </c>
    </row>
    <row r="64" spans="1:26" ht="13.8" customHeight="1" x14ac:dyDescent="0.3">
      <c r="A64" t="s">
        <v>427</v>
      </c>
      <c r="B64" t="s">
        <v>428</v>
      </c>
      <c r="C64" t="s">
        <v>429</v>
      </c>
      <c r="D64" t="s">
        <v>430</v>
      </c>
      <c r="E64" t="s">
        <v>431</v>
      </c>
      <c r="F64" t="s">
        <v>432</v>
      </c>
      <c r="G64" t="s">
        <v>433</v>
      </c>
      <c r="H64" t="s">
        <v>31</v>
      </c>
      <c r="I64" t="s">
        <v>32</v>
      </c>
      <c r="J64" t="s">
        <v>434</v>
      </c>
      <c r="K64" t="s">
        <v>63</v>
      </c>
      <c r="L64" t="s">
        <v>75</v>
      </c>
      <c r="M64" t="s">
        <v>399</v>
      </c>
      <c r="N64" t="s">
        <v>37</v>
      </c>
      <c r="O64" s="6">
        <v>2210000</v>
      </c>
      <c r="P64" s="2">
        <v>100000</v>
      </c>
      <c r="Q64" s="2">
        <v>111688.62</v>
      </c>
      <c r="R64" t="s">
        <v>76</v>
      </c>
      <c r="S64" t="s">
        <v>38</v>
      </c>
      <c r="T64">
        <v>100</v>
      </c>
      <c r="U64" t="s">
        <v>435</v>
      </c>
      <c r="V64" t="s">
        <v>40</v>
      </c>
      <c r="W64" t="s">
        <v>40</v>
      </c>
      <c r="X64" t="s">
        <v>40</v>
      </c>
      <c r="Y64" t="s">
        <v>40</v>
      </c>
      <c r="Z64" s="5" t="s">
        <v>436</v>
      </c>
    </row>
    <row r="65" spans="1:26" ht="13.8" customHeight="1" x14ac:dyDescent="0.3">
      <c r="A65" s="1">
        <v>46297.706944444442</v>
      </c>
      <c r="B65" t="s">
        <v>437</v>
      </c>
      <c r="C65" t="s">
        <v>438</v>
      </c>
      <c r="D65" t="s">
        <v>439</v>
      </c>
      <c r="E65" t="s">
        <v>440</v>
      </c>
      <c r="F65" t="s">
        <v>441</v>
      </c>
      <c r="G65" t="s">
        <v>442</v>
      </c>
      <c r="H65" t="s">
        <v>31</v>
      </c>
      <c r="I65" t="s">
        <v>32</v>
      </c>
      <c r="J65" t="s">
        <v>434</v>
      </c>
      <c r="K65" t="s">
        <v>34</v>
      </c>
      <c r="L65" t="s">
        <v>53</v>
      </c>
      <c r="M65" t="s">
        <v>399</v>
      </c>
      <c r="N65" t="s">
        <v>37</v>
      </c>
      <c r="O65" s="6">
        <v>3125000</v>
      </c>
      <c r="P65" s="2">
        <v>76987</v>
      </c>
      <c r="Q65" s="2">
        <v>8797.61</v>
      </c>
      <c r="R65" t="s">
        <v>118</v>
      </c>
      <c r="S65" t="s">
        <v>38</v>
      </c>
      <c r="T65">
        <v>100</v>
      </c>
      <c r="U65" t="s">
        <v>443</v>
      </c>
      <c r="V65">
        <v>30722541</v>
      </c>
      <c r="W65" t="s">
        <v>40</v>
      </c>
      <c r="X65" t="s">
        <v>40</v>
      </c>
      <c r="Y65" t="s">
        <v>40</v>
      </c>
      <c r="Z65" s="5" t="s">
        <v>436</v>
      </c>
    </row>
    <row r="66" spans="1:26" ht="13.8" customHeight="1" x14ac:dyDescent="0.3">
      <c r="A66" s="1">
        <v>46239.543749999997</v>
      </c>
      <c r="B66" t="s">
        <v>444</v>
      </c>
      <c r="C66" t="s">
        <v>445</v>
      </c>
      <c r="D66" t="s">
        <v>446</v>
      </c>
      <c r="E66" t="s">
        <v>64</v>
      </c>
      <c r="F66" t="s">
        <v>441</v>
      </c>
      <c r="G66" t="s">
        <v>442</v>
      </c>
      <c r="H66" t="s">
        <v>31</v>
      </c>
      <c r="I66" t="s">
        <v>32</v>
      </c>
      <c r="J66" t="s">
        <v>434</v>
      </c>
      <c r="K66" t="s">
        <v>63</v>
      </c>
      <c r="L66" t="s">
        <v>64</v>
      </c>
      <c r="M66" t="s">
        <v>65</v>
      </c>
      <c r="N66" t="s">
        <v>37</v>
      </c>
      <c r="O66" s="6">
        <v>228000</v>
      </c>
      <c r="P66" s="2">
        <v>30000</v>
      </c>
      <c r="Q66" s="2">
        <v>18000</v>
      </c>
      <c r="R66" s="3">
        <v>46239</v>
      </c>
      <c r="S66" t="s">
        <v>38</v>
      </c>
      <c r="T66">
        <v>100</v>
      </c>
      <c r="U66" t="s">
        <v>447</v>
      </c>
      <c r="V66" t="s">
        <v>40</v>
      </c>
      <c r="W66" t="s">
        <v>40</v>
      </c>
      <c r="X66" t="s">
        <v>40</v>
      </c>
      <c r="Y66" t="s">
        <v>448</v>
      </c>
      <c r="Z66" s="5" t="s">
        <v>436</v>
      </c>
    </row>
    <row r="67" spans="1:26" ht="13.8" customHeight="1" x14ac:dyDescent="0.3">
      <c r="A67" t="s">
        <v>449</v>
      </c>
      <c r="B67" t="s">
        <v>450</v>
      </c>
      <c r="C67" t="s">
        <v>388</v>
      </c>
      <c r="D67" t="s">
        <v>389</v>
      </c>
      <c r="E67" t="s">
        <v>451</v>
      </c>
      <c r="F67" t="s">
        <v>382</v>
      </c>
      <c r="G67" t="s">
        <v>452</v>
      </c>
      <c r="H67" t="s">
        <v>31</v>
      </c>
      <c r="I67" t="s">
        <v>32</v>
      </c>
      <c r="J67" t="s">
        <v>52</v>
      </c>
      <c r="K67" t="s">
        <v>34</v>
      </c>
      <c r="L67" t="s">
        <v>35</v>
      </c>
      <c r="M67" t="s">
        <v>54</v>
      </c>
      <c r="N67" t="s">
        <v>37</v>
      </c>
      <c r="O67" s="6">
        <v>1093500</v>
      </c>
      <c r="P67" s="2">
        <v>6000</v>
      </c>
      <c r="Q67" s="2">
        <v>6000</v>
      </c>
      <c r="R67" t="s">
        <v>211</v>
      </c>
      <c r="S67" t="s">
        <v>38</v>
      </c>
      <c r="T67">
        <v>100</v>
      </c>
      <c r="U67" t="s">
        <v>453</v>
      </c>
      <c r="V67" t="s">
        <v>40</v>
      </c>
      <c r="W67" t="s">
        <v>40</v>
      </c>
      <c r="X67" t="s">
        <v>40</v>
      </c>
      <c r="Y67" t="s">
        <v>454</v>
      </c>
      <c r="Z67" s="5" t="s">
        <v>42</v>
      </c>
    </row>
    <row r="68" spans="1:26" ht="13.8" customHeight="1" x14ac:dyDescent="0.3">
      <c r="A68" t="s">
        <v>455</v>
      </c>
      <c r="B68" t="s">
        <v>456</v>
      </c>
      <c r="C68" t="s">
        <v>457</v>
      </c>
      <c r="D68" t="s">
        <v>458</v>
      </c>
      <c r="E68" t="s">
        <v>459</v>
      </c>
      <c r="F68" t="s">
        <v>382</v>
      </c>
      <c r="G68" t="s">
        <v>452</v>
      </c>
      <c r="H68" t="s">
        <v>31</v>
      </c>
      <c r="I68" t="s">
        <v>32</v>
      </c>
      <c r="J68" t="s">
        <v>52</v>
      </c>
      <c r="K68" t="s">
        <v>34</v>
      </c>
      <c r="L68" t="s">
        <v>35</v>
      </c>
      <c r="M68" t="s">
        <v>36</v>
      </c>
      <c r="N68" t="s">
        <v>37</v>
      </c>
      <c r="O68" s="6">
        <v>713568</v>
      </c>
      <c r="P68" s="2">
        <v>9568</v>
      </c>
      <c r="Q68" s="2">
        <v>9568</v>
      </c>
      <c r="R68" t="s">
        <v>123</v>
      </c>
      <c r="S68" t="s">
        <v>38</v>
      </c>
      <c r="T68">
        <v>100</v>
      </c>
      <c r="U68" t="s">
        <v>460</v>
      </c>
      <c r="V68" t="s">
        <v>40</v>
      </c>
      <c r="W68" t="s">
        <v>40</v>
      </c>
      <c r="X68" t="s">
        <v>40</v>
      </c>
      <c r="Y68" t="s">
        <v>461</v>
      </c>
      <c r="Z68" s="5" t="s">
        <v>42</v>
      </c>
    </row>
    <row r="69" spans="1:26" ht="13.8" customHeight="1" x14ac:dyDescent="0.3">
      <c r="A69" s="1">
        <v>46116.837500000001</v>
      </c>
      <c r="B69" t="s">
        <v>462</v>
      </c>
      <c r="C69" t="s">
        <v>463</v>
      </c>
      <c r="D69" t="s">
        <v>464</v>
      </c>
      <c r="E69" t="s">
        <v>465</v>
      </c>
      <c r="F69" t="s">
        <v>219</v>
      </c>
      <c r="G69" t="s">
        <v>219</v>
      </c>
      <c r="H69" t="s">
        <v>74</v>
      </c>
      <c r="I69" t="s">
        <v>32</v>
      </c>
      <c r="J69" t="s">
        <v>33</v>
      </c>
      <c r="K69" t="s">
        <v>34</v>
      </c>
      <c r="L69" t="s">
        <v>466</v>
      </c>
      <c r="M69" t="s">
        <v>65</v>
      </c>
      <c r="N69" t="s">
        <v>37</v>
      </c>
      <c r="O69" s="6">
        <v>72034</v>
      </c>
      <c r="P69">
        <v>0</v>
      </c>
      <c r="Q69">
        <v>0</v>
      </c>
      <c r="R69" s="3">
        <v>46116</v>
      </c>
      <c r="S69" t="s">
        <v>38</v>
      </c>
      <c r="T69">
        <v>90</v>
      </c>
      <c r="U69" t="s">
        <v>467</v>
      </c>
      <c r="V69" t="s">
        <v>40</v>
      </c>
      <c r="W69" t="s">
        <v>40</v>
      </c>
      <c r="X69" t="s">
        <v>40</v>
      </c>
      <c r="Y69" t="s">
        <v>468</v>
      </c>
      <c r="Z69" s="5" t="s">
        <v>225</v>
      </c>
    </row>
    <row r="70" spans="1:26" ht="13.8" customHeight="1" x14ac:dyDescent="0.3">
      <c r="A70" s="1">
        <v>46026.467361111114</v>
      </c>
      <c r="B70" t="s">
        <v>469</v>
      </c>
      <c r="C70" t="s">
        <v>470</v>
      </c>
      <c r="D70" t="s">
        <v>259</v>
      </c>
      <c r="E70" t="s">
        <v>471</v>
      </c>
      <c r="F70" t="s">
        <v>252</v>
      </c>
      <c r="G70" t="s">
        <v>252</v>
      </c>
      <c r="H70" t="s">
        <v>31</v>
      </c>
      <c r="I70" t="s">
        <v>32</v>
      </c>
      <c r="J70" t="s">
        <v>33</v>
      </c>
      <c r="K70" t="s">
        <v>34</v>
      </c>
      <c r="L70" t="s">
        <v>35</v>
      </c>
      <c r="M70" t="s">
        <v>36</v>
      </c>
      <c r="N70" t="s">
        <v>37</v>
      </c>
      <c r="O70" s="6">
        <v>5500</v>
      </c>
      <c r="P70" s="2">
        <v>1687.29</v>
      </c>
      <c r="Q70" s="2">
        <v>1687.29</v>
      </c>
      <c r="R70" s="3">
        <v>46026</v>
      </c>
      <c r="S70" t="s">
        <v>38</v>
      </c>
      <c r="T70">
        <v>100</v>
      </c>
      <c r="U70" t="s">
        <v>472</v>
      </c>
      <c r="V70" t="s">
        <v>40</v>
      </c>
      <c r="W70" t="s">
        <v>40</v>
      </c>
      <c r="X70" t="s">
        <v>40</v>
      </c>
      <c r="Y70" t="s">
        <v>40</v>
      </c>
      <c r="Z70" s="5" t="s">
        <v>32</v>
      </c>
    </row>
    <row r="71" spans="1:26" ht="13.8" customHeight="1" x14ac:dyDescent="0.3">
      <c r="A71" s="1">
        <v>46238.624305555553</v>
      </c>
      <c r="B71" t="s">
        <v>473</v>
      </c>
      <c r="C71" t="s">
        <v>474</v>
      </c>
      <c r="D71" t="s">
        <v>475</v>
      </c>
      <c r="E71" t="s">
        <v>476</v>
      </c>
      <c r="F71" t="s">
        <v>252</v>
      </c>
      <c r="G71" t="s">
        <v>252</v>
      </c>
      <c r="H71" t="s">
        <v>31</v>
      </c>
      <c r="I71" t="s">
        <v>32</v>
      </c>
      <c r="J71" t="s">
        <v>33</v>
      </c>
      <c r="K71" t="s">
        <v>34</v>
      </c>
      <c r="L71" t="s">
        <v>35</v>
      </c>
      <c r="M71" t="s">
        <v>65</v>
      </c>
      <c r="N71" t="s">
        <v>37</v>
      </c>
      <c r="O71" s="6">
        <v>28500</v>
      </c>
      <c r="P71" s="2">
        <v>1000</v>
      </c>
      <c r="Q71" s="2">
        <v>2440.9499999999998</v>
      </c>
      <c r="R71" s="3">
        <v>46238</v>
      </c>
      <c r="S71" t="s">
        <v>38</v>
      </c>
      <c r="T71">
        <v>100</v>
      </c>
      <c r="U71" t="s">
        <v>477</v>
      </c>
      <c r="V71" t="s">
        <v>40</v>
      </c>
      <c r="W71" t="s">
        <v>40</v>
      </c>
      <c r="X71" t="s">
        <v>40</v>
      </c>
      <c r="Y71" t="s">
        <v>40</v>
      </c>
      <c r="Z71" s="5" t="s">
        <v>32</v>
      </c>
    </row>
    <row r="72" spans="1:26" ht="13.8" customHeight="1" x14ac:dyDescent="0.3">
      <c r="A72" t="s">
        <v>478</v>
      </c>
      <c r="B72" t="s">
        <v>479</v>
      </c>
      <c r="C72" t="s">
        <v>470</v>
      </c>
      <c r="D72" t="s">
        <v>259</v>
      </c>
      <c r="E72" t="s">
        <v>480</v>
      </c>
      <c r="F72" t="s">
        <v>252</v>
      </c>
      <c r="G72" t="s">
        <v>252</v>
      </c>
      <c r="H72" t="s">
        <v>31</v>
      </c>
      <c r="I72" t="s">
        <v>32</v>
      </c>
      <c r="J72" t="s">
        <v>33</v>
      </c>
      <c r="K72" t="s">
        <v>34</v>
      </c>
      <c r="L72" t="s">
        <v>35</v>
      </c>
      <c r="M72" t="s">
        <v>399</v>
      </c>
      <c r="N72" t="s">
        <v>37</v>
      </c>
      <c r="O72" s="6">
        <v>135000</v>
      </c>
      <c r="P72" s="2">
        <v>16200</v>
      </c>
      <c r="Q72" s="2">
        <v>16200</v>
      </c>
      <c r="R72" t="s">
        <v>481</v>
      </c>
      <c r="S72" t="s">
        <v>38</v>
      </c>
      <c r="T72">
        <v>100</v>
      </c>
      <c r="U72" t="s">
        <v>482</v>
      </c>
      <c r="V72" t="s">
        <v>40</v>
      </c>
      <c r="W72" t="s">
        <v>40</v>
      </c>
      <c r="X72" t="s">
        <v>40</v>
      </c>
      <c r="Y72" t="s">
        <v>40</v>
      </c>
      <c r="Z72" s="5" t="s">
        <v>32</v>
      </c>
    </row>
    <row r="73" spans="1:26" ht="13.8" customHeight="1" x14ac:dyDescent="0.3">
      <c r="A73" s="1">
        <v>46239.632638888892</v>
      </c>
      <c r="B73" t="s">
        <v>483</v>
      </c>
      <c r="C73" t="s">
        <v>474</v>
      </c>
      <c r="D73" t="s">
        <v>484</v>
      </c>
      <c r="E73" t="s">
        <v>485</v>
      </c>
      <c r="F73" t="s">
        <v>252</v>
      </c>
      <c r="G73" t="s">
        <v>252</v>
      </c>
      <c r="H73" t="s">
        <v>31</v>
      </c>
      <c r="I73" t="s">
        <v>32</v>
      </c>
      <c r="J73" t="s">
        <v>33</v>
      </c>
      <c r="K73" t="s">
        <v>34</v>
      </c>
      <c r="L73" t="s">
        <v>35</v>
      </c>
      <c r="M73" t="s">
        <v>36</v>
      </c>
      <c r="N73" t="s">
        <v>37</v>
      </c>
      <c r="O73" s="6">
        <v>3500</v>
      </c>
      <c r="P73">
        <v>500</v>
      </c>
      <c r="Q73">
        <v>500</v>
      </c>
      <c r="R73" s="3">
        <v>46239</v>
      </c>
      <c r="S73" t="s">
        <v>38</v>
      </c>
      <c r="T73">
        <v>100</v>
      </c>
      <c r="U73" t="s">
        <v>486</v>
      </c>
      <c r="V73" t="s">
        <v>40</v>
      </c>
      <c r="W73" t="s">
        <v>40</v>
      </c>
      <c r="X73" t="s">
        <v>40</v>
      </c>
      <c r="Y73" t="s">
        <v>40</v>
      </c>
      <c r="Z73" s="5" t="s">
        <v>32</v>
      </c>
    </row>
    <row r="74" spans="1:26" ht="13.8" customHeight="1" x14ac:dyDescent="0.3">
      <c r="A74" s="1">
        <v>46239.643055555556</v>
      </c>
      <c r="B74" t="s">
        <v>487</v>
      </c>
      <c r="C74" t="s">
        <v>470</v>
      </c>
      <c r="D74" t="s">
        <v>259</v>
      </c>
      <c r="E74" t="s">
        <v>488</v>
      </c>
      <c r="F74" t="s">
        <v>252</v>
      </c>
      <c r="G74" t="s">
        <v>252</v>
      </c>
      <c r="H74" t="s">
        <v>31</v>
      </c>
      <c r="I74" t="s">
        <v>32</v>
      </c>
      <c r="J74" t="s">
        <v>33</v>
      </c>
      <c r="K74" t="s">
        <v>34</v>
      </c>
      <c r="L74" t="s">
        <v>489</v>
      </c>
      <c r="M74" t="s">
        <v>490</v>
      </c>
      <c r="N74" t="s">
        <v>37</v>
      </c>
      <c r="O74" s="6">
        <v>108000</v>
      </c>
      <c r="P74" s="2">
        <v>18169.48</v>
      </c>
      <c r="Q74" s="2">
        <v>18169.48</v>
      </c>
      <c r="R74" s="3">
        <v>46239</v>
      </c>
      <c r="S74" t="s">
        <v>38</v>
      </c>
      <c r="T74">
        <v>100</v>
      </c>
      <c r="U74" t="s">
        <v>482</v>
      </c>
      <c r="V74" t="s">
        <v>40</v>
      </c>
      <c r="W74" t="s">
        <v>40</v>
      </c>
      <c r="X74" t="s">
        <v>40</v>
      </c>
      <c r="Y74" t="s">
        <v>40</v>
      </c>
      <c r="Z74" s="5" t="s">
        <v>32</v>
      </c>
    </row>
    <row r="75" spans="1:26" ht="13.8" customHeight="1" x14ac:dyDescent="0.3">
      <c r="A75" t="s">
        <v>491</v>
      </c>
      <c r="B75" t="s">
        <v>492</v>
      </c>
      <c r="C75" t="s">
        <v>474</v>
      </c>
      <c r="D75" t="s">
        <v>484</v>
      </c>
      <c r="E75" t="s">
        <v>493</v>
      </c>
      <c r="F75" t="s">
        <v>252</v>
      </c>
      <c r="G75" t="s">
        <v>252</v>
      </c>
      <c r="H75" t="s">
        <v>31</v>
      </c>
      <c r="I75" t="s">
        <v>32</v>
      </c>
      <c r="J75" t="s">
        <v>33</v>
      </c>
      <c r="K75" t="s">
        <v>34</v>
      </c>
      <c r="L75" t="s">
        <v>35</v>
      </c>
      <c r="M75" t="s">
        <v>36</v>
      </c>
      <c r="N75" t="s">
        <v>37</v>
      </c>
      <c r="O75" s="6">
        <v>3500</v>
      </c>
      <c r="P75">
        <v>500</v>
      </c>
      <c r="Q75" s="2">
        <v>1000</v>
      </c>
      <c r="R75" t="s">
        <v>494</v>
      </c>
      <c r="S75" t="s">
        <v>38</v>
      </c>
      <c r="T75">
        <v>100</v>
      </c>
      <c r="U75" t="s">
        <v>495</v>
      </c>
      <c r="V75" t="s">
        <v>40</v>
      </c>
      <c r="W75" t="s">
        <v>40</v>
      </c>
      <c r="X75" t="s">
        <v>40</v>
      </c>
      <c r="Y75" t="s">
        <v>40</v>
      </c>
      <c r="Z75" s="5" t="s">
        <v>32</v>
      </c>
    </row>
    <row r="76" spans="1:26" ht="13.8" customHeight="1" x14ac:dyDescent="0.3">
      <c r="A76" t="s">
        <v>496</v>
      </c>
      <c r="B76" t="s">
        <v>497</v>
      </c>
      <c r="C76" t="s">
        <v>498</v>
      </c>
      <c r="D76" t="s">
        <v>499</v>
      </c>
      <c r="E76" t="s">
        <v>500</v>
      </c>
      <c r="F76" t="s">
        <v>252</v>
      </c>
      <c r="G76" t="s">
        <v>252</v>
      </c>
      <c r="H76" t="s">
        <v>31</v>
      </c>
      <c r="I76" t="s">
        <v>32</v>
      </c>
      <c r="J76" t="s">
        <v>33</v>
      </c>
      <c r="K76" t="s">
        <v>34</v>
      </c>
      <c r="L76" t="s">
        <v>35</v>
      </c>
      <c r="M76" t="s">
        <v>36</v>
      </c>
      <c r="N76" t="s">
        <v>37</v>
      </c>
      <c r="O76" s="6">
        <v>22500</v>
      </c>
      <c r="P76" s="2">
        <v>2600</v>
      </c>
      <c r="Q76" s="2">
        <v>3000</v>
      </c>
      <c r="R76" t="s">
        <v>296</v>
      </c>
      <c r="S76" t="s">
        <v>38</v>
      </c>
      <c r="T76">
        <v>100</v>
      </c>
      <c r="U76" t="s">
        <v>501</v>
      </c>
      <c r="V76" t="s">
        <v>40</v>
      </c>
      <c r="W76" t="s">
        <v>40</v>
      </c>
      <c r="X76" t="s">
        <v>40</v>
      </c>
      <c r="Y76" t="s">
        <v>40</v>
      </c>
      <c r="Z76" s="5" t="s">
        <v>32</v>
      </c>
    </row>
    <row r="77" spans="1:26" ht="13.8" customHeight="1" x14ac:dyDescent="0.3">
      <c r="A77" t="s">
        <v>502</v>
      </c>
      <c r="B77" t="s">
        <v>503</v>
      </c>
      <c r="C77" t="s">
        <v>498</v>
      </c>
      <c r="D77" t="s">
        <v>499</v>
      </c>
      <c r="E77" t="s">
        <v>504</v>
      </c>
      <c r="F77" t="s">
        <v>252</v>
      </c>
      <c r="G77" t="s">
        <v>252</v>
      </c>
      <c r="H77" t="s">
        <v>31</v>
      </c>
      <c r="I77" t="s">
        <v>32</v>
      </c>
      <c r="J77" t="s">
        <v>33</v>
      </c>
      <c r="K77" t="s">
        <v>34</v>
      </c>
      <c r="L77" t="s">
        <v>35</v>
      </c>
      <c r="M77" t="s">
        <v>36</v>
      </c>
      <c r="N77" t="s">
        <v>37</v>
      </c>
      <c r="O77" s="6">
        <v>22500</v>
      </c>
      <c r="P77" s="2">
        <v>2600</v>
      </c>
      <c r="Q77" s="2">
        <v>3000</v>
      </c>
      <c r="R77" t="s">
        <v>296</v>
      </c>
      <c r="S77" t="s">
        <v>38</v>
      </c>
      <c r="T77">
        <v>100</v>
      </c>
      <c r="U77" t="s">
        <v>505</v>
      </c>
      <c r="V77" t="s">
        <v>40</v>
      </c>
      <c r="W77" t="s">
        <v>40</v>
      </c>
      <c r="X77" t="s">
        <v>40</v>
      </c>
      <c r="Y77" t="s">
        <v>40</v>
      </c>
      <c r="Z77" s="5" t="s">
        <v>32</v>
      </c>
    </row>
    <row r="78" spans="1:26" ht="13.8" customHeight="1" x14ac:dyDescent="0.3">
      <c r="A78" t="s">
        <v>506</v>
      </c>
      <c r="B78" t="s">
        <v>507</v>
      </c>
      <c r="C78" t="s">
        <v>498</v>
      </c>
      <c r="D78" t="s">
        <v>499</v>
      </c>
      <c r="E78" t="s">
        <v>508</v>
      </c>
      <c r="F78" t="s">
        <v>252</v>
      </c>
      <c r="G78" t="s">
        <v>252</v>
      </c>
      <c r="H78" t="s">
        <v>31</v>
      </c>
      <c r="I78" t="s">
        <v>32</v>
      </c>
      <c r="J78" t="s">
        <v>33</v>
      </c>
      <c r="K78" t="s">
        <v>34</v>
      </c>
      <c r="L78" t="s">
        <v>35</v>
      </c>
      <c r="M78" t="s">
        <v>36</v>
      </c>
      <c r="N78" t="s">
        <v>37</v>
      </c>
      <c r="O78" s="6">
        <v>22500</v>
      </c>
      <c r="P78" s="2">
        <v>2600</v>
      </c>
      <c r="Q78" s="2">
        <v>3000</v>
      </c>
      <c r="R78" t="s">
        <v>296</v>
      </c>
      <c r="S78" t="s">
        <v>38</v>
      </c>
      <c r="T78">
        <v>100</v>
      </c>
      <c r="U78" t="s">
        <v>509</v>
      </c>
      <c r="V78" t="s">
        <v>40</v>
      </c>
      <c r="W78" t="s">
        <v>40</v>
      </c>
      <c r="X78" t="s">
        <v>40</v>
      </c>
      <c r="Y78" t="s">
        <v>40</v>
      </c>
      <c r="Z78" s="5" t="s">
        <v>32</v>
      </c>
    </row>
    <row r="79" spans="1:26" ht="13.8" customHeight="1" x14ac:dyDescent="0.3">
      <c r="A79" t="s">
        <v>510</v>
      </c>
      <c r="B79" t="s">
        <v>511</v>
      </c>
      <c r="C79" t="s">
        <v>512</v>
      </c>
      <c r="D79" t="s">
        <v>513</v>
      </c>
      <c r="E79" t="s">
        <v>514</v>
      </c>
      <c r="F79" t="s">
        <v>515</v>
      </c>
      <c r="G79" t="s">
        <v>515</v>
      </c>
      <c r="H79" t="s">
        <v>31</v>
      </c>
      <c r="I79" t="s">
        <v>32</v>
      </c>
      <c r="J79" t="s">
        <v>33</v>
      </c>
      <c r="K79" t="s">
        <v>34</v>
      </c>
      <c r="L79" t="s">
        <v>466</v>
      </c>
      <c r="M79" t="s">
        <v>326</v>
      </c>
      <c r="N79" t="s">
        <v>37</v>
      </c>
      <c r="O79" s="6">
        <v>510249</v>
      </c>
      <c r="P79" s="2">
        <v>51867</v>
      </c>
      <c r="Q79">
        <v>0</v>
      </c>
      <c r="R79" t="s">
        <v>516</v>
      </c>
      <c r="S79" t="s">
        <v>38</v>
      </c>
      <c r="T79">
        <v>100</v>
      </c>
      <c r="U79" t="s">
        <v>40</v>
      </c>
      <c r="V79" t="s">
        <v>40</v>
      </c>
      <c r="W79" t="s">
        <v>40</v>
      </c>
      <c r="X79" t="s">
        <v>40</v>
      </c>
      <c r="Y79" s="4" t="s">
        <v>517</v>
      </c>
      <c r="Z79" s="5" t="s">
        <v>518</v>
      </c>
    </row>
    <row r="80" spans="1:26" ht="13.8" customHeight="1" x14ac:dyDescent="0.3">
      <c r="A80" t="s">
        <v>519</v>
      </c>
      <c r="B80" t="s">
        <v>520</v>
      </c>
      <c r="C80" t="s">
        <v>521</v>
      </c>
      <c r="D80" t="s">
        <v>522</v>
      </c>
      <c r="E80" t="s">
        <v>523</v>
      </c>
      <c r="F80" t="s">
        <v>515</v>
      </c>
      <c r="G80" t="s">
        <v>515</v>
      </c>
      <c r="H80" t="s">
        <v>31</v>
      </c>
      <c r="I80" t="s">
        <v>32</v>
      </c>
      <c r="J80" t="s">
        <v>33</v>
      </c>
      <c r="K80" t="s">
        <v>34</v>
      </c>
      <c r="L80" t="s">
        <v>466</v>
      </c>
      <c r="M80" t="s">
        <v>65</v>
      </c>
      <c r="N80" t="s">
        <v>37</v>
      </c>
      <c r="O80" s="6">
        <v>1974336</v>
      </c>
      <c r="P80" s="2">
        <v>140336</v>
      </c>
      <c r="Q80" s="2">
        <v>140336</v>
      </c>
      <c r="R80" s="3">
        <v>46057</v>
      </c>
      <c r="S80" t="s">
        <v>38</v>
      </c>
      <c r="T80">
        <v>100</v>
      </c>
      <c r="U80" t="s">
        <v>524</v>
      </c>
      <c r="V80" t="s">
        <v>40</v>
      </c>
      <c r="W80" t="s">
        <v>40</v>
      </c>
      <c r="X80" t="s">
        <v>40</v>
      </c>
      <c r="Y80" s="4" t="s">
        <v>525</v>
      </c>
      <c r="Z80" s="5" t="s">
        <v>518</v>
      </c>
    </row>
    <row r="81" spans="1:26" ht="13.8" customHeight="1" x14ac:dyDescent="0.3">
      <c r="A81" s="1">
        <v>46057.634722222225</v>
      </c>
      <c r="B81" t="s">
        <v>526</v>
      </c>
      <c r="C81" t="s">
        <v>521</v>
      </c>
      <c r="D81" t="s">
        <v>522</v>
      </c>
      <c r="E81" t="s">
        <v>527</v>
      </c>
      <c r="F81" t="s">
        <v>515</v>
      </c>
      <c r="G81" t="s">
        <v>515</v>
      </c>
      <c r="H81" t="s">
        <v>31</v>
      </c>
      <c r="I81" t="s">
        <v>32</v>
      </c>
      <c r="J81" t="s">
        <v>33</v>
      </c>
      <c r="K81" t="s">
        <v>34</v>
      </c>
      <c r="L81" t="s">
        <v>466</v>
      </c>
      <c r="M81" t="s">
        <v>65</v>
      </c>
      <c r="N81" t="s">
        <v>37</v>
      </c>
      <c r="O81" s="6">
        <v>1974336</v>
      </c>
      <c r="P81" s="2">
        <v>140336</v>
      </c>
      <c r="Q81" s="2">
        <v>140336</v>
      </c>
      <c r="R81" s="3">
        <v>46057</v>
      </c>
      <c r="S81" t="s">
        <v>38</v>
      </c>
      <c r="T81">
        <v>100</v>
      </c>
      <c r="U81" t="s">
        <v>528</v>
      </c>
      <c r="V81" t="s">
        <v>40</v>
      </c>
      <c r="W81" t="s">
        <v>40</v>
      </c>
      <c r="X81" t="s">
        <v>40</v>
      </c>
      <c r="Y81" t="s">
        <v>529</v>
      </c>
      <c r="Z81" s="5" t="s">
        <v>518</v>
      </c>
    </row>
    <row r="82" spans="1:26" ht="13.8" customHeight="1" x14ac:dyDescent="0.3">
      <c r="A82" t="s">
        <v>530</v>
      </c>
      <c r="B82" t="s">
        <v>531</v>
      </c>
      <c r="C82" t="s">
        <v>532</v>
      </c>
      <c r="D82" t="s">
        <v>533</v>
      </c>
      <c r="E82" t="s">
        <v>534</v>
      </c>
      <c r="F82" t="s">
        <v>515</v>
      </c>
      <c r="G82" t="s">
        <v>515</v>
      </c>
      <c r="H82" t="s">
        <v>31</v>
      </c>
      <c r="I82" t="s">
        <v>32</v>
      </c>
      <c r="J82" t="s">
        <v>33</v>
      </c>
      <c r="K82" t="s">
        <v>34</v>
      </c>
      <c r="L82" t="s">
        <v>35</v>
      </c>
      <c r="M82" t="s">
        <v>36</v>
      </c>
      <c r="N82" t="s">
        <v>37</v>
      </c>
      <c r="O82" s="6">
        <v>166860</v>
      </c>
      <c r="P82" s="2">
        <v>20000</v>
      </c>
      <c r="Q82" s="2">
        <v>30546</v>
      </c>
      <c r="R82" t="s">
        <v>535</v>
      </c>
      <c r="S82" t="s">
        <v>38</v>
      </c>
      <c r="T82">
        <v>100</v>
      </c>
      <c r="U82" t="s">
        <v>40</v>
      </c>
      <c r="V82" t="s">
        <v>40</v>
      </c>
      <c r="W82" t="s">
        <v>40</v>
      </c>
      <c r="X82" t="s">
        <v>40</v>
      </c>
      <c r="Y82" t="s">
        <v>536</v>
      </c>
      <c r="Z82" s="5" t="s">
        <v>518</v>
      </c>
    </row>
    <row r="83" spans="1:26" ht="13.8" customHeight="1" x14ac:dyDescent="0.3">
      <c r="A83" s="1">
        <v>46269.668055555558</v>
      </c>
      <c r="B83" t="s">
        <v>537</v>
      </c>
      <c r="C83" t="s">
        <v>538</v>
      </c>
      <c r="D83" t="s">
        <v>539</v>
      </c>
      <c r="E83" t="s">
        <v>540</v>
      </c>
      <c r="F83" t="s">
        <v>541</v>
      </c>
      <c r="G83" t="s">
        <v>542</v>
      </c>
      <c r="H83" t="s">
        <v>31</v>
      </c>
      <c r="I83" t="s">
        <v>32</v>
      </c>
      <c r="J83" t="s">
        <v>434</v>
      </c>
      <c r="K83" t="s">
        <v>244</v>
      </c>
      <c r="L83" t="s">
        <v>244</v>
      </c>
      <c r="M83" t="s">
        <v>543</v>
      </c>
      <c r="N83" t="s">
        <v>37</v>
      </c>
      <c r="O83" s="6">
        <v>5800000</v>
      </c>
      <c r="P83" s="2">
        <v>290000</v>
      </c>
      <c r="Q83" s="2">
        <v>308529.88</v>
      </c>
      <c r="R83" s="3">
        <v>46299</v>
      </c>
      <c r="S83" t="s">
        <v>38</v>
      </c>
      <c r="T83">
        <v>100</v>
      </c>
      <c r="U83" t="s">
        <v>544</v>
      </c>
      <c r="V83" t="s">
        <v>40</v>
      </c>
      <c r="W83" t="s">
        <v>40</v>
      </c>
      <c r="X83" t="s">
        <v>40</v>
      </c>
      <c r="Y83" t="s">
        <v>545</v>
      </c>
      <c r="Z83" s="5" t="s">
        <v>436</v>
      </c>
    </row>
    <row r="84" spans="1:26" ht="13.8" customHeight="1" x14ac:dyDescent="0.3">
      <c r="A84" s="1">
        <v>46117.512499999997</v>
      </c>
      <c r="B84" t="s">
        <v>546</v>
      </c>
      <c r="C84" t="s">
        <v>547</v>
      </c>
      <c r="D84" t="s">
        <v>548</v>
      </c>
      <c r="E84" t="s">
        <v>549</v>
      </c>
      <c r="F84" t="s">
        <v>541</v>
      </c>
      <c r="G84" t="s">
        <v>542</v>
      </c>
      <c r="H84" t="s">
        <v>31</v>
      </c>
      <c r="I84" t="s">
        <v>32</v>
      </c>
      <c r="J84" t="s">
        <v>434</v>
      </c>
      <c r="K84" t="s">
        <v>244</v>
      </c>
      <c r="L84" t="s">
        <v>244</v>
      </c>
      <c r="M84" t="s">
        <v>550</v>
      </c>
      <c r="N84" t="s">
        <v>37</v>
      </c>
      <c r="O84" s="6">
        <v>5073971</v>
      </c>
      <c r="P84" s="2">
        <v>456657</v>
      </c>
      <c r="Q84">
        <v>0</v>
      </c>
      <c r="R84" s="3">
        <v>46239</v>
      </c>
      <c r="S84" t="s">
        <v>551</v>
      </c>
      <c r="T84">
        <v>50</v>
      </c>
      <c r="U84" t="s">
        <v>40</v>
      </c>
      <c r="V84" t="s">
        <v>40</v>
      </c>
      <c r="W84" t="s">
        <v>40</v>
      </c>
      <c r="X84" t="s">
        <v>40</v>
      </c>
      <c r="Y84" t="s">
        <v>40</v>
      </c>
      <c r="Z84" s="5" t="s">
        <v>436</v>
      </c>
    </row>
    <row r="85" spans="1:26" ht="13.8" customHeight="1" x14ac:dyDescent="0.3">
      <c r="A85" s="1">
        <v>46299.574305555558</v>
      </c>
      <c r="B85" t="s">
        <v>552</v>
      </c>
      <c r="C85" t="s">
        <v>553</v>
      </c>
      <c r="D85" t="s">
        <v>554</v>
      </c>
      <c r="E85" t="s">
        <v>555</v>
      </c>
      <c r="F85" t="s">
        <v>541</v>
      </c>
      <c r="G85" t="s">
        <v>542</v>
      </c>
      <c r="H85" t="s">
        <v>31</v>
      </c>
      <c r="I85" t="s">
        <v>32</v>
      </c>
      <c r="J85" t="s">
        <v>434</v>
      </c>
      <c r="K85" t="s">
        <v>556</v>
      </c>
      <c r="L85" t="s">
        <v>557</v>
      </c>
      <c r="M85" t="s">
        <v>558</v>
      </c>
      <c r="N85" t="s">
        <v>37</v>
      </c>
      <c r="O85" s="6">
        <v>291810</v>
      </c>
      <c r="P85" s="2">
        <v>20550</v>
      </c>
      <c r="Q85" s="2">
        <v>20550</v>
      </c>
      <c r="R85" s="3">
        <v>46299</v>
      </c>
      <c r="S85" t="s">
        <v>38</v>
      </c>
      <c r="T85">
        <v>100</v>
      </c>
      <c r="U85" t="s">
        <v>559</v>
      </c>
      <c r="V85" t="s">
        <v>40</v>
      </c>
      <c r="W85" t="s">
        <v>40</v>
      </c>
      <c r="X85" t="s">
        <v>40</v>
      </c>
      <c r="Y85" t="s">
        <v>40</v>
      </c>
      <c r="Z85" s="5" t="s">
        <v>436</v>
      </c>
    </row>
    <row r="86" spans="1:26" ht="13.8" customHeight="1" x14ac:dyDescent="0.3">
      <c r="A86" t="s">
        <v>560</v>
      </c>
      <c r="B86" t="s">
        <v>561</v>
      </c>
      <c r="C86" t="s">
        <v>562</v>
      </c>
      <c r="D86" t="s">
        <v>563</v>
      </c>
      <c r="E86" t="s">
        <v>564</v>
      </c>
      <c r="F86" t="s">
        <v>541</v>
      </c>
      <c r="G86" t="s">
        <v>542</v>
      </c>
      <c r="H86" t="s">
        <v>31</v>
      </c>
      <c r="I86" t="s">
        <v>32</v>
      </c>
      <c r="J86" t="s">
        <v>434</v>
      </c>
      <c r="K86" t="s">
        <v>556</v>
      </c>
      <c r="L86" t="s">
        <v>557</v>
      </c>
      <c r="M86" t="s">
        <v>543</v>
      </c>
      <c r="N86" t="s">
        <v>37</v>
      </c>
      <c r="O86" s="6">
        <v>315000</v>
      </c>
      <c r="P86" s="2">
        <v>52500</v>
      </c>
      <c r="Q86" s="2">
        <v>52500</v>
      </c>
      <c r="R86" t="s">
        <v>565</v>
      </c>
      <c r="S86" t="s">
        <v>551</v>
      </c>
      <c r="T86">
        <v>50</v>
      </c>
      <c r="U86" t="s">
        <v>566</v>
      </c>
      <c r="V86" t="s">
        <v>40</v>
      </c>
      <c r="W86" t="s">
        <v>40</v>
      </c>
      <c r="X86" t="s">
        <v>40</v>
      </c>
      <c r="Y86" t="s">
        <v>545</v>
      </c>
      <c r="Z86" s="5" t="s">
        <v>436</v>
      </c>
    </row>
    <row r="87" spans="1:26" ht="13.8" customHeight="1" x14ac:dyDescent="0.3">
      <c r="A87" t="s">
        <v>567</v>
      </c>
      <c r="B87" t="s">
        <v>568</v>
      </c>
      <c r="C87" t="s">
        <v>569</v>
      </c>
      <c r="D87" t="s">
        <v>570</v>
      </c>
      <c r="E87" t="s">
        <v>571</v>
      </c>
      <c r="F87" t="s">
        <v>541</v>
      </c>
      <c r="G87" t="s">
        <v>542</v>
      </c>
      <c r="H87" t="s">
        <v>31</v>
      </c>
      <c r="I87" t="s">
        <v>32</v>
      </c>
      <c r="J87" t="s">
        <v>434</v>
      </c>
      <c r="K87" t="s">
        <v>556</v>
      </c>
      <c r="L87" t="s">
        <v>572</v>
      </c>
      <c r="M87" t="s">
        <v>543</v>
      </c>
      <c r="N87" t="s">
        <v>37</v>
      </c>
      <c r="O87" s="6">
        <v>3150</v>
      </c>
      <c r="P87">
        <v>630</v>
      </c>
      <c r="Q87">
        <v>630</v>
      </c>
      <c r="R87" t="s">
        <v>573</v>
      </c>
      <c r="S87" t="s">
        <v>38</v>
      </c>
      <c r="T87">
        <v>70</v>
      </c>
      <c r="U87" t="s">
        <v>574</v>
      </c>
      <c r="V87" t="s">
        <v>40</v>
      </c>
      <c r="W87" t="s">
        <v>40</v>
      </c>
      <c r="X87" t="s">
        <v>40</v>
      </c>
      <c r="Y87" t="s">
        <v>40</v>
      </c>
      <c r="Z87" s="5" t="s">
        <v>436</v>
      </c>
    </row>
    <row r="88" spans="1:26" ht="13.8" customHeight="1" x14ac:dyDescent="0.3">
      <c r="A88" s="1">
        <v>46117.518055555556</v>
      </c>
      <c r="B88" t="s">
        <v>575</v>
      </c>
      <c r="C88" t="s">
        <v>547</v>
      </c>
      <c r="D88" t="s">
        <v>548</v>
      </c>
      <c r="E88" t="s">
        <v>576</v>
      </c>
      <c r="F88" t="s">
        <v>541</v>
      </c>
      <c r="G88" t="s">
        <v>542</v>
      </c>
      <c r="H88" t="s">
        <v>31</v>
      </c>
      <c r="I88" t="s">
        <v>32</v>
      </c>
      <c r="J88" t="s">
        <v>434</v>
      </c>
      <c r="K88" t="s">
        <v>556</v>
      </c>
      <c r="L88" t="s">
        <v>557</v>
      </c>
      <c r="M88" t="s">
        <v>543</v>
      </c>
      <c r="N88" t="s">
        <v>37</v>
      </c>
      <c r="O88" s="6">
        <v>1486080</v>
      </c>
      <c r="P88" s="2">
        <v>297216</v>
      </c>
      <c r="Q88">
        <v>0</v>
      </c>
      <c r="R88" t="s">
        <v>535</v>
      </c>
      <c r="S88" t="s">
        <v>551</v>
      </c>
      <c r="T88">
        <v>50</v>
      </c>
      <c r="U88" t="s">
        <v>40</v>
      </c>
      <c r="V88" t="s">
        <v>40</v>
      </c>
      <c r="W88" t="s">
        <v>40</v>
      </c>
      <c r="X88" t="s">
        <v>40</v>
      </c>
      <c r="Y88" t="s">
        <v>40</v>
      </c>
      <c r="Z88" s="5" t="s">
        <v>436</v>
      </c>
    </row>
    <row r="89" spans="1:26" ht="13.8" customHeight="1" x14ac:dyDescent="0.3">
      <c r="A89" t="s">
        <v>577</v>
      </c>
      <c r="B89" t="s">
        <v>578</v>
      </c>
      <c r="C89" t="s">
        <v>579</v>
      </c>
      <c r="D89" t="s">
        <v>580</v>
      </c>
      <c r="E89" t="s">
        <v>557</v>
      </c>
      <c r="F89" t="s">
        <v>541</v>
      </c>
      <c r="G89" t="s">
        <v>542</v>
      </c>
      <c r="H89" t="s">
        <v>31</v>
      </c>
      <c r="I89" t="s">
        <v>32</v>
      </c>
      <c r="J89" t="s">
        <v>434</v>
      </c>
      <c r="K89" t="s">
        <v>556</v>
      </c>
      <c r="L89" t="s">
        <v>557</v>
      </c>
      <c r="M89" t="s">
        <v>543</v>
      </c>
      <c r="N89" t="s">
        <v>37</v>
      </c>
      <c r="O89" s="6">
        <v>51975</v>
      </c>
      <c r="P89" s="2">
        <v>6975</v>
      </c>
      <c r="Q89">
        <v>0</v>
      </c>
      <c r="R89" t="s">
        <v>204</v>
      </c>
      <c r="S89" t="s">
        <v>581</v>
      </c>
      <c r="T89">
        <v>50</v>
      </c>
      <c r="U89" t="s">
        <v>40</v>
      </c>
      <c r="V89" t="s">
        <v>40</v>
      </c>
      <c r="W89" t="s">
        <v>40</v>
      </c>
      <c r="X89" t="s">
        <v>40</v>
      </c>
      <c r="Y89" t="s">
        <v>40</v>
      </c>
      <c r="Z89" s="5" t="s">
        <v>436</v>
      </c>
    </row>
    <row r="90" spans="1:26" ht="13.8" customHeight="1" x14ac:dyDescent="0.3">
      <c r="A90" t="s">
        <v>582</v>
      </c>
      <c r="B90" t="s">
        <v>583</v>
      </c>
      <c r="C90" t="s">
        <v>584</v>
      </c>
      <c r="D90" t="s">
        <v>585</v>
      </c>
      <c r="E90" t="s">
        <v>586</v>
      </c>
      <c r="F90" t="s">
        <v>541</v>
      </c>
      <c r="G90" t="s">
        <v>542</v>
      </c>
      <c r="H90" t="s">
        <v>31</v>
      </c>
      <c r="I90" t="s">
        <v>32</v>
      </c>
      <c r="J90" t="s">
        <v>434</v>
      </c>
      <c r="K90" t="s">
        <v>556</v>
      </c>
      <c r="L90" t="s">
        <v>557</v>
      </c>
      <c r="M90" t="s">
        <v>543</v>
      </c>
      <c r="N90" t="s">
        <v>37</v>
      </c>
      <c r="O90" s="6">
        <v>360000</v>
      </c>
      <c r="P90" s="2">
        <v>60000</v>
      </c>
      <c r="Q90">
        <v>0</v>
      </c>
      <c r="R90" t="s">
        <v>587</v>
      </c>
      <c r="S90" t="s">
        <v>38</v>
      </c>
      <c r="T90">
        <v>50</v>
      </c>
      <c r="U90" t="s">
        <v>40</v>
      </c>
      <c r="V90" t="s">
        <v>40</v>
      </c>
      <c r="W90" t="s">
        <v>40</v>
      </c>
      <c r="X90" t="s">
        <v>40</v>
      </c>
      <c r="Y90" t="s">
        <v>40</v>
      </c>
      <c r="Z90" s="5" t="s">
        <v>436</v>
      </c>
    </row>
    <row r="91" spans="1:26" ht="13.8" customHeight="1" x14ac:dyDescent="0.3">
      <c r="A91" t="s">
        <v>588</v>
      </c>
      <c r="B91" t="s">
        <v>589</v>
      </c>
      <c r="C91" t="s">
        <v>590</v>
      </c>
      <c r="D91" t="s">
        <v>591</v>
      </c>
      <c r="E91" t="s">
        <v>592</v>
      </c>
      <c r="F91" t="s">
        <v>541</v>
      </c>
      <c r="G91" t="s">
        <v>542</v>
      </c>
      <c r="H91" t="s">
        <v>31</v>
      </c>
      <c r="I91" t="s">
        <v>32</v>
      </c>
      <c r="J91" t="s">
        <v>434</v>
      </c>
      <c r="K91" t="s">
        <v>556</v>
      </c>
      <c r="L91" t="s">
        <v>557</v>
      </c>
      <c r="M91" t="s">
        <v>558</v>
      </c>
      <c r="N91" t="s">
        <v>37</v>
      </c>
      <c r="O91" s="6">
        <v>76444.570000000007</v>
      </c>
      <c r="P91">
        <v>0</v>
      </c>
      <c r="Q91">
        <v>0</v>
      </c>
      <c r="R91" t="s">
        <v>374</v>
      </c>
      <c r="S91" t="s">
        <v>551</v>
      </c>
      <c r="T91">
        <v>50</v>
      </c>
      <c r="U91" t="s">
        <v>40</v>
      </c>
      <c r="V91" t="s">
        <v>40</v>
      </c>
      <c r="W91" t="s">
        <v>40</v>
      </c>
      <c r="X91" t="s">
        <v>40</v>
      </c>
      <c r="Y91" t="s">
        <v>40</v>
      </c>
      <c r="Z91" s="5" t="s">
        <v>436</v>
      </c>
    </row>
    <row r="92" spans="1:26" ht="13.8" customHeight="1" x14ac:dyDescent="0.3">
      <c r="A92" t="s">
        <v>593</v>
      </c>
      <c r="B92" t="s">
        <v>594</v>
      </c>
      <c r="C92" t="s">
        <v>216</v>
      </c>
      <c r="D92" t="s">
        <v>217</v>
      </c>
      <c r="E92" t="s">
        <v>595</v>
      </c>
      <c r="F92" t="s">
        <v>219</v>
      </c>
      <c r="G92" t="s">
        <v>596</v>
      </c>
      <c r="H92" t="s">
        <v>31</v>
      </c>
      <c r="I92" t="s">
        <v>32</v>
      </c>
      <c r="J92" t="s">
        <v>597</v>
      </c>
      <c r="K92" t="s">
        <v>556</v>
      </c>
      <c r="L92" t="s">
        <v>598</v>
      </c>
      <c r="M92" t="s">
        <v>543</v>
      </c>
      <c r="N92" t="s">
        <v>37</v>
      </c>
      <c r="O92" s="6">
        <v>1600000</v>
      </c>
      <c r="P92" s="2">
        <v>635000</v>
      </c>
      <c r="Q92">
        <v>0</v>
      </c>
      <c r="R92" s="3">
        <v>46059</v>
      </c>
      <c r="S92" t="s">
        <v>38</v>
      </c>
      <c r="T92">
        <v>100</v>
      </c>
      <c r="U92" t="s">
        <v>40</v>
      </c>
      <c r="V92" t="s">
        <v>40</v>
      </c>
      <c r="W92" t="s">
        <v>40</v>
      </c>
      <c r="X92" t="s">
        <v>40</v>
      </c>
      <c r="Y92" t="s">
        <v>40</v>
      </c>
      <c r="Z92" s="5" t="s">
        <v>225</v>
      </c>
    </row>
    <row r="93" spans="1:26" ht="13.8" customHeight="1" x14ac:dyDescent="0.3">
      <c r="A93" s="1">
        <v>46028.518750000003</v>
      </c>
      <c r="B93" t="s">
        <v>599</v>
      </c>
      <c r="C93" t="s">
        <v>227</v>
      </c>
      <c r="D93" t="s">
        <v>233</v>
      </c>
      <c r="E93" t="s">
        <v>600</v>
      </c>
      <c r="F93" t="s">
        <v>219</v>
      </c>
      <c r="G93" t="s">
        <v>596</v>
      </c>
      <c r="H93" t="s">
        <v>31</v>
      </c>
      <c r="I93" t="s">
        <v>32</v>
      </c>
      <c r="J93" t="s">
        <v>597</v>
      </c>
      <c r="K93" t="s">
        <v>556</v>
      </c>
      <c r="L93" t="s">
        <v>598</v>
      </c>
      <c r="M93" t="s">
        <v>543</v>
      </c>
      <c r="N93" t="s">
        <v>37</v>
      </c>
      <c r="O93" s="6">
        <v>69441840</v>
      </c>
      <c r="P93" s="2">
        <v>13732121</v>
      </c>
      <c r="Q93">
        <v>0</v>
      </c>
      <c r="R93" s="3">
        <v>46362</v>
      </c>
      <c r="S93" t="s">
        <v>38</v>
      </c>
      <c r="T93">
        <v>100</v>
      </c>
      <c r="U93" t="s">
        <v>40</v>
      </c>
      <c r="V93" t="s">
        <v>40</v>
      </c>
      <c r="W93" t="s">
        <v>40</v>
      </c>
      <c r="X93" t="s">
        <v>40</v>
      </c>
      <c r="Y93" t="s">
        <v>40</v>
      </c>
      <c r="Z93" s="5" t="s">
        <v>225</v>
      </c>
    </row>
    <row r="94" spans="1:26" ht="13.8" customHeight="1" x14ac:dyDescent="0.3">
      <c r="A94" t="s">
        <v>601</v>
      </c>
      <c r="B94" t="s">
        <v>602</v>
      </c>
      <c r="C94" t="s">
        <v>603</v>
      </c>
      <c r="D94" t="s">
        <v>513</v>
      </c>
      <c r="E94" t="s">
        <v>604</v>
      </c>
      <c r="F94" t="s">
        <v>515</v>
      </c>
      <c r="G94" t="s">
        <v>605</v>
      </c>
      <c r="H94" t="s">
        <v>31</v>
      </c>
      <c r="I94" t="s">
        <v>32</v>
      </c>
      <c r="J94" t="s">
        <v>597</v>
      </c>
      <c r="K94" t="s">
        <v>244</v>
      </c>
      <c r="L94" t="s">
        <v>333</v>
      </c>
      <c r="M94" t="s">
        <v>558</v>
      </c>
      <c r="N94" t="s">
        <v>37</v>
      </c>
      <c r="O94" s="6">
        <v>1186225</v>
      </c>
      <c r="P94" s="2">
        <v>177918</v>
      </c>
      <c r="Q94" s="2">
        <v>177917.64</v>
      </c>
      <c r="R94" s="3">
        <v>46178</v>
      </c>
      <c r="S94" t="s">
        <v>38</v>
      </c>
      <c r="T94">
        <v>100</v>
      </c>
      <c r="U94" t="s">
        <v>606</v>
      </c>
      <c r="V94" t="s">
        <v>40</v>
      </c>
      <c r="W94" t="s">
        <v>40</v>
      </c>
      <c r="X94" t="s">
        <v>40</v>
      </c>
      <c r="Y94" t="s">
        <v>607</v>
      </c>
      <c r="Z94" s="5" t="s">
        <v>518</v>
      </c>
    </row>
    <row r="95" spans="1:26" ht="13.8" customHeight="1" x14ac:dyDescent="0.3">
      <c r="A95" t="s">
        <v>608</v>
      </c>
      <c r="B95" t="s">
        <v>609</v>
      </c>
      <c r="C95" t="s">
        <v>512</v>
      </c>
      <c r="D95" t="s">
        <v>513</v>
      </c>
      <c r="E95" t="s">
        <v>610</v>
      </c>
      <c r="F95" t="s">
        <v>515</v>
      </c>
      <c r="G95" t="s">
        <v>605</v>
      </c>
      <c r="H95" t="s">
        <v>31</v>
      </c>
      <c r="I95" t="s">
        <v>32</v>
      </c>
      <c r="J95" t="s">
        <v>597</v>
      </c>
      <c r="K95" t="s">
        <v>556</v>
      </c>
      <c r="L95" t="s">
        <v>557</v>
      </c>
      <c r="M95" t="s">
        <v>36</v>
      </c>
      <c r="N95" t="s">
        <v>37</v>
      </c>
      <c r="O95" s="6">
        <v>2289230</v>
      </c>
      <c r="P95" s="2">
        <v>900000</v>
      </c>
      <c r="Q95" s="2">
        <v>839080</v>
      </c>
      <c r="R95" t="s">
        <v>611</v>
      </c>
      <c r="S95" t="s">
        <v>38</v>
      </c>
      <c r="T95">
        <v>100</v>
      </c>
      <c r="U95" t="s">
        <v>612</v>
      </c>
      <c r="V95" t="s">
        <v>40</v>
      </c>
      <c r="W95" t="s">
        <v>40</v>
      </c>
      <c r="X95" t="s">
        <v>40</v>
      </c>
      <c r="Y95" s="4" t="s">
        <v>613</v>
      </c>
      <c r="Z95" s="5" t="s">
        <v>518</v>
      </c>
    </row>
    <row r="96" spans="1:26" ht="13.8" customHeight="1" x14ac:dyDescent="0.3">
      <c r="A96" s="1">
        <v>46146.538194444445</v>
      </c>
      <c r="B96" t="s">
        <v>614</v>
      </c>
      <c r="C96" t="s">
        <v>615</v>
      </c>
      <c r="D96" t="s">
        <v>616</v>
      </c>
      <c r="E96" t="s">
        <v>617</v>
      </c>
      <c r="F96" t="s">
        <v>515</v>
      </c>
      <c r="G96" t="s">
        <v>605</v>
      </c>
      <c r="H96" t="s">
        <v>31</v>
      </c>
      <c r="I96" t="s">
        <v>32</v>
      </c>
      <c r="J96" t="s">
        <v>597</v>
      </c>
      <c r="K96" t="s">
        <v>556</v>
      </c>
      <c r="L96" t="s">
        <v>557</v>
      </c>
      <c r="M96" t="s">
        <v>36</v>
      </c>
      <c r="N96" t="s">
        <v>37</v>
      </c>
      <c r="O96" s="6">
        <v>929979</v>
      </c>
      <c r="P96" s="2">
        <v>369954</v>
      </c>
      <c r="Q96">
        <v>0</v>
      </c>
      <c r="R96" s="3">
        <v>46058</v>
      </c>
      <c r="S96" t="s">
        <v>38</v>
      </c>
      <c r="T96">
        <v>100</v>
      </c>
      <c r="U96" t="s">
        <v>40</v>
      </c>
      <c r="V96" t="s">
        <v>40</v>
      </c>
      <c r="W96" t="s">
        <v>40</v>
      </c>
      <c r="X96" t="s">
        <v>40</v>
      </c>
      <c r="Y96" t="s">
        <v>618</v>
      </c>
      <c r="Z96" s="5" t="s">
        <v>518</v>
      </c>
    </row>
    <row r="97" spans="1:26" ht="13.8" customHeight="1" x14ac:dyDescent="0.3">
      <c r="A97" s="1">
        <v>46239.572916666664</v>
      </c>
      <c r="B97" t="s">
        <v>619</v>
      </c>
      <c r="C97" t="s">
        <v>615</v>
      </c>
      <c r="D97" t="s">
        <v>616</v>
      </c>
      <c r="E97" t="s">
        <v>620</v>
      </c>
      <c r="F97" t="s">
        <v>515</v>
      </c>
      <c r="G97" t="s">
        <v>605</v>
      </c>
      <c r="H97" t="s">
        <v>31</v>
      </c>
      <c r="I97" t="s">
        <v>32</v>
      </c>
      <c r="J97" t="s">
        <v>597</v>
      </c>
      <c r="K97" t="s">
        <v>556</v>
      </c>
      <c r="L97" t="s">
        <v>557</v>
      </c>
      <c r="M97" t="s">
        <v>36</v>
      </c>
      <c r="N97" t="s">
        <v>37</v>
      </c>
      <c r="O97" s="6">
        <v>929979</v>
      </c>
      <c r="P97" s="2">
        <v>369954</v>
      </c>
      <c r="Q97">
        <v>0</v>
      </c>
      <c r="R97" t="s">
        <v>419</v>
      </c>
      <c r="S97" t="s">
        <v>38</v>
      </c>
      <c r="T97">
        <v>100</v>
      </c>
      <c r="U97" t="s">
        <v>40</v>
      </c>
      <c r="V97" t="s">
        <v>40</v>
      </c>
      <c r="W97" t="s">
        <v>40</v>
      </c>
      <c r="X97" t="s">
        <v>40</v>
      </c>
      <c r="Y97" t="s">
        <v>621</v>
      </c>
      <c r="Z97" s="5" t="s">
        <v>518</v>
      </c>
    </row>
    <row r="98" spans="1:26" ht="13.8" customHeight="1" x14ac:dyDescent="0.3">
      <c r="A98" s="1">
        <v>46239.574999999997</v>
      </c>
      <c r="B98" t="s">
        <v>622</v>
      </c>
      <c r="C98" t="s">
        <v>615</v>
      </c>
      <c r="D98" t="s">
        <v>616</v>
      </c>
      <c r="E98" t="s">
        <v>623</v>
      </c>
      <c r="F98" t="s">
        <v>515</v>
      </c>
      <c r="G98" t="s">
        <v>605</v>
      </c>
      <c r="H98" t="s">
        <v>31</v>
      </c>
      <c r="I98" t="s">
        <v>32</v>
      </c>
      <c r="J98" t="s">
        <v>597</v>
      </c>
      <c r="K98" t="s">
        <v>556</v>
      </c>
      <c r="L98" t="s">
        <v>557</v>
      </c>
      <c r="M98" t="s">
        <v>36</v>
      </c>
      <c r="N98" t="s">
        <v>37</v>
      </c>
      <c r="O98" s="6">
        <v>929970</v>
      </c>
      <c r="P98" s="2">
        <v>369953.33</v>
      </c>
      <c r="Q98">
        <v>0</v>
      </c>
      <c r="R98" t="s">
        <v>419</v>
      </c>
      <c r="S98" t="s">
        <v>38</v>
      </c>
      <c r="T98">
        <v>100</v>
      </c>
      <c r="U98" t="s">
        <v>40</v>
      </c>
      <c r="V98" t="s">
        <v>40</v>
      </c>
      <c r="W98" t="s">
        <v>40</v>
      </c>
      <c r="X98" t="s">
        <v>40</v>
      </c>
      <c r="Y98" t="s">
        <v>624</v>
      </c>
      <c r="Z98" s="5" t="s">
        <v>518</v>
      </c>
    </row>
    <row r="99" spans="1:26" ht="13.8" customHeight="1" x14ac:dyDescent="0.3">
      <c r="A99" t="s">
        <v>625</v>
      </c>
      <c r="B99" t="s">
        <v>626</v>
      </c>
      <c r="C99" t="s">
        <v>627</v>
      </c>
      <c r="D99" t="s">
        <v>628</v>
      </c>
      <c r="E99" t="s">
        <v>629</v>
      </c>
      <c r="F99" t="s">
        <v>630</v>
      </c>
      <c r="G99" t="s">
        <v>631</v>
      </c>
      <c r="H99" t="s">
        <v>31</v>
      </c>
      <c r="I99" t="s">
        <v>32</v>
      </c>
      <c r="J99" t="s">
        <v>597</v>
      </c>
      <c r="K99" t="s">
        <v>556</v>
      </c>
      <c r="L99" t="s">
        <v>557</v>
      </c>
      <c r="M99" t="s">
        <v>36</v>
      </c>
      <c r="N99" t="s">
        <v>37</v>
      </c>
      <c r="O99" s="6">
        <v>1319841</v>
      </c>
      <c r="P99" s="2">
        <v>519841</v>
      </c>
      <c r="Q99" s="2">
        <v>519841</v>
      </c>
      <c r="R99" t="s">
        <v>632</v>
      </c>
      <c r="S99" t="s">
        <v>38</v>
      </c>
      <c r="T99">
        <v>90</v>
      </c>
      <c r="U99" t="s">
        <v>633</v>
      </c>
      <c r="V99" t="s">
        <v>40</v>
      </c>
      <c r="W99" t="s">
        <v>40</v>
      </c>
      <c r="X99" t="s">
        <v>40</v>
      </c>
      <c r="Y99" t="s">
        <v>545</v>
      </c>
      <c r="Z99" s="5" t="s">
        <v>246</v>
      </c>
    </row>
    <row r="100" spans="1:26" ht="13.8" customHeight="1" x14ac:dyDescent="0.3">
      <c r="A100" t="s">
        <v>634</v>
      </c>
      <c r="B100" t="s">
        <v>635</v>
      </c>
      <c r="C100" t="s">
        <v>330</v>
      </c>
      <c r="D100" t="s">
        <v>636</v>
      </c>
      <c r="E100" t="s">
        <v>637</v>
      </c>
      <c r="F100" t="s">
        <v>312</v>
      </c>
      <c r="G100" t="s">
        <v>638</v>
      </c>
      <c r="H100" t="s">
        <v>31</v>
      </c>
      <c r="I100" t="s">
        <v>32</v>
      </c>
      <c r="J100" t="s">
        <v>597</v>
      </c>
      <c r="K100" t="s">
        <v>556</v>
      </c>
      <c r="L100" t="s">
        <v>598</v>
      </c>
      <c r="M100" t="s">
        <v>543</v>
      </c>
      <c r="N100" t="s">
        <v>37</v>
      </c>
      <c r="O100" s="6">
        <v>1300000</v>
      </c>
      <c r="P100" s="2">
        <v>20000</v>
      </c>
      <c r="Q100" s="2">
        <v>307000</v>
      </c>
      <c r="R100" t="s">
        <v>611</v>
      </c>
      <c r="S100" t="s">
        <v>38</v>
      </c>
      <c r="T100">
        <v>100</v>
      </c>
      <c r="U100" t="s">
        <v>639</v>
      </c>
      <c r="V100" t="s">
        <v>40</v>
      </c>
      <c r="W100" t="s">
        <v>40</v>
      </c>
      <c r="X100" t="s">
        <v>40</v>
      </c>
      <c r="Y100" t="s">
        <v>545</v>
      </c>
      <c r="Z100" s="5" t="s">
        <v>246</v>
      </c>
    </row>
    <row r="101" spans="1:26" ht="13.8" customHeight="1" x14ac:dyDescent="0.3">
      <c r="A101" s="1">
        <v>46116.497916666667</v>
      </c>
      <c r="B101" t="s">
        <v>640</v>
      </c>
      <c r="C101" t="s">
        <v>338</v>
      </c>
      <c r="D101" t="s">
        <v>339</v>
      </c>
      <c r="E101" t="s">
        <v>641</v>
      </c>
      <c r="F101" t="s">
        <v>312</v>
      </c>
      <c r="G101" t="s">
        <v>638</v>
      </c>
      <c r="H101" t="s">
        <v>31</v>
      </c>
      <c r="I101" t="s">
        <v>32</v>
      </c>
      <c r="J101" t="s">
        <v>33</v>
      </c>
      <c r="K101" t="s">
        <v>556</v>
      </c>
      <c r="L101" t="s">
        <v>598</v>
      </c>
      <c r="M101" t="s">
        <v>543</v>
      </c>
      <c r="N101" t="s">
        <v>37</v>
      </c>
      <c r="O101" s="6">
        <v>1260000</v>
      </c>
      <c r="P101" s="2">
        <v>1260000</v>
      </c>
      <c r="Q101" s="2">
        <v>209000</v>
      </c>
      <c r="R101" t="s">
        <v>611</v>
      </c>
      <c r="S101" t="s">
        <v>38</v>
      </c>
      <c r="T101">
        <v>100</v>
      </c>
      <c r="U101" t="s">
        <v>642</v>
      </c>
      <c r="V101" t="s">
        <v>40</v>
      </c>
      <c r="W101" t="s">
        <v>40</v>
      </c>
      <c r="X101" t="s">
        <v>40</v>
      </c>
      <c r="Y101" t="s">
        <v>643</v>
      </c>
      <c r="Z101" s="5" t="s">
        <v>246</v>
      </c>
    </row>
    <row r="102" spans="1:26" ht="13.8" customHeight="1" x14ac:dyDescent="0.3">
      <c r="A102" t="s">
        <v>644</v>
      </c>
      <c r="B102" t="s">
        <v>645</v>
      </c>
      <c r="C102" t="s">
        <v>646</v>
      </c>
      <c r="D102" t="s">
        <v>339</v>
      </c>
      <c r="E102" t="s">
        <v>647</v>
      </c>
      <c r="F102" t="s">
        <v>312</v>
      </c>
      <c r="G102" t="s">
        <v>638</v>
      </c>
      <c r="H102" t="s">
        <v>31</v>
      </c>
      <c r="I102" t="s">
        <v>32</v>
      </c>
      <c r="J102" t="s">
        <v>33</v>
      </c>
      <c r="K102" t="s">
        <v>556</v>
      </c>
      <c r="L102" t="s">
        <v>557</v>
      </c>
      <c r="M102" t="s">
        <v>543</v>
      </c>
      <c r="N102" t="s">
        <v>37</v>
      </c>
      <c r="O102" s="6">
        <v>50000</v>
      </c>
      <c r="P102" s="2">
        <v>10000</v>
      </c>
      <c r="Q102" s="2">
        <v>20000</v>
      </c>
      <c r="R102" t="s">
        <v>76</v>
      </c>
      <c r="S102" t="s">
        <v>551</v>
      </c>
      <c r="T102">
        <v>100</v>
      </c>
      <c r="U102" t="s">
        <v>648</v>
      </c>
      <c r="V102" t="s">
        <v>40</v>
      </c>
      <c r="W102" t="s">
        <v>40</v>
      </c>
      <c r="X102" t="s">
        <v>40</v>
      </c>
      <c r="Y102" t="s">
        <v>40</v>
      </c>
      <c r="Z102" s="5" t="s">
        <v>246</v>
      </c>
    </row>
    <row r="103" spans="1:26" ht="13.8" customHeight="1" x14ac:dyDescent="0.3">
      <c r="A103" t="s">
        <v>649</v>
      </c>
      <c r="B103" t="s">
        <v>650</v>
      </c>
      <c r="C103" t="s">
        <v>651</v>
      </c>
      <c r="D103" t="s">
        <v>652</v>
      </c>
      <c r="E103" t="s">
        <v>653</v>
      </c>
      <c r="F103" t="s">
        <v>654</v>
      </c>
      <c r="G103" t="s">
        <v>655</v>
      </c>
      <c r="H103" t="s">
        <v>31</v>
      </c>
      <c r="I103" t="s">
        <v>32</v>
      </c>
      <c r="J103" t="s">
        <v>656</v>
      </c>
      <c r="K103" t="s">
        <v>244</v>
      </c>
      <c r="L103" t="s">
        <v>244</v>
      </c>
      <c r="M103" t="s">
        <v>550</v>
      </c>
      <c r="N103" t="s">
        <v>37</v>
      </c>
      <c r="O103" s="6">
        <v>3278719.5</v>
      </c>
      <c r="P103" s="2">
        <v>10000</v>
      </c>
      <c r="Q103">
        <v>0</v>
      </c>
      <c r="R103" t="s">
        <v>419</v>
      </c>
      <c r="S103" t="s">
        <v>38</v>
      </c>
      <c r="T103">
        <v>50</v>
      </c>
      <c r="U103" t="s">
        <v>40</v>
      </c>
      <c r="V103" t="s">
        <v>40</v>
      </c>
      <c r="W103" t="s">
        <v>40</v>
      </c>
      <c r="X103" t="s">
        <v>40</v>
      </c>
      <c r="Y103" t="s">
        <v>40</v>
      </c>
      <c r="Z103" s="5" t="s">
        <v>297</v>
      </c>
    </row>
    <row r="104" spans="1:26" ht="13.8" customHeight="1" x14ac:dyDescent="0.3">
      <c r="A104" t="s">
        <v>657</v>
      </c>
      <c r="B104" t="s">
        <v>658</v>
      </c>
      <c r="C104" t="s">
        <v>651</v>
      </c>
      <c r="D104" t="s">
        <v>659</v>
      </c>
      <c r="E104" t="s">
        <v>660</v>
      </c>
      <c r="F104" t="s">
        <v>654</v>
      </c>
      <c r="G104" t="s">
        <v>655</v>
      </c>
      <c r="H104" t="s">
        <v>31</v>
      </c>
      <c r="I104" t="s">
        <v>32</v>
      </c>
      <c r="J104" t="s">
        <v>661</v>
      </c>
      <c r="K104" t="s">
        <v>244</v>
      </c>
      <c r="L104" t="s">
        <v>244</v>
      </c>
      <c r="M104" t="s">
        <v>550</v>
      </c>
      <c r="N104" t="s">
        <v>37</v>
      </c>
      <c r="O104" s="6">
        <v>1902647.6</v>
      </c>
      <c r="P104" s="2">
        <v>10000</v>
      </c>
      <c r="Q104">
        <v>0</v>
      </c>
      <c r="R104" t="s">
        <v>419</v>
      </c>
      <c r="S104" t="s">
        <v>38</v>
      </c>
      <c r="T104">
        <v>100</v>
      </c>
      <c r="U104" t="s">
        <v>40</v>
      </c>
      <c r="V104" t="s">
        <v>40</v>
      </c>
      <c r="W104" t="s">
        <v>40</v>
      </c>
      <c r="X104" t="s">
        <v>40</v>
      </c>
      <c r="Y104" t="s">
        <v>40</v>
      </c>
      <c r="Z104" s="5" t="s">
        <v>297</v>
      </c>
    </row>
    <row r="105" spans="1:26" ht="13.8" customHeight="1" x14ac:dyDescent="0.3">
      <c r="A105" t="s">
        <v>662</v>
      </c>
      <c r="B105" t="s">
        <v>663</v>
      </c>
      <c r="C105" t="s">
        <v>651</v>
      </c>
      <c r="D105" t="s">
        <v>659</v>
      </c>
      <c r="E105" t="s">
        <v>664</v>
      </c>
      <c r="F105" t="s">
        <v>654</v>
      </c>
      <c r="G105" t="s">
        <v>655</v>
      </c>
      <c r="H105" t="s">
        <v>31</v>
      </c>
      <c r="I105" t="s">
        <v>32</v>
      </c>
      <c r="J105" t="s">
        <v>661</v>
      </c>
      <c r="K105" t="s">
        <v>244</v>
      </c>
      <c r="L105" t="s">
        <v>244</v>
      </c>
      <c r="M105" t="s">
        <v>550</v>
      </c>
      <c r="N105" t="s">
        <v>37</v>
      </c>
      <c r="O105" s="6">
        <v>594203.80000000005</v>
      </c>
      <c r="P105" s="2">
        <v>10000</v>
      </c>
      <c r="Q105">
        <v>0</v>
      </c>
      <c r="R105" t="s">
        <v>419</v>
      </c>
      <c r="S105" t="s">
        <v>38</v>
      </c>
      <c r="T105">
        <v>100</v>
      </c>
      <c r="U105" t="s">
        <v>40</v>
      </c>
      <c r="V105" t="s">
        <v>40</v>
      </c>
      <c r="W105" t="s">
        <v>40</v>
      </c>
      <c r="X105" t="s">
        <v>40</v>
      </c>
      <c r="Y105" t="s">
        <v>40</v>
      </c>
      <c r="Z105" s="5" t="s">
        <v>297</v>
      </c>
    </row>
    <row r="106" spans="1:26" ht="13.8" customHeight="1" x14ac:dyDescent="0.3">
      <c r="A106" t="s">
        <v>665</v>
      </c>
      <c r="B106" t="s">
        <v>666</v>
      </c>
      <c r="C106" t="s">
        <v>651</v>
      </c>
      <c r="D106" t="s">
        <v>659</v>
      </c>
      <c r="E106" t="s">
        <v>667</v>
      </c>
      <c r="F106" t="s">
        <v>654</v>
      </c>
      <c r="G106" t="s">
        <v>655</v>
      </c>
      <c r="H106" t="s">
        <v>31</v>
      </c>
      <c r="I106" t="s">
        <v>32</v>
      </c>
      <c r="J106" t="s">
        <v>661</v>
      </c>
      <c r="K106" t="s">
        <v>244</v>
      </c>
      <c r="L106" t="s">
        <v>244</v>
      </c>
      <c r="M106" t="s">
        <v>550</v>
      </c>
      <c r="N106" t="s">
        <v>37</v>
      </c>
      <c r="O106" s="6">
        <v>131648.9</v>
      </c>
      <c r="P106" s="2">
        <v>5000</v>
      </c>
      <c r="Q106">
        <v>0</v>
      </c>
      <c r="R106" t="s">
        <v>419</v>
      </c>
      <c r="S106" t="s">
        <v>38</v>
      </c>
      <c r="T106">
        <v>100</v>
      </c>
      <c r="U106" t="s">
        <v>40</v>
      </c>
      <c r="V106" t="s">
        <v>40</v>
      </c>
      <c r="W106" t="s">
        <v>40</v>
      </c>
      <c r="X106" t="s">
        <v>40</v>
      </c>
      <c r="Y106" t="s">
        <v>40</v>
      </c>
      <c r="Z106" s="5" t="s">
        <v>297</v>
      </c>
    </row>
    <row r="107" spans="1:26" ht="13.8" customHeight="1" x14ac:dyDescent="0.3">
      <c r="A107" t="s">
        <v>668</v>
      </c>
      <c r="B107" t="s">
        <v>669</v>
      </c>
      <c r="C107" t="s">
        <v>651</v>
      </c>
      <c r="D107" t="s">
        <v>659</v>
      </c>
      <c r="E107" t="s">
        <v>670</v>
      </c>
      <c r="F107" t="s">
        <v>654</v>
      </c>
      <c r="G107" t="s">
        <v>655</v>
      </c>
      <c r="H107" t="s">
        <v>31</v>
      </c>
      <c r="I107" t="s">
        <v>32</v>
      </c>
      <c r="J107" t="s">
        <v>661</v>
      </c>
      <c r="K107" t="s">
        <v>244</v>
      </c>
      <c r="L107" t="s">
        <v>244</v>
      </c>
      <c r="M107" t="s">
        <v>550</v>
      </c>
      <c r="N107" t="s">
        <v>37</v>
      </c>
      <c r="O107" s="6">
        <v>151994.1</v>
      </c>
      <c r="P107" s="2">
        <v>5000</v>
      </c>
      <c r="Q107">
        <v>0</v>
      </c>
      <c r="R107" t="s">
        <v>419</v>
      </c>
      <c r="S107" t="s">
        <v>38</v>
      </c>
      <c r="T107">
        <v>100</v>
      </c>
      <c r="U107" t="s">
        <v>40</v>
      </c>
      <c r="V107" t="s">
        <v>40</v>
      </c>
      <c r="W107" t="s">
        <v>40</v>
      </c>
      <c r="X107" t="s">
        <v>40</v>
      </c>
      <c r="Y107" t="s">
        <v>40</v>
      </c>
      <c r="Z107" s="5" t="s">
        <v>297</v>
      </c>
    </row>
    <row r="108" spans="1:26" ht="13.8" customHeight="1" x14ac:dyDescent="0.3">
      <c r="A108" t="s">
        <v>671</v>
      </c>
      <c r="B108" t="s">
        <v>672</v>
      </c>
      <c r="C108" t="s">
        <v>651</v>
      </c>
      <c r="D108" t="s">
        <v>659</v>
      </c>
      <c r="E108" t="s">
        <v>673</v>
      </c>
      <c r="F108" t="s">
        <v>654</v>
      </c>
      <c r="G108" t="s">
        <v>655</v>
      </c>
      <c r="H108" t="s">
        <v>31</v>
      </c>
      <c r="I108" t="s">
        <v>32</v>
      </c>
      <c r="J108" t="s">
        <v>661</v>
      </c>
      <c r="K108" t="s">
        <v>244</v>
      </c>
      <c r="L108" t="s">
        <v>244</v>
      </c>
      <c r="M108" t="s">
        <v>550</v>
      </c>
      <c r="N108" t="s">
        <v>37</v>
      </c>
      <c r="O108" s="6">
        <v>136249</v>
      </c>
      <c r="P108" s="2">
        <v>10000</v>
      </c>
      <c r="Q108">
        <v>0</v>
      </c>
      <c r="R108" t="s">
        <v>419</v>
      </c>
      <c r="S108" t="s">
        <v>38</v>
      </c>
      <c r="T108">
        <v>100</v>
      </c>
      <c r="U108" t="s">
        <v>40</v>
      </c>
      <c r="V108" t="s">
        <v>40</v>
      </c>
      <c r="W108" t="s">
        <v>40</v>
      </c>
      <c r="X108" t="s">
        <v>40</v>
      </c>
      <c r="Y108" t="s">
        <v>40</v>
      </c>
      <c r="Z108" s="5" t="s">
        <v>297</v>
      </c>
    </row>
    <row r="109" spans="1:26" ht="13.8" customHeight="1" x14ac:dyDescent="0.3">
      <c r="A109" t="s">
        <v>674</v>
      </c>
      <c r="B109" t="s">
        <v>675</v>
      </c>
      <c r="C109" t="s">
        <v>651</v>
      </c>
      <c r="D109" t="s">
        <v>659</v>
      </c>
      <c r="E109" t="s">
        <v>676</v>
      </c>
      <c r="F109" t="s">
        <v>654</v>
      </c>
      <c r="G109" t="s">
        <v>655</v>
      </c>
      <c r="H109" t="s">
        <v>31</v>
      </c>
      <c r="I109" t="s">
        <v>32</v>
      </c>
      <c r="J109" t="s">
        <v>661</v>
      </c>
      <c r="K109" t="s">
        <v>244</v>
      </c>
      <c r="L109" t="s">
        <v>244</v>
      </c>
      <c r="M109" t="s">
        <v>550</v>
      </c>
      <c r="N109" t="s">
        <v>37</v>
      </c>
      <c r="O109" s="6">
        <v>911920</v>
      </c>
      <c r="P109" s="2">
        <v>10000</v>
      </c>
      <c r="Q109">
        <v>0</v>
      </c>
      <c r="R109" t="s">
        <v>419</v>
      </c>
      <c r="S109" t="s">
        <v>38</v>
      </c>
      <c r="T109">
        <v>100</v>
      </c>
      <c r="U109" t="s">
        <v>40</v>
      </c>
      <c r="V109" t="s">
        <v>40</v>
      </c>
      <c r="W109" t="s">
        <v>40</v>
      </c>
      <c r="X109" t="s">
        <v>40</v>
      </c>
      <c r="Y109" t="s">
        <v>40</v>
      </c>
      <c r="Z109" s="5" t="s">
        <v>297</v>
      </c>
    </row>
    <row r="110" spans="1:26" ht="13.8" customHeight="1" x14ac:dyDescent="0.3">
      <c r="A110" t="s">
        <v>677</v>
      </c>
      <c r="B110" t="s">
        <v>678</v>
      </c>
      <c r="C110" t="s">
        <v>651</v>
      </c>
      <c r="D110" t="s">
        <v>659</v>
      </c>
      <c r="E110" t="s">
        <v>679</v>
      </c>
      <c r="F110" t="s">
        <v>654</v>
      </c>
      <c r="G110" t="s">
        <v>655</v>
      </c>
      <c r="H110" t="s">
        <v>31</v>
      </c>
      <c r="I110" t="s">
        <v>32</v>
      </c>
      <c r="J110" t="s">
        <v>661</v>
      </c>
      <c r="K110" t="s">
        <v>244</v>
      </c>
      <c r="L110" t="s">
        <v>244</v>
      </c>
      <c r="M110" t="s">
        <v>550</v>
      </c>
      <c r="N110" t="s">
        <v>37</v>
      </c>
      <c r="O110" s="6">
        <v>686566.7</v>
      </c>
      <c r="P110" s="2">
        <v>10000</v>
      </c>
      <c r="Q110">
        <v>0</v>
      </c>
      <c r="R110" t="s">
        <v>419</v>
      </c>
      <c r="S110" t="s">
        <v>38</v>
      </c>
      <c r="T110">
        <v>100</v>
      </c>
      <c r="U110" t="s">
        <v>40</v>
      </c>
      <c r="V110" t="s">
        <v>40</v>
      </c>
      <c r="W110" t="s">
        <v>40</v>
      </c>
      <c r="X110" t="s">
        <v>40</v>
      </c>
      <c r="Y110" t="s">
        <v>40</v>
      </c>
      <c r="Z110" s="5" t="s">
        <v>297</v>
      </c>
    </row>
    <row r="111" spans="1:26" ht="13.8" customHeight="1" x14ac:dyDescent="0.3">
      <c r="A111" t="s">
        <v>680</v>
      </c>
      <c r="B111" t="s">
        <v>681</v>
      </c>
      <c r="C111" t="s">
        <v>651</v>
      </c>
      <c r="D111" t="s">
        <v>659</v>
      </c>
      <c r="E111" t="s">
        <v>682</v>
      </c>
      <c r="F111" t="s">
        <v>654</v>
      </c>
      <c r="G111" t="s">
        <v>655</v>
      </c>
      <c r="H111" t="s">
        <v>31</v>
      </c>
      <c r="I111" t="s">
        <v>32</v>
      </c>
      <c r="J111" t="s">
        <v>661</v>
      </c>
      <c r="K111" t="s">
        <v>244</v>
      </c>
      <c r="L111" t="s">
        <v>244</v>
      </c>
      <c r="M111" t="s">
        <v>550</v>
      </c>
      <c r="N111" t="s">
        <v>37</v>
      </c>
      <c r="O111" s="6">
        <v>39242.199999999997</v>
      </c>
      <c r="P111" s="2">
        <v>1000</v>
      </c>
      <c r="Q111">
        <v>0</v>
      </c>
      <c r="R111" t="s">
        <v>419</v>
      </c>
      <c r="S111" t="s">
        <v>38</v>
      </c>
      <c r="T111">
        <v>100</v>
      </c>
      <c r="U111" t="s">
        <v>40</v>
      </c>
      <c r="V111" t="s">
        <v>40</v>
      </c>
      <c r="W111" t="s">
        <v>40</v>
      </c>
      <c r="X111" t="s">
        <v>40</v>
      </c>
      <c r="Y111" t="s">
        <v>40</v>
      </c>
      <c r="Z111" s="5" t="s">
        <v>297</v>
      </c>
    </row>
    <row r="112" spans="1:26" ht="13.8" customHeight="1" x14ac:dyDescent="0.3">
      <c r="A112" s="1">
        <v>46271.526388888888</v>
      </c>
      <c r="B112" t="s">
        <v>683</v>
      </c>
      <c r="C112" t="s">
        <v>651</v>
      </c>
      <c r="D112" t="s">
        <v>659</v>
      </c>
      <c r="E112" t="s">
        <v>684</v>
      </c>
      <c r="F112" t="s">
        <v>654</v>
      </c>
      <c r="G112" t="s">
        <v>655</v>
      </c>
      <c r="H112" t="s">
        <v>31</v>
      </c>
      <c r="I112" t="s">
        <v>32</v>
      </c>
      <c r="J112" t="s">
        <v>661</v>
      </c>
      <c r="K112" t="s">
        <v>244</v>
      </c>
      <c r="L112" t="s">
        <v>244</v>
      </c>
      <c r="M112" t="s">
        <v>550</v>
      </c>
      <c r="N112" t="s">
        <v>37</v>
      </c>
      <c r="O112" s="6">
        <v>2272068.6</v>
      </c>
      <c r="P112" s="2">
        <v>10000</v>
      </c>
      <c r="Q112">
        <v>0</v>
      </c>
      <c r="R112" s="3">
        <v>46271</v>
      </c>
      <c r="S112" t="s">
        <v>38</v>
      </c>
      <c r="T112">
        <v>100</v>
      </c>
      <c r="U112" t="s">
        <v>40</v>
      </c>
      <c r="V112" t="s">
        <v>40</v>
      </c>
      <c r="W112" t="s">
        <v>40</v>
      </c>
      <c r="X112" t="s">
        <v>40</v>
      </c>
      <c r="Y112" t="s">
        <v>40</v>
      </c>
      <c r="Z112" s="5" t="s">
        <v>297</v>
      </c>
    </row>
    <row r="113" spans="1:26" ht="13.8" customHeight="1" x14ac:dyDescent="0.3">
      <c r="A113" s="1">
        <v>46271.53402777778</v>
      </c>
      <c r="B113" t="s">
        <v>685</v>
      </c>
      <c r="C113" t="s">
        <v>651</v>
      </c>
      <c r="D113" t="s">
        <v>659</v>
      </c>
      <c r="E113" t="s">
        <v>686</v>
      </c>
      <c r="F113" t="s">
        <v>654</v>
      </c>
      <c r="G113" t="s">
        <v>655</v>
      </c>
      <c r="H113" t="s">
        <v>31</v>
      </c>
      <c r="I113" t="s">
        <v>32</v>
      </c>
      <c r="J113" t="s">
        <v>661</v>
      </c>
      <c r="K113" t="s">
        <v>244</v>
      </c>
      <c r="L113" t="s">
        <v>244</v>
      </c>
      <c r="M113" t="s">
        <v>550</v>
      </c>
      <c r="N113" t="s">
        <v>37</v>
      </c>
      <c r="O113" s="6">
        <v>194280.6</v>
      </c>
      <c r="P113" s="2">
        <v>10000</v>
      </c>
      <c r="Q113">
        <v>0</v>
      </c>
      <c r="R113" s="3">
        <v>46271</v>
      </c>
      <c r="S113" t="s">
        <v>38</v>
      </c>
      <c r="T113">
        <v>100</v>
      </c>
      <c r="U113" t="s">
        <v>40</v>
      </c>
      <c r="V113" t="s">
        <v>40</v>
      </c>
      <c r="W113" t="s">
        <v>40</v>
      </c>
      <c r="X113" t="s">
        <v>40</v>
      </c>
      <c r="Y113" t="s">
        <v>40</v>
      </c>
      <c r="Z113" s="5" t="s">
        <v>297</v>
      </c>
    </row>
    <row r="114" spans="1:26" ht="13.8" customHeight="1" x14ac:dyDescent="0.3">
      <c r="A114" s="1">
        <v>46271.538194444445</v>
      </c>
      <c r="B114" t="s">
        <v>687</v>
      </c>
      <c r="C114" t="s">
        <v>651</v>
      </c>
      <c r="D114" t="s">
        <v>659</v>
      </c>
      <c r="E114" t="s">
        <v>688</v>
      </c>
      <c r="F114" t="s">
        <v>654</v>
      </c>
      <c r="G114" t="s">
        <v>655</v>
      </c>
      <c r="H114" t="s">
        <v>31</v>
      </c>
      <c r="I114" t="s">
        <v>32</v>
      </c>
      <c r="J114" t="s">
        <v>661</v>
      </c>
      <c r="K114" t="s">
        <v>244</v>
      </c>
      <c r="L114" t="s">
        <v>244</v>
      </c>
      <c r="M114" t="s">
        <v>550</v>
      </c>
      <c r="N114" t="s">
        <v>37</v>
      </c>
      <c r="O114" s="6">
        <v>1214303.1000000001</v>
      </c>
      <c r="P114" s="2">
        <v>10000</v>
      </c>
      <c r="Q114">
        <v>0</v>
      </c>
      <c r="R114" s="3">
        <v>46271</v>
      </c>
      <c r="S114" t="s">
        <v>38</v>
      </c>
      <c r="T114">
        <v>100</v>
      </c>
      <c r="U114" t="s">
        <v>40</v>
      </c>
      <c r="V114" t="s">
        <v>40</v>
      </c>
      <c r="W114" t="s">
        <v>40</v>
      </c>
      <c r="X114" t="s">
        <v>40</v>
      </c>
      <c r="Y114" t="s">
        <v>40</v>
      </c>
      <c r="Z114" s="5" t="s">
        <v>297</v>
      </c>
    </row>
    <row r="115" spans="1:26" ht="13.8" customHeight="1" x14ac:dyDescent="0.3">
      <c r="A115" t="s">
        <v>689</v>
      </c>
      <c r="B115" t="s">
        <v>690</v>
      </c>
      <c r="C115" t="s">
        <v>651</v>
      </c>
      <c r="D115" t="s">
        <v>659</v>
      </c>
      <c r="E115" t="s">
        <v>691</v>
      </c>
      <c r="F115" t="s">
        <v>654</v>
      </c>
      <c r="G115" t="s">
        <v>655</v>
      </c>
      <c r="H115" t="s">
        <v>31</v>
      </c>
      <c r="I115" t="s">
        <v>32</v>
      </c>
      <c r="J115" t="s">
        <v>661</v>
      </c>
      <c r="K115" t="s">
        <v>244</v>
      </c>
      <c r="L115" t="s">
        <v>244</v>
      </c>
      <c r="M115" t="s">
        <v>550</v>
      </c>
      <c r="N115" t="s">
        <v>37</v>
      </c>
      <c r="O115" s="6">
        <v>602618.19999999995</v>
      </c>
      <c r="P115" s="2">
        <v>10000</v>
      </c>
      <c r="Q115">
        <v>0</v>
      </c>
      <c r="R115" t="s">
        <v>692</v>
      </c>
      <c r="S115" t="s">
        <v>38</v>
      </c>
      <c r="T115">
        <v>100</v>
      </c>
      <c r="U115" t="s">
        <v>40</v>
      </c>
      <c r="V115" t="s">
        <v>40</v>
      </c>
      <c r="W115" t="s">
        <v>40</v>
      </c>
      <c r="X115" t="s">
        <v>40</v>
      </c>
      <c r="Y115" t="s">
        <v>40</v>
      </c>
      <c r="Z115" s="5" t="s">
        <v>297</v>
      </c>
    </row>
    <row r="116" spans="1:26" ht="13.8" customHeight="1" x14ac:dyDescent="0.3">
      <c r="A116" t="s">
        <v>693</v>
      </c>
      <c r="B116" t="s">
        <v>694</v>
      </c>
      <c r="C116" t="s">
        <v>651</v>
      </c>
      <c r="D116" t="s">
        <v>659</v>
      </c>
      <c r="E116" t="s">
        <v>695</v>
      </c>
      <c r="F116" t="s">
        <v>654</v>
      </c>
      <c r="G116" t="s">
        <v>655</v>
      </c>
      <c r="H116" t="s">
        <v>31</v>
      </c>
      <c r="I116" t="s">
        <v>32</v>
      </c>
      <c r="J116" t="s">
        <v>661</v>
      </c>
      <c r="K116" t="s">
        <v>244</v>
      </c>
      <c r="L116" t="s">
        <v>244</v>
      </c>
      <c r="M116" t="s">
        <v>550</v>
      </c>
      <c r="N116" t="s">
        <v>37</v>
      </c>
      <c r="O116" s="6">
        <v>671806.9</v>
      </c>
      <c r="P116" s="2">
        <v>10000</v>
      </c>
      <c r="Q116">
        <v>0</v>
      </c>
      <c r="R116" t="s">
        <v>692</v>
      </c>
      <c r="S116" t="s">
        <v>38</v>
      </c>
      <c r="T116">
        <v>100</v>
      </c>
      <c r="U116" t="s">
        <v>40</v>
      </c>
      <c r="V116" t="s">
        <v>40</v>
      </c>
      <c r="W116" t="s">
        <v>40</v>
      </c>
      <c r="X116" t="s">
        <v>40</v>
      </c>
      <c r="Y116" t="s">
        <v>40</v>
      </c>
      <c r="Z116" s="5" t="s">
        <v>297</v>
      </c>
    </row>
    <row r="117" spans="1:26" ht="13.8" customHeight="1" x14ac:dyDescent="0.3">
      <c r="A117" t="s">
        <v>696</v>
      </c>
      <c r="B117" t="s">
        <v>697</v>
      </c>
      <c r="C117" t="s">
        <v>651</v>
      </c>
      <c r="D117" t="s">
        <v>659</v>
      </c>
      <c r="E117" t="s">
        <v>698</v>
      </c>
      <c r="F117" t="s">
        <v>654</v>
      </c>
      <c r="G117" t="s">
        <v>655</v>
      </c>
      <c r="H117" t="s">
        <v>31</v>
      </c>
      <c r="I117" t="s">
        <v>32</v>
      </c>
      <c r="J117" t="s">
        <v>661</v>
      </c>
      <c r="K117" t="s">
        <v>244</v>
      </c>
      <c r="L117" t="s">
        <v>244</v>
      </c>
      <c r="M117" t="s">
        <v>550</v>
      </c>
      <c r="N117" t="s">
        <v>37</v>
      </c>
      <c r="O117" s="6">
        <v>1205515.7</v>
      </c>
      <c r="P117" s="2">
        <v>10000</v>
      </c>
      <c r="Q117">
        <v>0</v>
      </c>
      <c r="R117" t="s">
        <v>692</v>
      </c>
      <c r="S117" t="s">
        <v>38</v>
      </c>
      <c r="T117">
        <v>100</v>
      </c>
      <c r="U117" t="s">
        <v>40</v>
      </c>
      <c r="V117" t="s">
        <v>40</v>
      </c>
      <c r="W117" t="s">
        <v>40</v>
      </c>
      <c r="X117" t="s">
        <v>40</v>
      </c>
      <c r="Y117" t="s">
        <v>40</v>
      </c>
      <c r="Z117" s="5" t="s">
        <v>297</v>
      </c>
    </row>
    <row r="118" spans="1:26" ht="13.8" customHeight="1" x14ac:dyDescent="0.3">
      <c r="A118" t="s">
        <v>699</v>
      </c>
      <c r="B118" t="s">
        <v>700</v>
      </c>
      <c r="C118" t="s">
        <v>651</v>
      </c>
      <c r="D118" t="s">
        <v>659</v>
      </c>
      <c r="E118" t="s">
        <v>701</v>
      </c>
      <c r="F118" t="s">
        <v>654</v>
      </c>
      <c r="G118" t="s">
        <v>655</v>
      </c>
      <c r="H118" t="s">
        <v>31</v>
      </c>
      <c r="I118" t="s">
        <v>32</v>
      </c>
      <c r="J118" t="s">
        <v>661</v>
      </c>
      <c r="K118" t="s">
        <v>244</v>
      </c>
      <c r="L118" t="s">
        <v>244</v>
      </c>
      <c r="M118" t="s">
        <v>550</v>
      </c>
      <c r="N118" t="s">
        <v>37</v>
      </c>
      <c r="O118" s="6">
        <v>664902.9</v>
      </c>
      <c r="P118" s="2">
        <v>10000</v>
      </c>
      <c r="Q118">
        <v>0</v>
      </c>
      <c r="R118" t="s">
        <v>692</v>
      </c>
      <c r="S118" t="s">
        <v>38</v>
      </c>
      <c r="T118">
        <v>100</v>
      </c>
      <c r="U118" t="s">
        <v>40</v>
      </c>
      <c r="V118" t="s">
        <v>40</v>
      </c>
      <c r="W118" t="s">
        <v>40</v>
      </c>
      <c r="X118" t="s">
        <v>40</v>
      </c>
      <c r="Y118" t="s">
        <v>40</v>
      </c>
      <c r="Z118" s="5" t="s">
        <v>297</v>
      </c>
    </row>
    <row r="119" spans="1:26" ht="13.8" customHeight="1" x14ac:dyDescent="0.3">
      <c r="A119" t="s">
        <v>702</v>
      </c>
      <c r="B119" t="s">
        <v>703</v>
      </c>
      <c r="C119" t="s">
        <v>651</v>
      </c>
      <c r="D119" t="s">
        <v>659</v>
      </c>
      <c r="E119" t="s">
        <v>704</v>
      </c>
      <c r="F119" t="s">
        <v>654</v>
      </c>
      <c r="G119" t="s">
        <v>655</v>
      </c>
      <c r="H119" t="s">
        <v>31</v>
      </c>
      <c r="I119" t="s">
        <v>32</v>
      </c>
      <c r="J119" t="s">
        <v>661</v>
      </c>
      <c r="K119" t="s">
        <v>244</v>
      </c>
      <c r="L119" t="s">
        <v>244</v>
      </c>
      <c r="M119" t="s">
        <v>550</v>
      </c>
      <c r="N119" t="s">
        <v>37</v>
      </c>
      <c r="O119" s="6">
        <v>730855.3</v>
      </c>
      <c r="P119" s="2">
        <v>10000</v>
      </c>
      <c r="Q119">
        <v>0</v>
      </c>
      <c r="R119" t="s">
        <v>692</v>
      </c>
      <c r="S119" t="s">
        <v>38</v>
      </c>
      <c r="T119">
        <v>100</v>
      </c>
      <c r="U119" t="s">
        <v>40</v>
      </c>
      <c r="V119" t="s">
        <v>40</v>
      </c>
      <c r="W119" t="s">
        <v>40</v>
      </c>
      <c r="X119" t="s">
        <v>40</v>
      </c>
      <c r="Y119" t="s">
        <v>40</v>
      </c>
      <c r="Z119" s="5" t="s">
        <v>297</v>
      </c>
    </row>
    <row r="120" spans="1:26" ht="13.8" customHeight="1" x14ac:dyDescent="0.3">
      <c r="A120" t="s">
        <v>705</v>
      </c>
      <c r="B120" t="s">
        <v>706</v>
      </c>
      <c r="C120" t="s">
        <v>651</v>
      </c>
      <c r="D120" t="s">
        <v>659</v>
      </c>
      <c r="E120" t="s">
        <v>707</v>
      </c>
      <c r="F120" t="s">
        <v>654</v>
      </c>
      <c r="G120" t="s">
        <v>655</v>
      </c>
      <c r="H120" t="s">
        <v>31</v>
      </c>
      <c r="I120" t="s">
        <v>32</v>
      </c>
      <c r="J120" t="s">
        <v>661</v>
      </c>
      <c r="K120" t="s">
        <v>244</v>
      </c>
      <c r="L120" t="s">
        <v>244</v>
      </c>
      <c r="M120" t="s">
        <v>550</v>
      </c>
      <c r="N120" t="s">
        <v>37</v>
      </c>
      <c r="O120" s="6">
        <v>46908.9</v>
      </c>
      <c r="P120" s="2">
        <v>10000</v>
      </c>
      <c r="Q120">
        <v>0</v>
      </c>
      <c r="R120" t="s">
        <v>692</v>
      </c>
      <c r="S120" t="s">
        <v>38</v>
      </c>
      <c r="T120">
        <v>100</v>
      </c>
      <c r="U120" t="s">
        <v>40</v>
      </c>
      <c r="V120" t="s">
        <v>40</v>
      </c>
      <c r="W120" t="s">
        <v>40</v>
      </c>
      <c r="X120" t="s">
        <v>40</v>
      </c>
      <c r="Y120" t="s">
        <v>40</v>
      </c>
      <c r="Z120" s="5" t="s">
        <v>297</v>
      </c>
    </row>
    <row r="121" spans="1:26" ht="13.8" customHeight="1" x14ac:dyDescent="0.3">
      <c r="A121" t="s">
        <v>708</v>
      </c>
      <c r="B121" t="s">
        <v>709</v>
      </c>
      <c r="C121" t="s">
        <v>651</v>
      </c>
      <c r="D121" t="s">
        <v>659</v>
      </c>
      <c r="E121" t="s">
        <v>710</v>
      </c>
      <c r="F121" t="s">
        <v>654</v>
      </c>
      <c r="G121" t="s">
        <v>655</v>
      </c>
      <c r="H121" t="s">
        <v>31</v>
      </c>
      <c r="I121" t="s">
        <v>32</v>
      </c>
      <c r="J121" t="s">
        <v>661</v>
      </c>
      <c r="K121" t="s">
        <v>244</v>
      </c>
      <c r="L121" t="s">
        <v>244</v>
      </c>
      <c r="M121" t="s">
        <v>550</v>
      </c>
      <c r="N121" t="s">
        <v>37</v>
      </c>
      <c r="O121" s="6">
        <v>60927.7</v>
      </c>
      <c r="P121" s="2">
        <v>1000</v>
      </c>
      <c r="Q121">
        <v>0</v>
      </c>
      <c r="R121" t="s">
        <v>692</v>
      </c>
      <c r="S121" t="s">
        <v>38</v>
      </c>
      <c r="T121">
        <v>100</v>
      </c>
      <c r="U121" t="s">
        <v>40</v>
      </c>
      <c r="V121" t="s">
        <v>40</v>
      </c>
      <c r="W121" t="s">
        <v>40</v>
      </c>
      <c r="X121" t="s">
        <v>40</v>
      </c>
      <c r="Y121" t="s">
        <v>40</v>
      </c>
      <c r="Z121" s="5" t="s">
        <v>297</v>
      </c>
    </row>
    <row r="122" spans="1:26" ht="13.8" customHeight="1" x14ac:dyDescent="0.3">
      <c r="A122" t="s">
        <v>711</v>
      </c>
      <c r="B122" t="s">
        <v>712</v>
      </c>
      <c r="C122" t="s">
        <v>651</v>
      </c>
      <c r="D122" t="s">
        <v>659</v>
      </c>
      <c r="E122" t="s">
        <v>713</v>
      </c>
      <c r="F122" t="s">
        <v>654</v>
      </c>
      <c r="G122" t="s">
        <v>655</v>
      </c>
      <c r="H122" t="s">
        <v>31</v>
      </c>
      <c r="I122" t="s">
        <v>32</v>
      </c>
      <c r="J122" t="s">
        <v>661</v>
      </c>
      <c r="K122" t="s">
        <v>244</v>
      </c>
      <c r="L122" t="s">
        <v>244</v>
      </c>
      <c r="M122" t="s">
        <v>550</v>
      </c>
      <c r="N122" t="s">
        <v>37</v>
      </c>
      <c r="O122" s="6">
        <v>23073.9</v>
      </c>
      <c r="P122" s="2">
        <v>1000</v>
      </c>
      <c r="Q122">
        <v>0</v>
      </c>
      <c r="R122" t="s">
        <v>692</v>
      </c>
      <c r="S122" t="s">
        <v>38</v>
      </c>
      <c r="T122">
        <v>100</v>
      </c>
      <c r="U122" t="s">
        <v>40</v>
      </c>
      <c r="V122" t="s">
        <v>40</v>
      </c>
      <c r="W122" t="s">
        <v>40</v>
      </c>
      <c r="X122" t="s">
        <v>40</v>
      </c>
      <c r="Y122" t="s">
        <v>40</v>
      </c>
      <c r="Z122" s="5" t="s">
        <v>297</v>
      </c>
    </row>
    <row r="123" spans="1:26" ht="13.8" customHeight="1" x14ac:dyDescent="0.3">
      <c r="A123" s="1">
        <v>45932.425694444442</v>
      </c>
      <c r="B123" t="s">
        <v>714</v>
      </c>
      <c r="C123" t="s">
        <v>715</v>
      </c>
      <c r="D123" t="s">
        <v>716</v>
      </c>
      <c r="E123" t="s">
        <v>717</v>
      </c>
      <c r="F123" t="s">
        <v>407</v>
      </c>
      <c r="G123" t="s">
        <v>718</v>
      </c>
      <c r="H123" t="s">
        <v>31</v>
      </c>
      <c r="I123" t="s">
        <v>32</v>
      </c>
      <c r="J123" t="s">
        <v>597</v>
      </c>
      <c r="K123" t="s">
        <v>556</v>
      </c>
      <c r="L123" t="s">
        <v>557</v>
      </c>
      <c r="M123" t="s">
        <v>543</v>
      </c>
      <c r="N123" t="s">
        <v>37</v>
      </c>
      <c r="O123" s="6">
        <v>5800000</v>
      </c>
      <c r="P123" s="2">
        <v>1500000</v>
      </c>
      <c r="Q123">
        <v>0</v>
      </c>
      <c r="R123" s="3">
        <v>46362</v>
      </c>
      <c r="S123" t="s">
        <v>38</v>
      </c>
      <c r="T123">
        <v>100</v>
      </c>
      <c r="U123" t="s">
        <v>40</v>
      </c>
      <c r="V123" t="s">
        <v>40</v>
      </c>
      <c r="W123" t="s">
        <v>40</v>
      </c>
      <c r="X123" t="s">
        <v>40</v>
      </c>
      <c r="Y123" t="s">
        <v>719</v>
      </c>
      <c r="Z123" s="5" t="s">
        <v>246</v>
      </c>
    </row>
    <row r="124" spans="1:26" ht="13.8" customHeight="1" x14ac:dyDescent="0.3">
      <c r="A124" t="s">
        <v>720</v>
      </c>
      <c r="B124" t="s">
        <v>721</v>
      </c>
      <c r="C124" t="s">
        <v>715</v>
      </c>
      <c r="D124" t="s">
        <v>722</v>
      </c>
      <c r="E124" t="s">
        <v>723</v>
      </c>
      <c r="F124" t="s">
        <v>407</v>
      </c>
      <c r="G124" t="s">
        <v>718</v>
      </c>
      <c r="H124" t="s">
        <v>31</v>
      </c>
      <c r="I124" t="s">
        <v>32</v>
      </c>
      <c r="J124" t="s">
        <v>597</v>
      </c>
      <c r="K124" t="s">
        <v>556</v>
      </c>
      <c r="L124" t="s">
        <v>557</v>
      </c>
      <c r="M124" t="s">
        <v>543</v>
      </c>
      <c r="N124" t="s">
        <v>37</v>
      </c>
      <c r="O124" s="6">
        <v>5799996</v>
      </c>
      <c r="P124" s="2">
        <v>100000</v>
      </c>
      <c r="Q124">
        <v>0</v>
      </c>
      <c r="R124" t="s">
        <v>724</v>
      </c>
      <c r="S124" t="s">
        <v>38</v>
      </c>
      <c r="T124">
        <v>100</v>
      </c>
      <c r="U124" t="s">
        <v>725</v>
      </c>
      <c r="V124" t="s">
        <v>40</v>
      </c>
      <c r="W124" t="s">
        <v>40</v>
      </c>
      <c r="X124" t="s">
        <v>40</v>
      </c>
      <c r="Y124" t="s">
        <v>40</v>
      </c>
      <c r="Z124" s="5" t="s">
        <v>246</v>
      </c>
    </row>
    <row r="125" spans="1:26" ht="13.8" customHeight="1" x14ac:dyDescent="0.3">
      <c r="A125" t="s">
        <v>726</v>
      </c>
      <c r="B125" t="s">
        <v>727</v>
      </c>
      <c r="C125" t="s">
        <v>728</v>
      </c>
      <c r="D125" t="s">
        <v>729</v>
      </c>
      <c r="E125" t="s">
        <v>730</v>
      </c>
      <c r="F125" t="s">
        <v>425</v>
      </c>
      <c r="G125" t="s">
        <v>731</v>
      </c>
      <c r="H125" t="s">
        <v>31</v>
      </c>
      <c r="I125" t="s">
        <v>32</v>
      </c>
      <c r="J125" t="s">
        <v>656</v>
      </c>
      <c r="K125" t="s">
        <v>556</v>
      </c>
      <c r="L125" t="s">
        <v>557</v>
      </c>
      <c r="M125" t="s">
        <v>36</v>
      </c>
      <c r="N125" t="s">
        <v>37</v>
      </c>
      <c r="O125" s="6">
        <v>300000</v>
      </c>
      <c r="P125" s="2">
        <v>150000</v>
      </c>
      <c r="Q125">
        <v>0</v>
      </c>
      <c r="R125" s="3">
        <v>46085</v>
      </c>
      <c r="S125" t="s">
        <v>38</v>
      </c>
      <c r="T125">
        <v>90</v>
      </c>
      <c r="U125" t="s">
        <v>40</v>
      </c>
      <c r="V125" t="s">
        <v>40</v>
      </c>
      <c r="W125" t="s">
        <v>40</v>
      </c>
      <c r="X125" t="s">
        <v>40</v>
      </c>
      <c r="Y125" t="s">
        <v>40</v>
      </c>
      <c r="Z125" s="5" t="s">
        <v>32</v>
      </c>
    </row>
    <row r="126" spans="1:26" ht="13.8" customHeight="1" x14ac:dyDescent="0.3">
      <c r="A126" t="s">
        <v>732</v>
      </c>
      <c r="B126" t="s">
        <v>733</v>
      </c>
      <c r="C126" t="s">
        <v>429</v>
      </c>
      <c r="D126" t="s">
        <v>430</v>
      </c>
      <c r="E126" t="s">
        <v>734</v>
      </c>
      <c r="F126" t="s">
        <v>432</v>
      </c>
      <c r="G126" t="s">
        <v>735</v>
      </c>
      <c r="H126" t="s">
        <v>31</v>
      </c>
      <c r="I126" t="s">
        <v>32</v>
      </c>
      <c r="J126" t="s">
        <v>434</v>
      </c>
      <c r="K126" t="s">
        <v>556</v>
      </c>
      <c r="L126" t="s">
        <v>557</v>
      </c>
      <c r="M126" t="s">
        <v>36</v>
      </c>
      <c r="N126" t="s">
        <v>37</v>
      </c>
      <c r="O126" s="6">
        <v>245000</v>
      </c>
      <c r="P126" s="2">
        <v>50000</v>
      </c>
      <c r="Q126">
        <v>0</v>
      </c>
      <c r="R126" t="s">
        <v>736</v>
      </c>
      <c r="S126" t="s">
        <v>581</v>
      </c>
      <c r="T126">
        <v>100</v>
      </c>
      <c r="U126" t="s">
        <v>40</v>
      </c>
      <c r="V126" t="s">
        <v>40</v>
      </c>
      <c r="W126" t="s">
        <v>40</v>
      </c>
      <c r="X126" t="s">
        <v>40</v>
      </c>
      <c r="Y126" t="s">
        <v>40</v>
      </c>
      <c r="Z126" s="5" t="s">
        <v>436</v>
      </c>
    </row>
    <row r="127" spans="1:26" ht="13.8" customHeight="1" x14ac:dyDescent="0.3">
      <c r="A127" t="s">
        <v>737</v>
      </c>
      <c r="B127" t="s">
        <v>738</v>
      </c>
      <c r="C127" t="s">
        <v>739</v>
      </c>
      <c r="D127" t="s">
        <v>740</v>
      </c>
      <c r="E127" t="s">
        <v>741</v>
      </c>
      <c r="F127" t="s">
        <v>294</v>
      </c>
      <c r="G127" t="s">
        <v>294</v>
      </c>
      <c r="H127" t="s">
        <v>31</v>
      </c>
      <c r="I127" t="s">
        <v>32</v>
      </c>
      <c r="J127" t="s">
        <v>33</v>
      </c>
      <c r="K127" t="s">
        <v>34</v>
      </c>
      <c r="L127" t="s">
        <v>489</v>
      </c>
      <c r="M127" t="s">
        <v>36</v>
      </c>
      <c r="N127" t="s">
        <v>37</v>
      </c>
      <c r="O127" s="6">
        <v>138300</v>
      </c>
      <c r="P127" s="2">
        <v>10000</v>
      </c>
      <c r="Q127" s="2">
        <v>35397.480000000003</v>
      </c>
      <c r="R127" t="s">
        <v>494</v>
      </c>
      <c r="S127" t="s">
        <v>38</v>
      </c>
      <c r="T127">
        <v>100</v>
      </c>
      <c r="U127" t="s">
        <v>742</v>
      </c>
      <c r="V127" t="s">
        <v>40</v>
      </c>
      <c r="W127" t="s">
        <v>40</v>
      </c>
      <c r="X127" t="s">
        <v>40</v>
      </c>
      <c r="Y127" t="s">
        <v>40</v>
      </c>
      <c r="Z127" s="5" t="s">
        <v>297</v>
      </c>
    </row>
    <row r="128" spans="1:26" ht="13.8" customHeight="1" x14ac:dyDescent="0.3">
      <c r="A128" t="s">
        <v>743</v>
      </c>
      <c r="B128" t="s">
        <v>744</v>
      </c>
      <c r="C128" t="s">
        <v>745</v>
      </c>
      <c r="D128" t="s">
        <v>740</v>
      </c>
      <c r="E128" t="s">
        <v>746</v>
      </c>
      <c r="F128" t="s">
        <v>294</v>
      </c>
      <c r="G128" t="s">
        <v>294</v>
      </c>
      <c r="H128" t="s">
        <v>31</v>
      </c>
      <c r="I128" t="s">
        <v>32</v>
      </c>
      <c r="J128" t="s">
        <v>33</v>
      </c>
      <c r="K128" t="s">
        <v>34</v>
      </c>
      <c r="L128" t="s">
        <v>35</v>
      </c>
      <c r="M128" t="s">
        <v>36</v>
      </c>
      <c r="N128" t="s">
        <v>37</v>
      </c>
      <c r="O128" s="6">
        <v>3500</v>
      </c>
      <c r="P128" s="2">
        <v>1200</v>
      </c>
      <c r="Q128" s="2">
        <v>1200</v>
      </c>
      <c r="R128" t="s">
        <v>747</v>
      </c>
      <c r="S128" t="s">
        <v>38</v>
      </c>
      <c r="T128">
        <v>100</v>
      </c>
      <c r="U128" t="s">
        <v>748</v>
      </c>
      <c r="V128" t="s">
        <v>40</v>
      </c>
      <c r="W128" t="s">
        <v>40</v>
      </c>
      <c r="X128" t="s">
        <v>40</v>
      </c>
      <c r="Y128" t="s">
        <v>40</v>
      </c>
      <c r="Z128" s="5" t="s">
        <v>297</v>
      </c>
    </row>
    <row r="129" spans="1:26" ht="13.8" customHeight="1" x14ac:dyDescent="0.3">
      <c r="A129" t="s">
        <v>749</v>
      </c>
      <c r="B129" t="s">
        <v>750</v>
      </c>
      <c r="C129" t="s">
        <v>745</v>
      </c>
      <c r="D129" t="s">
        <v>740</v>
      </c>
      <c r="E129" t="s">
        <v>751</v>
      </c>
      <c r="F129" t="s">
        <v>294</v>
      </c>
      <c r="G129" t="s">
        <v>294</v>
      </c>
      <c r="H129" t="s">
        <v>31</v>
      </c>
      <c r="I129" t="s">
        <v>32</v>
      </c>
      <c r="J129" t="s">
        <v>33</v>
      </c>
      <c r="K129" t="s">
        <v>34</v>
      </c>
      <c r="L129" t="s">
        <v>35</v>
      </c>
      <c r="M129" t="s">
        <v>36</v>
      </c>
      <c r="N129" t="s">
        <v>37</v>
      </c>
      <c r="O129" s="6">
        <v>3800</v>
      </c>
      <c r="P129">
        <v>500</v>
      </c>
      <c r="Q129" s="2">
        <v>5000</v>
      </c>
      <c r="R129" t="s">
        <v>263</v>
      </c>
      <c r="S129" t="s">
        <v>38</v>
      </c>
      <c r="T129">
        <v>100</v>
      </c>
      <c r="U129" t="s">
        <v>752</v>
      </c>
      <c r="V129" t="s">
        <v>40</v>
      </c>
      <c r="W129" t="s">
        <v>40</v>
      </c>
      <c r="X129" t="s">
        <v>40</v>
      </c>
      <c r="Y129" t="s">
        <v>40</v>
      </c>
      <c r="Z129" s="5" t="s">
        <v>297</v>
      </c>
    </row>
    <row r="130" spans="1:26" ht="13.8" customHeight="1" x14ac:dyDescent="0.3">
      <c r="A130" t="s">
        <v>753</v>
      </c>
      <c r="B130" t="s">
        <v>754</v>
      </c>
      <c r="C130" t="s">
        <v>755</v>
      </c>
      <c r="D130" t="s">
        <v>756</v>
      </c>
      <c r="E130" t="s">
        <v>757</v>
      </c>
      <c r="F130" t="s">
        <v>294</v>
      </c>
      <c r="G130" t="s">
        <v>294</v>
      </c>
      <c r="H130" t="s">
        <v>31</v>
      </c>
      <c r="I130" t="s">
        <v>32</v>
      </c>
      <c r="J130" t="s">
        <v>33</v>
      </c>
      <c r="K130" t="s">
        <v>34</v>
      </c>
      <c r="L130" t="s">
        <v>466</v>
      </c>
      <c r="M130" t="s">
        <v>399</v>
      </c>
      <c r="N130" t="s">
        <v>37</v>
      </c>
      <c r="O130" s="6">
        <v>72000</v>
      </c>
      <c r="P130" s="2">
        <v>2000</v>
      </c>
      <c r="Q130" s="2">
        <v>6350</v>
      </c>
      <c r="R130" t="s">
        <v>123</v>
      </c>
      <c r="S130" t="s">
        <v>38</v>
      </c>
      <c r="T130">
        <v>100</v>
      </c>
      <c r="U130" t="s">
        <v>758</v>
      </c>
      <c r="V130" t="s">
        <v>40</v>
      </c>
      <c r="W130" t="s">
        <v>40</v>
      </c>
      <c r="X130" t="s">
        <v>40</v>
      </c>
      <c r="Y130" t="s">
        <v>40</v>
      </c>
      <c r="Z130" s="5" t="s">
        <v>297</v>
      </c>
    </row>
    <row r="131" spans="1:26" ht="13.8" customHeight="1" x14ac:dyDescent="0.3">
      <c r="A131" t="s">
        <v>759</v>
      </c>
      <c r="B131" t="s">
        <v>760</v>
      </c>
      <c r="C131" t="s">
        <v>761</v>
      </c>
      <c r="D131" t="s">
        <v>762</v>
      </c>
      <c r="E131" t="s">
        <v>763</v>
      </c>
      <c r="F131" t="s">
        <v>312</v>
      </c>
      <c r="G131" t="s">
        <v>764</v>
      </c>
      <c r="H131" t="s">
        <v>31</v>
      </c>
      <c r="I131" t="s">
        <v>32</v>
      </c>
      <c r="J131" t="s">
        <v>765</v>
      </c>
      <c r="K131" t="s">
        <v>34</v>
      </c>
      <c r="L131" t="s">
        <v>466</v>
      </c>
      <c r="M131" t="s">
        <v>54</v>
      </c>
      <c r="N131" t="s">
        <v>37</v>
      </c>
      <c r="O131" s="6">
        <v>13172000</v>
      </c>
      <c r="P131" s="2">
        <v>904576</v>
      </c>
      <c r="Q131" s="2">
        <v>917600</v>
      </c>
      <c r="R131" t="s">
        <v>296</v>
      </c>
      <c r="S131" t="s">
        <v>38</v>
      </c>
      <c r="T131">
        <v>100</v>
      </c>
      <c r="U131" t="s">
        <v>766</v>
      </c>
      <c r="V131" t="s">
        <v>40</v>
      </c>
      <c r="W131" t="s">
        <v>40</v>
      </c>
      <c r="X131" t="s">
        <v>40</v>
      </c>
      <c r="Y131" t="s">
        <v>40</v>
      </c>
      <c r="Z131" s="5" t="s">
        <v>246</v>
      </c>
    </row>
    <row r="132" spans="1:26" ht="13.8" customHeight="1" x14ac:dyDescent="0.3">
      <c r="A132" t="s">
        <v>767</v>
      </c>
      <c r="B132" t="s">
        <v>768</v>
      </c>
      <c r="C132" t="s">
        <v>769</v>
      </c>
      <c r="D132" t="s">
        <v>770</v>
      </c>
      <c r="E132" t="s">
        <v>771</v>
      </c>
      <c r="F132" t="s">
        <v>312</v>
      </c>
      <c r="G132" t="s">
        <v>764</v>
      </c>
      <c r="H132" t="s">
        <v>31</v>
      </c>
      <c r="I132" t="s">
        <v>32</v>
      </c>
      <c r="J132" t="s">
        <v>765</v>
      </c>
      <c r="K132" t="s">
        <v>34</v>
      </c>
      <c r="L132" t="s">
        <v>466</v>
      </c>
      <c r="M132" t="s">
        <v>399</v>
      </c>
      <c r="N132" t="s">
        <v>37</v>
      </c>
      <c r="O132" s="6">
        <v>1141000</v>
      </c>
      <c r="P132" s="2">
        <v>50000</v>
      </c>
      <c r="Q132" s="2">
        <v>59507</v>
      </c>
      <c r="R132" t="s">
        <v>772</v>
      </c>
      <c r="S132" t="s">
        <v>38</v>
      </c>
      <c r="T132">
        <v>100</v>
      </c>
      <c r="U132" t="s">
        <v>773</v>
      </c>
      <c r="V132" t="s">
        <v>40</v>
      </c>
      <c r="W132" t="s">
        <v>40</v>
      </c>
      <c r="X132" t="s">
        <v>40</v>
      </c>
      <c r="Y132" t="s">
        <v>40</v>
      </c>
      <c r="Z132" s="5" t="s">
        <v>246</v>
      </c>
    </row>
    <row r="133" spans="1:26" ht="13.8" customHeight="1" x14ac:dyDescent="0.3">
      <c r="A133" t="s">
        <v>774</v>
      </c>
      <c r="B133" t="s">
        <v>775</v>
      </c>
      <c r="C133" t="s">
        <v>776</v>
      </c>
      <c r="D133" t="s">
        <v>777</v>
      </c>
      <c r="E133" t="s">
        <v>778</v>
      </c>
      <c r="F133" t="s">
        <v>630</v>
      </c>
      <c r="G133" t="s">
        <v>630</v>
      </c>
      <c r="H133" t="s">
        <v>31</v>
      </c>
      <c r="I133" t="s">
        <v>32</v>
      </c>
      <c r="J133" t="s">
        <v>33</v>
      </c>
      <c r="K133" t="s">
        <v>34</v>
      </c>
      <c r="L133" t="s">
        <v>222</v>
      </c>
      <c r="M133" t="s">
        <v>36</v>
      </c>
      <c r="N133" t="s">
        <v>37</v>
      </c>
      <c r="O133" s="6">
        <v>6300000</v>
      </c>
      <c r="P133" s="2">
        <v>750000</v>
      </c>
      <c r="Q133" s="2">
        <v>750000</v>
      </c>
      <c r="R133" t="s">
        <v>632</v>
      </c>
      <c r="S133" t="s">
        <v>38</v>
      </c>
      <c r="T133">
        <v>100</v>
      </c>
      <c r="U133" t="s">
        <v>779</v>
      </c>
      <c r="V133" t="s">
        <v>40</v>
      </c>
      <c r="W133" t="s">
        <v>40</v>
      </c>
      <c r="X133" t="s">
        <v>40</v>
      </c>
      <c r="Y133" t="s">
        <v>780</v>
      </c>
      <c r="Z133" s="5" t="s">
        <v>246</v>
      </c>
    </row>
    <row r="134" spans="1:26" ht="13.8" customHeight="1" x14ac:dyDescent="0.3">
      <c r="A134" t="s">
        <v>781</v>
      </c>
      <c r="B134" t="s">
        <v>782</v>
      </c>
      <c r="C134" t="s">
        <v>783</v>
      </c>
      <c r="D134" t="s">
        <v>784</v>
      </c>
      <c r="E134" t="s">
        <v>785</v>
      </c>
      <c r="F134" t="s">
        <v>630</v>
      </c>
      <c r="G134" t="s">
        <v>630</v>
      </c>
      <c r="H134" t="s">
        <v>31</v>
      </c>
      <c r="I134" t="s">
        <v>32</v>
      </c>
      <c r="J134" t="s">
        <v>33</v>
      </c>
      <c r="K134" t="s">
        <v>34</v>
      </c>
      <c r="L134" t="s">
        <v>222</v>
      </c>
      <c r="M134" t="s">
        <v>36</v>
      </c>
      <c r="N134" t="s">
        <v>37</v>
      </c>
      <c r="O134" s="6">
        <v>362142</v>
      </c>
      <c r="P134" s="2">
        <v>21142</v>
      </c>
      <c r="Q134" s="2">
        <v>21142.44</v>
      </c>
      <c r="R134" s="3">
        <v>46361</v>
      </c>
      <c r="S134" t="s">
        <v>38</v>
      </c>
      <c r="T134">
        <v>100</v>
      </c>
      <c r="U134" t="s">
        <v>786</v>
      </c>
      <c r="V134" t="s">
        <v>40</v>
      </c>
      <c r="W134" t="s">
        <v>40</v>
      </c>
      <c r="X134" t="s">
        <v>40</v>
      </c>
      <c r="Y134" t="s">
        <v>40</v>
      </c>
      <c r="Z134" s="5" t="s">
        <v>246</v>
      </c>
    </row>
    <row r="135" spans="1:26" ht="13.8" customHeight="1" x14ac:dyDescent="0.3">
      <c r="A135" s="1">
        <v>46207.655555555553</v>
      </c>
      <c r="B135" t="s">
        <v>787</v>
      </c>
      <c r="C135" t="s">
        <v>788</v>
      </c>
      <c r="D135" t="s">
        <v>789</v>
      </c>
      <c r="E135" t="s">
        <v>790</v>
      </c>
      <c r="F135" t="s">
        <v>630</v>
      </c>
      <c r="G135" t="s">
        <v>630</v>
      </c>
      <c r="H135" t="s">
        <v>31</v>
      </c>
      <c r="I135" t="s">
        <v>32</v>
      </c>
      <c r="J135" t="s">
        <v>33</v>
      </c>
      <c r="K135" t="s">
        <v>34</v>
      </c>
      <c r="L135" t="s">
        <v>222</v>
      </c>
      <c r="M135" t="s">
        <v>36</v>
      </c>
      <c r="N135" t="s">
        <v>37</v>
      </c>
      <c r="O135" s="6">
        <v>168000</v>
      </c>
      <c r="P135" s="2">
        <v>17500</v>
      </c>
      <c r="Q135" s="2">
        <v>17500</v>
      </c>
      <c r="R135" s="3">
        <v>46207</v>
      </c>
      <c r="S135" t="s">
        <v>38</v>
      </c>
      <c r="T135">
        <v>100</v>
      </c>
      <c r="U135" t="s">
        <v>791</v>
      </c>
      <c r="V135" t="s">
        <v>40</v>
      </c>
      <c r="W135" t="s">
        <v>40</v>
      </c>
      <c r="X135" t="s">
        <v>40</v>
      </c>
      <c r="Y135" t="s">
        <v>40</v>
      </c>
      <c r="Z135" s="5" t="s">
        <v>246</v>
      </c>
    </row>
    <row r="136" spans="1:26" ht="13.8" customHeight="1" x14ac:dyDescent="0.3">
      <c r="A136" s="1">
        <v>46207.675000000003</v>
      </c>
      <c r="B136" t="s">
        <v>792</v>
      </c>
      <c r="C136" t="s">
        <v>788</v>
      </c>
      <c r="D136" t="s">
        <v>789</v>
      </c>
      <c r="E136" t="s">
        <v>793</v>
      </c>
      <c r="F136" t="s">
        <v>630</v>
      </c>
      <c r="G136" t="s">
        <v>630</v>
      </c>
      <c r="H136" t="s">
        <v>31</v>
      </c>
      <c r="I136" t="s">
        <v>32</v>
      </c>
      <c r="J136" t="s">
        <v>33</v>
      </c>
      <c r="K136" t="s">
        <v>34</v>
      </c>
      <c r="L136" t="s">
        <v>222</v>
      </c>
      <c r="M136" t="s">
        <v>36</v>
      </c>
      <c r="N136" t="s">
        <v>37</v>
      </c>
      <c r="O136" s="6">
        <v>192000</v>
      </c>
      <c r="P136" s="2">
        <v>20000</v>
      </c>
      <c r="Q136" s="2">
        <v>20000</v>
      </c>
      <c r="R136" s="3">
        <v>46207</v>
      </c>
      <c r="S136" t="s">
        <v>38</v>
      </c>
      <c r="T136">
        <v>100</v>
      </c>
      <c r="U136" t="s">
        <v>794</v>
      </c>
      <c r="V136" t="s">
        <v>40</v>
      </c>
      <c r="W136" t="s">
        <v>40</v>
      </c>
      <c r="X136" t="s">
        <v>40</v>
      </c>
      <c r="Y136" t="s">
        <v>40</v>
      </c>
      <c r="Z136" s="5" t="s">
        <v>246</v>
      </c>
    </row>
    <row r="137" spans="1:26" ht="13.8" customHeight="1" x14ac:dyDescent="0.3">
      <c r="A137" s="1">
        <v>46238.697916666664</v>
      </c>
      <c r="B137" t="s">
        <v>795</v>
      </c>
      <c r="C137" t="s">
        <v>788</v>
      </c>
      <c r="D137" t="s">
        <v>789</v>
      </c>
      <c r="E137" t="s">
        <v>796</v>
      </c>
      <c r="F137" t="s">
        <v>630</v>
      </c>
      <c r="G137" t="s">
        <v>630</v>
      </c>
      <c r="H137" t="s">
        <v>31</v>
      </c>
      <c r="I137" t="s">
        <v>32</v>
      </c>
      <c r="J137" t="s">
        <v>33</v>
      </c>
      <c r="K137" t="s">
        <v>34</v>
      </c>
      <c r="L137" t="s">
        <v>222</v>
      </c>
      <c r="M137" t="s">
        <v>36</v>
      </c>
      <c r="N137" t="s">
        <v>37</v>
      </c>
      <c r="O137" s="6">
        <v>192000</v>
      </c>
      <c r="P137" s="2">
        <v>20000</v>
      </c>
      <c r="Q137" s="2">
        <v>20000</v>
      </c>
      <c r="R137" s="3">
        <v>46238</v>
      </c>
      <c r="S137" t="s">
        <v>38</v>
      </c>
      <c r="T137">
        <v>100</v>
      </c>
      <c r="U137" t="s">
        <v>797</v>
      </c>
      <c r="V137" t="s">
        <v>40</v>
      </c>
      <c r="W137" t="s">
        <v>40</v>
      </c>
      <c r="X137" t="s">
        <v>40</v>
      </c>
      <c r="Y137" t="s">
        <v>40</v>
      </c>
      <c r="Z137" s="5" t="s">
        <v>246</v>
      </c>
    </row>
    <row r="138" spans="1:26" ht="13.8" customHeight="1" x14ac:dyDescent="0.3">
      <c r="A138" s="1">
        <v>46238.70416666667</v>
      </c>
      <c r="B138" t="s">
        <v>798</v>
      </c>
      <c r="C138" t="s">
        <v>788</v>
      </c>
      <c r="D138" t="s">
        <v>789</v>
      </c>
      <c r="E138" t="s">
        <v>799</v>
      </c>
      <c r="F138" t="s">
        <v>630</v>
      </c>
      <c r="G138" t="s">
        <v>630</v>
      </c>
      <c r="H138" t="s">
        <v>31</v>
      </c>
      <c r="I138" t="s">
        <v>32</v>
      </c>
      <c r="J138" t="s">
        <v>33</v>
      </c>
      <c r="K138" t="s">
        <v>34</v>
      </c>
      <c r="L138" t="s">
        <v>222</v>
      </c>
      <c r="M138" t="s">
        <v>36</v>
      </c>
      <c r="N138" t="s">
        <v>37</v>
      </c>
      <c r="O138" s="6">
        <v>192000</v>
      </c>
      <c r="P138" s="2">
        <v>20000</v>
      </c>
      <c r="Q138" s="2">
        <v>20000</v>
      </c>
      <c r="R138" s="3">
        <v>46238</v>
      </c>
      <c r="S138" t="s">
        <v>38</v>
      </c>
      <c r="T138">
        <v>100</v>
      </c>
      <c r="U138" t="s">
        <v>800</v>
      </c>
      <c r="V138" t="s">
        <v>40</v>
      </c>
      <c r="W138" t="s">
        <v>40</v>
      </c>
      <c r="X138" t="s">
        <v>40</v>
      </c>
      <c r="Y138" t="s">
        <v>40</v>
      </c>
      <c r="Z138" s="5" t="s">
        <v>246</v>
      </c>
    </row>
    <row r="139" spans="1:26" ht="13.8" customHeight="1" x14ac:dyDescent="0.3">
      <c r="A139" s="1">
        <v>46238.706944444442</v>
      </c>
      <c r="B139" t="s">
        <v>801</v>
      </c>
      <c r="C139" t="s">
        <v>788</v>
      </c>
      <c r="D139" t="s">
        <v>789</v>
      </c>
      <c r="E139" t="s">
        <v>802</v>
      </c>
      <c r="F139" t="s">
        <v>630</v>
      </c>
      <c r="G139" t="s">
        <v>630</v>
      </c>
      <c r="H139" t="s">
        <v>31</v>
      </c>
      <c r="I139" t="s">
        <v>32</v>
      </c>
      <c r="J139" t="s">
        <v>33</v>
      </c>
      <c r="K139" t="s">
        <v>34</v>
      </c>
      <c r="L139" t="s">
        <v>222</v>
      </c>
      <c r="M139" t="s">
        <v>36</v>
      </c>
      <c r="N139" t="s">
        <v>37</v>
      </c>
      <c r="O139" s="6">
        <v>192000</v>
      </c>
      <c r="P139" s="2">
        <v>20000</v>
      </c>
      <c r="Q139" s="2">
        <v>20000</v>
      </c>
      <c r="R139" s="3">
        <v>46238</v>
      </c>
      <c r="S139" t="s">
        <v>38</v>
      </c>
      <c r="T139">
        <v>100</v>
      </c>
      <c r="U139" t="s">
        <v>803</v>
      </c>
      <c r="V139" t="s">
        <v>40</v>
      </c>
      <c r="W139" t="s">
        <v>40</v>
      </c>
      <c r="X139" t="s">
        <v>40</v>
      </c>
      <c r="Y139" t="s">
        <v>40</v>
      </c>
      <c r="Z139" s="5" t="s">
        <v>246</v>
      </c>
    </row>
    <row r="140" spans="1:26" ht="13.8" customHeight="1" x14ac:dyDescent="0.3">
      <c r="A140" s="1">
        <v>46238.711111111108</v>
      </c>
      <c r="B140" t="s">
        <v>804</v>
      </c>
      <c r="C140" t="s">
        <v>788</v>
      </c>
      <c r="D140" t="s">
        <v>789</v>
      </c>
      <c r="E140" t="s">
        <v>805</v>
      </c>
      <c r="F140" t="s">
        <v>630</v>
      </c>
      <c r="G140" t="s">
        <v>630</v>
      </c>
      <c r="H140" t="s">
        <v>31</v>
      </c>
      <c r="I140" t="s">
        <v>32</v>
      </c>
      <c r="J140" t="s">
        <v>33</v>
      </c>
      <c r="K140" t="s">
        <v>34</v>
      </c>
      <c r="L140" t="s">
        <v>222</v>
      </c>
      <c r="M140" t="s">
        <v>36</v>
      </c>
      <c r="N140" t="s">
        <v>37</v>
      </c>
      <c r="O140" s="6">
        <v>192000</v>
      </c>
      <c r="P140" s="2">
        <v>20000</v>
      </c>
      <c r="Q140" s="2">
        <v>20000</v>
      </c>
      <c r="R140" s="3">
        <v>46238</v>
      </c>
      <c r="S140" t="s">
        <v>38</v>
      </c>
      <c r="T140">
        <v>100</v>
      </c>
      <c r="U140" t="s">
        <v>806</v>
      </c>
      <c r="V140" t="s">
        <v>40</v>
      </c>
      <c r="W140" t="s">
        <v>40</v>
      </c>
      <c r="X140" t="s">
        <v>40</v>
      </c>
      <c r="Y140" t="s">
        <v>40</v>
      </c>
      <c r="Z140" s="5" t="s">
        <v>246</v>
      </c>
    </row>
    <row r="141" spans="1:26" ht="13.8" customHeight="1" x14ac:dyDescent="0.3">
      <c r="A141" s="1">
        <v>46238.731944444444</v>
      </c>
      <c r="B141" t="s">
        <v>807</v>
      </c>
      <c r="C141" t="s">
        <v>788</v>
      </c>
      <c r="D141" t="s">
        <v>789</v>
      </c>
      <c r="E141" t="s">
        <v>808</v>
      </c>
      <c r="F141" t="s">
        <v>630</v>
      </c>
      <c r="G141" t="s">
        <v>630</v>
      </c>
      <c r="H141" t="s">
        <v>31</v>
      </c>
      <c r="I141" t="s">
        <v>32</v>
      </c>
      <c r="J141" t="s">
        <v>33</v>
      </c>
      <c r="K141" t="s">
        <v>34</v>
      </c>
      <c r="L141" t="s">
        <v>222</v>
      </c>
      <c r="M141" t="s">
        <v>36</v>
      </c>
      <c r="N141" t="s">
        <v>37</v>
      </c>
      <c r="O141" s="6">
        <v>120000</v>
      </c>
      <c r="P141" s="2">
        <v>12500</v>
      </c>
      <c r="Q141" s="2">
        <v>12500</v>
      </c>
      <c r="R141" s="3">
        <v>46238</v>
      </c>
      <c r="S141" t="s">
        <v>38</v>
      </c>
      <c r="T141">
        <v>100</v>
      </c>
      <c r="U141" t="s">
        <v>809</v>
      </c>
      <c r="V141" t="s">
        <v>40</v>
      </c>
      <c r="W141" t="s">
        <v>40</v>
      </c>
      <c r="X141" t="s">
        <v>40</v>
      </c>
      <c r="Y141" t="s">
        <v>40</v>
      </c>
      <c r="Z141" s="5" t="s">
        <v>246</v>
      </c>
    </row>
    <row r="142" spans="1:26" ht="13.8" customHeight="1" x14ac:dyDescent="0.3">
      <c r="A142" s="1">
        <v>46269.700694444444</v>
      </c>
      <c r="B142" t="s">
        <v>810</v>
      </c>
      <c r="C142" t="s">
        <v>788</v>
      </c>
      <c r="D142" t="s">
        <v>789</v>
      </c>
      <c r="E142" t="s">
        <v>811</v>
      </c>
      <c r="F142" t="s">
        <v>630</v>
      </c>
      <c r="G142" t="s">
        <v>630</v>
      </c>
      <c r="H142" t="s">
        <v>31</v>
      </c>
      <c r="I142" t="s">
        <v>32</v>
      </c>
      <c r="J142" t="s">
        <v>33</v>
      </c>
      <c r="K142" t="s">
        <v>34</v>
      </c>
      <c r="L142" t="s">
        <v>222</v>
      </c>
      <c r="M142" t="s">
        <v>36</v>
      </c>
      <c r="N142" t="s">
        <v>37</v>
      </c>
      <c r="O142" s="6">
        <v>177000</v>
      </c>
      <c r="P142" s="2">
        <v>22000</v>
      </c>
      <c r="Q142" s="2">
        <v>22000</v>
      </c>
      <c r="R142" s="3">
        <v>46269</v>
      </c>
      <c r="S142" t="s">
        <v>38</v>
      </c>
      <c r="T142">
        <v>100</v>
      </c>
      <c r="U142" t="s">
        <v>812</v>
      </c>
      <c r="V142" t="s">
        <v>40</v>
      </c>
      <c r="W142" t="s">
        <v>40</v>
      </c>
      <c r="X142" t="s">
        <v>40</v>
      </c>
      <c r="Y142" t="s">
        <v>40</v>
      </c>
      <c r="Z142" s="5" t="s">
        <v>246</v>
      </c>
    </row>
    <row r="143" spans="1:26" ht="13.8" customHeight="1" x14ac:dyDescent="0.3">
      <c r="A143" s="1">
        <v>46269.711111111108</v>
      </c>
      <c r="B143" t="s">
        <v>813</v>
      </c>
      <c r="C143" t="s">
        <v>788</v>
      </c>
      <c r="D143" t="s">
        <v>789</v>
      </c>
      <c r="E143" t="s">
        <v>814</v>
      </c>
      <c r="F143" t="s">
        <v>630</v>
      </c>
      <c r="G143" t="s">
        <v>630</v>
      </c>
      <c r="H143" t="s">
        <v>31</v>
      </c>
      <c r="I143" t="s">
        <v>32</v>
      </c>
      <c r="J143" t="s">
        <v>33</v>
      </c>
      <c r="K143" t="s">
        <v>34</v>
      </c>
      <c r="L143" t="s">
        <v>222</v>
      </c>
      <c r="M143" t="s">
        <v>36</v>
      </c>
      <c r="N143" t="s">
        <v>37</v>
      </c>
      <c r="O143" s="6">
        <v>192000</v>
      </c>
      <c r="P143" s="2">
        <v>20000</v>
      </c>
      <c r="Q143" s="2">
        <v>20000</v>
      </c>
      <c r="R143" s="3">
        <v>46269</v>
      </c>
      <c r="S143" t="s">
        <v>38</v>
      </c>
      <c r="T143">
        <v>100</v>
      </c>
      <c r="U143" t="s">
        <v>815</v>
      </c>
      <c r="V143" t="s">
        <v>40</v>
      </c>
      <c r="W143" t="s">
        <v>40</v>
      </c>
      <c r="X143" t="s">
        <v>40</v>
      </c>
      <c r="Y143" t="s">
        <v>40</v>
      </c>
      <c r="Z143" s="5" t="s">
        <v>246</v>
      </c>
    </row>
    <row r="144" spans="1:26" ht="13.8" customHeight="1" x14ac:dyDescent="0.3">
      <c r="A144" s="1">
        <v>46269.717361111114</v>
      </c>
      <c r="B144" t="s">
        <v>816</v>
      </c>
      <c r="C144" t="s">
        <v>788</v>
      </c>
      <c r="D144" t="s">
        <v>789</v>
      </c>
      <c r="E144" t="s">
        <v>817</v>
      </c>
      <c r="F144" t="s">
        <v>630</v>
      </c>
      <c r="G144" t="s">
        <v>630</v>
      </c>
      <c r="H144" t="s">
        <v>31</v>
      </c>
      <c r="I144" t="s">
        <v>32</v>
      </c>
      <c r="J144" t="s">
        <v>33</v>
      </c>
      <c r="K144" t="s">
        <v>34</v>
      </c>
      <c r="L144" t="s">
        <v>222</v>
      </c>
      <c r="M144" t="s">
        <v>36</v>
      </c>
      <c r="N144" t="s">
        <v>37</v>
      </c>
      <c r="O144" s="6">
        <v>192000</v>
      </c>
      <c r="P144" s="2">
        <v>20000</v>
      </c>
      <c r="Q144" s="2">
        <v>20000</v>
      </c>
      <c r="R144" s="3">
        <v>46269</v>
      </c>
      <c r="S144" t="s">
        <v>38</v>
      </c>
      <c r="T144">
        <v>100</v>
      </c>
      <c r="U144" t="s">
        <v>818</v>
      </c>
      <c r="V144" t="s">
        <v>40</v>
      </c>
      <c r="W144" t="s">
        <v>40</v>
      </c>
      <c r="X144" t="s">
        <v>40</v>
      </c>
      <c r="Y144" t="s">
        <v>40</v>
      </c>
      <c r="Z144" s="5" t="s">
        <v>246</v>
      </c>
    </row>
    <row r="145" spans="1:26" ht="13.8" customHeight="1" x14ac:dyDescent="0.3">
      <c r="A145" s="1">
        <v>46269.738888888889</v>
      </c>
      <c r="B145" t="s">
        <v>819</v>
      </c>
      <c r="C145" t="s">
        <v>788</v>
      </c>
      <c r="D145" t="s">
        <v>789</v>
      </c>
      <c r="E145" t="s">
        <v>820</v>
      </c>
      <c r="F145" t="s">
        <v>630</v>
      </c>
      <c r="G145" t="s">
        <v>630</v>
      </c>
      <c r="H145" t="s">
        <v>31</v>
      </c>
      <c r="I145" t="s">
        <v>32</v>
      </c>
      <c r="J145" t="s">
        <v>33</v>
      </c>
      <c r="K145" t="s">
        <v>34</v>
      </c>
      <c r="L145" t="s">
        <v>222</v>
      </c>
      <c r="M145" t="s">
        <v>36</v>
      </c>
      <c r="N145" t="s">
        <v>37</v>
      </c>
      <c r="O145" s="6">
        <v>192000</v>
      </c>
      <c r="P145" s="2">
        <v>20000</v>
      </c>
      <c r="Q145" s="2">
        <v>20000</v>
      </c>
      <c r="R145" s="3">
        <v>46269</v>
      </c>
      <c r="S145" t="s">
        <v>38</v>
      </c>
      <c r="T145">
        <v>100</v>
      </c>
      <c r="U145" t="s">
        <v>821</v>
      </c>
      <c r="V145" t="s">
        <v>40</v>
      </c>
      <c r="W145" t="s">
        <v>40</v>
      </c>
      <c r="X145" t="s">
        <v>40</v>
      </c>
      <c r="Y145" t="s">
        <v>40</v>
      </c>
      <c r="Z145" s="5" t="s">
        <v>246</v>
      </c>
    </row>
    <row r="146" spans="1:26" ht="13.8" customHeight="1" x14ac:dyDescent="0.3">
      <c r="A146" s="1">
        <v>46299.675694444442</v>
      </c>
      <c r="B146" t="s">
        <v>822</v>
      </c>
      <c r="C146" t="s">
        <v>788</v>
      </c>
      <c r="D146" t="s">
        <v>789</v>
      </c>
      <c r="E146" t="s">
        <v>823</v>
      </c>
      <c r="F146" t="s">
        <v>630</v>
      </c>
      <c r="G146" t="s">
        <v>630</v>
      </c>
      <c r="H146" t="s">
        <v>31</v>
      </c>
      <c r="I146" t="s">
        <v>32</v>
      </c>
      <c r="J146" t="s">
        <v>33</v>
      </c>
      <c r="K146" t="s">
        <v>34</v>
      </c>
      <c r="L146" t="s">
        <v>222</v>
      </c>
      <c r="M146" t="s">
        <v>36</v>
      </c>
      <c r="N146" t="s">
        <v>37</v>
      </c>
      <c r="O146" s="6">
        <v>192000</v>
      </c>
      <c r="P146" s="2">
        <v>20000</v>
      </c>
      <c r="Q146" s="2">
        <v>20000</v>
      </c>
      <c r="R146" s="3">
        <v>46299</v>
      </c>
      <c r="S146" t="s">
        <v>38</v>
      </c>
      <c r="T146">
        <v>100</v>
      </c>
      <c r="U146" t="s">
        <v>824</v>
      </c>
      <c r="V146" t="s">
        <v>40</v>
      </c>
      <c r="W146" t="s">
        <v>40</v>
      </c>
      <c r="X146" t="s">
        <v>40</v>
      </c>
      <c r="Y146" t="s">
        <v>40</v>
      </c>
      <c r="Z146" s="5" t="s">
        <v>246</v>
      </c>
    </row>
    <row r="147" spans="1:26" ht="13.8" customHeight="1" x14ac:dyDescent="0.3">
      <c r="A147" s="1">
        <v>46299.695138888892</v>
      </c>
      <c r="B147" t="s">
        <v>825</v>
      </c>
      <c r="C147" t="s">
        <v>788</v>
      </c>
      <c r="D147" t="s">
        <v>789</v>
      </c>
      <c r="E147" t="s">
        <v>826</v>
      </c>
      <c r="F147" t="s">
        <v>630</v>
      </c>
      <c r="G147" t="s">
        <v>630</v>
      </c>
      <c r="H147" t="s">
        <v>31</v>
      </c>
      <c r="I147" t="s">
        <v>32</v>
      </c>
      <c r="J147" t="s">
        <v>33</v>
      </c>
      <c r="K147" t="s">
        <v>34</v>
      </c>
      <c r="L147" t="s">
        <v>222</v>
      </c>
      <c r="M147" t="s">
        <v>36</v>
      </c>
      <c r="N147" t="s">
        <v>37</v>
      </c>
      <c r="O147" s="6">
        <v>192000</v>
      </c>
      <c r="P147" s="2">
        <v>20000</v>
      </c>
      <c r="Q147" s="2">
        <v>20000</v>
      </c>
      <c r="R147" s="3">
        <v>46299</v>
      </c>
      <c r="S147" t="s">
        <v>38</v>
      </c>
      <c r="T147">
        <v>100</v>
      </c>
      <c r="U147" t="s">
        <v>827</v>
      </c>
      <c r="V147" t="s">
        <v>40</v>
      </c>
      <c r="W147" t="s">
        <v>40</v>
      </c>
      <c r="X147" t="s">
        <v>40</v>
      </c>
      <c r="Y147" t="s">
        <v>40</v>
      </c>
      <c r="Z147" s="5" t="s">
        <v>246</v>
      </c>
    </row>
    <row r="148" spans="1:26" ht="13.8" customHeight="1" x14ac:dyDescent="0.3">
      <c r="A148" s="1">
        <v>46299.709722222222</v>
      </c>
      <c r="B148" t="s">
        <v>828</v>
      </c>
      <c r="C148" t="s">
        <v>788</v>
      </c>
      <c r="D148" t="s">
        <v>789</v>
      </c>
      <c r="E148" t="s">
        <v>829</v>
      </c>
      <c r="F148" t="s">
        <v>630</v>
      </c>
      <c r="G148" t="s">
        <v>630</v>
      </c>
      <c r="H148" t="s">
        <v>31</v>
      </c>
      <c r="I148" t="s">
        <v>32</v>
      </c>
      <c r="J148" t="s">
        <v>33</v>
      </c>
      <c r="K148" t="s">
        <v>34</v>
      </c>
      <c r="L148" t="s">
        <v>222</v>
      </c>
      <c r="M148" t="s">
        <v>36</v>
      </c>
      <c r="N148" t="s">
        <v>37</v>
      </c>
      <c r="O148" s="6">
        <v>144000</v>
      </c>
      <c r="P148" s="2">
        <v>15000</v>
      </c>
      <c r="Q148" s="2">
        <v>15000</v>
      </c>
      <c r="R148" s="3">
        <v>46299</v>
      </c>
      <c r="S148" t="s">
        <v>38</v>
      </c>
      <c r="T148">
        <v>100</v>
      </c>
      <c r="U148" t="s">
        <v>830</v>
      </c>
      <c r="V148" t="s">
        <v>40</v>
      </c>
      <c r="W148" t="s">
        <v>40</v>
      </c>
      <c r="X148" t="s">
        <v>40</v>
      </c>
      <c r="Y148" t="s">
        <v>40</v>
      </c>
      <c r="Z148" s="5" t="s">
        <v>246</v>
      </c>
    </row>
    <row r="149" spans="1:26" ht="13.8" customHeight="1" x14ac:dyDescent="0.3">
      <c r="A149" s="1">
        <v>46299.713194444441</v>
      </c>
      <c r="B149" t="s">
        <v>831</v>
      </c>
      <c r="C149" t="s">
        <v>788</v>
      </c>
      <c r="D149" t="s">
        <v>789</v>
      </c>
      <c r="E149" t="s">
        <v>832</v>
      </c>
      <c r="F149" t="s">
        <v>630</v>
      </c>
      <c r="G149" t="s">
        <v>630</v>
      </c>
      <c r="H149" t="s">
        <v>31</v>
      </c>
      <c r="I149" t="s">
        <v>32</v>
      </c>
      <c r="J149" t="s">
        <v>33</v>
      </c>
      <c r="K149" t="s">
        <v>34</v>
      </c>
      <c r="L149" t="s">
        <v>222</v>
      </c>
      <c r="M149" t="s">
        <v>36</v>
      </c>
      <c r="N149" t="s">
        <v>37</v>
      </c>
      <c r="O149" s="6">
        <v>144000</v>
      </c>
      <c r="P149" s="2">
        <v>15000</v>
      </c>
      <c r="Q149" s="2">
        <v>15000</v>
      </c>
      <c r="R149" s="3">
        <v>46299</v>
      </c>
      <c r="S149" t="s">
        <v>38</v>
      </c>
      <c r="T149">
        <v>100</v>
      </c>
      <c r="U149" t="s">
        <v>833</v>
      </c>
      <c r="V149" t="s">
        <v>40</v>
      </c>
      <c r="W149" t="s">
        <v>40</v>
      </c>
      <c r="X149" t="s">
        <v>40</v>
      </c>
      <c r="Y149" t="s">
        <v>40</v>
      </c>
      <c r="Z149" s="5" t="s">
        <v>246</v>
      </c>
    </row>
    <row r="150" spans="1:26" ht="13.8" customHeight="1" x14ac:dyDescent="0.3">
      <c r="A150" s="1">
        <v>46299.718055555553</v>
      </c>
      <c r="B150" t="s">
        <v>834</v>
      </c>
      <c r="C150" t="s">
        <v>788</v>
      </c>
      <c r="D150" t="s">
        <v>789</v>
      </c>
      <c r="E150" t="s">
        <v>835</v>
      </c>
      <c r="F150" t="s">
        <v>630</v>
      </c>
      <c r="G150" t="s">
        <v>630</v>
      </c>
      <c r="H150" t="s">
        <v>31</v>
      </c>
      <c r="I150" t="s">
        <v>32</v>
      </c>
      <c r="J150" t="s">
        <v>33</v>
      </c>
      <c r="K150" t="s">
        <v>34</v>
      </c>
      <c r="L150" t="s">
        <v>222</v>
      </c>
      <c r="M150" t="s">
        <v>36</v>
      </c>
      <c r="N150" t="s">
        <v>37</v>
      </c>
      <c r="O150" s="6">
        <v>96000</v>
      </c>
      <c r="P150" s="2">
        <v>10000</v>
      </c>
      <c r="Q150" s="2">
        <v>10000</v>
      </c>
      <c r="R150" s="3">
        <v>46299</v>
      </c>
      <c r="S150" t="s">
        <v>38</v>
      </c>
      <c r="T150">
        <v>100</v>
      </c>
      <c r="U150" t="s">
        <v>836</v>
      </c>
      <c r="V150" t="s">
        <v>40</v>
      </c>
      <c r="W150" t="s">
        <v>40</v>
      </c>
      <c r="X150" t="s">
        <v>40</v>
      </c>
      <c r="Y150" t="s">
        <v>40</v>
      </c>
      <c r="Z150" s="5" t="s">
        <v>246</v>
      </c>
    </row>
    <row r="151" spans="1:26" ht="13.8" customHeight="1" x14ac:dyDescent="0.3">
      <c r="A151" s="1">
        <v>46299.722222222219</v>
      </c>
      <c r="B151" t="s">
        <v>837</v>
      </c>
      <c r="C151" t="s">
        <v>788</v>
      </c>
      <c r="D151" t="s">
        <v>789</v>
      </c>
      <c r="E151" t="s">
        <v>838</v>
      </c>
      <c r="F151" t="s">
        <v>630</v>
      </c>
      <c r="G151" t="s">
        <v>630</v>
      </c>
      <c r="H151" t="s">
        <v>31</v>
      </c>
      <c r="I151" t="s">
        <v>32</v>
      </c>
      <c r="J151" t="s">
        <v>33</v>
      </c>
      <c r="K151" t="s">
        <v>34</v>
      </c>
      <c r="L151" t="s">
        <v>222</v>
      </c>
      <c r="M151" t="s">
        <v>36</v>
      </c>
      <c r="N151" t="s">
        <v>37</v>
      </c>
      <c r="O151" s="6">
        <v>96000</v>
      </c>
      <c r="P151" s="2">
        <v>10000</v>
      </c>
      <c r="Q151" s="2">
        <v>10000</v>
      </c>
      <c r="R151" s="3">
        <v>46299</v>
      </c>
      <c r="S151" t="s">
        <v>38</v>
      </c>
      <c r="T151">
        <v>100</v>
      </c>
      <c r="U151" t="s">
        <v>839</v>
      </c>
      <c r="V151" t="s">
        <v>40</v>
      </c>
      <c r="W151" t="s">
        <v>40</v>
      </c>
      <c r="X151" t="s">
        <v>40</v>
      </c>
      <c r="Y151" t="s">
        <v>40</v>
      </c>
      <c r="Z151" s="5" t="s">
        <v>246</v>
      </c>
    </row>
    <row r="152" spans="1:26" ht="13.8" customHeight="1" x14ac:dyDescent="0.3">
      <c r="A152" s="1">
        <v>46299.725694444445</v>
      </c>
      <c r="B152" t="s">
        <v>840</v>
      </c>
      <c r="C152" t="s">
        <v>788</v>
      </c>
      <c r="D152" t="s">
        <v>789</v>
      </c>
      <c r="E152" t="s">
        <v>841</v>
      </c>
      <c r="F152" t="s">
        <v>630</v>
      </c>
      <c r="G152" t="s">
        <v>630</v>
      </c>
      <c r="H152" t="s">
        <v>31</v>
      </c>
      <c r="I152" t="s">
        <v>32</v>
      </c>
      <c r="J152" t="s">
        <v>33</v>
      </c>
      <c r="K152" t="s">
        <v>34</v>
      </c>
      <c r="L152" t="s">
        <v>222</v>
      </c>
      <c r="M152" t="s">
        <v>36</v>
      </c>
      <c r="N152" t="s">
        <v>37</v>
      </c>
      <c r="O152" s="6">
        <v>96000</v>
      </c>
      <c r="P152" s="2">
        <v>10000</v>
      </c>
      <c r="Q152" s="2">
        <v>10000</v>
      </c>
      <c r="R152" s="3">
        <v>46299</v>
      </c>
      <c r="S152" t="s">
        <v>38</v>
      </c>
      <c r="T152">
        <v>100</v>
      </c>
      <c r="U152" t="s">
        <v>842</v>
      </c>
      <c r="V152" t="s">
        <v>40</v>
      </c>
      <c r="W152" t="s">
        <v>40</v>
      </c>
      <c r="X152" t="s">
        <v>40</v>
      </c>
      <c r="Y152" t="s">
        <v>40</v>
      </c>
      <c r="Z152" s="5" t="s">
        <v>246</v>
      </c>
    </row>
    <row r="153" spans="1:26" ht="13.8" customHeight="1" x14ac:dyDescent="0.3">
      <c r="A153" t="s">
        <v>843</v>
      </c>
      <c r="B153" t="s">
        <v>844</v>
      </c>
      <c r="C153" t="s">
        <v>788</v>
      </c>
      <c r="D153" t="s">
        <v>789</v>
      </c>
      <c r="E153" t="s">
        <v>845</v>
      </c>
      <c r="F153" t="s">
        <v>630</v>
      </c>
      <c r="G153" t="s">
        <v>630</v>
      </c>
      <c r="H153" t="s">
        <v>31</v>
      </c>
      <c r="I153" t="s">
        <v>32</v>
      </c>
      <c r="J153" t="s">
        <v>33</v>
      </c>
      <c r="K153" t="s">
        <v>34</v>
      </c>
      <c r="L153" t="s">
        <v>222</v>
      </c>
      <c r="M153" t="s">
        <v>36</v>
      </c>
      <c r="N153" t="s">
        <v>37</v>
      </c>
      <c r="O153" s="6">
        <v>192000</v>
      </c>
      <c r="P153" s="2">
        <v>20000</v>
      </c>
      <c r="Q153" s="2">
        <v>20000</v>
      </c>
      <c r="R153" t="s">
        <v>565</v>
      </c>
      <c r="S153" t="s">
        <v>38</v>
      </c>
      <c r="T153">
        <v>100</v>
      </c>
      <c r="U153" t="s">
        <v>846</v>
      </c>
      <c r="V153" t="s">
        <v>40</v>
      </c>
      <c r="W153" t="s">
        <v>40</v>
      </c>
      <c r="X153" t="s">
        <v>40</v>
      </c>
      <c r="Y153" t="s">
        <v>40</v>
      </c>
      <c r="Z153" s="5" t="s">
        <v>246</v>
      </c>
    </row>
    <row r="154" spans="1:26" ht="13.8" customHeight="1" x14ac:dyDescent="0.3">
      <c r="A154" t="s">
        <v>847</v>
      </c>
      <c r="B154" t="s">
        <v>848</v>
      </c>
      <c r="C154" t="s">
        <v>788</v>
      </c>
      <c r="D154" t="s">
        <v>789</v>
      </c>
      <c r="E154" t="s">
        <v>849</v>
      </c>
      <c r="F154" t="s">
        <v>630</v>
      </c>
      <c r="G154" t="s">
        <v>630</v>
      </c>
      <c r="H154" t="s">
        <v>31</v>
      </c>
      <c r="I154" t="s">
        <v>32</v>
      </c>
      <c r="J154" t="s">
        <v>33</v>
      </c>
      <c r="K154" t="s">
        <v>34</v>
      </c>
      <c r="L154" t="s">
        <v>222</v>
      </c>
      <c r="M154" t="s">
        <v>36</v>
      </c>
      <c r="N154" t="s">
        <v>37</v>
      </c>
      <c r="O154" s="6">
        <v>192000</v>
      </c>
      <c r="P154" s="2">
        <v>20000</v>
      </c>
      <c r="Q154" s="2">
        <v>20000</v>
      </c>
      <c r="R154" t="s">
        <v>481</v>
      </c>
      <c r="S154" t="s">
        <v>38</v>
      </c>
      <c r="T154">
        <v>100</v>
      </c>
      <c r="U154" t="s">
        <v>850</v>
      </c>
      <c r="V154" t="s">
        <v>40</v>
      </c>
      <c r="W154" t="s">
        <v>40</v>
      </c>
      <c r="X154" t="s">
        <v>40</v>
      </c>
      <c r="Y154" t="s">
        <v>40</v>
      </c>
      <c r="Z154" s="5" t="s">
        <v>246</v>
      </c>
    </row>
    <row r="155" spans="1:26" ht="13.8" customHeight="1" x14ac:dyDescent="0.3">
      <c r="A155" t="s">
        <v>851</v>
      </c>
      <c r="B155" t="s">
        <v>852</v>
      </c>
      <c r="C155" t="s">
        <v>788</v>
      </c>
      <c r="D155" t="s">
        <v>789</v>
      </c>
      <c r="E155" t="s">
        <v>853</v>
      </c>
      <c r="F155" t="s">
        <v>630</v>
      </c>
      <c r="G155" t="s">
        <v>630</v>
      </c>
      <c r="H155" t="s">
        <v>31</v>
      </c>
      <c r="I155" t="s">
        <v>32</v>
      </c>
      <c r="J155" t="s">
        <v>33</v>
      </c>
      <c r="K155" t="s">
        <v>34</v>
      </c>
      <c r="L155" t="s">
        <v>222</v>
      </c>
      <c r="M155" t="s">
        <v>36</v>
      </c>
      <c r="N155" t="s">
        <v>37</v>
      </c>
      <c r="O155" s="6">
        <v>192000</v>
      </c>
      <c r="P155" s="2">
        <v>20000</v>
      </c>
      <c r="Q155" s="2">
        <v>20000</v>
      </c>
      <c r="R155" t="s">
        <v>632</v>
      </c>
      <c r="S155" t="s">
        <v>38</v>
      </c>
      <c r="T155">
        <v>100</v>
      </c>
      <c r="U155" t="s">
        <v>854</v>
      </c>
      <c r="V155" t="s">
        <v>40</v>
      </c>
      <c r="W155" t="s">
        <v>40</v>
      </c>
      <c r="X155" t="s">
        <v>40</v>
      </c>
      <c r="Y155" t="s">
        <v>855</v>
      </c>
      <c r="Z155" s="5" t="s">
        <v>246</v>
      </c>
    </row>
    <row r="156" spans="1:26" ht="13.8" customHeight="1" x14ac:dyDescent="0.3">
      <c r="A156" t="s">
        <v>856</v>
      </c>
      <c r="B156" t="s">
        <v>857</v>
      </c>
      <c r="C156" t="s">
        <v>788</v>
      </c>
      <c r="D156" t="s">
        <v>789</v>
      </c>
      <c r="E156" t="s">
        <v>858</v>
      </c>
      <c r="F156" t="s">
        <v>630</v>
      </c>
      <c r="G156" t="s">
        <v>630</v>
      </c>
      <c r="H156" t="s">
        <v>31</v>
      </c>
      <c r="I156" t="s">
        <v>32</v>
      </c>
      <c r="J156" t="s">
        <v>33</v>
      </c>
      <c r="K156" t="s">
        <v>34</v>
      </c>
      <c r="L156" t="s">
        <v>222</v>
      </c>
      <c r="M156" t="s">
        <v>36</v>
      </c>
      <c r="N156" t="s">
        <v>37</v>
      </c>
      <c r="O156" s="6">
        <v>96000</v>
      </c>
      <c r="P156" s="2">
        <v>10000</v>
      </c>
      <c r="Q156" s="2">
        <v>10000</v>
      </c>
      <c r="R156" t="s">
        <v>632</v>
      </c>
      <c r="S156" t="s">
        <v>38</v>
      </c>
      <c r="T156">
        <v>100</v>
      </c>
      <c r="U156" t="s">
        <v>859</v>
      </c>
      <c r="V156" t="s">
        <v>40</v>
      </c>
      <c r="W156" t="s">
        <v>40</v>
      </c>
      <c r="X156" t="s">
        <v>40</v>
      </c>
      <c r="Y156" t="s">
        <v>40</v>
      </c>
      <c r="Z156" s="5" t="s">
        <v>246</v>
      </c>
    </row>
    <row r="157" spans="1:26" ht="13.8" customHeight="1" x14ac:dyDescent="0.3">
      <c r="A157" t="s">
        <v>860</v>
      </c>
      <c r="B157" t="s">
        <v>861</v>
      </c>
      <c r="C157" t="s">
        <v>788</v>
      </c>
      <c r="D157" t="s">
        <v>789</v>
      </c>
      <c r="E157" t="s">
        <v>862</v>
      </c>
      <c r="F157" t="s">
        <v>630</v>
      </c>
      <c r="G157" t="s">
        <v>630</v>
      </c>
      <c r="H157" t="s">
        <v>31</v>
      </c>
      <c r="I157" t="s">
        <v>32</v>
      </c>
      <c r="J157" t="s">
        <v>33</v>
      </c>
      <c r="K157" t="s">
        <v>34</v>
      </c>
      <c r="L157" t="s">
        <v>222</v>
      </c>
      <c r="M157" t="s">
        <v>36</v>
      </c>
      <c r="N157" t="s">
        <v>37</v>
      </c>
      <c r="O157" s="6">
        <v>120000</v>
      </c>
      <c r="P157" s="2">
        <v>12500</v>
      </c>
      <c r="Q157" s="2">
        <v>12500</v>
      </c>
      <c r="R157" t="s">
        <v>107</v>
      </c>
      <c r="S157" t="s">
        <v>38</v>
      </c>
      <c r="T157">
        <v>100</v>
      </c>
      <c r="U157" t="s">
        <v>863</v>
      </c>
      <c r="V157" t="s">
        <v>40</v>
      </c>
      <c r="W157" t="s">
        <v>40</v>
      </c>
      <c r="X157" t="s">
        <v>40</v>
      </c>
      <c r="Y157" t="s">
        <v>864</v>
      </c>
      <c r="Z157" s="5" t="s">
        <v>246</v>
      </c>
    </row>
    <row r="158" spans="1:26" ht="13.8" customHeight="1" x14ac:dyDescent="0.3">
      <c r="A158" t="s">
        <v>865</v>
      </c>
      <c r="B158" t="s">
        <v>866</v>
      </c>
      <c r="C158" t="s">
        <v>788</v>
      </c>
      <c r="D158" t="s">
        <v>789</v>
      </c>
      <c r="E158" t="s">
        <v>867</v>
      </c>
      <c r="F158" t="s">
        <v>630</v>
      </c>
      <c r="G158" t="s">
        <v>630</v>
      </c>
      <c r="H158" t="s">
        <v>31</v>
      </c>
      <c r="I158" t="s">
        <v>32</v>
      </c>
      <c r="J158" t="s">
        <v>33</v>
      </c>
      <c r="K158" t="s">
        <v>34</v>
      </c>
      <c r="L158" t="s">
        <v>222</v>
      </c>
      <c r="M158" t="s">
        <v>36</v>
      </c>
      <c r="N158" t="s">
        <v>37</v>
      </c>
      <c r="O158" s="6">
        <v>192000</v>
      </c>
      <c r="P158" s="2">
        <v>20000</v>
      </c>
      <c r="Q158" s="2">
        <v>20000</v>
      </c>
      <c r="R158" t="s">
        <v>107</v>
      </c>
      <c r="S158" t="s">
        <v>38</v>
      </c>
      <c r="T158">
        <v>100</v>
      </c>
      <c r="U158" t="s">
        <v>868</v>
      </c>
      <c r="V158" t="s">
        <v>40</v>
      </c>
      <c r="W158" t="s">
        <v>40</v>
      </c>
      <c r="X158" t="s">
        <v>40</v>
      </c>
      <c r="Y158" t="s">
        <v>864</v>
      </c>
      <c r="Z158" s="5" t="s">
        <v>246</v>
      </c>
    </row>
    <row r="159" spans="1:26" ht="13.8" customHeight="1" x14ac:dyDescent="0.3">
      <c r="A159" t="s">
        <v>869</v>
      </c>
      <c r="B159" t="s">
        <v>870</v>
      </c>
      <c r="C159" t="s">
        <v>788</v>
      </c>
      <c r="D159" t="s">
        <v>789</v>
      </c>
      <c r="E159" t="s">
        <v>871</v>
      </c>
      <c r="F159" t="s">
        <v>630</v>
      </c>
      <c r="G159" t="s">
        <v>630</v>
      </c>
      <c r="H159" t="s">
        <v>31</v>
      </c>
      <c r="I159" t="s">
        <v>32</v>
      </c>
      <c r="J159" t="s">
        <v>33</v>
      </c>
      <c r="K159" t="s">
        <v>34</v>
      </c>
      <c r="L159" t="s">
        <v>222</v>
      </c>
      <c r="M159" t="s">
        <v>36</v>
      </c>
      <c r="N159" t="s">
        <v>37</v>
      </c>
      <c r="O159" s="6">
        <v>192000</v>
      </c>
      <c r="P159" s="2">
        <v>20000</v>
      </c>
      <c r="Q159" s="2">
        <v>20000</v>
      </c>
      <c r="R159" t="s">
        <v>107</v>
      </c>
      <c r="S159" t="s">
        <v>38</v>
      </c>
      <c r="T159">
        <v>100</v>
      </c>
      <c r="U159" t="s">
        <v>872</v>
      </c>
      <c r="V159" t="s">
        <v>40</v>
      </c>
      <c r="W159" t="s">
        <v>40</v>
      </c>
      <c r="X159" t="s">
        <v>40</v>
      </c>
      <c r="Y159" t="s">
        <v>40</v>
      </c>
      <c r="Z159" s="5" t="s">
        <v>246</v>
      </c>
    </row>
    <row r="160" spans="1:26" ht="13.8" customHeight="1" x14ac:dyDescent="0.3">
      <c r="A160" t="s">
        <v>873</v>
      </c>
      <c r="B160" t="s">
        <v>874</v>
      </c>
      <c r="C160" t="s">
        <v>788</v>
      </c>
      <c r="D160" t="s">
        <v>789</v>
      </c>
      <c r="E160" t="s">
        <v>875</v>
      </c>
      <c r="F160" t="s">
        <v>630</v>
      </c>
      <c r="G160" t="s">
        <v>630</v>
      </c>
      <c r="H160" t="s">
        <v>31</v>
      </c>
      <c r="I160" t="s">
        <v>32</v>
      </c>
      <c r="J160" t="s">
        <v>33</v>
      </c>
      <c r="K160" t="s">
        <v>34</v>
      </c>
      <c r="L160" t="s">
        <v>222</v>
      </c>
      <c r="M160" t="s">
        <v>36</v>
      </c>
      <c r="N160" t="s">
        <v>37</v>
      </c>
      <c r="O160" s="6">
        <v>192000</v>
      </c>
      <c r="P160" s="2">
        <v>20000</v>
      </c>
      <c r="Q160" s="2">
        <v>20000</v>
      </c>
      <c r="R160" t="s">
        <v>876</v>
      </c>
      <c r="S160" t="s">
        <v>38</v>
      </c>
      <c r="T160">
        <v>100</v>
      </c>
      <c r="U160" t="s">
        <v>877</v>
      </c>
      <c r="V160" t="s">
        <v>40</v>
      </c>
      <c r="W160" t="s">
        <v>40</v>
      </c>
      <c r="X160" t="s">
        <v>40</v>
      </c>
      <c r="Y160" t="s">
        <v>40</v>
      </c>
      <c r="Z160" s="5" t="s">
        <v>246</v>
      </c>
    </row>
    <row r="161" spans="1:26" ht="13.8" customHeight="1" x14ac:dyDescent="0.3">
      <c r="A161" t="s">
        <v>878</v>
      </c>
      <c r="B161" t="s">
        <v>879</v>
      </c>
      <c r="C161" t="s">
        <v>788</v>
      </c>
      <c r="D161" t="s">
        <v>789</v>
      </c>
      <c r="E161" t="s">
        <v>880</v>
      </c>
      <c r="F161" t="s">
        <v>630</v>
      </c>
      <c r="G161" t="s">
        <v>630</v>
      </c>
      <c r="H161" t="s">
        <v>31</v>
      </c>
      <c r="I161" t="s">
        <v>32</v>
      </c>
      <c r="J161" t="s">
        <v>33</v>
      </c>
      <c r="K161" t="s">
        <v>34</v>
      </c>
      <c r="L161" t="s">
        <v>222</v>
      </c>
      <c r="M161" t="s">
        <v>36</v>
      </c>
      <c r="N161" t="s">
        <v>37</v>
      </c>
      <c r="O161" s="6">
        <v>192000</v>
      </c>
      <c r="P161" s="2">
        <v>20000</v>
      </c>
      <c r="Q161" s="2">
        <v>20000</v>
      </c>
      <c r="R161" t="s">
        <v>876</v>
      </c>
      <c r="S161" t="s">
        <v>38</v>
      </c>
      <c r="T161">
        <v>100</v>
      </c>
      <c r="U161" t="s">
        <v>881</v>
      </c>
      <c r="V161" t="s">
        <v>40</v>
      </c>
      <c r="W161" t="s">
        <v>40</v>
      </c>
      <c r="X161" t="s">
        <v>40</v>
      </c>
      <c r="Y161" t="s">
        <v>40</v>
      </c>
      <c r="Z161" s="5" t="s">
        <v>246</v>
      </c>
    </row>
    <row r="162" spans="1:26" ht="13.8" customHeight="1" x14ac:dyDescent="0.3">
      <c r="A162" s="1">
        <v>46147.706944444442</v>
      </c>
      <c r="B162" t="s">
        <v>882</v>
      </c>
      <c r="C162" t="s">
        <v>788</v>
      </c>
      <c r="D162" t="s">
        <v>789</v>
      </c>
      <c r="E162" t="s">
        <v>883</v>
      </c>
      <c r="F162" t="s">
        <v>630</v>
      </c>
      <c r="G162" t="s">
        <v>630</v>
      </c>
      <c r="H162" t="s">
        <v>31</v>
      </c>
      <c r="I162" t="s">
        <v>32</v>
      </c>
      <c r="J162" t="s">
        <v>33</v>
      </c>
      <c r="K162" t="s">
        <v>34</v>
      </c>
      <c r="L162" t="s">
        <v>222</v>
      </c>
      <c r="M162" t="s">
        <v>36</v>
      </c>
      <c r="N162" t="s">
        <v>37</v>
      </c>
      <c r="O162" s="6">
        <v>192000</v>
      </c>
      <c r="P162" s="2">
        <v>20000</v>
      </c>
      <c r="Q162" s="2">
        <v>20000</v>
      </c>
      <c r="R162" s="3">
        <v>46147</v>
      </c>
      <c r="S162" t="s">
        <v>38</v>
      </c>
      <c r="T162">
        <v>100</v>
      </c>
      <c r="U162" t="s">
        <v>884</v>
      </c>
      <c r="V162" t="s">
        <v>40</v>
      </c>
      <c r="W162" t="s">
        <v>40</v>
      </c>
      <c r="X162" t="s">
        <v>40</v>
      </c>
      <c r="Y162" t="s">
        <v>40</v>
      </c>
      <c r="Z162" s="5" t="s">
        <v>246</v>
      </c>
    </row>
    <row r="163" spans="1:26" ht="13.8" customHeight="1" x14ac:dyDescent="0.3">
      <c r="A163" s="1">
        <v>46270.556250000001</v>
      </c>
      <c r="B163" t="s">
        <v>885</v>
      </c>
      <c r="C163" t="s">
        <v>886</v>
      </c>
      <c r="D163" t="s">
        <v>887</v>
      </c>
      <c r="E163" t="s">
        <v>888</v>
      </c>
      <c r="F163" t="s">
        <v>630</v>
      </c>
      <c r="G163" t="s">
        <v>630</v>
      </c>
      <c r="H163" t="s">
        <v>31</v>
      </c>
      <c r="I163" t="s">
        <v>32</v>
      </c>
      <c r="J163" t="s">
        <v>33</v>
      </c>
      <c r="K163" t="s">
        <v>34</v>
      </c>
      <c r="L163" t="s">
        <v>222</v>
      </c>
      <c r="M163" t="s">
        <v>36</v>
      </c>
      <c r="N163" t="s">
        <v>37</v>
      </c>
      <c r="O163" s="6">
        <v>11440.67</v>
      </c>
      <c r="P163" s="2">
        <v>3970</v>
      </c>
      <c r="Q163" s="2">
        <v>2626.05</v>
      </c>
      <c r="R163" s="3">
        <v>46270</v>
      </c>
      <c r="S163" t="s">
        <v>38</v>
      </c>
      <c r="T163">
        <v>100</v>
      </c>
      <c r="U163" t="s">
        <v>889</v>
      </c>
      <c r="V163" t="s">
        <v>40</v>
      </c>
      <c r="W163" t="s">
        <v>40</v>
      </c>
      <c r="X163" t="s">
        <v>40</v>
      </c>
      <c r="Y163" t="s">
        <v>40</v>
      </c>
      <c r="Z163" s="5" t="s">
        <v>246</v>
      </c>
    </row>
    <row r="164" spans="1:26" ht="13.8" customHeight="1" x14ac:dyDescent="0.3">
      <c r="A164" s="1">
        <v>46270.55972222222</v>
      </c>
      <c r="B164" t="s">
        <v>890</v>
      </c>
      <c r="C164" t="s">
        <v>891</v>
      </c>
      <c r="D164" t="s">
        <v>892</v>
      </c>
      <c r="E164" t="s">
        <v>893</v>
      </c>
      <c r="F164" t="s">
        <v>630</v>
      </c>
      <c r="G164" t="s">
        <v>630</v>
      </c>
      <c r="H164" t="s">
        <v>31</v>
      </c>
      <c r="I164" t="s">
        <v>32</v>
      </c>
      <c r="J164" t="s">
        <v>33</v>
      </c>
      <c r="K164" t="s">
        <v>34</v>
      </c>
      <c r="L164" t="s">
        <v>222</v>
      </c>
      <c r="M164" t="s">
        <v>36</v>
      </c>
      <c r="N164" t="s">
        <v>37</v>
      </c>
      <c r="O164" s="6">
        <v>3813</v>
      </c>
      <c r="P164" s="2">
        <v>1323.55</v>
      </c>
      <c r="Q164">
        <v>875.35</v>
      </c>
      <c r="R164" s="3">
        <v>46361</v>
      </c>
      <c r="S164" t="s">
        <v>38</v>
      </c>
      <c r="T164">
        <v>100</v>
      </c>
      <c r="U164" t="s">
        <v>894</v>
      </c>
      <c r="V164" t="s">
        <v>40</v>
      </c>
      <c r="W164" t="s">
        <v>40</v>
      </c>
      <c r="X164" t="s">
        <v>40</v>
      </c>
      <c r="Y164" t="s">
        <v>40</v>
      </c>
      <c r="Z164" s="5" t="s">
        <v>246</v>
      </c>
    </row>
    <row r="165" spans="1:26" ht="13.8" customHeight="1" x14ac:dyDescent="0.3">
      <c r="A165" t="s">
        <v>895</v>
      </c>
      <c r="B165" t="s">
        <v>896</v>
      </c>
      <c r="C165" t="s">
        <v>788</v>
      </c>
      <c r="D165" t="s">
        <v>789</v>
      </c>
      <c r="E165" t="s">
        <v>897</v>
      </c>
      <c r="F165" t="s">
        <v>630</v>
      </c>
      <c r="G165" t="s">
        <v>630</v>
      </c>
      <c r="H165" t="s">
        <v>31</v>
      </c>
      <c r="I165" t="s">
        <v>32</v>
      </c>
      <c r="J165" t="s">
        <v>33</v>
      </c>
      <c r="K165" t="s">
        <v>34</v>
      </c>
      <c r="L165" t="s">
        <v>222</v>
      </c>
      <c r="M165" t="s">
        <v>36</v>
      </c>
      <c r="N165" t="s">
        <v>37</v>
      </c>
      <c r="O165" s="6">
        <v>192000</v>
      </c>
      <c r="P165" s="2">
        <v>20000</v>
      </c>
      <c r="Q165" s="2">
        <v>20000</v>
      </c>
      <c r="R165" t="s">
        <v>494</v>
      </c>
      <c r="S165" t="s">
        <v>38</v>
      </c>
      <c r="T165">
        <v>100</v>
      </c>
      <c r="U165" t="s">
        <v>898</v>
      </c>
      <c r="V165" t="s">
        <v>40</v>
      </c>
      <c r="W165" t="s">
        <v>40</v>
      </c>
      <c r="X165" t="s">
        <v>40</v>
      </c>
      <c r="Y165" t="s">
        <v>40</v>
      </c>
      <c r="Z165" s="5" t="s">
        <v>246</v>
      </c>
    </row>
    <row r="166" spans="1:26" ht="13.8" customHeight="1" x14ac:dyDescent="0.3">
      <c r="A166" t="s">
        <v>899</v>
      </c>
      <c r="B166" t="s">
        <v>900</v>
      </c>
      <c r="C166" t="s">
        <v>788</v>
      </c>
      <c r="D166" t="s">
        <v>789</v>
      </c>
      <c r="E166" t="s">
        <v>901</v>
      </c>
      <c r="F166" t="s">
        <v>630</v>
      </c>
      <c r="G166" t="s">
        <v>630</v>
      </c>
      <c r="H166" t="s">
        <v>31</v>
      </c>
      <c r="I166" t="s">
        <v>32</v>
      </c>
      <c r="J166" t="s">
        <v>33</v>
      </c>
      <c r="K166" t="s">
        <v>34</v>
      </c>
      <c r="L166" t="s">
        <v>222</v>
      </c>
      <c r="M166" t="s">
        <v>36</v>
      </c>
      <c r="N166" t="s">
        <v>37</v>
      </c>
      <c r="O166" s="6">
        <v>155932</v>
      </c>
      <c r="P166" s="2">
        <v>7932</v>
      </c>
      <c r="Q166" s="2">
        <v>7932</v>
      </c>
      <c r="R166" t="s">
        <v>303</v>
      </c>
      <c r="S166" t="s">
        <v>38</v>
      </c>
      <c r="T166">
        <v>100</v>
      </c>
      <c r="U166" t="s">
        <v>902</v>
      </c>
      <c r="V166" t="s">
        <v>40</v>
      </c>
      <c r="W166" t="s">
        <v>40</v>
      </c>
      <c r="X166" t="s">
        <v>40</v>
      </c>
      <c r="Y166" t="s">
        <v>40</v>
      </c>
      <c r="Z166" s="5" t="s">
        <v>246</v>
      </c>
    </row>
    <row r="167" spans="1:26" ht="13.8" customHeight="1" x14ac:dyDescent="0.3">
      <c r="A167" t="s">
        <v>903</v>
      </c>
      <c r="B167" t="s">
        <v>904</v>
      </c>
      <c r="C167" t="s">
        <v>788</v>
      </c>
      <c r="D167" t="s">
        <v>789</v>
      </c>
      <c r="E167" t="s">
        <v>905</v>
      </c>
      <c r="F167" t="s">
        <v>630</v>
      </c>
      <c r="G167" t="s">
        <v>630</v>
      </c>
      <c r="H167" t="s">
        <v>31</v>
      </c>
      <c r="I167" t="s">
        <v>32</v>
      </c>
      <c r="J167" t="s">
        <v>33</v>
      </c>
      <c r="K167" t="s">
        <v>34</v>
      </c>
      <c r="L167" t="s">
        <v>222</v>
      </c>
      <c r="M167" t="s">
        <v>36</v>
      </c>
      <c r="N167" t="s">
        <v>37</v>
      </c>
      <c r="O167" s="6">
        <v>192000</v>
      </c>
      <c r="P167" s="2">
        <v>20000</v>
      </c>
      <c r="Q167" s="2">
        <v>20000</v>
      </c>
      <c r="R167" t="s">
        <v>303</v>
      </c>
      <c r="S167" t="s">
        <v>38</v>
      </c>
      <c r="T167">
        <v>100</v>
      </c>
      <c r="U167" t="s">
        <v>906</v>
      </c>
      <c r="V167" t="s">
        <v>40</v>
      </c>
      <c r="W167" t="s">
        <v>40</v>
      </c>
      <c r="X167" t="s">
        <v>40</v>
      </c>
      <c r="Y167" t="s">
        <v>40</v>
      </c>
      <c r="Z167" s="5" t="s">
        <v>246</v>
      </c>
    </row>
    <row r="168" spans="1:26" ht="13.8" customHeight="1" x14ac:dyDescent="0.3">
      <c r="A168" t="s">
        <v>907</v>
      </c>
      <c r="B168" t="s">
        <v>908</v>
      </c>
      <c r="C168" t="s">
        <v>783</v>
      </c>
      <c r="D168" t="s">
        <v>784</v>
      </c>
      <c r="E168" t="s">
        <v>909</v>
      </c>
      <c r="F168" t="s">
        <v>630</v>
      </c>
      <c r="G168" t="s">
        <v>630</v>
      </c>
      <c r="H168" t="s">
        <v>31</v>
      </c>
      <c r="I168" t="s">
        <v>32</v>
      </c>
      <c r="J168" t="s">
        <v>33</v>
      </c>
      <c r="K168" t="s">
        <v>34</v>
      </c>
      <c r="L168" t="s">
        <v>222</v>
      </c>
      <c r="M168" t="s">
        <v>36</v>
      </c>
      <c r="N168" t="s">
        <v>37</v>
      </c>
      <c r="O168" s="6">
        <v>79500</v>
      </c>
      <c r="P168" s="2">
        <v>15000</v>
      </c>
      <c r="Q168" s="2">
        <v>15000</v>
      </c>
      <c r="R168" t="s">
        <v>736</v>
      </c>
      <c r="S168" t="s">
        <v>38</v>
      </c>
      <c r="T168">
        <v>100</v>
      </c>
      <c r="U168" t="s">
        <v>910</v>
      </c>
      <c r="V168" t="s">
        <v>40</v>
      </c>
      <c r="W168" t="s">
        <v>40</v>
      </c>
      <c r="X168" t="s">
        <v>40</v>
      </c>
      <c r="Y168" t="s">
        <v>40</v>
      </c>
      <c r="Z168" s="5" t="s">
        <v>246</v>
      </c>
    </row>
    <row r="169" spans="1:26" ht="13.8" customHeight="1" x14ac:dyDescent="0.3">
      <c r="A169" s="1">
        <v>46267.501388888886</v>
      </c>
      <c r="B169" t="s">
        <v>911</v>
      </c>
      <c r="C169" t="s">
        <v>309</v>
      </c>
      <c r="D169" t="s">
        <v>310</v>
      </c>
      <c r="E169" t="s">
        <v>912</v>
      </c>
      <c r="F169" t="s">
        <v>312</v>
      </c>
      <c r="G169" t="s">
        <v>312</v>
      </c>
      <c r="H169" t="s">
        <v>31</v>
      </c>
      <c r="I169" t="s">
        <v>32</v>
      </c>
      <c r="J169" t="s">
        <v>33</v>
      </c>
      <c r="K169" t="s">
        <v>34</v>
      </c>
      <c r="L169" t="s">
        <v>466</v>
      </c>
      <c r="M169" t="s">
        <v>54</v>
      </c>
      <c r="N169" t="s">
        <v>37</v>
      </c>
      <c r="O169" s="6">
        <v>238000</v>
      </c>
      <c r="P169" s="2">
        <v>5200</v>
      </c>
      <c r="Q169" s="2">
        <v>5200</v>
      </c>
      <c r="R169" t="s">
        <v>913</v>
      </c>
      <c r="S169" t="s">
        <v>38</v>
      </c>
      <c r="T169">
        <v>100</v>
      </c>
      <c r="U169" t="s">
        <v>914</v>
      </c>
      <c r="V169" t="s">
        <v>40</v>
      </c>
      <c r="W169" t="s">
        <v>40</v>
      </c>
      <c r="X169" t="s">
        <v>40</v>
      </c>
      <c r="Y169" t="s">
        <v>40</v>
      </c>
      <c r="Z169" s="5" t="s">
        <v>246</v>
      </c>
    </row>
    <row r="170" spans="1:26" ht="13.8" customHeight="1" x14ac:dyDescent="0.3">
      <c r="A170" t="s">
        <v>915</v>
      </c>
      <c r="B170" t="s">
        <v>916</v>
      </c>
      <c r="C170" t="s">
        <v>338</v>
      </c>
      <c r="D170" t="s">
        <v>339</v>
      </c>
      <c r="E170" t="s">
        <v>917</v>
      </c>
      <c r="F170" t="s">
        <v>312</v>
      </c>
      <c r="G170" t="s">
        <v>312</v>
      </c>
      <c r="H170" t="s">
        <v>31</v>
      </c>
      <c r="I170" t="s">
        <v>32</v>
      </c>
      <c r="J170" t="s">
        <v>33</v>
      </c>
      <c r="K170" t="s">
        <v>34</v>
      </c>
      <c r="L170" t="s">
        <v>222</v>
      </c>
      <c r="M170" t="s">
        <v>36</v>
      </c>
      <c r="N170" t="s">
        <v>37</v>
      </c>
      <c r="O170" s="6">
        <v>12926</v>
      </c>
      <c r="P170" s="2">
        <v>1000</v>
      </c>
      <c r="Q170" s="2">
        <v>2898.04</v>
      </c>
      <c r="R170" t="s">
        <v>876</v>
      </c>
      <c r="S170" t="s">
        <v>38</v>
      </c>
      <c r="T170">
        <v>100</v>
      </c>
      <c r="U170" t="s">
        <v>918</v>
      </c>
      <c r="V170" t="s">
        <v>40</v>
      </c>
      <c r="W170" t="s">
        <v>40</v>
      </c>
      <c r="X170" t="s">
        <v>40</v>
      </c>
      <c r="Y170" t="s">
        <v>40</v>
      </c>
      <c r="Z170" s="5" t="s">
        <v>246</v>
      </c>
    </row>
    <row r="171" spans="1:26" ht="13.8" customHeight="1" x14ac:dyDescent="0.3">
      <c r="A171" t="s">
        <v>919</v>
      </c>
      <c r="B171" t="s">
        <v>920</v>
      </c>
      <c r="C171" t="s">
        <v>309</v>
      </c>
      <c r="D171" t="s">
        <v>310</v>
      </c>
      <c r="E171" t="s">
        <v>921</v>
      </c>
      <c r="F171" t="s">
        <v>312</v>
      </c>
      <c r="G171" t="s">
        <v>312</v>
      </c>
      <c r="H171" t="s">
        <v>31</v>
      </c>
      <c r="I171" t="s">
        <v>32</v>
      </c>
      <c r="J171" t="s">
        <v>33</v>
      </c>
      <c r="K171" t="s">
        <v>34</v>
      </c>
      <c r="L171" t="s">
        <v>466</v>
      </c>
      <c r="M171" t="s">
        <v>54</v>
      </c>
      <c r="N171" t="s">
        <v>37</v>
      </c>
      <c r="O171" s="6">
        <v>1089000</v>
      </c>
      <c r="P171" s="2">
        <v>51000</v>
      </c>
      <c r="Q171" s="2">
        <v>51000</v>
      </c>
      <c r="R171" t="s">
        <v>334</v>
      </c>
      <c r="S171" t="s">
        <v>38</v>
      </c>
      <c r="T171">
        <v>100</v>
      </c>
      <c r="U171" t="s">
        <v>922</v>
      </c>
      <c r="V171" t="s">
        <v>40</v>
      </c>
      <c r="W171" t="s">
        <v>40</v>
      </c>
      <c r="X171" t="s">
        <v>40</v>
      </c>
      <c r="Y171" t="s">
        <v>40</v>
      </c>
      <c r="Z171" s="5" t="s">
        <v>246</v>
      </c>
    </row>
    <row r="172" spans="1:26" ht="13.8" customHeight="1" x14ac:dyDescent="0.3">
      <c r="A172" t="s">
        <v>923</v>
      </c>
      <c r="B172" t="s">
        <v>924</v>
      </c>
      <c r="C172" t="s">
        <v>309</v>
      </c>
      <c r="D172" t="s">
        <v>310</v>
      </c>
      <c r="E172" t="s">
        <v>925</v>
      </c>
      <c r="F172" t="s">
        <v>312</v>
      </c>
      <c r="G172" t="s">
        <v>312</v>
      </c>
      <c r="H172" t="s">
        <v>31</v>
      </c>
      <c r="I172" t="s">
        <v>32</v>
      </c>
      <c r="J172" t="s">
        <v>33</v>
      </c>
      <c r="K172" t="s">
        <v>34</v>
      </c>
      <c r="L172" t="s">
        <v>466</v>
      </c>
      <c r="M172" t="s">
        <v>54</v>
      </c>
      <c r="N172" t="s">
        <v>37</v>
      </c>
      <c r="O172" s="6">
        <v>3570000</v>
      </c>
      <c r="P172" s="2">
        <v>78000</v>
      </c>
      <c r="Q172" s="2">
        <v>78000</v>
      </c>
      <c r="R172" t="s">
        <v>334</v>
      </c>
      <c r="S172" t="s">
        <v>38</v>
      </c>
      <c r="T172">
        <v>100</v>
      </c>
      <c r="U172" t="s">
        <v>926</v>
      </c>
      <c r="V172" t="s">
        <v>40</v>
      </c>
      <c r="W172" t="s">
        <v>40</v>
      </c>
      <c r="X172" t="s">
        <v>40</v>
      </c>
      <c r="Y172" t="s">
        <v>40</v>
      </c>
      <c r="Z172" s="5" t="s">
        <v>246</v>
      </c>
    </row>
    <row r="173" spans="1:26" ht="13.8" customHeight="1" x14ac:dyDescent="0.3">
      <c r="A173" t="s">
        <v>927</v>
      </c>
      <c r="B173" t="s">
        <v>928</v>
      </c>
      <c r="C173" t="s">
        <v>309</v>
      </c>
      <c r="D173" t="s">
        <v>310</v>
      </c>
      <c r="E173" t="s">
        <v>929</v>
      </c>
      <c r="F173" t="s">
        <v>312</v>
      </c>
      <c r="G173" t="s">
        <v>312</v>
      </c>
      <c r="H173" t="s">
        <v>31</v>
      </c>
      <c r="I173" t="s">
        <v>32</v>
      </c>
      <c r="J173" t="s">
        <v>33</v>
      </c>
      <c r="K173" t="s">
        <v>34</v>
      </c>
      <c r="L173" t="s">
        <v>466</v>
      </c>
      <c r="M173" t="s">
        <v>54</v>
      </c>
      <c r="N173" t="s">
        <v>37</v>
      </c>
      <c r="O173" s="6">
        <v>181050</v>
      </c>
      <c r="P173" s="2">
        <v>8500</v>
      </c>
      <c r="Q173" s="2">
        <v>8500</v>
      </c>
      <c r="R173" t="s">
        <v>334</v>
      </c>
      <c r="S173" t="s">
        <v>38</v>
      </c>
      <c r="T173">
        <v>100</v>
      </c>
      <c r="U173" t="s">
        <v>930</v>
      </c>
      <c r="V173" t="s">
        <v>40</v>
      </c>
      <c r="W173" t="s">
        <v>40</v>
      </c>
      <c r="X173" t="s">
        <v>40</v>
      </c>
      <c r="Y173" t="s">
        <v>40</v>
      </c>
      <c r="Z173" s="5" t="s">
        <v>246</v>
      </c>
    </row>
    <row r="174" spans="1:26" ht="13.8" customHeight="1" x14ac:dyDescent="0.3">
      <c r="A174" t="s">
        <v>931</v>
      </c>
      <c r="B174" t="s">
        <v>932</v>
      </c>
      <c r="C174" t="s">
        <v>309</v>
      </c>
      <c r="D174" t="s">
        <v>310</v>
      </c>
      <c r="E174" t="s">
        <v>933</v>
      </c>
      <c r="F174" t="s">
        <v>312</v>
      </c>
      <c r="G174" t="s">
        <v>312</v>
      </c>
      <c r="H174" t="s">
        <v>31</v>
      </c>
      <c r="I174" t="s">
        <v>32</v>
      </c>
      <c r="J174" t="s">
        <v>33</v>
      </c>
      <c r="K174" t="s">
        <v>34</v>
      </c>
      <c r="L174" t="s">
        <v>466</v>
      </c>
      <c r="M174" t="s">
        <v>54</v>
      </c>
      <c r="N174" t="s">
        <v>37</v>
      </c>
      <c r="O174" s="6">
        <v>419500</v>
      </c>
      <c r="P174" s="2">
        <v>13700</v>
      </c>
      <c r="Q174" s="2">
        <v>13700</v>
      </c>
      <c r="R174" t="s">
        <v>334</v>
      </c>
      <c r="S174" t="s">
        <v>38</v>
      </c>
      <c r="T174">
        <v>100</v>
      </c>
      <c r="U174" t="s">
        <v>934</v>
      </c>
      <c r="V174" t="s">
        <v>40</v>
      </c>
      <c r="W174" t="s">
        <v>40</v>
      </c>
      <c r="X174" t="s">
        <v>40</v>
      </c>
      <c r="Y174" t="s">
        <v>40</v>
      </c>
      <c r="Z174" s="5" t="s">
        <v>246</v>
      </c>
    </row>
    <row r="175" spans="1:26" ht="13.8" customHeight="1" x14ac:dyDescent="0.3">
      <c r="A175" t="s">
        <v>935</v>
      </c>
      <c r="B175" t="s">
        <v>936</v>
      </c>
      <c r="C175" t="s">
        <v>317</v>
      </c>
      <c r="D175" t="s">
        <v>310</v>
      </c>
      <c r="E175" t="s">
        <v>937</v>
      </c>
      <c r="F175" t="s">
        <v>312</v>
      </c>
      <c r="G175" t="s">
        <v>312</v>
      </c>
      <c r="H175" t="s">
        <v>31</v>
      </c>
      <c r="I175" t="s">
        <v>32</v>
      </c>
      <c r="J175" t="s">
        <v>33</v>
      </c>
      <c r="K175" t="s">
        <v>34</v>
      </c>
      <c r="L175" t="s">
        <v>466</v>
      </c>
      <c r="M175" t="s">
        <v>54</v>
      </c>
      <c r="N175" t="s">
        <v>37</v>
      </c>
      <c r="O175" s="6">
        <v>11067000</v>
      </c>
      <c r="P175" s="2">
        <v>241800</v>
      </c>
      <c r="Q175" s="2">
        <v>241800</v>
      </c>
      <c r="R175" t="s">
        <v>334</v>
      </c>
      <c r="S175" t="s">
        <v>38</v>
      </c>
      <c r="T175">
        <v>100</v>
      </c>
      <c r="U175" t="s">
        <v>938</v>
      </c>
      <c r="V175" t="s">
        <v>40</v>
      </c>
      <c r="W175" t="s">
        <v>40</v>
      </c>
      <c r="X175" t="s">
        <v>40</v>
      </c>
      <c r="Y175" t="s">
        <v>40</v>
      </c>
      <c r="Z175" s="5" t="s">
        <v>246</v>
      </c>
    </row>
    <row r="176" spans="1:26" ht="13.8" customHeight="1" x14ac:dyDescent="0.3">
      <c r="A176" t="s">
        <v>939</v>
      </c>
      <c r="B176" t="s">
        <v>940</v>
      </c>
      <c r="C176" t="s">
        <v>309</v>
      </c>
      <c r="D176" t="s">
        <v>310</v>
      </c>
      <c r="E176" t="s">
        <v>941</v>
      </c>
      <c r="F176" t="s">
        <v>312</v>
      </c>
      <c r="G176" t="s">
        <v>312</v>
      </c>
      <c r="H176" t="s">
        <v>31</v>
      </c>
      <c r="I176" t="s">
        <v>32</v>
      </c>
      <c r="J176" t="s">
        <v>33</v>
      </c>
      <c r="K176" t="s">
        <v>34</v>
      </c>
      <c r="L176" t="s">
        <v>466</v>
      </c>
      <c r="M176" t="s">
        <v>54</v>
      </c>
      <c r="N176" t="s">
        <v>37</v>
      </c>
      <c r="O176" s="6">
        <v>238000</v>
      </c>
      <c r="P176" s="2">
        <v>5200</v>
      </c>
      <c r="Q176" s="2">
        <v>5200</v>
      </c>
      <c r="R176" t="s">
        <v>334</v>
      </c>
      <c r="S176" t="s">
        <v>38</v>
      </c>
      <c r="T176">
        <v>100</v>
      </c>
      <c r="U176" t="s">
        <v>942</v>
      </c>
      <c r="V176" t="s">
        <v>40</v>
      </c>
      <c r="W176" t="s">
        <v>40</v>
      </c>
      <c r="X176" t="s">
        <v>40</v>
      </c>
      <c r="Y176" t="s">
        <v>40</v>
      </c>
      <c r="Z176" s="5" t="s">
        <v>246</v>
      </c>
    </row>
    <row r="177" spans="1:26" ht="13.8" customHeight="1" x14ac:dyDescent="0.3">
      <c r="A177" t="s">
        <v>943</v>
      </c>
      <c r="B177" t="s">
        <v>944</v>
      </c>
      <c r="C177" t="s">
        <v>309</v>
      </c>
      <c r="D177" t="s">
        <v>310</v>
      </c>
      <c r="E177" t="s">
        <v>945</v>
      </c>
      <c r="F177" t="s">
        <v>312</v>
      </c>
      <c r="G177" t="s">
        <v>312</v>
      </c>
      <c r="H177" t="s">
        <v>31</v>
      </c>
      <c r="I177" t="s">
        <v>32</v>
      </c>
      <c r="J177" t="s">
        <v>33</v>
      </c>
      <c r="K177" t="s">
        <v>34</v>
      </c>
      <c r="L177" t="s">
        <v>466</v>
      </c>
      <c r="M177" t="s">
        <v>54</v>
      </c>
      <c r="N177" t="s">
        <v>37</v>
      </c>
      <c r="O177" s="6">
        <v>2380000</v>
      </c>
      <c r="P177" s="2">
        <v>52000</v>
      </c>
      <c r="Q177" s="2">
        <v>52000</v>
      </c>
      <c r="R177" t="s">
        <v>913</v>
      </c>
      <c r="S177" t="s">
        <v>38</v>
      </c>
      <c r="T177">
        <v>100</v>
      </c>
      <c r="U177" t="s">
        <v>946</v>
      </c>
      <c r="V177" t="s">
        <v>40</v>
      </c>
      <c r="W177" t="s">
        <v>40</v>
      </c>
      <c r="X177" t="s">
        <v>40</v>
      </c>
      <c r="Y177" t="s">
        <v>40</v>
      </c>
      <c r="Z177" s="5" t="s">
        <v>246</v>
      </c>
    </row>
    <row r="178" spans="1:26" ht="13.8" customHeight="1" x14ac:dyDescent="0.3">
      <c r="A178" t="s">
        <v>947</v>
      </c>
      <c r="B178" t="s">
        <v>948</v>
      </c>
      <c r="C178" t="s">
        <v>309</v>
      </c>
      <c r="D178" t="s">
        <v>310</v>
      </c>
      <c r="E178" t="s">
        <v>949</v>
      </c>
      <c r="F178" t="s">
        <v>312</v>
      </c>
      <c r="G178" t="s">
        <v>312</v>
      </c>
      <c r="H178" t="s">
        <v>31</v>
      </c>
      <c r="I178" t="s">
        <v>32</v>
      </c>
      <c r="J178" t="s">
        <v>33</v>
      </c>
      <c r="K178" t="s">
        <v>34</v>
      </c>
      <c r="L178" t="s">
        <v>466</v>
      </c>
      <c r="M178" t="s">
        <v>54</v>
      </c>
      <c r="N178" t="s">
        <v>37</v>
      </c>
      <c r="O178" s="6">
        <v>201150</v>
      </c>
      <c r="P178" s="2">
        <v>2250</v>
      </c>
      <c r="Q178" s="2">
        <v>2250</v>
      </c>
      <c r="R178" t="s">
        <v>950</v>
      </c>
      <c r="S178" t="s">
        <v>38</v>
      </c>
      <c r="T178">
        <v>100</v>
      </c>
      <c r="U178" t="s">
        <v>951</v>
      </c>
      <c r="V178" t="s">
        <v>40</v>
      </c>
      <c r="W178" t="s">
        <v>40</v>
      </c>
      <c r="X178" t="s">
        <v>40</v>
      </c>
      <c r="Y178" t="s">
        <v>40</v>
      </c>
      <c r="Z178" s="5" t="s">
        <v>246</v>
      </c>
    </row>
    <row r="179" spans="1:26" ht="13.8" customHeight="1" x14ac:dyDescent="0.3">
      <c r="A179" t="s">
        <v>952</v>
      </c>
      <c r="B179" t="s">
        <v>953</v>
      </c>
      <c r="C179" t="s">
        <v>309</v>
      </c>
      <c r="D179" t="s">
        <v>310</v>
      </c>
      <c r="E179" t="s">
        <v>954</v>
      </c>
      <c r="F179" t="s">
        <v>312</v>
      </c>
      <c r="G179" t="s">
        <v>312</v>
      </c>
      <c r="H179" t="s">
        <v>31</v>
      </c>
      <c r="I179" t="s">
        <v>32</v>
      </c>
      <c r="J179" t="s">
        <v>33</v>
      </c>
      <c r="K179" t="s">
        <v>34</v>
      </c>
      <c r="L179" t="s">
        <v>466</v>
      </c>
      <c r="M179" t="s">
        <v>54</v>
      </c>
      <c r="N179" t="s">
        <v>37</v>
      </c>
      <c r="O179" s="6">
        <v>5843000</v>
      </c>
      <c r="P179" s="2">
        <v>145800</v>
      </c>
      <c r="Q179" s="2">
        <v>145800</v>
      </c>
      <c r="R179" t="s">
        <v>348</v>
      </c>
      <c r="S179" t="s">
        <v>38</v>
      </c>
      <c r="T179">
        <v>100</v>
      </c>
      <c r="U179" t="s">
        <v>955</v>
      </c>
      <c r="V179" t="s">
        <v>40</v>
      </c>
      <c r="W179" t="s">
        <v>40</v>
      </c>
      <c r="X179" t="s">
        <v>40</v>
      </c>
      <c r="Y179" t="s">
        <v>40</v>
      </c>
      <c r="Z179" s="5" t="s">
        <v>246</v>
      </c>
    </row>
    <row r="180" spans="1:26" ht="13.8" customHeight="1" x14ac:dyDescent="0.3">
      <c r="A180" t="s">
        <v>956</v>
      </c>
      <c r="B180" t="s">
        <v>957</v>
      </c>
      <c r="C180" t="s">
        <v>309</v>
      </c>
      <c r="D180" t="s">
        <v>310</v>
      </c>
      <c r="E180" t="s">
        <v>958</v>
      </c>
      <c r="F180" t="s">
        <v>312</v>
      </c>
      <c r="G180" t="s">
        <v>312</v>
      </c>
      <c r="H180" t="s">
        <v>31</v>
      </c>
      <c r="I180" t="s">
        <v>32</v>
      </c>
      <c r="J180" t="s">
        <v>33</v>
      </c>
      <c r="K180" t="s">
        <v>34</v>
      </c>
      <c r="L180" t="s">
        <v>466</v>
      </c>
      <c r="M180" t="s">
        <v>54</v>
      </c>
      <c r="N180" t="s">
        <v>37</v>
      </c>
      <c r="O180" s="6">
        <v>958000</v>
      </c>
      <c r="P180" s="2">
        <v>30000</v>
      </c>
      <c r="Q180" s="2">
        <v>30000</v>
      </c>
      <c r="R180" t="s">
        <v>348</v>
      </c>
      <c r="S180" t="s">
        <v>38</v>
      </c>
      <c r="T180">
        <v>100</v>
      </c>
      <c r="U180" t="s">
        <v>959</v>
      </c>
      <c r="V180" t="s">
        <v>40</v>
      </c>
      <c r="W180" t="s">
        <v>40</v>
      </c>
      <c r="X180" t="s">
        <v>40</v>
      </c>
      <c r="Y180" t="s">
        <v>40</v>
      </c>
      <c r="Z180" s="5" t="s">
        <v>246</v>
      </c>
    </row>
    <row r="181" spans="1:26" ht="13.8" customHeight="1" x14ac:dyDescent="0.3">
      <c r="A181" t="s">
        <v>960</v>
      </c>
      <c r="B181" t="s">
        <v>961</v>
      </c>
      <c r="C181" t="s">
        <v>309</v>
      </c>
      <c r="D181" t="s">
        <v>310</v>
      </c>
      <c r="E181" t="s">
        <v>962</v>
      </c>
      <c r="F181" t="s">
        <v>312</v>
      </c>
      <c r="G181" t="s">
        <v>312</v>
      </c>
      <c r="H181" t="s">
        <v>31</v>
      </c>
      <c r="I181" t="s">
        <v>32</v>
      </c>
      <c r="J181" t="s">
        <v>33</v>
      </c>
      <c r="K181" t="s">
        <v>34</v>
      </c>
      <c r="L181" t="s">
        <v>466</v>
      </c>
      <c r="M181" t="s">
        <v>54</v>
      </c>
      <c r="N181" t="s">
        <v>37</v>
      </c>
      <c r="O181" s="6">
        <v>11886500</v>
      </c>
      <c r="P181" s="2">
        <v>509100</v>
      </c>
      <c r="Q181" s="2">
        <v>509100</v>
      </c>
      <c r="R181" t="s">
        <v>348</v>
      </c>
      <c r="S181" t="s">
        <v>38</v>
      </c>
      <c r="T181">
        <v>100</v>
      </c>
      <c r="U181" t="s">
        <v>963</v>
      </c>
      <c r="V181" t="s">
        <v>40</v>
      </c>
      <c r="W181" t="s">
        <v>40</v>
      </c>
      <c r="X181" t="s">
        <v>40</v>
      </c>
      <c r="Y181" t="s">
        <v>40</v>
      </c>
      <c r="Z181" s="5" t="s">
        <v>246</v>
      </c>
    </row>
    <row r="182" spans="1:26" ht="13.8" customHeight="1" x14ac:dyDescent="0.3">
      <c r="A182" t="s">
        <v>964</v>
      </c>
      <c r="B182" t="s">
        <v>965</v>
      </c>
      <c r="C182" t="s">
        <v>309</v>
      </c>
      <c r="D182" t="s">
        <v>310</v>
      </c>
      <c r="E182" t="s">
        <v>966</v>
      </c>
      <c r="F182" t="s">
        <v>312</v>
      </c>
      <c r="G182" t="s">
        <v>312</v>
      </c>
      <c r="H182" t="s">
        <v>31</v>
      </c>
      <c r="I182" t="s">
        <v>32</v>
      </c>
      <c r="J182" t="s">
        <v>33</v>
      </c>
      <c r="K182" t="s">
        <v>34</v>
      </c>
      <c r="L182" t="s">
        <v>466</v>
      </c>
      <c r="M182" t="s">
        <v>54</v>
      </c>
      <c r="N182" t="s">
        <v>37</v>
      </c>
      <c r="O182" s="6">
        <v>1133500</v>
      </c>
      <c r="P182" s="2">
        <v>29300</v>
      </c>
      <c r="Q182" s="2">
        <v>29300</v>
      </c>
      <c r="R182" t="s">
        <v>348</v>
      </c>
      <c r="S182" t="s">
        <v>38</v>
      </c>
      <c r="T182">
        <v>100</v>
      </c>
      <c r="U182" t="s">
        <v>967</v>
      </c>
      <c r="V182" t="s">
        <v>40</v>
      </c>
      <c r="W182" t="s">
        <v>40</v>
      </c>
      <c r="X182" t="s">
        <v>40</v>
      </c>
      <c r="Y182" t="s">
        <v>40</v>
      </c>
      <c r="Z182" s="5" t="s">
        <v>246</v>
      </c>
    </row>
    <row r="183" spans="1:26" ht="13.8" customHeight="1" x14ac:dyDescent="0.3">
      <c r="A183" t="s">
        <v>968</v>
      </c>
      <c r="B183" t="s">
        <v>969</v>
      </c>
      <c r="C183" t="s">
        <v>309</v>
      </c>
      <c r="D183" t="s">
        <v>310</v>
      </c>
      <c r="E183" t="s">
        <v>970</v>
      </c>
      <c r="F183" t="s">
        <v>312</v>
      </c>
      <c r="G183" t="s">
        <v>312</v>
      </c>
      <c r="H183" t="s">
        <v>31</v>
      </c>
      <c r="I183" t="s">
        <v>32</v>
      </c>
      <c r="J183" t="s">
        <v>33</v>
      </c>
      <c r="K183" t="s">
        <v>34</v>
      </c>
      <c r="L183" t="s">
        <v>466</v>
      </c>
      <c r="M183" t="s">
        <v>54</v>
      </c>
      <c r="N183" t="s">
        <v>37</v>
      </c>
      <c r="O183" s="6">
        <v>119000</v>
      </c>
      <c r="P183" s="2">
        <v>2600</v>
      </c>
      <c r="Q183" s="2">
        <v>2600</v>
      </c>
      <c r="R183" t="s">
        <v>348</v>
      </c>
      <c r="S183" t="s">
        <v>38</v>
      </c>
      <c r="T183">
        <v>100</v>
      </c>
      <c r="U183" t="s">
        <v>971</v>
      </c>
      <c r="V183" t="s">
        <v>40</v>
      </c>
      <c r="W183" t="s">
        <v>40</v>
      </c>
      <c r="X183" t="s">
        <v>40</v>
      </c>
      <c r="Y183" t="s">
        <v>40</v>
      </c>
      <c r="Z183" s="5" t="s">
        <v>246</v>
      </c>
    </row>
    <row r="184" spans="1:26" ht="13.8" customHeight="1" x14ac:dyDescent="0.3">
      <c r="A184" t="s">
        <v>972</v>
      </c>
      <c r="B184" t="s">
        <v>973</v>
      </c>
      <c r="C184" t="s">
        <v>309</v>
      </c>
      <c r="D184" t="s">
        <v>310</v>
      </c>
      <c r="E184" t="s">
        <v>974</v>
      </c>
      <c r="F184" t="s">
        <v>312</v>
      </c>
      <c r="G184" t="s">
        <v>312</v>
      </c>
      <c r="H184" t="s">
        <v>31</v>
      </c>
      <c r="I184" t="s">
        <v>32</v>
      </c>
      <c r="J184" t="s">
        <v>33</v>
      </c>
      <c r="K184" t="s">
        <v>34</v>
      </c>
      <c r="L184" t="s">
        <v>466</v>
      </c>
      <c r="M184" t="s">
        <v>54</v>
      </c>
      <c r="N184" t="s">
        <v>37</v>
      </c>
      <c r="O184" s="6">
        <v>238000</v>
      </c>
      <c r="P184" s="2">
        <v>5200</v>
      </c>
      <c r="Q184" s="2">
        <v>5200</v>
      </c>
      <c r="R184" t="s">
        <v>950</v>
      </c>
      <c r="S184" t="s">
        <v>38</v>
      </c>
      <c r="T184">
        <v>100</v>
      </c>
      <c r="U184" t="s">
        <v>975</v>
      </c>
      <c r="V184" t="s">
        <v>40</v>
      </c>
      <c r="W184" t="s">
        <v>40</v>
      </c>
      <c r="X184" t="s">
        <v>40</v>
      </c>
      <c r="Y184" t="s">
        <v>40</v>
      </c>
      <c r="Z184" s="5" t="s">
        <v>246</v>
      </c>
    </row>
    <row r="185" spans="1:26" ht="13.8" customHeight="1" x14ac:dyDescent="0.3">
      <c r="A185" t="s">
        <v>976</v>
      </c>
      <c r="B185" t="s">
        <v>977</v>
      </c>
      <c r="C185" t="s">
        <v>309</v>
      </c>
      <c r="D185" t="s">
        <v>310</v>
      </c>
      <c r="E185" t="s">
        <v>978</v>
      </c>
      <c r="F185" t="s">
        <v>312</v>
      </c>
      <c r="G185" t="s">
        <v>312</v>
      </c>
      <c r="H185" t="s">
        <v>31</v>
      </c>
      <c r="I185" t="s">
        <v>32</v>
      </c>
      <c r="J185" t="s">
        <v>33</v>
      </c>
      <c r="K185" t="s">
        <v>34</v>
      </c>
      <c r="L185" t="s">
        <v>466</v>
      </c>
      <c r="M185" t="s">
        <v>54</v>
      </c>
      <c r="N185" t="s">
        <v>37</v>
      </c>
      <c r="O185" s="6">
        <v>119000</v>
      </c>
      <c r="P185" s="2">
        <v>2600</v>
      </c>
      <c r="Q185">
        <v>0</v>
      </c>
      <c r="R185" t="s">
        <v>950</v>
      </c>
      <c r="S185" t="s">
        <v>38</v>
      </c>
      <c r="T185">
        <v>100</v>
      </c>
      <c r="U185" t="s">
        <v>40</v>
      </c>
      <c r="V185" t="s">
        <v>40</v>
      </c>
      <c r="W185" t="s">
        <v>40</v>
      </c>
      <c r="X185" t="s">
        <v>40</v>
      </c>
      <c r="Y185" t="s">
        <v>40</v>
      </c>
      <c r="Z185" s="5" t="s">
        <v>246</v>
      </c>
    </row>
    <row r="186" spans="1:26" ht="13.8" customHeight="1" x14ac:dyDescent="0.3">
      <c r="A186" t="s">
        <v>979</v>
      </c>
      <c r="B186" t="s">
        <v>980</v>
      </c>
      <c r="C186" t="s">
        <v>309</v>
      </c>
      <c r="D186" t="s">
        <v>310</v>
      </c>
      <c r="E186" t="s">
        <v>981</v>
      </c>
      <c r="F186" t="s">
        <v>312</v>
      </c>
      <c r="G186" t="s">
        <v>312</v>
      </c>
      <c r="H186" t="s">
        <v>31</v>
      </c>
      <c r="I186" t="s">
        <v>32</v>
      </c>
      <c r="J186" t="s">
        <v>33</v>
      </c>
      <c r="K186" t="s">
        <v>34</v>
      </c>
      <c r="L186" t="s">
        <v>466</v>
      </c>
      <c r="M186" t="s">
        <v>54</v>
      </c>
      <c r="N186" t="s">
        <v>37</v>
      </c>
      <c r="O186" s="6">
        <v>119000</v>
      </c>
      <c r="P186" s="2">
        <v>2600</v>
      </c>
      <c r="Q186" s="2">
        <v>2600</v>
      </c>
      <c r="R186" t="s">
        <v>950</v>
      </c>
      <c r="S186" t="s">
        <v>38</v>
      </c>
      <c r="T186">
        <v>100</v>
      </c>
      <c r="U186" t="s">
        <v>982</v>
      </c>
      <c r="V186" t="s">
        <v>40</v>
      </c>
      <c r="W186" t="s">
        <v>40</v>
      </c>
      <c r="X186" t="s">
        <v>40</v>
      </c>
      <c r="Y186" t="s">
        <v>40</v>
      </c>
      <c r="Z186" s="5" t="s">
        <v>246</v>
      </c>
    </row>
    <row r="187" spans="1:26" ht="13.8" customHeight="1" x14ac:dyDescent="0.3">
      <c r="A187" s="1">
        <v>46028.713888888888</v>
      </c>
      <c r="B187" t="s">
        <v>983</v>
      </c>
      <c r="C187" t="s">
        <v>309</v>
      </c>
      <c r="D187" t="s">
        <v>310</v>
      </c>
      <c r="E187" t="s">
        <v>984</v>
      </c>
      <c r="F187" t="s">
        <v>312</v>
      </c>
      <c r="G187" t="s">
        <v>312</v>
      </c>
      <c r="H187" t="s">
        <v>31</v>
      </c>
      <c r="I187" t="s">
        <v>32</v>
      </c>
      <c r="J187" t="s">
        <v>33</v>
      </c>
      <c r="K187" t="s">
        <v>34</v>
      </c>
      <c r="L187" t="s">
        <v>466</v>
      </c>
      <c r="M187" t="s">
        <v>54</v>
      </c>
      <c r="N187" t="s">
        <v>37</v>
      </c>
      <c r="O187" s="6">
        <v>42130000</v>
      </c>
      <c r="P187" s="2">
        <v>999400</v>
      </c>
      <c r="Q187">
        <v>0</v>
      </c>
      <c r="R187" t="s">
        <v>985</v>
      </c>
      <c r="S187" t="s">
        <v>38</v>
      </c>
      <c r="T187">
        <v>100</v>
      </c>
      <c r="U187" t="s">
        <v>40</v>
      </c>
      <c r="V187" t="s">
        <v>40</v>
      </c>
      <c r="W187" t="s">
        <v>40</v>
      </c>
      <c r="X187" t="s">
        <v>40</v>
      </c>
      <c r="Y187" t="s">
        <v>40</v>
      </c>
      <c r="Z187" s="5" t="s">
        <v>246</v>
      </c>
    </row>
    <row r="188" spans="1:26" ht="13.8" customHeight="1" x14ac:dyDescent="0.3">
      <c r="A188" t="s">
        <v>986</v>
      </c>
      <c r="B188" t="s">
        <v>987</v>
      </c>
      <c r="C188" t="s">
        <v>369</v>
      </c>
      <c r="D188" t="s">
        <v>370</v>
      </c>
      <c r="E188" t="s">
        <v>988</v>
      </c>
      <c r="F188" t="s">
        <v>30</v>
      </c>
      <c r="G188" t="s">
        <v>989</v>
      </c>
      <c r="H188" t="s">
        <v>31</v>
      </c>
      <c r="I188" t="s">
        <v>32</v>
      </c>
      <c r="J188" t="s">
        <v>33</v>
      </c>
      <c r="K188" t="s">
        <v>990</v>
      </c>
      <c r="L188" t="s">
        <v>991</v>
      </c>
      <c r="M188" t="s">
        <v>36</v>
      </c>
      <c r="N188" t="s">
        <v>37</v>
      </c>
      <c r="O188" s="6">
        <v>21350</v>
      </c>
      <c r="P188" s="2">
        <v>2850</v>
      </c>
      <c r="Q188" s="2">
        <v>2850</v>
      </c>
      <c r="R188" t="s">
        <v>736</v>
      </c>
      <c r="S188" t="s">
        <v>38</v>
      </c>
      <c r="T188">
        <v>100</v>
      </c>
      <c r="U188" t="s">
        <v>992</v>
      </c>
      <c r="V188" t="s">
        <v>40</v>
      </c>
      <c r="W188" t="s">
        <v>40</v>
      </c>
      <c r="X188" t="s">
        <v>40</v>
      </c>
      <c r="Y188" t="s">
        <v>993</v>
      </c>
      <c r="Z188" s="5" t="s">
        <v>42</v>
      </c>
    </row>
    <row r="189" spans="1:26" ht="13.8" customHeight="1" x14ac:dyDescent="0.3">
      <c r="A189" s="1">
        <v>46332.530555555553</v>
      </c>
      <c r="B189" t="s">
        <v>994</v>
      </c>
      <c r="C189" t="s">
        <v>995</v>
      </c>
      <c r="D189" t="s">
        <v>996</v>
      </c>
      <c r="E189" t="s">
        <v>997</v>
      </c>
      <c r="F189" t="s">
        <v>30</v>
      </c>
      <c r="G189" t="s">
        <v>989</v>
      </c>
      <c r="H189" t="s">
        <v>31</v>
      </c>
      <c r="I189" t="s">
        <v>32</v>
      </c>
      <c r="J189" t="s">
        <v>998</v>
      </c>
      <c r="K189" t="s">
        <v>990</v>
      </c>
      <c r="L189" t="s">
        <v>999</v>
      </c>
      <c r="M189" t="s">
        <v>1000</v>
      </c>
      <c r="N189" t="s">
        <v>37</v>
      </c>
      <c r="O189" s="6">
        <v>23650</v>
      </c>
      <c r="P189" s="2">
        <v>2650</v>
      </c>
      <c r="Q189" s="2">
        <v>2650</v>
      </c>
      <c r="R189" s="3">
        <v>46332</v>
      </c>
      <c r="S189" t="s">
        <v>38</v>
      </c>
      <c r="T189">
        <v>100</v>
      </c>
      <c r="U189" t="s">
        <v>1001</v>
      </c>
      <c r="V189" t="s">
        <v>40</v>
      </c>
      <c r="W189" t="s">
        <v>40</v>
      </c>
      <c r="X189" t="s">
        <v>40</v>
      </c>
      <c r="Y189" t="s">
        <v>1002</v>
      </c>
      <c r="Z189" s="5" t="s">
        <v>42</v>
      </c>
    </row>
    <row r="190" spans="1:26" ht="13.8" customHeight="1" x14ac:dyDescent="0.3">
      <c r="A190" t="s">
        <v>1003</v>
      </c>
      <c r="B190" t="s">
        <v>1004</v>
      </c>
      <c r="C190" t="s">
        <v>1005</v>
      </c>
      <c r="D190" t="s">
        <v>1006</v>
      </c>
      <c r="E190" t="s">
        <v>1007</v>
      </c>
      <c r="F190" t="s">
        <v>1008</v>
      </c>
      <c r="G190" t="s">
        <v>1009</v>
      </c>
      <c r="H190" t="s">
        <v>1010</v>
      </c>
      <c r="I190" t="s">
        <v>1011</v>
      </c>
      <c r="J190" t="s">
        <v>434</v>
      </c>
      <c r="K190" t="s">
        <v>990</v>
      </c>
      <c r="L190" t="s">
        <v>1012</v>
      </c>
      <c r="M190" t="s">
        <v>1013</v>
      </c>
      <c r="N190" t="s">
        <v>37</v>
      </c>
      <c r="O190" s="6">
        <v>73129</v>
      </c>
      <c r="P190" s="2">
        <v>58000</v>
      </c>
      <c r="Q190" s="2">
        <v>58000</v>
      </c>
      <c r="R190" s="3">
        <v>46146</v>
      </c>
      <c r="S190" t="s">
        <v>38</v>
      </c>
      <c r="T190">
        <v>100</v>
      </c>
      <c r="U190" t="s">
        <v>1014</v>
      </c>
      <c r="V190" t="s">
        <v>40</v>
      </c>
      <c r="W190" t="s">
        <v>40</v>
      </c>
      <c r="X190" t="s">
        <v>40</v>
      </c>
      <c r="Y190" t="s">
        <v>40</v>
      </c>
      <c r="Z190" s="5" t="s">
        <v>436</v>
      </c>
    </row>
    <row r="191" spans="1:26" ht="13.8" customHeight="1" x14ac:dyDescent="0.3">
      <c r="A191" s="1">
        <v>45668.527777777781</v>
      </c>
      <c r="B191" t="s">
        <v>1015</v>
      </c>
      <c r="C191" t="s">
        <v>1016</v>
      </c>
      <c r="D191" t="s">
        <v>1017</v>
      </c>
      <c r="E191" t="s">
        <v>1018</v>
      </c>
      <c r="F191" t="s">
        <v>219</v>
      </c>
      <c r="G191" t="s">
        <v>1019</v>
      </c>
      <c r="H191" t="s">
        <v>31</v>
      </c>
      <c r="I191" t="s">
        <v>32</v>
      </c>
      <c r="J191" t="s">
        <v>998</v>
      </c>
      <c r="K191" t="s">
        <v>990</v>
      </c>
      <c r="L191" t="s">
        <v>1012</v>
      </c>
      <c r="M191" t="s">
        <v>36</v>
      </c>
      <c r="N191" t="s">
        <v>37</v>
      </c>
      <c r="O191" s="6">
        <v>524744.72</v>
      </c>
      <c r="P191" s="2">
        <v>36916.720000000001</v>
      </c>
      <c r="Q191" s="2">
        <v>36177.03</v>
      </c>
      <c r="R191" s="3">
        <v>46085</v>
      </c>
      <c r="S191" t="s">
        <v>38</v>
      </c>
      <c r="T191">
        <v>90</v>
      </c>
      <c r="U191" t="s">
        <v>1020</v>
      </c>
      <c r="V191" t="s">
        <v>40</v>
      </c>
      <c r="W191" t="s">
        <v>40</v>
      </c>
      <c r="X191" t="s">
        <v>40</v>
      </c>
      <c r="Y191" t="s">
        <v>40</v>
      </c>
      <c r="Z191" s="5" t="s">
        <v>225</v>
      </c>
    </row>
    <row r="192" spans="1:26" ht="13.8" customHeight="1" x14ac:dyDescent="0.3">
      <c r="A192" t="s">
        <v>1021</v>
      </c>
      <c r="B192" t="s">
        <v>1022</v>
      </c>
      <c r="C192" t="s">
        <v>249</v>
      </c>
      <c r="D192" t="s">
        <v>250</v>
      </c>
      <c r="E192" t="s">
        <v>1023</v>
      </c>
      <c r="F192" t="s">
        <v>252</v>
      </c>
      <c r="G192" t="s">
        <v>1024</v>
      </c>
      <c r="H192" t="s">
        <v>31</v>
      </c>
      <c r="I192" t="s">
        <v>32</v>
      </c>
      <c r="J192" t="s">
        <v>33</v>
      </c>
      <c r="K192" t="s">
        <v>990</v>
      </c>
      <c r="L192" t="s">
        <v>36</v>
      </c>
      <c r="M192" t="s">
        <v>198</v>
      </c>
      <c r="N192" t="s">
        <v>37</v>
      </c>
      <c r="O192" s="6">
        <v>229000</v>
      </c>
      <c r="P192" s="2">
        <v>29000</v>
      </c>
      <c r="Q192" s="2">
        <v>19919.3</v>
      </c>
      <c r="R192" t="s">
        <v>573</v>
      </c>
      <c r="S192" t="s">
        <v>38</v>
      </c>
      <c r="T192">
        <v>100</v>
      </c>
      <c r="U192" t="s">
        <v>1025</v>
      </c>
      <c r="V192" t="s">
        <v>40</v>
      </c>
      <c r="W192" t="s">
        <v>40</v>
      </c>
      <c r="X192" t="s">
        <v>40</v>
      </c>
      <c r="Y192" t="s">
        <v>40</v>
      </c>
      <c r="Z192" s="5" t="s">
        <v>32</v>
      </c>
    </row>
    <row r="193" spans="1:26" ht="13.8" customHeight="1" x14ac:dyDescent="0.3">
      <c r="A193" s="1">
        <v>46332.667361111111</v>
      </c>
      <c r="B193" t="s">
        <v>1026</v>
      </c>
      <c r="C193" t="s">
        <v>249</v>
      </c>
      <c r="D193" t="s">
        <v>250</v>
      </c>
      <c r="E193" t="s">
        <v>1027</v>
      </c>
      <c r="F193" t="s">
        <v>252</v>
      </c>
      <c r="G193" t="s">
        <v>1024</v>
      </c>
      <c r="H193" t="s">
        <v>31</v>
      </c>
      <c r="I193" t="s">
        <v>32</v>
      </c>
      <c r="J193" t="s">
        <v>33</v>
      </c>
      <c r="K193" t="s">
        <v>990</v>
      </c>
      <c r="L193" t="s">
        <v>1028</v>
      </c>
      <c r="M193" t="s">
        <v>1029</v>
      </c>
      <c r="N193" t="s">
        <v>37</v>
      </c>
      <c r="O193" s="6">
        <v>99000</v>
      </c>
      <c r="P193" s="2">
        <v>8951.7999999999993</v>
      </c>
      <c r="Q193" s="2">
        <v>8951.7999999999993</v>
      </c>
      <c r="R193" t="s">
        <v>327</v>
      </c>
      <c r="S193" t="s">
        <v>38</v>
      </c>
      <c r="T193">
        <v>100</v>
      </c>
      <c r="U193" t="s">
        <v>1030</v>
      </c>
      <c r="V193" t="s">
        <v>40</v>
      </c>
      <c r="W193" t="s">
        <v>40</v>
      </c>
      <c r="X193" t="s">
        <v>40</v>
      </c>
      <c r="Y193" t="s">
        <v>40</v>
      </c>
      <c r="Z193" s="5" t="s">
        <v>32</v>
      </c>
    </row>
    <row r="194" spans="1:26" ht="13.8" customHeight="1" x14ac:dyDescent="0.3">
      <c r="A194" s="1">
        <v>46329.643750000003</v>
      </c>
      <c r="B194" t="s">
        <v>1031</v>
      </c>
      <c r="C194" t="s">
        <v>239</v>
      </c>
      <c r="D194" t="s">
        <v>1032</v>
      </c>
      <c r="E194" t="s">
        <v>1033</v>
      </c>
      <c r="F194" t="s">
        <v>242</v>
      </c>
      <c r="G194" t="s">
        <v>1034</v>
      </c>
      <c r="H194" t="s">
        <v>31</v>
      </c>
      <c r="I194" t="s">
        <v>32</v>
      </c>
      <c r="J194" t="s">
        <v>1035</v>
      </c>
      <c r="K194" t="s">
        <v>990</v>
      </c>
      <c r="L194" t="s">
        <v>36</v>
      </c>
      <c r="M194" t="s">
        <v>356</v>
      </c>
      <c r="N194" t="s">
        <v>37</v>
      </c>
      <c r="O194" s="6">
        <v>532500</v>
      </c>
      <c r="P194" s="2">
        <v>31920</v>
      </c>
      <c r="Q194" s="2">
        <v>31920</v>
      </c>
      <c r="R194" t="s">
        <v>211</v>
      </c>
      <c r="S194" t="s">
        <v>38</v>
      </c>
      <c r="T194">
        <v>100</v>
      </c>
      <c r="U194" t="s">
        <v>1036</v>
      </c>
      <c r="V194" t="s">
        <v>40</v>
      </c>
      <c r="W194" t="s">
        <v>40</v>
      </c>
      <c r="X194" t="s">
        <v>40</v>
      </c>
      <c r="Y194" t="s">
        <v>40</v>
      </c>
      <c r="Z194" s="5" t="s">
        <v>246</v>
      </c>
    </row>
    <row r="195" spans="1:26" ht="13.8" customHeight="1" x14ac:dyDescent="0.3">
      <c r="A195" t="s">
        <v>1037</v>
      </c>
      <c r="B195" t="s">
        <v>1038</v>
      </c>
      <c r="C195" t="s">
        <v>1039</v>
      </c>
      <c r="D195" t="s">
        <v>1040</v>
      </c>
      <c r="E195" t="s">
        <v>1041</v>
      </c>
      <c r="F195" t="s">
        <v>242</v>
      </c>
      <c r="G195" t="s">
        <v>1034</v>
      </c>
      <c r="H195" t="s">
        <v>31</v>
      </c>
      <c r="I195" t="s">
        <v>32</v>
      </c>
      <c r="J195" t="s">
        <v>1035</v>
      </c>
      <c r="K195" t="s">
        <v>990</v>
      </c>
      <c r="L195" t="s">
        <v>222</v>
      </c>
      <c r="M195" t="s">
        <v>36</v>
      </c>
      <c r="N195" t="s">
        <v>37</v>
      </c>
      <c r="O195" s="6">
        <v>278600</v>
      </c>
      <c r="P195">
        <v>0</v>
      </c>
      <c r="Q195">
        <v>0</v>
      </c>
      <c r="R195" t="s">
        <v>1042</v>
      </c>
      <c r="S195" t="s">
        <v>38</v>
      </c>
      <c r="T195">
        <v>100</v>
      </c>
      <c r="U195" t="s">
        <v>1043</v>
      </c>
      <c r="V195" t="s">
        <v>40</v>
      </c>
      <c r="W195" t="s">
        <v>40</v>
      </c>
      <c r="X195" t="s">
        <v>40</v>
      </c>
      <c r="Y195" t="s">
        <v>1044</v>
      </c>
      <c r="Z195" s="5" t="s">
        <v>246</v>
      </c>
    </row>
    <row r="196" spans="1:26" ht="13.8" customHeight="1" x14ac:dyDescent="0.3">
      <c r="A196" t="s">
        <v>1045</v>
      </c>
      <c r="B196" t="s">
        <v>1046</v>
      </c>
      <c r="C196" t="s">
        <v>1047</v>
      </c>
      <c r="D196" t="s">
        <v>1048</v>
      </c>
      <c r="E196" t="s">
        <v>1049</v>
      </c>
      <c r="F196" t="s">
        <v>407</v>
      </c>
      <c r="G196" t="s">
        <v>1050</v>
      </c>
      <c r="H196" t="s">
        <v>31</v>
      </c>
      <c r="I196" t="s">
        <v>32</v>
      </c>
      <c r="J196" t="s">
        <v>1035</v>
      </c>
      <c r="K196" t="s">
        <v>990</v>
      </c>
      <c r="L196" t="s">
        <v>1051</v>
      </c>
      <c r="M196" t="s">
        <v>1052</v>
      </c>
      <c r="N196" t="s">
        <v>37</v>
      </c>
      <c r="O196" s="6">
        <v>999360</v>
      </c>
      <c r="P196" s="2">
        <v>110193</v>
      </c>
      <c r="Q196" s="2">
        <v>124360</v>
      </c>
      <c r="R196" t="s">
        <v>66</v>
      </c>
      <c r="S196" t="s">
        <v>38</v>
      </c>
      <c r="T196">
        <v>100</v>
      </c>
      <c r="U196" t="s">
        <v>1053</v>
      </c>
      <c r="V196" t="s">
        <v>40</v>
      </c>
      <c r="W196" t="s">
        <v>40</v>
      </c>
      <c r="X196" t="s">
        <v>40</v>
      </c>
      <c r="Y196" t="s">
        <v>40</v>
      </c>
      <c r="Z196" s="5" t="s">
        <v>246</v>
      </c>
    </row>
    <row r="197" spans="1:26" ht="13.8" customHeight="1" x14ac:dyDescent="0.3">
      <c r="A197" s="1">
        <v>46059.475694444445</v>
      </c>
      <c r="B197" t="s">
        <v>1054</v>
      </c>
      <c r="C197" t="s">
        <v>422</v>
      </c>
      <c r="D197" t="s">
        <v>1055</v>
      </c>
      <c r="E197" t="s">
        <v>1056</v>
      </c>
      <c r="F197" t="s">
        <v>425</v>
      </c>
      <c r="G197" t="s">
        <v>1057</v>
      </c>
      <c r="H197" t="s">
        <v>31</v>
      </c>
      <c r="I197" t="s">
        <v>32</v>
      </c>
      <c r="J197" t="s">
        <v>1035</v>
      </c>
      <c r="K197" t="s">
        <v>990</v>
      </c>
      <c r="L197" t="s">
        <v>1051</v>
      </c>
      <c r="M197" t="s">
        <v>1058</v>
      </c>
      <c r="N197" t="s">
        <v>37</v>
      </c>
      <c r="O197" s="6">
        <v>800000</v>
      </c>
      <c r="P197" s="2">
        <v>51183.25</v>
      </c>
      <c r="Q197" s="2">
        <v>51183.25</v>
      </c>
      <c r="R197" s="3">
        <v>46059</v>
      </c>
      <c r="S197" t="s">
        <v>38</v>
      </c>
      <c r="T197">
        <v>100</v>
      </c>
      <c r="U197" t="s">
        <v>1059</v>
      </c>
      <c r="V197" t="s">
        <v>40</v>
      </c>
      <c r="W197" t="s">
        <v>40</v>
      </c>
      <c r="X197" t="s">
        <v>40</v>
      </c>
      <c r="Y197" t="s">
        <v>40</v>
      </c>
      <c r="Z197" s="5" t="s">
        <v>32</v>
      </c>
    </row>
    <row r="198" spans="1:26" ht="13.8" customHeight="1" x14ac:dyDescent="0.3">
      <c r="A198" s="1">
        <v>46301.53402777778</v>
      </c>
      <c r="B198" t="s">
        <v>1060</v>
      </c>
      <c r="C198" t="s">
        <v>1061</v>
      </c>
      <c r="D198" t="s">
        <v>1062</v>
      </c>
      <c r="E198" t="s">
        <v>1063</v>
      </c>
      <c r="F198" t="s">
        <v>425</v>
      </c>
      <c r="G198" t="s">
        <v>1057</v>
      </c>
      <c r="H198" t="s">
        <v>31</v>
      </c>
      <c r="I198" t="s">
        <v>32</v>
      </c>
      <c r="J198" t="s">
        <v>1035</v>
      </c>
      <c r="K198" t="s">
        <v>990</v>
      </c>
      <c r="L198" t="s">
        <v>1051</v>
      </c>
      <c r="M198" t="s">
        <v>1064</v>
      </c>
      <c r="N198" t="s">
        <v>37</v>
      </c>
      <c r="O198" s="6">
        <v>7190400</v>
      </c>
      <c r="P198" s="2">
        <v>190400</v>
      </c>
      <c r="Q198" s="2">
        <v>190400</v>
      </c>
      <c r="R198" s="3">
        <v>46301</v>
      </c>
      <c r="S198" t="s">
        <v>38</v>
      </c>
      <c r="T198">
        <v>100</v>
      </c>
      <c r="U198" t="s">
        <v>1065</v>
      </c>
      <c r="V198" t="s">
        <v>40</v>
      </c>
      <c r="W198" t="s">
        <v>40</v>
      </c>
      <c r="X198" t="s">
        <v>40</v>
      </c>
      <c r="Y198" t="s">
        <v>643</v>
      </c>
      <c r="Z198" s="5" t="s">
        <v>32</v>
      </c>
    </row>
    <row r="199" spans="1:26" ht="13.8" customHeight="1" x14ac:dyDescent="0.3">
      <c r="A199" t="s">
        <v>1066</v>
      </c>
      <c r="B199" t="s">
        <v>1067</v>
      </c>
      <c r="C199" t="s">
        <v>1068</v>
      </c>
      <c r="D199" t="s">
        <v>1069</v>
      </c>
      <c r="E199" t="s">
        <v>1070</v>
      </c>
      <c r="F199" t="s">
        <v>1071</v>
      </c>
      <c r="G199" t="s">
        <v>1072</v>
      </c>
      <c r="H199" t="s">
        <v>31</v>
      </c>
      <c r="I199" t="s">
        <v>32</v>
      </c>
      <c r="J199" t="s">
        <v>1073</v>
      </c>
      <c r="K199" t="s">
        <v>990</v>
      </c>
      <c r="L199" t="s">
        <v>1074</v>
      </c>
      <c r="M199" t="s">
        <v>65</v>
      </c>
      <c r="N199" t="s">
        <v>37</v>
      </c>
      <c r="O199" s="6">
        <v>26160</v>
      </c>
      <c r="P199" s="2">
        <v>2616</v>
      </c>
      <c r="Q199" s="2">
        <v>2616</v>
      </c>
      <c r="R199" t="s">
        <v>565</v>
      </c>
      <c r="S199" t="s">
        <v>38</v>
      </c>
      <c r="T199">
        <v>100</v>
      </c>
      <c r="U199" t="s">
        <v>1075</v>
      </c>
      <c r="V199" t="s">
        <v>40</v>
      </c>
      <c r="W199" t="s">
        <v>40</v>
      </c>
      <c r="X199" t="s">
        <v>40</v>
      </c>
      <c r="Y199" t="s">
        <v>40</v>
      </c>
      <c r="Z199" s="5" t="s">
        <v>32</v>
      </c>
    </row>
    <row r="200" spans="1:26" ht="13.8" customHeight="1" x14ac:dyDescent="0.3">
      <c r="A200" s="1">
        <v>46269.70416666667</v>
      </c>
      <c r="B200" t="s">
        <v>1076</v>
      </c>
      <c r="C200" t="s">
        <v>1077</v>
      </c>
      <c r="D200" t="s">
        <v>1078</v>
      </c>
      <c r="E200" t="s">
        <v>1079</v>
      </c>
      <c r="F200" t="s">
        <v>1071</v>
      </c>
      <c r="G200" t="s">
        <v>1072</v>
      </c>
      <c r="H200" t="s">
        <v>31</v>
      </c>
      <c r="I200" t="s">
        <v>32</v>
      </c>
      <c r="J200" t="s">
        <v>1073</v>
      </c>
      <c r="K200" t="s">
        <v>990</v>
      </c>
      <c r="L200" t="s">
        <v>1074</v>
      </c>
      <c r="M200" t="s">
        <v>1080</v>
      </c>
      <c r="N200" t="s">
        <v>37</v>
      </c>
      <c r="O200" s="6">
        <v>537798.32999999996</v>
      </c>
      <c r="P200" s="2">
        <v>53780</v>
      </c>
      <c r="Q200" s="2">
        <v>53780.33</v>
      </c>
      <c r="R200" s="3">
        <v>46269</v>
      </c>
      <c r="S200" t="s">
        <v>38</v>
      </c>
      <c r="T200">
        <v>100</v>
      </c>
      <c r="U200" t="s">
        <v>1081</v>
      </c>
      <c r="V200" t="s">
        <v>40</v>
      </c>
      <c r="W200" t="s">
        <v>40</v>
      </c>
      <c r="X200" t="s">
        <v>40</v>
      </c>
      <c r="Y200" t="s">
        <v>40</v>
      </c>
      <c r="Z200" s="5" t="s">
        <v>32</v>
      </c>
    </row>
    <row r="201" spans="1:26" ht="13.8" customHeight="1" x14ac:dyDescent="0.3">
      <c r="A201" s="1">
        <v>46056.47152777778</v>
      </c>
      <c r="B201" t="s">
        <v>1082</v>
      </c>
      <c r="C201" t="s">
        <v>1083</v>
      </c>
      <c r="D201" t="s">
        <v>1084</v>
      </c>
      <c r="E201" t="s">
        <v>1085</v>
      </c>
      <c r="F201" t="s">
        <v>312</v>
      </c>
      <c r="G201" t="s">
        <v>1086</v>
      </c>
      <c r="H201" t="s">
        <v>31</v>
      </c>
      <c r="I201" t="s">
        <v>32</v>
      </c>
      <c r="J201" t="s">
        <v>1073</v>
      </c>
      <c r="K201" t="s">
        <v>990</v>
      </c>
      <c r="L201" t="s">
        <v>991</v>
      </c>
      <c r="M201" t="s">
        <v>356</v>
      </c>
      <c r="N201" t="s">
        <v>37</v>
      </c>
      <c r="O201" s="6">
        <v>4000000</v>
      </c>
      <c r="P201" s="2">
        <v>20000</v>
      </c>
      <c r="Q201" s="2">
        <v>81866.759999999995</v>
      </c>
      <c r="R201" t="s">
        <v>481</v>
      </c>
      <c r="S201" t="s">
        <v>38</v>
      </c>
      <c r="T201">
        <v>100</v>
      </c>
      <c r="U201" t="s">
        <v>1087</v>
      </c>
      <c r="V201" t="s">
        <v>40</v>
      </c>
      <c r="W201" t="s">
        <v>40</v>
      </c>
      <c r="X201" t="s">
        <v>40</v>
      </c>
      <c r="Y201" t="s">
        <v>40</v>
      </c>
      <c r="Z201" s="5" t="s">
        <v>246</v>
      </c>
    </row>
    <row r="202" spans="1:26" ht="13.8" customHeight="1" x14ac:dyDescent="0.3">
      <c r="A202" t="s">
        <v>1088</v>
      </c>
      <c r="B202" t="s">
        <v>1089</v>
      </c>
      <c r="C202" t="s">
        <v>1090</v>
      </c>
      <c r="D202" t="s">
        <v>1091</v>
      </c>
      <c r="E202" t="s">
        <v>1092</v>
      </c>
      <c r="F202" t="s">
        <v>312</v>
      </c>
      <c r="G202" t="s">
        <v>1086</v>
      </c>
      <c r="H202" t="s">
        <v>31</v>
      </c>
      <c r="I202" t="s">
        <v>32</v>
      </c>
      <c r="J202" t="s">
        <v>1073</v>
      </c>
      <c r="K202" t="s">
        <v>990</v>
      </c>
      <c r="L202" t="s">
        <v>1051</v>
      </c>
      <c r="M202" t="s">
        <v>1064</v>
      </c>
      <c r="N202" t="s">
        <v>37</v>
      </c>
      <c r="O202" s="6">
        <v>10947764.92</v>
      </c>
      <c r="P202" s="2">
        <v>1041838</v>
      </c>
      <c r="Q202" s="2">
        <v>1383202.91</v>
      </c>
      <c r="R202" s="3">
        <v>46270</v>
      </c>
      <c r="S202" t="s">
        <v>38</v>
      </c>
      <c r="T202">
        <v>100</v>
      </c>
      <c r="U202" t="s">
        <v>1093</v>
      </c>
      <c r="V202" t="s">
        <v>40</v>
      </c>
      <c r="W202" t="s">
        <v>40</v>
      </c>
      <c r="X202" t="s">
        <v>40</v>
      </c>
      <c r="Y202" t="s">
        <v>40</v>
      </c>
      <c r="Z202" s="5" t="s">
        <v>246</v>
      </c>
    </row>
    <row r="203" spans="1:26" ht="13.8" customHeight="1" x14ac:dyDescent="0.3">
      <c r="A203" t="s">
        <v>1094</v>
      </c>
      <c r="B203" t="s">
        <v>1095</v>
      </c>
      <c r="C203" t="s">
        <v>309</v>
      </c>
      <c r="D203" t="s">
        <v>1096</v>
      </c>
      <c r="E203" t="s">
        <v>1097</v>
      </c>
      <c r="F203" t="s">
        <v>312</v>
      </c>
      <c r="G203" t="s">
        <v>1086</v>
      </c>
      <c r="H203" t="s">
        <v>31</v>
      </c>
      <c r="I203" t="s">
        <v>32</v>
      </c>
      <c r="J203" t="s">
        <v>1073</v>
      </c>
      <c r="K203" t="s">
        <v>990</v>
      </c>
      <c r="L203" t="s">
        <v>36</v>
      </c>
      <c r="M203" t="s">
        <v>36</v>
      </c>
      <c r="N203" t="s">
        <v>37</v>
      </c>
      <c r="O203" s="6">
        <v>345000</v>
      </c>
      <c r="P203" s="2">
        <v>10000</v>
      </c>
      <c r="Q203">
        <v>0</v>
      </c>
      <c r="R203" s="3">
        <v>46059</v>
      </c>
      <c r="S203" t="s">
        <v>38</v>
      </c>
      <c r="T203">
        <v>100</v>
      </c>
      <c r="U203" t="s">
        <v>40</v>
      </c>
      <c r="V203" t="s">
        <v>40</v>
      </c>
      <c r="W203" t="s">
        <v>40</v>
      </c>
      <c r="X203" t="s">
        <v>40</v>
      </c>
      <c r="Y203" t="s">
        <v>40</v>
      </c>
      <c r="Z203" s="5" t="s">
        <v>246</v>
      </c>
    </row>
    <row r="204" spans="1:26" ht="13.8" customHeight="1" x14ac:dyDescent="0.3">
      <c r="A204" s="1">
        <v>46239.657638888886</v>
      </c>
      <c r="B204" t="s">
        <v>1098</v>
      </c>
      <c r="C204" t="s">
        <v>1099</v>
      </c>
      <c r="D204" t="s">
        <v>770</v>
      </c>
      <c r="E204" t="s">
        <v>1100</v>
      </c>
      <c r="F204" t="s">
        <v>312</v>
      </c>
      <c r="G204" t="s">
        <v>1086</v>
      </c>
      <c r="H204" t="s">
        <v>31</v>
      </c>
      <c r="I204" t="s">
        <v>32</v>
      </c>
      <c r="J204" t="s">
        <v>1073</v>
      </c>
      <c r="K204" t="s">
        <v>990</v>
      </c>
      <c r="L204" t="s">
        <v>991</v>
      </c>
      <c r="M204" t="s">
        <v>356</v>
      </c>
      <c r="N204" t="s">
        <v>37</v>
      </c>
      <c r="O204" s="6">
        <v>25392000</v>
      </c>
      <c r="P204" s="2">
        <v>50000</v>
      </c>
      <c r="Q204">
        <v>0</v>
      </c>
      <c r="R204" t="s">
        <v>374</v>
      </c>
      <c r="S204" t="s">
        <v>38</v>
      </c>
      <c r="T204">
        <v>100</v>
      </c>
      <c r="U204" t="s">
        <v>40</v>
      </c>
      <c r="V204" t="s">
        <v>40</v>
      </c>
      <c r="W204" t="s">
        <v>40</v>
      </c>
      <c r="X204" t="s">
        <v>40</v>
      </c>
      <c r="Y204" t="s">
        <v>40</v>
      </c>
      <c r="Z204" s="5" t="s">
        <v>246</v>
      </c>
    </row>
    <row r="205" spans="1:26" ht="13.8" customHeight="1" x14ac:dyDescent="0.3">
      <c r="A205" s="1">
        <v>46331.459027777775</v>
      </c>
      <c r="B205" t="s">
        <v>1101</v>
      </c>
      <c r="C205" t="s">
        <v>1090</v>
      </c>
      <c r="D205" t="s">
        <v>1091</v>
      </c>
      <c r="E205" t="s">
        <v>1102</v>
      </c>
      <c r="F205" t="s">
        <v>312</v>
      </c>
      <c r="G205" t="s">
        <v>1086</v>
      </c>
      <c r="H205" t="s">
        <v>31</v>
      </c>
      <c r="I205" t="s">
        <v>32</v>
      </c>
      <c r="J205" t="s">
        <v>1073</v>
      </c>
      <c r="K205" t="s">
        <v>990</v>
      </c>
      <c r="L205" t="s">
        <v>1051</v>
      </c>
      <c r="M205" t="s">
        <v>1064</v>
      </c>
      <c r="N205" t="s">
        <v>37</v>
      </c>
      <c r="O205" s="6">
        <v>7480583.8600000003</v>
      </c>
      <c r="P205" s="2">
        <v>80000</v>
      </c>
      <c r="Q205" s="2">
        <v>740608.86</v>
      </c>
      <c r="R205" t="s">
        <v>334</v>
      </c>
      <c r="S205" t="s">
        <v>38</v>
      </c>
      <c r="T205">
        <v>100</v>
      </c>
      <c r="U205" t="s">
        <v>1103</v>
      </c>
      <c r="V205" t="s">
        <v>40</v>
      </c>
      <c r="W205" t="s">
        <v>40</v>
      </c>
      <c r="X205" t="s">
        <v>40</v>
      </c>
      <c r="Y205" t="s">
        <v>1104</v>
      </c>
      <c r="Z205" s="5" t="s">
        <v>246</v>
      </c>
    </row>
    <row r="206" spans="1:26" ht="13.8" customHeight="1" x14ac:dyDescent="0.3">
      <c r="A206" t="s">
        <v>1105</v>
      </c>
      <c r="B206" t="s">
        <v>1106</v>
      </c>
      <c r="C206" t="s">
        <v>309</v>
      </c>
      <c r="D206" t="s">
        <v>1096</v>
      </c>
      <c r="E206" t="s">
        <v>1107</v>
      </c>
      <c r="F206" t="s">
        <v>312</v>
      </c>
      <c r="G206" t="s">
        <v>1086</v>
      </c>
      <c r="H206" t="s">
        <v>31</v>
      </c>
      <c r="I206" t="s">
        <v>32</v>
      </c>
      <c r="J206" t="s">
        <v>1073</v>
      </c>
      <c r="K206" t="s">
        <v>990</v>
      </c>
      <c r="L206" t="s">
        <v>36</v>
      </c>
      <c r="M206" t="s">
        <v>1013</v>
      </c>
      <c r="N206" t="s">
        <v>37</v>
      </c>
      <c r="O206" s="6">
        <v>3466333</v>
      </c>
      <c r="P206" s="2">
        <v>20000</v>
      </c>
      <c r="Q206">
        <v>0</v>
      </c>
      <c r="R206" t="s">
        <v>985</v>
      </c>
      <c r="S206" t="s">
        <v>38</v>
      </c>
      <c r="T206">
        <v>70</v>
      </c>
      <c r="U206" t="s">
        <v>40</v>
      </c>
      <c r="V206" t="s">
        <v>40</v>
      </c>
      <c r="W206" t="s">
        <v>40</v>
      </c>
      <c r="X206" t="s">
        <v>40</v>
      </c>
      <c r="Y206" t="s">
        <v>40</v>
      </c>
      <c r="Z206" s="5" t="s">
        <v>246</v>
      </c>
    </row>
    <row r="207" spans="1:26" ht="13.8" customHeight="1" x14ac:dyDescent="0.3">
      <c r="A207" s="1">
        <v>46332.488888888889</v>
      </c>
      <c r="B207" t="s">
        <v>1108</v>
      </c>
      <c r="C207" t="s">
        <v>1099</v>
      </c>
      <c r="D207" t="s">
        <v>770</v>
      </c>
      <c r="E207" t="s">
        <v>1109</v>
      </c>
      <c r="F207" t="s">
        <v>312</v>
      </c>
      <c r="G207" t="s">
        <v>1086</v>
      </c>
      <c r="H207" t="s">
        <v>31</v>
      </c>
      <c r="I207" t="s">
        <v>32</v>
      </c>
      <c r="J207" t="s">
        <v>1073</v>
      </c>
      <c r="K207" t="s">
        <v>990</v>
      </c>
      <c r="L207" t="s">
        <v>1110</v>
      </c>
      <c r="M207" t="s">
        <v>1064</v>
      </c>
      <c r="N207" t="s">
        <v>37</v>
      </c>
      <c r="O207" s="6">
        <v>8000000</v>
      </c>
      <c r="P207" s="2">
        <v>50000</v>
      </c>
      <c r="Q207">
        <v>0</v>
      </c>
      <c r="R207" t="s">
        <v>374</v>
      </c>
      <c r="S207" t="s">
        <v>38</v>
      </c>
      <c r="T207">
        <v>100</v>
      </c>
      <c r="U207" t="s">
        <v>40</v>
      </c>
      <c r="V207" t="s">
        <v>40</v>
      </c>
      <c r="W207" t="s">
        <v>40</v>
      </c>
      <c r="X207" t="s">
        <v>40</v>
      </c>
      <c r="Y207" t="s">
        <v>40</v>
      </c>
      <c r="Z207" s="5" t="s">
        <v>246</v>
      </c>
    </row>
    <row r="208" spans="1:26" ht="13.8" customHeight="1" x14ac:dyDescent="0.3">
      <c r="A208" t="s">
        <v>1111</v>
      </c>
      <c r="B208" t="s">
        <v>1112</v>
      </c>
      <c r="C208" t="s">
        <v>1113</v>
      </c>
      <c r="D208" t="s">
        <v>1114</v>
      </c>
      <c r="E208" t="s">
        <v>1115</v>
      </c>
      <c r="F208" t="s">
        <v>312</v>
      </c>
      <c r="G208" t="s">
        <v>1086</v>
      </c>
      <c r="H208" t="s">
        <v>31</v>
      </c>
      <c r="I208" t="s">
        <v>32</v>
      </c>
      <c r="J208" t="s">
        <v>1073</v>
      </c>
      <c r="K208" t="s">
        <v>990</v>
      </c>
      <c r="L208" t="s">
        <v>36</v>
      </c>
      <c r="M208" t="s">
        <v>1013</v>
      </c>
      <c r="N208" t="s">
        <v>37</v>
      </c>
      <c r="O208" s="6">
        <v>295000</v>
      </c>
      <c r="P208" s="2">
        <v>63080</v>
      </c>
      <c r="Q208">
        <v>0</v>
      </c>
      <c r="R208" t="s">
        <v>587</v>
      </c>
      <c r="S208" t="s">
        <v>38</v>
      </c>
      <c r="T208">
        <v>100</v>
      </c>
      <c r="U208" t="s">
        <v>40</v>
      </c>
      <c r="V208" t="s">
        <v>40</v>
      </c>
      <c r="W208" t="s">
        <v>40</v>
      </c>
      <c r="X208" t="s">
        <v>40</v>
      </c>
      <c r="Y208" t="s">
        <v>40</v>
      </c>
      <c r="Z208" s="5" t="s">
        <v>246</v>
      </c>
    </row>
    <row r="209" spans="1:26" ht="13.8" customHeight="1" x14ac:dyDescent="0.3">
      <c r="A209" t="s">
        <v>1116</v>
      </c>
      <c r="B209" t="s">
        <v>1117</v>
      </c>
      <c r="C209" t="s">
        <v>1118</v>
      </c>
      <c r="D209" t="s">
        <v>770</v>
      </c>
      <c r="E209" t="s">
        <v>1119</v>
      </c>
      <c r="F209" t="s">
        <v>312</v>
      </c>
      <c r="G209" t="s">
        <v>1086</v>
      </c>
      <c r="H209" t="s">
        <v>31</v>
      </c>
      <c r="I209" t="s">
        <v>32</v>
      </c>
      <c r="J209" t="s">
        <v>1073</v>
      </c>
      <c r="K209" t="s">
        <v>990</v>
      </c>
      <c r="L209" t="s">
        <v>1110</v>
      </c>
      <c r="M209" t="s">
        <v>1120</v>
      </c>
      <c r="N209" t="s">
        <v>37</v>
      </c>
      <c r="O209" s="6">
        <v>8440000</v>
      </c>
      <c r="P209" s="2">
        <v>50000</v>
      </c>
      <c r="Q209">
        <v>0</v>
      </c>
      <c r="R209" t="s">
        <v>374</v>
      </c>
      <c r="S209" t="s">
        <v>38</v>
      </c>
      <c r="T209">
        <v>100</v>
      </c>
      <c r="U209" t="s">
        <v>40</v>
      </c>
      <c r="V209" t="s">
        <v>40</v>
      </c>
      <c r="W209" t="s">
        <v>40</v>
      </c>
      <c r="X209" t="s">
        <v>40</v>
      </c>
      <c r="Y209" t="s">
        <v>40</v>
      </c>
      <c r="Z209" s="5" t="s">
        <v>246</v>
      </c>
    </row>
    <row r="210" spans="1:26" ht="13.8" customHeight="1" x14ac:dyDescent="0.3">
      <c r="A210" s="1">
        <v>46144.847916666666</v>
      </c>
      <c r="B210" t="s">
        <v>1121</v>
      </c>
      <c r="C210" t="s">
        <v>1122</v>
      </c>
      <c r="D210" t="s">
        <v>1123</v>
      </c>
      <c r="E210" t="s">
        <v>1124</v>
      </c>
      <c r="F210" t="s">
        <v>363</v>
      </c>
      <c r="G210" t="s">
        <v>1125</v>
      </c>
      <c r="H210" t="s">
        <v>365</v>
      </c>
      <c r="I210" t="s">
        <v>363</v>
      </c>
      <c r="J210" t="s">
        <v>1073</v>
      </c>
      <c r="K210" t="s">
        <v>990</v>
      </c>
      <c r="L210" t="s">
        <v>36</v>
      </c>
      <c r="M210" t="s">
        <v>356</v>
      </c>
      <c r="N210" t="s">
        <v>37</v>
      </c>
      <c r="O210" s="6">
        <v>729877.5</v>
      </c>
      <c r="P210" s="2">
        <v>36493.879999999997</v>
      </c>
      <c r="Q210">
        <v>0</v>
      </c>
      <c r="R210" t="s">
        <v>348</v>
      </c>
      <c r="S210" t="s">
        <v>38</v>
      </c>
      <c r="T210">
        <v>100</v>
      </c>
      <c r="U210" t="s">
        <v>40</v>
      </c>
      <c r="V210" t="s">
        <v>40</v>
      </c>
      <c r="W210" t="s">
        <v>40</v>
      </c>
      <c r="X210" t="s">
        <v>40</v>
      </c>
      <c r="Y210" t="s">
        <v>40</v>
      </c>
      <c r="Z210" s="5" t="s">
        <v>225</v>
      </c>
    </row>
    <row r="211" spans="1:26" ht="13.8" customHeight="1" x14ac:dyDescent="0.3">
      <c r="A211" s="1">
        <v>46056.472916666666</v>
      </c>
      <c r="B211" t="s">
        <v>1126</v>
      </c>
      <c r="C211" t="s">
        <v>1122</v>
      </c>
      <c r="D211" t="s">
        <v>1123</v>
      </c>
      <c r="E211" t="s">
        <v>1127</v>
      </c>
      <c r="F211" t="s">
        <v>363</v>
      </c>
      <c r="G211" t="s">
        <v>1125</v>
      </c>
      <c r="H211" t="s">
        <v>365</v>
      </c>
      <c r="I211" t="s">
        <v>363</v>
      </c>
      <c r="J211" t="s">
        <v>1073</v>
      </c>
      <c r="K211" t="s">
        <v>990</v>
      </c>
      <c r="L211" t="s">
        <v>991</v>
      </c>
      <c r="M211" t="s">
        <v>356</v>
      </c>
      <c r="N211" t="s">
        <v>37</v>
      </c>
      <c r="O211" s="6">
        <v>8000</v>
      </c>
      <c r="P211" s="2">
        <v>2000</v>
      </c>
      <c r="Q211" s="2">
        <v>2067.8000000000002</v>
      </c>
      <c r="R211" s="3">
        <v>46299</v>
      </c>
      <c r="S211" t="s">
        <v>38</v>
      </c>
      <c r="T211">
        <v>100</v>
      </c>
      <c r="U211" t="s">
        <v>1128</v>
      </c>
      <c r="V211" t="s">
        <v>40</v>
      </c>
      <c r="W211" t="s">
        <v>40</v>
      </c>
      <c r="X211" t="s">
        <v>40</v>
      </c>
      <c r="Y211" t="s">
        <v>40</v>
      </c>
      <c r="Z211" s="5" t="s">
        <v>225</v>
      </c>
    </row>
    <row r="212" spans="1:26" ht="13.8" customHeight="1" x14ac:dyDescent="0.3">
      <c r="A212" s="1">
        <v>46237.95416666667</v>
      </c>
      <c r="B212" t="s">
        <v>1129</v>
      </c>
      <c r="C212" t="s">
        <v>1122</v>
      </c>
      <c r="D212" t="s">
        <v>1123</v>
      </c>
      <c r="E212" t="s">
        <v>1130</v>
      </c>
      <c r="F212" t="s">
        <v>363</v>
      </c>
      <c r="G212" t="s">
        <v>1125</v>
      </c>
      <c r="H212" t="s">
        <v>365</v>
      </c>
      <c r="I212" t="s">
        <v>363</v>
      </c>
      <c r="J212" t="s">
        <v>1073</v>
      </c>
      <c r="K212" t="s">
        <v>990</v>
      </c>
      <c r="L212" t="s">
        <v>36</v>
      </c>
      <c r="M212" t="s">
        <v>356</v>
      </c>
      <c r="N212" t="s">
        <v>37</v>
      </c>
      <c r="O212" s="6">
        <v>7508225</v>
      </c>
      <c r="P212" s="2">
        <v>1939883</v>
      </c>
      <c r="Q212" s="2">
        <v>1984058.13</v>
      </c>
      <c r="R212" s="3">
        <v>46270</v>
      </c>
      <c r="S212" t="s">
        <v>38</v>
      </c>
      <c r="T212">
        <v>100</v>
      </c>
      <c r="U212" t="s">
        <v>1131</v>
      </c>
      <c r="V212" t="s">
        <v>40</v>
      </c>
      <c r="W212" t="s">
        <v>40</v>
      </c>
      <c r="X212" t="s">
        <v>40</v>
      </c>
      <c r="Y212" t="s">
        <v>40</v>
      </c>
      <c r="Z212" s="5" t="s">
        <v>225</v>
      </c>
    </row>
    <row r="213" spans="1:26" ht="13.8" customHeight="1" x14ac:dyDescent="0.3">
      <c r="A213" t="s">
        <v>1132</v>
      </c>
      <c r="B213" t="s">
        <v>1133</v>
      </c>
      <c r="C213" t="s">
        <v>1122</v>
      </c>
      <c r="D213" t="s">
        <v>1123</v>
      </c>
      <c r="E213" t="s">
        <v>1134</v>
      </c>
      <c r="F213" t="s">
        <v>363</v>
      </c>
      <c r="G213" t="s">
        <v>1125</v>
      </c>
      <c r="H213" t="s">
        <v>365</v>
      </c>
      <c r="I213" t="s">
        <v>363</v>
      </c>
      <c r="J213" t="s">
        <v>1073</v>
      </c>
      <c r="K213" t="s">
        <v>990</v>
      </c>
      <c r="L213" t="s">
        <v>36</v>
      </c>
      <c r="M213" t="s">
        <v>356</v>
      </c>
      <c r="N213" t="s">
        <v>37</v>
      </c>
      <c r="O213" s="6">
        <v>825000</v>
      </c>
      <c r="P213" s="2">
        <v>182732.72</v>
      </c>
      <c r="Q213">
        <v>0</v>
      </c>
      <c r="R213" s="3">
        <v>46270</v>
      </c>
      <c r="S213" t="s">
        <v>38</v>
      </c>
      <c r="T213">
        <v>100</v>
      </c>
      <c r="U213" t="s">
        <v>1135</v>
      </c>
      <c r="V213" t="s">
        <v>40</v>
      </c>
      <c r="W213" t="s">
        <v>40</v>
      </c>
      <c r="X213" t="s">
        <v>40</v>
      </c>
      <c r="Y213" t="s">
        <v>40</v>
      </c>
      <c r="Z213" s="5" t="s">
        <v>225</v>
      </c>
    </row>
    <row r="214" spans="1:26" ht="13.8" customHeight="1" x14ac:dyDescent="0.3">
      <c r="A214" s="1">
        <v>46148.56527777778</v>
      </c>
      <c r="B214" t="s">
        <v>1136</v>
      </c>
      <c r="C214" t="s">
        <v>1122</v>
      </c>
      <c r="D214" t="s">
        <v>1123</v>
      </c>
      <c r="E214" t="s">
        <v>1137</v>
      </c>
      <c r="F214" t="s">
        <v>363</v>
      </c>
      <c r="G214" t="s">
        <v>1125</v>
      </c>
      <c r="H214" t="s">
        <v>365</v>
      </c>
      <c r="I214" t="s">
        <v>363</v>
      </c>
      <c r="J214" t="s">
        <v>1073</v>
      </c>
      <c r="K214" t="s">
        <v>990</v>
      </c>
      <c r="L214" t="s">
        <v>991</v>
      </c>
      <c r="M214" t="s">
        <v>356</v>
      </c>
      <c r="N214" t="s">
        <v>37</v>
      </c>
      <c r="O214" s="6">
        <v>797750</v>
      </c>
      <c r="P214" s="2">
        <v>30000</v>
      </c>
      <c r="Q214">
        <v>0</v>
      </c>
      <c r="R214" t="s">
        <v>267</v>
      </c>
      <c r="S214" t="s">
        <v>38</v>
      </c>
      <c r="T214">
        <v>100</v>
      </c>
      <c r="U214" t="s">
        <v>1138</v>
      </c>
      <c r="V214" t="s">
        <v>40</v>
      </c>
      <c r="W214" t="s">
        <v>40</v>
      </c>
      <c r="X214" t="s">
        <v>40</v>
      </c>
      <c r="Y214" t="s">
        <v>40</v>
      </c>
      <c r="Z214" s="5" t="s">
        <v>225</v>
      </c>
    </row>
    <row r="215" spans="1:26" ht="13.8" customHeight="1" x14ac:dyDescent="0.3">
      <c r="A215" s="1">
        <v>46148.56527777778</v>
      </c>
      <c r="B215" t="s">
        <v>1139</v>
      </c>
      <c r="C215" t="s">
        <v>1122</v>
      </c>
      <c r="D215" t="s">
        <v>1123</v>
      </c>
      <c r="E215" t="s">
        <v>1140</v>
      </c>
      <c r="F215" t="s">
        <v>363</v>
      </c>
      <c r="G215" t="s">
        <v>1125</v>
      </c>
      <c r="H215" t="s">
        <v>365</v>
      </c>
      <c r="I215" t="s">
        <v>363</v>
      </c>
      <c r="J215" t="s">
        <v>1073</v>
      </c>
      <c r="K215" t="s">
        <v>990</v>
      </c>
      <c r="L215" t="s">
        <v>991</v>
      </c>
      <c r="M215" t="s">
        <v>356</v>
      </c>
      <c r="N215" t="s">
        <v>37</v>
      </c>
      <c r="O215" s="6">
        <v>198465</v>
      </c>
      <c r="P215" s="2">
        <v>10000</v>
      </c>
      <c r="Q215" s="2">
        <v>53541.31</v>
      </c>
      <c r="R215" t="s">
        <v>267</v>
      </c>
      <c r="S215" t="s">
        <v>38</v>
      </c>
      <c r="T215">
        <v>100</v>
      </c>
      <c r="U215" t="s">
        <v>1141</v>
      </c>
      <c r="V215" t="s">
        <v>40</v>
      </c>
      <c r="W215" t="s">
        <v>40</v>
      </c>
      <c r="X215" t="s">
        <v>40</v>
      </c>
      <c r="Y215" t="s">
        <v>1142</v>
      </c>
      <c r="Z215" s="5" t="s">
        <v>225</v>
      </c>
    </row>
    <row r="216" spans="1:26" ht="13.8" customHeight="1" x14ac:dyDescent="0.3">
      <c r="A216" t="s">
        <v>1143</v>
      </c>
      <c r="B216" t="s">
        <v>1144</v>
      </c>
      <c r="C216" t="s">
        <v>1122</v>
      </c>
      <c r="D216" t="s">
        <v>1123</v>
      </c>
      <c r="E216" t="s">
        <v>1145</v>
      </c>
      <c r="F216" t="s">
        <v>363</v>
      </c>
      <c r="G216" t="s">
        <v>1125</v>
      </c>
      <c r="H216" t="s">
        <v>365</v>
      </c>
      <c r="I216" t="s">
        <v>363</v>
      </c>
      <c r="J216" t="s">
        <v>1073</v>
      </c>
      <c r="K216" t="s">
        <v>990</v>
      </c>
      <c r="L216" t="s">
        <v>991</v>
      </c>
      <c r="M216" t="s">
        <v>356</v>
      </c>
      <c r="N216" t="s">
        <v>37</v>
      </c>
      <c r="O216" s="6">
        <v>163854</v>
      </c>
      <c r="P216" s="2">
        <v>5000</v>
      </c>
      <c r="Q216">
        <v>0</v>
      </c>
      <c r="R216" t="s">
        <v>1146</v>
      </c>
      <c r="S216" t="s">
        <v>38</v>
      </c>
      <c r="T216">
        <v>100</v>
      </c>
      <c r="U216" t="s">
        <v>1147</v>
      </c>
      <c r="V216" t="s">
        <v>40</v>
      </c>
      <c r="W216" t="s">
        <v>40</v>
      </c>
      <c r="X216" t="s">
        <v>40</v>
      </c>
      <c r="Y216" t="s">
        <v>40</v>
      </c>
      <c r="Z216" s="5" t="s">
        <v>225</v>
      </c>
    </row>
    <row r="217" spans="1:26" ht="13.8" customHeight="1" x14ac:dyDescent="0.3">
      <c r="A217" t="s">
        <v>1148</v>
      </c>
      <c r="B217" t="s">
        <v>1149</v>
      </c>
      <c r="C217" t="s">
        <v>532</v>
      </c>
      <c r="D217" t="s">
        <v>533</v>
      </c>
      <c r="E217" t="s">
        <v>1150</v>
      </c>
      <c r="F217" t="s">
        <v>515</v>
      </c>
      <c r="G217" t="s">
        <v>1151</v>
      </c>
      <c r="H217" t="s">
        <v>31</v>
      </c>
      <c r="I217" t="s">
        <v>32</v>
      </c>
      <c r="J217" t="s">
        <v>1152</v>
      </c>
      <c r="K217" t="s">
        <v>990</v>
      </c>
      <c r="L217" t="s">
        <v>1051</v>
      </c>
      <c r="M217" t="s">
        <v>36</v>
      </c>
      <c r="N217" t="s">
        <v>37</v>
      </c>
      <c r="O217" s="6">
        <v>287600</v>
      </c>
      <c r="P217" s="2">
        <v>170200</v>
      </c>
      <c r="Q217" s="2">
        <v>210200</v>
      </c>
      <c r="R217" t="s">
        <v>419</v>
      </c>
      <c r="S217" t="s">
        <v>38</v>
      </c>
      <c r="T217">
        <v>100</v>
      </c>
      <c r="U217" t="s">
        <v>1153</v>
      </c>
      <c r="V217" t="s">
        <v>40</v>
      </c>
      <c r="W217" t="s">
        <v>40</v>
      </c>
      <c r="X217" t="s">
        <v>40</v>
      </c>
      <c r="Y217" t="s">
        <v>1154</v>
      </c>
      <c r="Z217" s="5" t="s">
        <v>518</v>
      </c>
    </row>
    <row r="218" spans="1:26" ht="13.8" customHeight="1" x14ac:dyDescent="0.3">
      <c r="A218" s="1">
        <v>46300.853472222225</v>
      </c>
      <c r="B218" t="s">
        <v>1155</v>
      </c>
      <c r="C218" t="s">
        <v>1156</v>
      </c>
      <c r="D218" t="s">
        <v>1157</v>
      </c>
      <c r="E218" t="s">
        <v>1158</v>
      </c>
      <c r="F218" t="s">
        <v>515</v>
      </c>
      <c r="G218" t="s">
        <v>1151</v>
      </c>
      <c r="H218" t="s">
        <v>31</v>
      </c>
      <c r="I218" t="s">
        <v>32</v>
      </c>
      <c r="J218" t="s">
        <v>1152</v>
      </c>
      <c r="K218" t="s">
        <v>990</v>
      </c>
      <c r="L218" t="s">
        <v>1159</v>
      </c>
      <c r="M218" t="s">
        <v>1160</v>
      </c>
      <c r="N218" t="s">
        <v>37</v>
      </c>
      <c r="O218" s="6">
        <v>269272</v>
      </c>
      <c r="P218" s="2">
        <v>24234</v>
      </c>
      <c r="Q218" s="2">
        <v>24235</v>
      </c>
      <c r="R218" s="3">
        <v>46239</v>
      </c>
      <c r="S218" t="s">
        <v>38</v>
      </c>
      <c r="T218">
        <v>100</v>
      </c>
      <c r="U218" t="s">
        <v>1161</v>
      </c>
      <c r="V218" t="s">
        <v>40</v>
      </c>
      <c r="W218" t="s">
        <v>40</v>
      </c>
      <c r="X218" t="s">
        <v>40</v>
      </c>
      <c r="Y218" t="s">
        <v>1162</v>
      </c>
      <c r="Z218" s="5" t="s">
        <v>518</v>
      </c>
    </row>
    <row r="219" spans="1:26" ht="13.8" customHeight="1" x14ac:dyDescent="0.3">
      <c r="A219" t="s">
        <v>1163</v>
      </c>
      <c r="B219" t="s">
        <v>1164</v>
      </c>
      <c r="C219" t="s">
        <v>1156</v>
      </c>
      <c r="D219" t="s">
        <v>1157</v>
      </c>
      <c r="E219" t="s">
        <v>1165</v>
      </c>
      <c r="F219" t="s">
        <v>515</v>
      </c>
      <c r="G219" t="s">
        <v>1151</v>
      </c>
      <c r="H219" t="s">
        <v>31</v>
      </c>
      <c r="I219" t="s">
        <v>32</v>
      </c>
      <c r="J219" t="s">
        <v>1152</v>
      </c>
      <c r="K219" t="s">
        <v>990</v>
      </c>
      <c r="L219" t="s">
        <v>1166</v>
      </c>
      <c r="M219" t="s">
        <v>1160</v>
      </c>
      <c r="N219" t="s">
        <v>37</v>
      </c>
      <c r="O219" s="6">
        <v>2566178</v>
      </c>
      <c r="P219" s="2">
        <v>230953</v>
      </c>
      <c r="Q219" s="2">
        <v>230962</v>
      </c>
      <c r="R219" t="s">
        <v>494</v>
      </c>
      <c r="S219" t="s">
        <v>38</v>
      </c>
      <c r="T219">
        <v>100</v>
      </c>
      <c r="U219" t="s">
        <v>1167</v>
      </c>
      <c r="V219" t="s">
        <v>40</v>
      </c>
      <c r="W219" t="s">
        <v>40</v>
      </c>
      <c r="X219" t="s">
        <v>40</v>
      </c>
      <c r="Y219" t="s">
        <v>1168</v>
      </c>
      <c r="Z219" s="5" t="s">
        <v>518</v>
      </c>
    </row>
    <row r="220" spans="1:26" ht="13.8" customHeight="1" x14ac:dyDescent="0.3">
      <c r="A220" t="s">
        <v>1169</v>
      </c>
      <c r="B220" t="s">
        <v>1170</v>
      </c>
      <c r="C220" t="s">
        <v>1156</v>
      </c>
      <c r="D220" t="s">
        <v>1157</v>
      </c>
      <c r="E220" t="s">
        <v>1171</v>
      </c>
      <c r="F220" t="s">
        <v>515</v>
      </c>
      <c r="G220" t="s">
        <v>1151</v>
      </c>
      <c r="H220" t="s">
        <v>31</v>
      </c>
      <c r="I220" t="s">
        <v>32</v>
      </c>
      <c r="J220" t="s">
        <v>1152</v>
      </c>
      <c r="K220" t="s">
        <v>990</v>
      </c>
      <c r="L220" t="s">
        <v>1166</v>
      </c>
      <c r="M220" t="s">
        <v>1160</v>
      </c>
      <c r="N220" t="s">
        <v>37</v>
      </c>
      <c r="O220" s="6">
        <v>1331348</v>
      </c>
      <c r="P220" s="2">
        <v>119821.3</v>
      </c>
      <c r="Q220" s="2">
        <v>119820.8</v>
      </c>
      <c r="R220" t="s">
        <v>494</v>
      </c>
      <c r="S220" t="s">
        <v>38</v>
      </c>
      <c r="T220">
        <v>100</v>
      </c>
      <c r="U220" t="s">
        <v>1172</v>
      </c>
      <c r="V220" t="s">
        <v>40</v>
      </c>
      <c r="W220" t="s">
        <v>40</v>
      </c>
      <c r="X220" t="s">
        <v>40</v>
      </c>
      <c r="Y220" t="s">
        <v>1173</v>
      </c>
      <c r="Z220" s="5" t="s">
        <v>518</v>
      </c>
    </row>
    <row r="221" spans="1:26" ht="13.8" customHeight="1" x14ac:dyDescent="0.3">
      <c r="A221" s="1">
        <v>46240.65625</v>
      </c>
      <c r="B221" t="s">
        <v>1174</v>
      </c>
      <c r="C221" t="s">
        <v>1175</v>
      </c>
      <c r="D221" t="s">
        <v>1176</v>
      </c>
      <c r="E221" t="s">
        <v>1177</v>
      </c>
      <c r="F221" t="s">
        <v>515</v>
      </c>
      <c r="G221" t="s">
        <v>1151</v>
      </c>
      <c r="H221" t="s">
        <v>31</v>
      </c>
      <c r="I221" t="s">
        <v>32</v>
      </c>
      <c r="J221" t="s">
        <v>1152</v>
      </c>
      <c r="K221" t="s">
        <v>990</v>
      </c>
      <c r="L221" t="s">
        <v>1051</v>
      </c>
      <c r="M221" t="s">
        <v>1080</v>
      </c>
      <c r="N221" t="s">
        <v>37</v>
      </c>
      <c r="O221" s="6">
        <v>9325000</v>
      </c>
      <c r="P221" s="2">
        <v>373000</v>
      </c>
      <c r="Q221" s="2">
        <v>277000</v>
      </c>
      <c r="R221" s="3">
        <v>46148</v>
      </c>
      <c r="S221" t="s">
        <v>38</v>
      </c>
      <c r="T221">
        <v>100</v>
      </c>
      <c r="U221" t="s">
        <v>1178</v>
      </c>
      <c r="V221" t="s">
        <v>40</v>
      </c>
      <c r="W221" t="s">
        <v>40</v>
      </c>
      <c r="X221" t="s">
        <v>40</v>
      </c>
      <c r="Y221" t="s">
        <v>1179</v>
      </c>
      <c r="Z221" s="5" t="s">
        <v>518</v>
      </c>
    </row>
    <row r="222" spans="1:26" ht="13.8" customHeight="1" x14ac:dyDescent="0.3">
      <c r="A222" t="s">
        <v>1180</v>
      </c>
      <c r="B222" t="s">
        <v>1181</v>
      </c>
      <c r="C222" t="s">
        <v>1182</v>
      </c>
      <c r="D222" t="s">
        <v>1183</v>
      </c>
      <c r="E222" t="s">
        <v>1184</v>
      </c>
      <c r="F222" t="s">
        <v>515</v>
      </c>
      <c r="G222" t="s">
        <v>1151</v>
      </c>
      <c r="H222" t="s">
        <v>31</v>
      </c>
      <c r="I222" t="s">
        <v>32</v>
      </c>
      <c r="J222" t="s">
        <v>1152</v>
      </c>
      <c r="K222" t="s">
        <v>990</v>
      </c>
      <c r="L222" t="s">
        <v>1051</v>
      </c>
      <c r="M222" t="s">
        <v>1080</v>
      </c>
      <c r="N222" t="s">
        <v>37</v>
      </c>
      <c r="O222" s="6">
        <v>1032784</v>
      </c>
      <c r="P222" s="2">
        <v>162184</v>
      </c>
      <c r="Q222">
        <v>0</v>
      </c>
      <c r="R222" t="s">
        <v>327</v>
      </c>
      <c r="S222" t="s">
        <v>38</v>
      </c>
      <c r="T222">
        <v>100</v>
      </c>
      <c r="U222" t="s">
        <v>40</v>
      </c>
      <c r="V222" t="s">
        <v>40</v>
      </c>
      <c r="W222" t="s">
        <v>40</v>
      </c>
      <c r="X222" t="s">
        <v>40</v>
      </c>
      <c r="Y222" t="s">
        <v>1185</v>
      </c>
      <c r="Z222" s="5" t="s">
        <v>518</v>
      </c>
    </row>
    <row r="223" spans="1:26" ht="13.8" customHeight="1" x14ac:dyDescent="0.3">
      <c r="A223" t="s">
        <v>1186</v>
      </c>
      <c r="B223" t="s">
        <v>1187</v>
      </c>
      <c r="C223" t="s">
        <v>1188</v>
      </c>
      <c r="D223" t="s">
        <v>1189</v>
      </c>
      <c r="E223" t="s">
        <v>1190</v>
      </c>
      <c r="F223" t="s">
        <v>1008</v>
      </c>
      <c r="G223" t="s">
        <v>1191</v>
      </c>
      <c r="H223" t="s">
        <v>74</v>
      </c>
      <c r="I223" t="s">
        <v>32</v>
      </c>
      <c r="J223" t="s">
        <v>1192</v>
      </c>
      <c r="K223" t="s">
        <v>990</v>
      </c>
      <c r="L223" t="s">
        <v>1193</v>
      </c>
      <c r="M223" t="s">
        <v>1194</v>
      </c>
      <c r="N223" t="s">
        <v>37</v>
      </c>
      <c r="O223" s="6">
        <v>168960</v>
      </c>
      <c r="P223" s="2">
        <v>15361</v>
      </c>
      <c r="Q223">
        <v>0</v>
      </c>
      <c r="R223" t="s">
        <v>724</v>
      </c>
      <c r="S223" t="s">
        <v>38</v>
      </c>
      <c r="T223">
        <v>100</v>
      </c>
      <c r="U223" t="s">
        <v>40</v>
      </c>
      <c r="V223" t="s">
        <v>40</v>
      </c>
      <c r="W223" t="s">
        <v>40</v>
      </c>
      <c r="X223" t="s">
        <v>40</v>
      </c>
      <c r="Y223" t="s">
        <v>40</v>
      </c>
      <c r="Z223" s="5" t="s">
        <v>436</v>
      </c>
    </row>
    <row r="224" spans="1:26" ht="13.8" customHeight="1" x14ac:dyDescent="0.3">
      <c r="A224" t="s">
        <v>1195</v>
      </c>
      <c r="B224" t="s">
        <v>1196</v>
      </c>
      <c r="C224" t="s">
        <v>1197</v>
      </c>
      <c r="D224" t="s">
        <v>1198</v>
      </c>
      <c r="E224" t="s">
        <v>1199</v>
      </c>
      <c r="F224" t="s">
        <v>1008</v>
      </c>
      <c r="G224" t="s">
        <v>1191</v>
      </c>
      <c r="H224" t="s">
        <v>31</v>
      </c>
      <c r="I224" t="s">
        <v>32</v>
      </c>
      <c r="J224" t="s">
        <v>1192</v>
      </c>
      <c r="K224" t="s">
        <v>990</v>
      </c>
      <c r="L224" t="s">
        <v>1200</v>
      </c>
      <c r="M224" t="s">
        <v>1194</v>
      </c>
      <c r="N224" t="s">
        <v>37</v>
      </c>
      <c r="O224" s="6">
        <v>572000</v>
      </c>
      <c r="P224" s="2">
        <v>25623</v>
      </c>
      <c r="Q224">
        <v>0</v>
      </c>
      <c r="R224" t="s">
        <v>772</v>
      </c>
      <c r="S224" t="s">
        <v>38</v>
      </c>
      <c r="T224">
        <v>100</v>
      </c>
      <c r="U224" t="s">
        <v>40</v>
      </c>
      <c r="V224" t="s">
        <v>40</v>
      </c>
      <c r="W224" t="s">
        <v>40</v>
      </c>
      <c r="X224" t="s">
        <v>40</v>
      </c>
      <c r="Y224" t="s">
        <v>40</v>
      </c>
      <c r="Z224" s="5" t="s">
        <v>436</v>
      </c>
    </row>
    <row r="225" spans="1:26" ht="13.8" customHeight="1" x14ac:dyDescent="0.3">
      <c r="A225" s="1">
        <v>46058.868750000001</v>
      </c>
      <c r="B225" t="s">
        <v>1201</v>
      </c>
      <c r="C225" t="s">
        <v>1182</v>
      </c>
      <c r="D225" t="s">
        <v>1202</v>
      </c>
      <c r="E225" t="s">
        <v>1203</v>
      </c>
      <c r="F225" t="s">
        <v>515</v>
      </c>
      <c r="G225" t="s">
        <v>1204</v>
      </c>
      <c r="H225" t="s">
        <v>31</v>
      </c>
      <c r="I225" t="s">
        <v>32</v>
      </c>
      <c r="J225" t="s">
        <v>1192</v>
      </c>
      <c r="K225" t="s">
        <v>990</v>
      </c>
      <c r="L225" t="s">
        <v>1051</v>
      </c>
      <c r="M225" t="s">
        <v>1080</v>
      </c>
      <c r="N225" t="s">
        <v>37</v>
      </c>
      <c r="O225" s="6">
        <v>3029670</v>
      </c>
      <c r="P225" s="2">
        <v>673470</v>
      </c>
      <c r="Q225">
        <v>0</v>
      </c>
      <c r="R225" t="s">
        <v>327</v>
      </c>
      <c r="S225" t="s">
        <v>38</v>
      </c>
      <c r="T225">
        <v>100</v>
      </c>
      <c r="U225" t="s">
        <v>40</v>
      </c>
      <c r="V225" t="s">
        <v>40</v>
      </c>
      <c r="W225" t="s">
        <v>40</v>
      </c>
      <c r="X225" t="s">
        <v>40</v>
      </c>
      <c r="Y225" t="s">
        <v>1205</v>
      </c>
      <c r="Z225" s="5" t="s">
        <v>518</v>
      </c>
    </row>
    <row r="226" spans="1:26" ht="13.8" customHeight="1" x14ac:dyDescent="0.3">
      <c r="A226" t="s">
        <v>1206</v>
      </c>
      <c r="B226" t="s">
        <v>1207</v>
      </c>
      <c r="C226" t="s">
        <v>470</v>
      </c>
      <c r="D226" t="s">
        <v>1208</v>
      </c>
      <c r="E226" t="s">
        <v>1209</v>
      </c>
      <c r="F226" t="s">
        <v>1210</v>
      </c>
      <c r="G226" t="s">
        <v>1211</v>
      </c>
      <c r="H226" t="s">
        <v>31</v>
      </c>
      <c r="I226" t="s">
        <v>32</v>
      </c>
      <c r="J226" t="s">
        <v>1192</v>
      </c>
      <c r="K226" t="s">
        <v>990</v>
      </c>
      <c r="L226" t="s">
        <v>1051</v>
      </c>
      <c r="M226" t="s">
        <v>1120</v>
      </c>
      <c r="N226" t="s">
        <v>37</v>
      </c>
      <c r="O226" s="6">
        <v>195272</v>
      </c>
      <c r="P226" s="2">
        <v>9300</v>
      </c>
      <c r="Q226">
        <v>0</v>
      </c>
      <c r="R226" t="s">
        <v>1212</v>
      </c>
      <c r="S226" t="s">
        <v>38</v>
      </c>
      <c r="T226">
        <v>100</v>
      </c>
      <c r="U226" t="s">
        <v>40</v>
      </c>
      <c r="V226" t="s">
        <v>40</v>
      </c>
      <c r="W226" t="s">
        <v>40</v>
      </c>
      <c r="X226" t="s">
        <v>40</v>
      </c>
      <c r="Y226" t="s">
        <v>40</v>
      </c>
      <c r="Z226" s="5" t="s">
        <v>1213</v>
      </c>
    </row>
    <row r="227" spans="1:26" ht="13.8" customHeight="1" x14ac:dyDescent="0.3">
      <c r="A227" s="1">
        <v>46296.427083333336</v>
      </c>
      <c r="B227" t="s">
        <v>1214</v>
      </c>
      <c r="C227" t="s">
        <v>1215</v>
      </c>
      <c r="D227" t="s">
        <v>1216</v>
      </c>
      <c r="E227" t="s">
        <v>1217</v>
      </c>
      <c r="F227" t="s">
        <v>294</v>
      </c>
      <c r="G227" t="s">
        <v>1218</v>
      </c>
      <c r="H227" t="s">
        <v>31</v>
      </c>
      <c r="I227" t="s">
        <v>32</v>
      </c>
      <c r="J227" t="s">
        <v>1192</v>
      </c>
      <c r="K227" t="s">
        <v>990</v>
      </c>
      <c r="L227" t="s">
        <v>1219</v>
      </c>
      <c r="M227" t="s">
        <v>1220</v>
      </c>
      <c r="N227" t="s">
        <v>37</v>
      </c>
      <c r="O227" s="6">
        <v>43400000</v>
      </c>
      <c r="P227" s="2">
        <v>100000</v>
      </c>
      <c r="Q227" s="2">
        <v>1043986.48</v>
      </c>
      <c r="R227" t="s">
        <v>263</v>
      </c>
      <c r="S227" t="s">
        <v>38</v>
      </c>
      <c r="T227">
        <v>100</v>
      </c>
      <c r="U227" t="s">
        <v>1221</v>
      </c>
      <c r="V227" t="s">
        <v>40</v>
      </c>
      <c r="W227" t="s">
        <v>40</v>
      </c>
      <c r="X227" t="s">
        <v>40</v>
      </c>
      <c r="Y227" t="s">
        <v>40</v>
      </c>
      <c r="Z227" s="5" t="s">
        <v>297</v>
      </c>
    </row>
    <row r="228" spans="1:26" ht="13.8" customHeight="1" x14ac:dyDescent="0.3">
      <c r="A228" s="1">
        <v>46205.686111111114</v>
      </c>
      <c r="B228" t="s">
        <v>1222</v>
      </c>
      <c r="C228" t="s">
        <v>1223</v>
      </c>
      <c r="D228" t="s">
        <v>1224</v>
      </c>
      <c r="E228" t="s">
        <v>1225</v>
      </c>
      <c r="F228" t="s">
        <v>294</v>
      </c>
      <c r="G228" t="s">
        <v>1218</v>
      </c>
      <c r="H228" t="s">
        <v>31</v>
      </c>
      <c r="I228" t="s">
        <v>32</v>
      </c>
      <c r="J228" t="s">
        <v>1192</v>
      </c>
      <c r="K228" t="s">
        <v>990</v>
      </c>
      <c r="L228" t="s">
        <v>1051</v>
      </c>
      <c r="M228" t="s">
        <v>36</v>
      </c>
      <c r="N228" t="s">
        <v>37</v>
      </c>
      <c r="O228" s="6">
        <v>2546045</v>
      </c>
      <c r="P228" s="2">
        <v>50000</v>
      </c>
      <c r="Q228" s="2">
        <v>232151</v>
      </c>
      <c r="R228" t="s">
        <v>1226</v>
      </c>
      <c r="S228" t="s">
        <v>38</v>
      </c>
      <c r="T228">
        <v>100</v>
      </c>
      <c r="U228" t="s">
        <v>1227</v>
      </c>
      <c r="V228" t="s">
        <v>40</v>
      </c>
      <c r="W228" t="s">
        <v>40</v>
      </c>
      <c r="X228" t="s">
        <v>40</v>
      </c>
      <c r="Y228" t="s">
        <v>1228</v>
      </c>
      <c r="Z228" s="5" t="s">
        <v>297</v>
      </c>
    </row>
    <row r="229" spans="1:26" ht="13.8" customHeight="1" x14ac:dyDescent="0.3">
      <c r="A229" s="1">
        <v>46268.555555555555</v>
      </c>
      <c r="B229" t="s">
        <v>1229</v>
      </c>
      <c r="C229" t="s">
        <v>745</v>
      </c>
      <c r="D229" t="s">
        <v>740</v>
      </c>
      <c r="E229" t="s">
        <v>1230</v>
      </c>
      <c r="F229" t="s">
        <v>294</v>
      </c>
      <c r="G229" t="s">
        <v>1218</v>
      </c>
      <c r="H229" t="s">
        <v>31</v>
      </c>
      <c r="I229" t="s">
        <v>32</v>
      </c>
      <c r="J229" t="s">
        <v>1192</v>
      </c>
      <c r="K229" t="s">
        <v>990</v>
      </c>
      <c r="L229" t="s">
        <v>1051</v>
      </c>
      <c r="M229" t="s">
        <v>36</v>
      </c>
      <c r="N229" t="s">
        <v>37</v>
      </c>
      <c r="O229" s="6">
        <v>1555151</v>
      </c>
      <c r="P229" s="2">
        <v>100000</v>
      </c>
      <c r="Q229" s="2">
        <v>153986</v>
      </c>
      <c r="R229" s="3">
        <v>46269</v>
      </c>
      <c r="S229" t="s">
        <v>38</v>
      </c>
      <c r="T229">
        <v>70</v>
      </c>
      <c r="U229" t="s">
        <v>1231</v>
      </c>
      <c r="V229" t="s">
        <v>40</v>
      </c>
      <c r="W229" t="s">
        <v>40</v>
      </c>
      <c r="X229" t="s">
        <v>40</v>
      </c>
      <c r="Y229" t="s">
        <v>545</v>
      </c>
      <c r="Z229" s="5" t="s">
        <v>297</v>
      </c>
    </row>
    <row r="230" spans="1:26" ht="13.8" customHeight="1" x14ac:dyDescent="0.3">
      <c r="A230" t="s">
        <v>1232</v>
      </c>
      <c r="B230" t="s">
        <v>1233</v>
      </c>
      <c r="C230" t="s">
        <v>1234</v>
      </c>
      <c r="D230" t="s">
        <v>1235</v>
      </c>
      <c r="E230" t="s">
        <v>1236</v>
      </c>
      <c r="F230" t="s">
        <v>1237</v>
      </c>
      <c r="G230" t="s">
        <v>1238</v>
      </c>
      <c r="H230" t="s">
        <v>31</v>
      </c>
      <c r="I230" t="s">
        <v>32</v>
      </c>
      <c r="J230" t="s">
        <v>1192</v>
      </c>
      <c r="K230" t="s">
        <v>990</v>
      </c>
      <c r="L230" t="s">
        <v>1239</v>
      </c>
      <c r="M230" t="s">
        <v>198</v>
      </c>
      <c r="N230" t="s">
        <v>37</v>
      </c>
      <c r="O230" s="6">
        <v>21966500</v>
      </c>
      <c r="P230" s="2">
        <v>200000</v>
      </c>
      <c r="Q230">
        <v>0</v>
      </c>
      <c r="R230" s="3">
        <v>46179</v>
      </c>
      <c r="S230" t="s">
        <v>38</v>
      </c>
      <c r="T230">
        <v>90</v>
      </c>
      <c r="U230" t="s">
        <v>40</v>
      </c>
      <c r="V230" t="s">
        <v>40</v>
      </c>
      <c r="W230" t="s">
        <v>40</v>
      </c>
      <c r="X230" t="s">
        <v>40</v>
      </c>
      <c r="Y230" t="s">
        <v>40</v>
      </c>
      <c r="Z230" s="5" t="s">
        <v>1240</v>
      </c>
    </row>
    <row r="231" spans="1:26" ht="13.8" customHeight="1" x14ac:dyDescent="0.3">
      <c r="A231" t="s">
        <v>1241</v>
      </c>
      <c r="B231" t="s">
        <v>1242</v>
      </c>
      <c r="C231" t="s">
        <v>1243</v>
      </c>
      <c r="D231" t="s">
        <v>1244</v>
      </c>
      <c r="E231" t="s">
        <v>1245</v>
      </c>
      <c r="F231" t="s">
        <v>1246</v>
      </c>
      <c r="G231" t="s">
        <v>1247</v>
      </c>
      <c r="H231" t="s">
        <v>31</v>
      </c>
      <c r="I231" t="s">
        <v>32</v>
      </c>
      <c r="J231" t="s">
        <v>1192</v>
      </c>
      <c r="K231" t="s">
        <v>990</v>
      </c>
      <c r="L231" t="s">
        <v>1051</v>
      </c>
      <c r="M231" t="s">
        <v>1064</v>
      </c>
      <c r="N231" t="s">
        <v>37</v>
      </c>
      <c r="O231" s="6">
        <v>210216.41</v>
      </c>
      <c r="P231" s="2">
        <v>16247</v>
      </c>
      <c r="Q231" s="2">
        <v>10010.120000000001</v>
      </c>
      <c r="R231" t="s">
        <v>1226</v>
      </c>
      <c r="S231" t="s">
        <v>38</v>
      </c>
      <c r="T231">
        <v>10</v>
      </c>
      <c r="U231" t="s">
        <v>1248</v>
      </c>
      <c r="V231" t="s">
        <v>40</v>
      </c>
      <c r="W231" t="s">
        <v>40</v>
      </c>
      <c r="X231" t="s">
        <v>40</v>
      </c>
      <c r="Y231" t="s">
        <v>40</v>
      </c>
      <c r="Z231" s="5" t="s">
        <v>436</v>
      </c>
    </row>
    <row r="232" spans="1:26" ht="13.8" customHeight="1" x14ac:dyDescent="0.3">
      <c r="A232" s="1">
        <v>46207.590277777781</v>
      </c>
      <c r="B232" t="s">
        <v>1249</v>
      </c>
      <c r="C232" t="s">
        <v>1250</v>
      </c>
      <c r="D232" t="s">
        <v>1251</v>
      </c>
      <c r="E232" t="s">
        <v>1252</v>
      </c>
      <c r="F232" t="s">
        <v>1246</v>
      </c>
      <c r="G232" t="s">
        <v>1247</v>
      </c>
      <c r="H232" t="s">
        <v>31</v>
      </c>
      <c r="I232" t="s">
        <v>32</v>
      </c>
      <c r="J232" t="s">
        <v>1192</v>
      </c>
      <c r="K232" t="s">
        <v>990</v>
      </c>
      <c r="L232" t="s">
        <v>1110</v>
      </c>
      <c r="M232" t="s">
        <v>1064</v>
      </c>
      <c r="N232" t="s">
        <v>37</v>
      </c>
      <c r="O232" s="6">
        <v>7200000</v>
      </c>
      <c r="P232" s="2">
        <v>559999</v>
      </c>
      <c r="Q232" s="2">
        <v>559514.17000000004</v>
      </c>
      <c r="R232" s="3">
        <v>46208</v>
      </c>
      <c r="S232" t="s">
        <v>38</v>
      </c>
      <c r="T232">
        <v>100</v>
      </c>
      <c r="U232" t="s">
        <v>1253</v>
      </c>
      <c r="V232" t="s">
        <v>40</v>
      </c>
      <c r="W232" t="s">
        <v>40</v>
      </c>
      <c r="X232" t="s">
        <v>40</v>
      </c>
      <c r="Y232" t="s">
        <v>40</v>
      </c>
      <c r="Z232" s="5" t="s">
        <v>436</v>
      </c>
    </row>
    <row r="233" spans="1:26" ht="13.8" customHeight="1" x14ac:dyDescent="0.3">
      <c r="A233" t="s">
        <v>1254</v>
      </c>
      <c r="B233" t="s">
        <v>1255</v>
      </c>
      <c r="C233" t="s">
        <v>761</v>
      </c>
      <c r="D233" t="s">
        <v>762</v>
      </c>
      <c r="E233" t="s">
        <v>1256</v>
      </c>
      <c r="F233" t="s">
        <v>312</v>
      </c>
      <c r="G233" t="s">
        <v>1257</v>
      </c>
      <c r="H233" t="s">
        <v>31</v>
      </c>
      <c r="I233" t="s">
        <v>32</v>
      </c>
      <c r="J233" t="s">
        <v>33</v>
      </c>
      <c r="K233" t="s">
        <v>990</v>
      </c>
      <c r="L233" t="s">
        <v>1258</v>
      </c>
      <c r="M233" t="s">
        <v>1259</v>
      </c>
      <c r="N233" t="s">
        <v>37</v>
      </c>
      <c r="O233" s="6">
        <v>6750000</v>
      </c>
      <c r="P233" s="2">
        <v>400000</v>
      </c>
      <c r="Q233" s="2">
        <v>399999.99</v>
      </c>
      <c r="R233" s="3">
        <v>46332</v>
      </c>
      <c r="S233" t="s">
        <v>38</v>
      </c>
      <c r="T233">
        <v>100</v>
      </c>
      <c r="U233" t="s">
        <v>1260</v>
      </c>
      <c r="V233" t="s">
        <v>40</v>
      </c>
      <c r="W233" t="s">
        <v>40</v>
      </c>
      <c r="X233" t="s">
        <v>40</v>
      </c>
      <c r="Y233" t="s">
        <v>40</v>
      </c>
      <c r="Z233" s="5" t="s">
        <v>246</v>
      </c>
    </row>
    <row r="234" spans="1:26" ht="13.8" customHeight="1" x14ac:dyDescent="0.3">
      <c r="A234" s="1">
        <v>46028.749305555553</v>
      </c>
      <c r="B234" t="s">
        <v>1261</v>
      </c>
      <c r="C234" t="s">
        <v>1262</v>
      </c>
      <c r="D234" t="s">
        <v>1263</v>
      </c>
      <c r="E234" t="s">
        <v>1264</v>
      </c>
      <c r="F234" t="s">
        <v>312</v>
      </c>
      <c r="G234" t="s">
        <v>1257</v>
      </c>
      <c r="H234" t="s">
        <v>31</v>
      </c>
      <c r="I234" t="s">
        <v>32</v>
      </c>
      <c r="J234" t="s">
        <v>33</v>
      </c>
      <c r="K234" t="s">
        <v>990</v>
      </c>
      <c r="L234" t="s">
        <v>36</v>
      </c>
      <c r="M234" t="s">
        <v>1265</v>
      </c>
      <c r="N234" t="s">
        <v>37</v>
      </c>
      <c r="O234" s="6">
        <v>134100</v>
      </c>
      <c r="P234" s="2">
        <v>20000</v>
      </c>
      <c r="Q234">
        <v>0</v>
      </c>
      <c r="R234" t="s">
        <v>341</v>
      </c>
      <c r="S234" t="s">
        <v>38</v>
      </c>
      <c r="T234">
        <v>100</v>
      </c>
      <c r="U234" t="s">
        <v>40</v>
      </c>
      <c r="V234" t="s">
        <v>40</v>
      </c>
      <c r="W234" t="s">
        <v>40</v>
      </c>
      <c r="X234" t="s">
        <v>40</v>
      </c>
      <c r="Y234" t="s">
        <v>40</v>
      </c>
      <c r="Z234" s="5" t="s">
        <v>246</v>
      </c>
    </row>
    <row r="235" spans="1:26" ht="13.8" customHeight="1" x14ac:dyDescent="0.3">
      <c r="A235" t="s">
        <v>1266</v>
      </c>
      <c r="B235" t="s">
        <v>1267</v>
      </c>
      <c r="C235" t="s">
        <v>1268</v>
      </c>
      <c r="D235" t="s">
        <v>1269</v>
      </c>
      <c r="E235" t="s">
        <v>1270</v>
      </c>
      <c r="F235" t="s">
        <v>354</v>
      </c>
      <c r="G235" t="s">
        <v>1271</v>
      </c>
      <c r="H235" t="s">
        <v>31</v>
      </c>
      <c r="I235" t="s">
        <v>32</v>
      </c>
      <c r="J235" t="s">
        <v>33</v>
      </c>
      <c r="K235" t="s">
        <v>990</v>
      </c>
      <c r="L235" t="s">
        <v>1051</v>
      </c>
      <c r="M235" t="s">
        <v>1272</v>
      </c>
      <c r="N235" t="s">
        <v>37</v>
      </c>
      <c r="O235" s="6">
        <v>4248000</v>
      </c>
      <c r="P235">
        <v>0</v>
      </c>
      <c r="Q235" s="2">
        <v>394800.05</v>
      </c>
      <c r="R235" t="s">
        <v>516</v>
      </c>
      <c r="S235" t="s">
        <v>38</v>
      </c>
      <c r="T235">
        <v>100</v>
      </c>
      <c r="U235" t="s">
        <v>1273</v>
      </c>
      <c r="V235" t="s">
        <v>40</v>
      </c>
      <c r="W235" t="s">
        <v>40</v>
      </c>
      <c r="X235" t="s">
        <v>40</v>
      </c>
      <c r="Y235" t="s">
        <v>40</v>
      </c>
      <c r="Z235" s="5" t="s">
        <v>246</v>
      </c>
    </row>
    <row r="236" spans="1:26" ht="13.8" customHeight="1" x14ac:dyDescent="0.3">
      <c r="A236" s="1">
        <v>46269.655555555553</v>
      </c>
      <c r="B236" t="s">
        <v>1274</v>
      </c>
      <c r="C236" t="s">
        <v>369</v>
      </c>
      <c r="D236" t="s">
        <v>370</v>
      </c>
      <c r="E236" t="s">
        <v>1275</v>
      </c>
      <c r="F236" t="s">
        <v>372</v>
      </c>
      <c r="G236" t="s">
        <v>1276</v>
      </c>
      <c r="H236" t="s">
        <v>31</v>
      </c>
      <c r="I236" t="s">
        <v>32</v>
      </c>
      <c r="J236" t="s">
        <v>33</v>
      </c>
      <c r="K236" t="s">
        <v>990</v>
      </c>
      <c r="L236" t="s">
        <v>1051</v>
      </c>
      <c r="M236" t="s">
        <v>1000</v>
      </c>
      <c r="N236" t="s">
        <v>37</v>
      </c>
      <c r="O236" s="6">
        <v>230359</v>
      </c>
      <c r="P236" s="2">
        <v>21277</v>
      </c>
      <c r="Q236" s="2">
        <v>21979</v>
      </c>
      <c r="R236" t="s">
        <v>565</v>
      </c>
      <c r="S236" t="s">
        <v>38</v>
      </c>
      <c r="T236">
        <v>100</v>
      </c>
      <c r="U236" t="s">
        <v>1277</v>
      </c>
      <c r="V236" t="s">
        <v>40</v>
      </c>
      <c r="W236" t="s">
        <v>40</v>
      </c>
      <c r="X236" t="s">
        <v>40</v>
      </c>
      <c r="Y236" t="s">
        <v>1278</v>
      </c>
      <c r="Z236" s="5" t="s">
        <v>42</v>
      </c>
    </row>
    <row r="237" spans="1:26" ht="13.8" customHeight="1" x14ac:dyDescent="0.3">
      <c r="A237" t="s">
        <v>1279</v>
      </c>
      <c r="B237" t="s">
        <v>1280</v>
      </c>
      <c r="C237" t="s">
        <v>369</v>
      </c>
      <c r="D237" t="s">
        <v>370</v>
      </c>
      <c r="E237" t="s">
        <v>1281</v>
      </c>
      <c r="F237" t="s">
        <v>372</v>
      </c>
      <c r="G237" t="s">
        <v>1276</v>
      </c>
      <c r="H237" t="s">
        <v>31</v>
      </c>
      <c r="I237" t="s">
        <v>32</v>
      </c>
      <c r="J237" t="s">
        <v>33</v>
      </c>
      <c r="K237" t="s">
        <v>990</v>
      </c>
      <c r="L237" t="s">
        <v>1051</v>
      </c>
      <c r="M237" t="s">
        <v>36</v>
      </c>
      <c r="N237" t="s">
        <v>37</v>
      </c>
      <c r="O237" s="6">
        <v>80955</v>
      </c>
      <c r="P237" s="2">
        <v>5415</v>
      </c>
      <c r="Q237" s="2">
        <v>5415</v>
      </c>
      <c r="R237" t="s">
        <v>211</v>
      </c>
      <c r="S237" t="s">
        <v>38</v>
      </c>
      <c r="T237">
        <v>100</v>
      </c>
      <c r="U237" t="s">
        <v>1282</v>
      </c>
      <c r="V237" t="s">
        <v>40</v>
      </c>
      <c r="W237" t="s">
        <v>40</v>
      </c>
      <c r="X237" t="s">
        <v>40</v>
      </c>
      <c r="Y237" t="s">
        <v>1283</v>
      </c>
      <c r="Z237" s="5" t="s">
        <v>42</v>
      </c>
    </row>
    <row r="238" spans="1:26" ht="13.8" customHeight="1" x14ac:dyDescent="0.3">
      <c r="A238" t="s">
        <v>1284</v>
      </c>
      <c r="B238" t="s">
        <v>1285</v>
      </c>
      <c r="C238" t="s">
        <v>369</v>
      </c>
      <c r="D238" t="s">
        <v>370</v>
      </c>
      <c r="E238" t="s">
        <v>1286</v>
      </c>
      <c r="F238" t="s">
        <v>372</v>
      </c>
      <c r="G238" t="s">
        <v>1276</v>
      </c>
      <c r="H238" t="s">
        <v>31</v>
      </c>
      <c r="I238" t="s">
        <v>32</v>
      </c>
      <c r="J238" t="s">
        <v>33</v>
      </c>
      <c r="K238" t="s">
        <v>990</v>
      </c>
      <c r="L238" t="s">
        <v>1051</v>
      </c>
      <c r="M238" t="s">
        <v>36</v>
      </c>
      <c r="N238" t="s">
        <v>37</v>
      </c>
      <c r="O238" s="6">
        <v>29635</v>
      </c>
      <c r="P238" s="2">
        <v>6405</v>
      </c>
      <c r="Q238" s="2">
        <v>6405</v>
      </c>
      <c r="R238" t="s">
        <v>211</v>
      </c>
      <c r="S238" t="s">
        <v>38</v>
      </c>
      <c r="T238">
        <v>100</v>
      </c>
      <c r="U238" t="s">
        <v>1287</v>
      </c>
      <c r="V238" t="s">
        <v>40</v>
      </c>
      <c r="W238" t="s">
        <v>40</v>
      </c>
      <c r="X238" t="s">
        <v>40</v>
      </c>
      <c r="Y238" t="s">
        <v>1288</v>
      </c>
      <c r="Z238" s="5" t="s">
        <v>42</v>
      </c>
    </row>
    <row r="239" spans="1:26" ht="13.8" customHeight="1" x14ac:dyDescent="0.3">
      <c r="A239" t="s">
        <v>1289</v>
      </c>
      <c r="B239" t="s">
        <v>1290</v>
      </c>
      <c r="C239" t="s">
        <v>1291</v>
      </c>
      <c r="D239" t="s">
        <v>1292</v>
      </c>
      <c r="E239" t="s">
        <v>1293</v>
      </c>
      <c r="F239" t="s">
        <v>372</v>
      </c>
      <c r="G239" t="s">
        <v>1276</v>
      </c>
      <c r="H239" t="s">
        <v>31</v>
      </c>
      <c r="I239" t="s">
        <v>32</v>
      </c>
      <c r="J239" t="s">
        <v>33</v>
      </c>
      <c r="K239" t="s">
        <v>990</v>
      </c>
      <c r="L239" t="s">
        <v>991</v>
      </c>
      <c r="M239" t="s">
        <v>36</v>
      </c>
      <c r="N239" t="s">
        <v>37</v>
      </c>
      <c r="O239" s="6">
        <v>839290</v>
      </c>
      <c r="P239" s="2">
        <v>67750</v>
      </c>
      <c r="Q239" s="2">
        <v>67750</v>
      </c>
      <c r="R239" t="s">
        <v>736</v>
      </c>
      <c r="S239" t="s">
        <v>38</v>
      </c>
      <c r="T239">
        <v>100</v>
      </c>
      <c r="U239" t="s">
        <v>1294</v>
      </c>
      <c r="V239" t="s">
        <v>40</v>
      </c>
      <c r="W239" t="s">
        <v>40</v>
      </c>
      <c r="X239" t="s">
        <v>40</v>
      </c>
      <c r="Y239" t="s">
        <v>1295</v>
      </c>
      <c r="Z239" s="5" t="s">
        <v>42</v>
      </c>
    </row>
    <row r="240" spans="1:26" ht="13.8" customHeight="1" x14ac:dyDescent="0.3">
      <c r="A240" t="s">
        <v>1296</v>
      </c>
      <c r="B240" t="s">
        <v>1297</v>
      </c>
      <c r="C240" t="s">
        <v>369</v>
      </c>
      <c r="D240" t="s">
        <v>370</v>
      </c>
      <c r="E240" t="s">
        <v>1298</v>
      </c>
      <c r="F240" t="s">
        <v>372</v>
      </c>
      <c r="G240" t="s">
        <v>1276</v>
      </c>
      <c r="H240" t="s">
        <v>31</v>
      </c>
      <c r="I240" t="s">
        <v>32</v>
      </c>
      <c r="J240" t="s">
        <v>33</v>
      </c>
      <c r="K240" t="s">
        <v>990</v>
      </c>
      <c r="L240" t="s">
        <v>999</v>
      </c>
      <c r="M240" t="s">
        <v>1000</v>
      </c>
      <c r="N240" t="s">
        <v>37</v>
      </c>
      <c r="O240" s="6">
        <v>11130</v>
      </c>
      <c r="P240">
        <v>810</v>
      </c>
      <c r="Q240">
        <v>810</v>
      </c>
      <c r="R240" t="s">
        <v>913</v>
      </c>
      <c r="S240" t="s">
        <v>38</v>
      </c>
      <c r="T240">
        <v>100</v>
      </c>
      <c r="U240" t="s">
        <v>1299</v>
      </c>
      <c r="V240" t="s">
        <v>40</v>
      </c>
      <c r="W240" t="s">
        <v>40</v>
      </c>
      <c r="X240" t="s">
        <v>40</v>
      </c>
      <c r="Y240" t="s">
        <v>1300</v>
      </c>
      <c r="Z240" s="5" t="s">
        <v>42</v>
      </c>
    </row>
    <row r="241" spans="1:26" ht="13.8" customHeight="1" x14ac:dyDescent="0.3">
      <c r="A241" t="s">
        <v>1301</v>
      </c>
      <c r="B241" t="s">
        <v>1302</v>
      </c>
      <c r="C241" t="s">
        <v>369</v>
      </c>
      <c r="D241" t="s">
        <v>370</v>
      </c>
      <c r="E241" t="s">
        <v>1303</v>
      </c>
      <c r="F241" t="s">
        <v>372</v>
      </c>
      <c r="G241" t="s">
        <v>1276</v>
      </c>
      <c r="H241" t="s">
        <v>31</v>
      </c>
      <c r="I241" t="s">
        <v>32</v>
      </c>
      <c r="J241" t="s">
        <v>33</v>
      </c>
      <c r="K241" t="s">
        <v>990</v>
      </c>
      <c r="L241" t="s">
        <v>999</v>
      </c>
      <c r="M241" t="s">
        <v>356</v>
      </c>
      <c r="N241" t="s">
        <v>37</v>
      </c>
      <c r="O241" s="6">
        <v>32000</v>
      </c>
      <c r="P241" s="2">
        <v>7000</v>
      </c>
      <c r="Q241" s="2">
        <v>7000</v>
      </c>
      <c r="R241" s="3">
        <v>46059</v>
      </c>
      <c r="S241" t="s">
        <v>38</v>
      </c>
      <c r="T241">
        <v>100</v>
      </c>
      <c r="U241" t="s">
        <v>1304</v>
      </c>
      <c r="V241" t="s">
        <v>40</v>
      </c>
      <c r="W241" t="s">
        <v>40</v>
      </c>
      <c r="X241" t="s">
        <v>40</v>
      </c>
      <c r="Y241" t="s">
        <v>1305</v>
      </c>
      <c r="Z241" s="5" t="s">
        <v>42</v>
      </c>
    </row>
    <row r="242" spans="1:26" ht="13.8" customHeight="1" x14ac:dyDescent="0.3">
      <c r="A242" s="1">
        <v>46059.458333333336</v>
      </c>
      <c r="B242" t="s">
        <v>1306</v>
      </c>
      <c r="C242" t="s">
        <v>369</v>
      </c>
      <c r="D242" t="s">
        <v>370</v>
      </c>
      <c r="E242" t="s">
        <v>1303</v>
      </c>
      <c r="F242" t="s">
        <v>372</v>
      </c>
      <c r="G242" t="s">
        <v>1276</v>
      </c>
      <c r="H242" t="s">
        <v>31</v>
      </c>
      <c r="I242" t="s">
        <v>32</v>
      </c>
      <c r="J242" t="s">
        <v>33</v>
      </c>
      <c r="K242" t="s">
        <v>990</v>
      </c>
      <c r="L242" t="s">
        <v>999</v>
      </c>
      <c r="M242" t="s">
        <v>356</v>
      </c>
      <c r="N242" t="s">
        <v>37</v>
      </c>
      <c r="O242" s="6">
        <v>31000</v>
      </c>
      <c r="P242" s="2">
        <v>4000</v>
      </c>
      <c r="Q242" s="2">
        <v>4000</v>
      </c>
      <c r="R242" s="3">
        <v>46059</v>
      </c>
      <c r="S242" t="s">
        <v>38</v>
      </c>
      <c r="T242">
        <v>100</v>
      </c>
      <c r="U242" t="s">
        <v>1307</v>
      </c>
      <c r="V242" t="s">
        <v>40</v>
      </c>
      <c r="W242" t="s">
        <v>40</v>
      </c>
      <c r="X242" t="s">
        <v>40</v>
      </c>
      <c r="Y242" t="s">
        <v>1308</v>
      </c>
      <c r="Z242" s="5" t="s">
        <v>42</v>
      </c>
    </row>
    <row r="243" spans="1:26" ht="13.8" customHeight="1" x14ac:dyDescent="0.3">
      <c r="A243" s="1">
        <v>46059.636111111111</v>
      </c>
      <c r="B243" t="s">
        <v>1309</v>
      </c>
      <c r="C243" t="s">
        <v>1291</v>
      </c>
      <c r="D243" t="s">
        <v>1292</v>
      </c>
      <c r="E243" t="s">
        <v>1310</v>
      </c>
      <c r="F243" t="s">
        <v>372</v>
      </c>
      <c r="G243" t="s">
        <v>1276</v>
      </c>
      <c r="H243" t="s">
        <v>31</v>
      </c>
      <c r="I243" t="s">
        <v>32</v>
      </c>
      <c r="J243" t="s">
        <v>33</v>
      </c>
      <c r="K243" t="s">
        <v>990</v>
      </c>
      <c r="L243" t="s">
        <v>1311</v>
      </c>
      <c r="M243" t="s">
        <v>36</v>
      </c>
      <c r="N243" t="s">
        <v>37</v>
      </c>
      <c r="O243" s="6">
        <v>162000</v>
      </c>
      <c r="P243" s="2">
        <v>35536</v>
      </c>
      <c r="Q243" s="2">
        <v>35536</v>
      </c>
      <c r="R243" s="3">
        <v>46059</v>
      </c>
      <c r="S243" t="s">
        <v>38</v>
      </c>
      <c r="T243">
        <v>100</v>
      </c>
      <c r="U243" t="s">
        <v>1312</v>
      </c>
      <c r="V243" t="s">
        <v>40</v>
      </c>
      <c r="W243" t="s">
        <v>40</v>
      </c>
      <c r="X243" t="s">
        <v>40</v>
      </c>
      <c r="Y243" t="s">
        <v>1313</v>
      </c>
      <c r="Z243" s="5" t="s">
        <v>42</v>
      </c>
    </row>
    <row r="244" spans="1:26" ht="13.8" customHeight="1" x14ac:dyDescent="0.3">
      <c r="A244" t="s">
        <v>1314</v>
      </c>
      <c r="B244" t="s">
        <v>1315</v>
      </c>
      <c r="C244" t="s">
        <v>369</v>
      </c>
      <c r="D244" t="s">
        <v>370</v>
      </c>
      <c r="E244" t="s">
        <v>1316</v>
      </c>
      <c r="F244" t="s">
        <v>372</v>
      </c>
      <c r="G244" t="s">
        <v>1276</v>
      </c>
      <c r="H244" t="s">
        <v>31</v>
      </c>
      <c r="I244" t="s">
        <v>32</v>
      </c>
      <c r="J244" t="s">
        <v>33</v>
      </c>
      <c r="K244" t="s">
        <v>990</v>
      </c>
      <c r="L244" t="s">
        <v>999</v>
      </c>
      <c r="M244" t="s">
        <v>1000</v>
      </c>
      <c r="N244" t="s">
        <v>37</v>
      </c>
      <c r="O244" s="6">
        <v>147150</v>
      </c>
      <c r="P244" s="2">
        <v>28000</v>
      </c>
      <c r="Q244">
        <v>0</v>
      </c>
      <c r="R244" t="s">
        <v>1212</v>
      </c>
      <c r="S244" t="s">
        <v>38</v>
      </c>
      <c r="T244">
        <v>100</v>
      </c>
      <c r="U244" t="s">
        <v>1317</v>
      </c>
      <c r="V244" t="s">
        <v>40</v>
      </c>
      <c r="W244" t="s">
        <v>40</v>
      </c>
      <c r="X244" t="s">
        <v>40</v>
      </c>
      <c r="Y244" t="s">
        <v>1318</v>
      </c>
      <c r="Z244" s="5" t="s">
        <v>42</v>
      </c>
    </row>
    <row r="245" spans="1:26" ht="13.8" customHeight="1" x14ac:dyDescent="0.3">
      <c r="A245" s="1">
        <v>46207.529861111114</v>
      </c>
      <c r="B245" t="s">
        <v>1319</v>
      </c>
      <c r="C245" t="s">
        <v>651</v>
      </c>
      <c r="D245" t="s">
        <v>659</v>
      </c>
      <c r="E245" t="s">
        <v>1320</v>
      </c>
      <c r="F245" t="s">
        <v>654</v>
      </c>
      <c r="G245" t="s">
        <v>1321</v>
      </c>
      <c r="H245" t="s">
        <v>31</v>
      </c>
      <c r="I245" t="s">
        <v>32</v>
      </c>
      <c r="J245" t="s">
        <v>33</v>
      </c>
      <c r="K245" t="s">
        <v>990</v>
      </c>
      <c r="L245" t="s">
        <v>36</v>
      </c>
      <c r="M245" t="s">
        <v>326</v>
      </c>
      <c r="N245" t="s">
        <v>37</v>
      </c>
      <c r="O245" s="6">
        <v>800000</v>
      </c>
      <c r="P245" s="2">
        <v>10000</v>
      </c>
      <c r="Q245" s="2">
        <v>64000</v>
      </c>
      <c r="R245" s="3">
        <v>46207</v>
      </c>
      <c r="S245" t="s">
        <v>38</v>
      </c>
      <c r="T245">
        <v>100</v>
      </c>
      <c r="U245" t="s">
        <v>1322</v>
      </c>
      <c r="V245" t="s">
        <v>40</v>
      </c>
      <c r="W245" t="s">
        <v>40</v>
      </c>
      <c r="X245" t="s">
        <v>40</v>
      </c>
      <c r="Y245" t="s">
        <v>40</v>
      </c>
      <c r="Z245" s="5" t="s">
        <v>297</v>
      </c>
    </row>
    <row r="246" spans="1:26" ht="13.8" customHeight="1" x14ac:dyDescent="0.3">
      <c r="A246" t="s">
        <v>1323</v>
      </c>
      <c r="B246" t="s">
        <v>1324</v>
      </c>
      <c r="C246" t="s">
        <v>651</v>
      </c>
      <c r="D246" t="s">
        <v>659</v>
      </c>
      <c r="E246" t="s">
        <v>1325</v>
      </c>
      <c r="F246" t="s">
        <v>654</v>
      </c>
      <c r="G246" t="s">
        <v>1321</v>
      </c>
      <c r="H246" t="s">
        <v>31</v>
      </c>
      <c r="I246" t="s">
        <v>32</v>
      </c>
      <c r="J246" t="s">
        <v>33</v>
      </c>
      <c r="K246" t="s">
        <v>990</v>
      </c>
      <c r="L246" t="s">
        <v>1326</v>
      </c>
      <c r="M246" t="s">
        <v>36</v>
      </c>
      <c r="N246" t="s">
        <v>37</v>
      </c>
      <c r="O246" s="6">
        <v>10537500</v>
      </c>
      <c r="P246" s="2">
        <v>50000</v>
      </c>
      <c r="Q246" s="2">
        <v>1048500</v>
      </c>
      <c r="R246" t="s">
        <v>1327</v>
      </c>
      <c r="S246" t="s">
        <v>551</v>
      </c>
      <c r="T246">
        <v>50</v>
      </c>
      <c r="U246" t="s">
        <v>1328</v>
      </c>
      <c r="V246" t="s">
        <v>40</v>
      </c>
      <c r="W246" t="s">
        <v>40</v>
      </c>
      <c r="X246" t="s">
        <v>40</v>
      </c>
      <c r="Y246" t="s">
        <v>40</v>
      </c>
      <c r="Z246" s="5" t="s">
        <v>297</v>
      </c>
    </row>
    <row r="247" spans="1:26" ht="13.8" customHeight="1" x14ac:dyDescent="0.3">
      <c r="A247" t="s">
        <v>1329</v>
      </c>
      <c r="B247" t="s">
        <v>1330</v>
      </c>
      <c r="C247" t="s">
        <v>651</v>
      </c>
      <c r="D247" t="s">
        <v>659</v>
      </c>
      <c r="E247" t="s">
        <v>1325</v>
      </c>
      <c r="F247" t="s">
        <v>654</v>
      </c>
      <c r="G247" t="s">
        <v>1321</v>
      </c>
      <c r="H247" t="s">
        <v>31</v>
      </c>
      <c r="I247" t="s">
        <v>32</v>
      </c>
      <c r="J247" t="s">
        <v>33</v>
      </c>
      <c r="K247" t="s">
        <v>990</v>
      </c>
      <c r="L247" t="s">
        <v>1326</v>
      </c>
      <c r="M247" t="s">
        <v>36</v>
      </c>
      <c r="N247" t="s">
        <v>37</v>
      </c>
      <c r="O247" s="6">
        <v>16500</v>
      </c>
      <c r="P247" s="2">
        <v>5000</v>
      </c>
      <c r="Q247">
        <v>0</v>
      </c>
      <c r="R247" t="s">
        <v>1212</v>
      </c>
      <c r="S247" t="s">
        <v>38</v>
      </c>
      <c r="T247">
        <v>100</v>
      </c>
      <c r="U247" t="s">
        <v>40</v>
      </c>
      <c r="V247" t="s">
        <v>40</v>
      </c>
      <c r="W247" t="s">
        <v>40</v>
      </c>
      <c r="X247" t="s">
        <v>40</v>
      </c>
      <c r="Y247" t="s">
        <v>40</v>
      </c>
      <c r="Z247" s="5" t="s">
        <v>297</v>
      </c>
    </row>
    <row r="248" spans="1:26" ht="13.8" customHeight="1" x14ac:dyDescent="0.3">
      <c r="A248" t="s">
        <v>1331</v>
      </c>
      <c r="B248" t="s">
        <v>1332</v>
      </c>
      <c r="C248" t="s">
        <v>1333</v>
      </c>
      <c r="D248" t="s">
        <v>1334</v>
      </c>
      <c r="E248" t="s">
        <v>1335</v>
      </c>
      <c r="F248" t="s">
        <v>1246</v>
      </c>
      <c r="G248" t="s">
        <v>1336</v>
      </c>
      <c r="H248" t="s">
        <v>31</v>
      </c>
      <c r="I248" t="s">
        <v>32</v>
      </c>
      <c r="J248" t="s">
        <v>434</v>
      </c>
      <c r="K248" t="s">
        <v>990</v>
      </c>
      <c r="L248" t="s">
        <v>1051</v>
      </c>
      <c r="M248" t="s">
        <v>1058</v>
      </c>
      <c r="N248" t="s">
        <v>37</v>
      </c>
      <c r="O248" s="6">
        <v>659812.5</v>
      </c>
      <c r="P248" s="2">
        <v>52785</v>
      </c>
      <c r="Q248" s="2">
        <v>52785</v>
      </c>
      <c r="R248" s="3">
        <v>46057</v>
      </c>
      <c r="S248" t="s">
        <v>38</v>
      </c>
      <c r="T248">
        <v>10</v>
      </c>
      <c r="U248" t="s">
        <v>1337</v>
      </c>
      <c r="V248" t="s">
        <v>40</v>
      </c>
      <c r="W248" t="s">
        <v>40</v>
      </c>
      <c r="X248" t="s">
        <v>40</v>
      </c>
      <c r="Y248" t="s">
        <v>40</v>
      </c>
      <c r="Z248" s="5" t="s">
        <v>436</v>
      </c>
    </row>
    <row r="249" spans="1:26" ht="13.8" customHeight="1" x14ac:dyDescent="0.3">
      <c r="A249" s="1">
        <v>46207.619444444441</v>
      </c>
      <c r="B249" t="s">
        <v>1338</v>
      </c>
      <c r="C249" t="s">
        <v>1339</v>
      </c>
      <c r="D249" t="s">
        <v>1340</v>
      </c>
      <c r="E249" t="s">
        <v>1341</v>
      </c>
      <c r="F249" t="s">
        <v>1246</v>
      </c>
      <c r="G249" t="s">
        <v>1336</v>
      </c>
      <c r="H249" t="s">
        <v>31</v>
      </c>
      <c r="I249" t="s">
        <v>32</v>
      </c>
      <c r="J249" t="s">
        <v>434</v>
      </c>
      <c r="K249" t="s">
        <v>990</v>
      </c>
      <c r="L249" t="s">
        <v>1051</v>
      </c>
      <c r="M249" t="s">
        <v>1080</v>
      </c>
      <c r="N249" t="s">
        <v>37</v>
      </c>
      <c r="O249" s="6">
        <v>840000</v>
      </c>
      <c r="P249" s="2">
        <v>42000</v>
      </c>
      <c r="Q249" s="2">
        <v>42000</v>
      </c>
      <c r="R249" t="s">
        <v>565</v>
      </c>
      <c r="S249" t="s">
        <v>38</v>
      </c>
      <c r="T249">
        <v>10</v>
      </c>
      <c r="U249" t="s">
        <v>1342</v>
      </c>
      <c r="V249" t="s">
        <v>40</v>
      </c>
      <c r="W249" t="s">
        <v>40</v>
      </c>
      <c r="X249" t="s">
        <v>40</v>
      </c>
      <c r="Y249" t="s">
        <v>40</v>
      </c>
      <c r="Z249" s="5" t="s">
        <v>436</v>
      </c>
    </row>
    <row r="250" spans="1:26" ht="13.8" customHeight="1" x14ac:dyDescent="0.3">
      <c r="A250" s="1">
        <v>46269.692361111112</v>
      </c>
      <c r="B250" t="s">
        <v>1343</v>
      </c>
      <c r="C250" t="s">
        <v>1344</v>
      </c>
      <c r="D250" t="s">
        <v>1334</v>
      </c>
      <c r="E250" t="s">
        <v>1345</v>
      </c>
      <c r="F250" t="s">
        <v>1246</v>
      </c>
      <c r="G250" t="s">
        <v>1336</v>
      </c>
      <c r="H250" t="s">
        <v>31</v>
      </c>
      <c r="I250" t="s">
        <v>32</v>
      </c>
      <c r="J250" t="s">
        <v>434</v>
      </c>
      <c r="K250" t="s">
        <v>990</v>
      </c>
      <c r="L250" t="s">
        <v>1051</v>
      </c>
      <c r="M250" t="s">
        <v>1058</v>
      </c>
      <c r="N250" t="s">
        <v>37</v>
      </c>
      <c r="O250" s="6">
        <v>659812.5</v>
      </c>
      <c r="P250" s="2">
        <v>52785</v>
      </c>
      <c r="Q250" s="2">
        <v>52784.5</v>
      </c>
      <c r="R250" t="s">
        <v>876</v>
      </c>
      <c r="S250" t="s">
        <v>38</v>
      </c>
      <c r="T250">
        <v>10</v>
      </c>
      <c r="U250" t="s">
        <v>1346</v>
      </c>
      <c r="V250" t="s">
        <v>40</v>
      </c>
      <c r="W250" t="s">
        <v>40</v>
      </c>
      <c r="X250" t="s">
        <v>40</v>
      </c>
      <c r="Y250" t="s">
        <v>40</v>
      </c>
      <c r="Z250" s="5" t="s">
        <v>436</v>
      </c>
    </row>
    <row r="251" spans="1:26" ht="13.8" customHeight="1" x14ac:dyDescent="0.3">
      <c r="A251" t="s">
        <v>1347</v>
      </c>
      <c r="B251" t="s">
        <v>1348</v>
      </c>
      <c r="C251" t="s">
        <v>1349</v>
      </c>
      <c r="D251" t="s">
        <v>1350</v>
      </c>
      <c r="E251" t="s">
        <v>1351</v>
      </c>
      <c r="F251" t="s">
        <v>1246</v>
      </c>
      <c r="G251" t="s">
        <v>1336</v>
      </c>
      <c r="H251" t="s">
        <v>31</v>
      </c>
      <c r="I251" t="s">
        <v>32</v>
      </c>
      <c r="J251" t="s">
        <v>434</v>
      </c>
      <c r="K251" t="s">
        <v>990</v>
      </c>
      <c r="L251" t="s">
        <v>1051</v>
      </c>
      <c r="M251" t="s">
        <v>1080</v>
      </c>
      <c r="N251" t="s">
        <v>37</v>
      </c>
      <c r="O251" s="6">
        <v>501000</v>
      </c>
      <c r="P251" s="2">
        <v>25050</v>
      </c>
      <c r="Q251" s="2">
        <v>25050</v>
      </c>
      <c r="R251" t="s">
        <v>565</v>
      </c>
      <c r="S251" t="s">
        <v>38</v>
      </c>
      <c r="T251">
        <v>100</v>
      </c>
      <c r="U251" t="s">
        <v>1352</v>
      </c>
      <c r="V251" t="s">
        <v>40</v>
      </c>
      <c r="W251" t="s">
        <v>40</v>
      </c>
      <c r="X251" t="s">
        <v>40</v>
      </c>
      <c r="Y251" t="s">
        <v>40</v>
      </c>
      <c r="Z251" s="5" t="s">
        <v>436</v>
      </c>
    </row>
    <row r="252" spans="1:26" ht="13.8" customHeight="1" x14ac:dyDescent="0.3">
      <c r="A252" t="s">
        <v>1353</v>
      </c>
      <c r="B252" t="s">
        <v>1354</v>
      </c>
      <c r="C252" t="s">
        <v>1355</v>
      </c>
      <c r="D252" t="s">
        <v>1356</v>
      </c>
      <c r="E252" t="s">
        <v>1357</v>
      </c>
      <c r="F252" t="s">
        <v>1246</v>
      </c>
      <c r="G252" t="s">
        <v>1336</v>
      </c>
      <c r="H252" t="s">
        <v>31</v>
      </c>
      <c r="I252" t="s">
        <v>32</v>
      </c>
      <c r="J252" t="s">
        <v>434</v>
      </c>
      <c r="K252" t="s">
        <v>990</v>
      </c>
      <c r="L252" t="s">
        <v>1193</v>
      </c>
      <c r="M252" t="s">
        <v>36</v>
      </c>
      <c r="N252" t="s">
        <v>37</v>
      </c>
      <c r="O252" s="6">
        <v>286651</v>
      </c>
      <c r="P252" s="2">
        <v>39642.75</v>
      </c>
      <c r="Q252" s="2">
        <v>25006</v>
      </c>
      <c r="R252" s="3">
        <v>46331</v>
      </c>
      <c r="S252" t="s">
        <v>38</v>
      </c>
      <c r="T252">
        <v>10</v>
      </c>
      <c r="U252" t="s">
        <v>1358</v>
      </c>
      <c r="V252" t="s">
        <v>40</v>
      </c>
      <c r="W252" t="s">
        <v>40</v>
      </c>
      <c r="X252" t="s">
        <v>40</v>
      </c>
      <c r="Y252" t="s">
        <v>40</v>
      </c>
      <c r="Z252" s="5" t="s">
        <v>436</v>
      </c>
    </row>
    <row r="253" spans="1:26" ht="13.8" customHeight="1" x14ac:dyDescent="0.3">
      <c r="A253" t="s">
        <v>1359</v>
      </c>
      <c r="B253" t="s">
        <v>1360</v>
      </c>
      <c r="C253" t="s">
        <v>1361</v>
      </c>
      <c r="D253" t="s">
        <v>1362</v>
      </c>
      <c r="E253" t="s">
        <v>1363</v>
      </c>
      <c r="F253" t="s">
        <v>1246</v>
      </c>
      <c r="G253" t="s">
        <v>1336</v>
      </c>
      <c r="H253" t="s">
        <v>31</v>
      </c>
      <c r="I253" t="s">
        <v>32</v>
      </c>
      <c r="J253" t="s">
        <v>434</v>
      </c>
      <c r="K253" t="s">
        <v>990</v>
      </c>
      <c r="L253" t="s">
        <v>1193</v>
      </c>
      <c r="M253" t="s">
        <v>1052</v>
      </c>
      <c r="N253" t="s">
        <v>37</v>
      </c>
      <c r="O253" s="6">
        <v>9750</v>
      </c>
      <c r="P253" s="2">
        <v>10000</v>
      </c>
      <c r="Q253" s="2">
        <v>2405</v>
      </c>
      <c r="R253" s="3">
        <v>46147</v>
      </c>
      <c r="S253" t="s">
        <v>38</v>
      </c>
      <c r="T253">
        <v>10</v>
      </c>
      <c r="U253" t="s">
        <v>1364</v>
      </c>
      <c r="V253" t="s">
        <v>40</v>
      </c>
      <c r="W253" t="s">
        <v>40</v>
      </c>
      <c r="X253" t="s">
        <v>40</v>
      </c>
      <c r="Y253" t="s">
        <v>40</v>
      </c>
      <c r="Z253" s="5" t="s">
        <v>436</v>
      </c>
    </row>
    <row r="254" spans="1:26" ht="13.8" customHeight="1" x14ac:dyDescent="0.3">
      <c r="A254" s="1">
        <v>46117.65347222222</v>
      </c>
      <c r="B254" t="s">
        <v>1365</v>
      </c>
      <c r="C254" t="s">
        <v>1366</v>
      </c>
      <c r="D254" t="s">
        <v>1367</v>
      </c>
      <c r="E254" t="s">
        <v>1368</v>
      </c>
      <c r="F254" t="s">
        <v>1246</v>
      </c>
      <c r="G254" t="s">
        <v>1336</v>
      </c>
      <c r="H254" t="s">
        <v>31</v>
      </c>
      <c r="I254" t="s">
        <v>32</v>
      </c>
      <c r="J254" t="s">
        <v>434</v>
      </c>
      <c r="K254" t="s">
        <v>990</v>
      </c>
      <c r="L254" t="s">
        <v>1051</v>
      </c>
      <c r="M254" t="s">
        <v>356</v>
      </c>
      <c r="N254" t="s">
        <v>37</v>
      </c>
      <c r="O254" s="6">
        <v>371520</v>
      </c>
      <c r="P254" s="2">
        <v>269597.26</v>
      </c>
      <c r="Q254" s="2">
        <v>269147.26</v>
      </c>
      <c r="R254" s="3">
        <v>46117</v>
      </c>
      <c r="S254" t="s">
        <v>38</v>
      </c>
      <c r="T254">
        <v>10</v>
      </c>
      <c r="U254" t="s">
        <v>1369</v>
      </c>
      <c r="V254" t="s">
        <v>40</v>
      </c>
      <c r="W254" t="s">
        <v>40</v>
      </c>
      <c r="X254" t="s">
        <v>40</v>
      </c>
      <c r="Y254" t="s">
        <v>40</v>
      </c>
      <c r="Z254" s="5" t="s">
        <v>436</v>
      </c>
    </row>
    <row r="255" spans="1:26" ht="13.8" customHeight="1" x14ac:dyDescent="0.3">
      <c r="A255" s="1">
        <v>46361.520138888889</v>
      </c>
      <c r="B255" t="s">
        <v>1370</v>
      </c>
      <c r="C255" t="s">
        <v>1371</v>
      </c>
      <c r="D255" t="s">
        <v>1372</v>
      </c>
      <c r="E255" t="s">
        <v>1373</v>
      </c>
      <c r="F255" t="s">
        <v>1246</v>
      </c>
      <c r="G255" t="s">
        <v>1336</v>
      </c>
      <c r="H255" t="s">
        <v>31</v>
      </c>
      <c r="I255" t="s">
        <v>32</v>
      </c>
      <c r="J255" t="s">
        <v>434</v>
      </c>
      <c r="K255" t="s">
        <v>990</v>
      </c>
      <c r="L255" t="s">
        <v>1193</v>
      </c>
      <c r="M255" t="s">
        <v>1064</v>
      </c>
      <c r="N255" t="s">
        <v>37</v>
      </c>
      <c r="O255" s="6">
        <v>600000</v>
      </c>
      <c r="P255" s="2">
        <v>411432</v>
      </c>
      <c r="Q255">
        <v>0</v>
      </c>
      <c r="R255" s="3">
        <v>46148</v>
      </c>
      <c r="S255" t="s">
        <v>38</v>
      </c>
      <c r="T255">
        <v>10</v>
      </c>
      <c r="U255" t="s">
        <v>1374</v>
      </c>
      <c r="V255" t="s">
        <v>40</v>
      </c>
      <c r="W255" t="s">
        <v>40</v>
      </c>
      <c r="X255" t="s">
        <v>40</v>
      </c>
      <c r="Y255" t="s">
        <v>40</v>
      </c>
      <c r="Z255" s="5" t="s">
        <v>436</v>
      </c>
    </row>
    <row r="256" spans="1:26" ht="13.8" customHeight="1" x14ac:dyDescent="0.3">
      <c r="A256" s="1">
        <v>46087.530555555553</v>
      </c>
      <c r="B256" t="s">
        <v>1375</v>
      </c>
      <c r="C256" t="s">
        <v>1376</v>
      </c>
      <c r="D256" t="s">
        <v>1377</v>
      </c>
      <c r="E256" t="s">
        <v>1378</v>
      </c>
      <c r="F256" t="s">
        <v>1246</v>
      </c>
      <c r="G256" t="s">
        <v>1336</v>
      </c>
      <c r="H256" t="s">
        <v>31</v>
      </c>
      <c r="I256" t="s">
        <v>32</v>
      </c>
      <c r="J256" t="s">
        <v>434</v>
      </c>
      <c r="K256" t="s">
        <v>990</v>
      </c>
      <c r="L256" t="s">
        <v>1110</v>
      </c>
      <c r="M256" t="s">
        <v>1064</v>
      </c>
      <c r="N256" t="s">
        <v>37</v>
      </c>
      <c r="O256" s="6">
        <v>20617402</v>
      </c>
      <c r="P256" s="2">
        <v>1000870</v>
      </c>
      <c r="Q256">
        <v>0</v>
      </c>
      <c r="R256" t="s">
        <v>204</v>
      </c>
      <c r="S256" t="s">
        <v>38</v>
      </c>
      <c r="T256">
        <v>100</v>
      </c>
      <c r="U256" t="s">
        <v>40</v>
      </c>
      <c r="V256" t="s">
        <v>40</v>
      </c>
      <c r="W256" t="s">
        <v>40</v>
      </c>
      <c r="X256" t="s">
        <v>40</v>
      </c>
      <c r="Y256" t="s">
        <v>40</v>
      </c>
      <c r="Z256" s="5" t="s">
        <v>436</v>
      </c>
    </row>
    <row r="257" spans="1:26" ht="13.8" customHeight="1" x14ac:dyDescent="0.3">
      <c r="A257" s="1">
        <v>46087.604861111111</v>
      </c>
      <c r="B257" t="s">
        <v>1379</v>
      </c>
      <c r="C257" t="s">
        <v>1380</v>
      </c>
      <c r="D257" t="s">
        <v>1381</v>
      </c>
      <c r="E257" t="s">
        <v>1382</v>
      </c>
      <c r="F257" t="s">
        <v>1246</v>
      </c>
      <c r="G257" t="s">
        <v>1336</v>
      </c>
      <c r="H257" t="s">
        <v>31</v>
      </c>
      <c r="I257" t="s">
        <v>32</v>
      </c>
      <c r="J257" t="s">
        <v>434</v>
      </c>
      <c r="K257" t="s">
        <v>990</v>
      </c>
      <c r="L257" t="s">
        <v>1383</v>
      </c>
      <c r="M257" t="s">
        <v>1080</v>
      </c>
      <c r="N257" t="s">
        <v>37</v>
      </c>
      <c r="O257" s="6">
        <v>2611609.2000000002</v>
      </c>
      <c r="P257" s="2">
        <v>110580</v>
      </c>
      <c r="Q257" s="2">
        <v>130605.2</v>
      </c>
      <c r="R257" t="s">
        <v>204</v>
      </c>
      <c r="S257" t="s">
        <v>38</v>
      </c>
      <c r="T257">
        <v>100</v>
      </c>
      <c r="U257" t="s">
        <v>1384</v>
      </c>
      <c r="V257" t="s">
        <v>40</v>
      </c>
      <c r="W257" t="s">
        <v>40</v>
      </c>
      <c r="X257" t="s">
        <v>40</v>
      </c>
      <c r="Y257" t="s">
        <v>40</v>
      </c>
      <c r="Z257" s="5" t="s">
        <v>436</v>
      </c>
    </row>
    <row r="258" spans="1:26" ht="13.8" customHeight="1" x14ac:dyDescent="0.3">
      <c r="A258" s="1">
        <v>46271.511805555558</v>
      </c>
      <c r="B258" t="s">
        <v>1385</v>
      </c>
      <c r="C258" t="s">
        <v>1376</v>
      </c>
      <c r="D258" t="s">
        <v>1377</v>
      </c>
      <c r="E258" t="s">
        <v>1378</v>
      </c>
      <c r="F258" t="s">
        <v>1246</v>
      </c>
      <c r="G258" t="s">
        <v>1336</v>
      </c>
      <c r="H258" t="s">
        <v>31</v>
      </c>
      <c r="I258" t="s">
        <v>32</v>
      </c>
      <c r="J258" t="s">
        <v>434</v>
      </c>
      <c r="K258" t="s">
        <v>990</v>
      </c>
      <c r="L258" t="s">
        <v>1110</v>
      </c>
      <c r="M258" t="s">
        <v>1064</v>
      </c>
      <c r="N258" t="s">
        <v>37</v>
      </c>
      <c r="O258" s="6">
        <v>20617402</v>
      </c>
      <c r="P258" s="2">
        <v>1000870</v>
      </c>
      <c r="Q258">
        <v>0</v>
      </c>
      <c r="R258" t="s">
        <v>204</v>
      </c>
      <c r="S258" t="s">
        <v>38</v>
      </c>
      <c r="T258">
        <v>100</v>
      </c>
      <c r="U258" t="s">
        <v>40</v>
      </c>
      <c r="V258" t="s">
        <v>40</v>
      </c>
      <c r="W258" t="s">
        <v>40</v>
      </c>
      <c r="X258" t="s">
        <v>40</v>
      </c>
      <c r="Y258" t="s">
        <v>40</v>
      </c>
      <c r="Z258" s="5" t="s">
        <v>436</v>
      </c>
    </row>
    <row r="259" spans="1:26" ht="13.8" customHeight="1" x14ac:dyDescent="0.3">
      <c r="A259" t="s">
        <v>1386</v>
      </c>
      <c r="B259" t="s">
        <v>1387</v>
      </c>
      <c r="C259" t="s">
        <v>404</v>
      </c>
      <c r="D259" t="s">
        <v>405</v>
      </c>
      <c r="E259" t="s">
        <v>1388</v>
      </c>
      <c r="F259" t="s">
        <v>407</v>
      </c>
      <c r="G259" t="s">
        <v>1389</v>
      </c>
      <c r="H259" t="s">
        <v>31</v>
      </c>
      <c r="I259" t="s">
        <v>32</v>
      </c>
      <c r="J259" t="s">
        <v>998</v>
      </c>
      <c r="K259" t="s">
        <v>990</v>
      </c>
      <c r="L259" t="s">
        <v>1051</v>
      </c>
      <c r="M259" t="s">
        <v>36</v>
      </c>
      <c r="N259" t="s">
        <v>37</v>
      </c>
      <c r="O259" s="6">
        <v>33000000</v>
      </c>
      <c r="P259" s="2">
        <v>10000000</v>
      </c>
      <c r="Q259" s="2">
        <v>9088502</v>
      </c>
      <c r="R259" t="s">
        <v>535</v>
      </c>
      <c r="S259" t="s">
        <v>38</v>
      </c>
      <c r="T259">
        <v>100</v>
      </c>
      <c r="U259" t="s">
        <v>1390</v>
      </c>
      <c r="V259" t="s">
        <v>40</v>
      </c>
      <c r="W259" t="s">
        <v>40</v>
      </c>
      <c r="X259" t="s">
        <v>40</v>
      </c>
      <c r="Y259" s="4" t="s">
        <v>1391</v>
      </c>
      <c r="Z259" s="5" t="s">
        <v>246</v>
      </c>
    </row>
    <row r="260" spans="1:26" ht="13.8" customHeight="1" x14ac:dyDescent="0.3">
      <c r="A260" t="s">
        <v>1392</v>
      </c>
      <c r="B260" t="s">
        <v>1393</v>
      </c>
      <c r="C260" t="s">
        <v>1394</v>
      </c>
      <c r="D260" t="s">
        <v>1395</v>
      </c>
      <c r="E260" t="s">
        <v>1396</v>
      </c>
      <c r="F260" t="s">
        <v>441</v>
      </c>
      <c r="G260" t="s">
        <v>1397</v>
      </c>
      <c r="H260" t="s">
        <v>31</v>
      </c>
      <c r="I260" t="s">
        <v>32</v>
      </c>
      <c r="J260" t="s">
        <v>434</v>
      </c>
      <c r="K260" t="s">
        <v>990</v>
      </c>
      <c r="L260" t="s">
        <v>1166</v>
      </c>
      <c r="M260" t="s">
        <v>1398</v>
      </c>
      <c r="N260" t="s">
        <v>37</v>
      </c>
      <c r="O260" s="6">
        <v>150000</v>
      </c>
      <c r="P260" s="2">
        <v>20000</v>
      </c>
      <c r="Q260" s="2">
        <v>24600</v>
      </c>
      <c r="R260" t="s">
        <v>632</v>
      </c>
      <c r="S260" t="s">
        <v>38</v>
      </c>
      <c r="T260">
        <v>80</v>
      </c>
      <c r="U260" t="s">
        <v>1399</v>
      </c>
      <c r="V260" t="s">
        <v>40</v>
      </c>
      <c r="W260" t="s">
        <v>40</v>
      </c>
      <c r="X260" t="s">
        <v>40</v>
      </c>
      <c r="Y260" t="s">
        <v>1400</v>
      </c>
      <c r="Z260" s="5" t="s">
        <v>436</v>
      </c>
    </row>
    <row r="261" spans="1:26" ht="13.8" customHeight="1" x14ac:dyDescent="0.3">
      <c r="A261" t="s">
        <v>1401</v>
      </c>
      <c r="B261" t="s">
        <v>1402</v>
      </c>
      <c r="C261" t="s">
        <v>1403</v>
      </c>
      <c r="D261" t="s">
        <v>1404</v>
      </c>
      <c r="E261" t="s">
        <v>1405</v>
      </c>
      <c r="F261" t="s">
        <v>441</v>
      </c>
      <c r="G261" t="s">
        <v>1397</v>
      </c>
      <c r="H261" t="s">
        <v>31</v>
      </c>
      <c r="I261" t="s">
        <v>32</v>
      </c>
      <c r="J261" t="s">
        <v>434</v>
      </c>
      <c r="K261" t="s">
        <v>990</v>
      </c>
      <c r="L261" t="s">
        <v>991</v>
      </c>
      <c r="M261" t="s">
        <v>399</v>
      </c>
      <c r="N261" t="s">
        <v>37</v>
      </c>
      <c r="O261" s="6">
        <v>127119</v>
      </c>
      <c r="P261" s="2">
        <v>10000</v>
      </c>
      <c r="Q261" s="2">
        <v>72744</v>
      </c>
      <c r="R261" s="3">
        <v>46331</v>
      </c>
      <c r="S261" t="s">
        <v>38</v>
      </c>
      <c r="T261">
        <v>100</v>
      </c>
      <c r="U261" t="s">
        <v>1406</v>
      </c>
      <c r="V261" t="s">
        <v>40</v>
      </c>
      <c r="W261" t="s">
        <v>40</v>
      </c>
      <c r="X261" t="s">
        <v>40</v>
      </c>
      <c r="Y261" t="s">
        <v>40</v>
      </c>
      <c r="Z261" s="5" t="s">
        <v>436</v>
      </c>
    </row>
    <row r="262" spans="1:26" ht="13.8" customHeight="1" x14ac:dyDescent="0.3">
      <c r="A262" t="s">
        <v>1407</v>
      </c>
      <c r="B262" t="s">
        <v>1408</v>
      </c>
      <c r="C262" t="s">
        <v>1394</v>
      </c>
      <c r="D262" t="s">
        <v>1395</v>
      </c>
      <c r="E262" t="s">
        <v>1409</v>
      </c>
      <c r="F262" t="s">
        <v>441</v>
      </c>
      <c r="G262" t="s">
        <v>1397</v>
      </c>
      <c r="H262" t="s">
        <v>31</v>
      </c>
      <c r="I262" t="s">
        <v>32</v>
      </c>
      <c r="J262" t="s">
        <v>434</v>
      </c>
      <c r="K262" t="s">
        <v>990</v>
      </c>
      <c r="L262" t="s">
        <v>1410</v>
      </c>
      <c r="M262" t="s">
        <v>356</v>
      </c>
      <c r="N262" t="s">
        <v>37</v>
      </c>
      <c r="O262" s="6">
        <v>11000</v>
      </c>
      <c r="P262" s="2">
        <v>2500</v>
      </c>
      <c r="Q262">
        <v>0</v>
      </c>
      <c r="R262" s="3">
        <v>46362</v>
      </c>
      <c r="S262" t="s">
        <v>38</v>
      </c>
      <c r="T262">
        <v>90</v>
      </c>
      <c r="U262" t="s">
        <v>40</v>
      </c>
      <c r="V262" t="s">
        <v>40</v>
      </c>
      <c r="W262" t="s">
        <v>40</v>
      </c>
      <c r="X262" t="s">
        <v>40</v>
      </c>
      <c r="Y262" t="s">
        <v>40</v>
      </c>
      <c r="Z262" s="5" t="s">
        <v>436</v>
      </c>
    </row>
    <row r="263" spans="1:26" ht="13.8" customHeight="1" x14ac:dyDescent="0.3">
      <c r="A263" t="s">
        <v>1411</v>
      </c>
      <c r="B263" t="s">
        <v>1412</v>
      </c>
      <c r="C263" t="s">
        <v>1413</v>
      </c>
      <c r="D263" t="s">
        <v>1414</v>
      </c>
      <c r="E263" t="s">
        <v>1415</v>
      </c>
      <c r="F263" t="s">
        <v>441</v>
      </c>
      <c r="G263" t="s">
        <v>1397</v>
      </c>
      <c r="H263" t="s">
        <v>31</v>
      </c>
      <c r="I263" t="s">
        <v>32</v>
      </c>
      <c r="J263" t="s">
        <v>434</v>
      </c>
      <c r="K263" t="s">
        <v>990</v>
      </c>
      <c r="L263" t="s">
        <v>1410</v>
      </c>
      <c r="M263" t="s">
        <v>1000</v>
      </c>
      <c r="N263" t="s">
        <v>37</v>
      </c>
      <c r="O263" s="6">
        <v>38395</v>
      </c>
      <c r="P263" s="2">
        <v>5145</v>
      </c>
      <c r="Q263" s="2">
        <v>5145</v>
      </c>
      <c r="R263" t="s">
        <v>950</v>
      </c>
      <c r="S263" t="s">
        <v>38</v>
      </c>
      <c r="T263">
        <v>80</v>
      </c>
      <c r="U263" t="s">
        <v>1416</v>
      </c>
      <c r="V263" t="s">
        <v>40</v>
      </c>
      <c r="W263" t="s">
        <v>40</v>
      </c>
      <c r="X263" t="s">
        <v>40</v>
      </c>
      <c r="Y263" t="s">
        <v>40</v>
      </c>
      <c r="Z263" s="5" t="s">
        <v>436</v>
      </c>
    </row>
    <row r="264" spans="1:26" ht="13.8" customHeight="1" x14ac:dyDescent="0.3">
      <c r="A264" t="s">
        <v>1417</v>
      </c>
      <c r="B264" t="s">
        <v>1418</v>
      </c>
      <c r="C264" t="s">
        <v>1419</v>
      </c>
      <c r="D264" t="s">
        <v>1420</v>
      </c>
      <c r="E264" t="s">
        <v>1421</v>
      </c>
      <c r="F264" t="s">
        <v>1422</v>
      </c>
      <c r="G264" t="s">
        <v>1423</v>
      </c>
      <c r="H264" t="s">
        <v>31</v>
      </c>
      <c r="I264" t="s">
        <v>32</v>
      </c>
      <c r="J264" t="s">
        <v>33</v>
      </c>
      <c r="K264" t="s">
        <v>990</v>
      </c>
      <c r="L264" t="s">
        <v>1051</v>
      </c>
      <c r="M264" t="s">
        <v>36</v>
      </c>
      <c r="N264" t="s">
        <v>37</v>
      </c>
      <c r="O264" s="6">
        <v>5000000</v>
      </c>
      <c r="P264" s="2">
        <v>250000</v>
      </c>
      <c r="Q264" s="2">
        <v>250000</v>
      </c>
      <c r="R264" t="s">
        <v>341</v>
      </c>
      <c r="S264" t="s">
        <v>38</v>
      </c>
      <c r="T264">
        <v>100</v>
      </c>
      <c r="U264" t="s">
        <v>1424</v>
      </c>
      <c r="V264" t="s">
        <v>40</v>
      </c>
      <c r="W264" t="s">
        <v>40</v>
      </c>
      <c r="X264" t="s">
        <v>40</v>
      </c>
      <c r="Y264" t="s">
        <v>1425</v>
      </c>
      <c r="Z264" s="5" t="s">
        <v>31</v>
      </c>
    </row>
    <row r="265" spans="1:26" ht="13.8" customHeight="1" x14ac:dyDescent="0.3">
      <c r="A265" t="s">
        <v>1426</v>
      </c>
      <c r="B265" t="s">
        <v>1427</v>
      </c>
      <c r="C265" t="s">
        <v>360</v>
      </c>
      <c r="D265" t="s">
        <v>1123</v>
      </c>
      <c r="E265" t="s">
        <v>1428</v>
      </c>
      <c r="F265" t="s">
        <v>363</v>
      </c>
      <c r="G265" t="s">
        <v>363</v>
      </c>
      <c r="H265" t="s">
        <v>365</v>
      </c>
      <c r="I265" t="s">
        <v>363</v>
      </c>
      <c r="J265" t="s">
        <v>33</v>
      </c>
      <c r="K265" t="s">
        <v>34</v>
      </c>
      <c r="L265" t="s">
        <v>53</v>
      </c>
      <c r="M265" t="s">
        <v>65</v>
      </c>
      <c r="N265" t="s">
        <v>37</v>
      </c>
      <c r="O265" s="6">
        <v>740000</v>
      </c>
      <c r="P265" s="2">
        <v>46000</v>
      </c>
      <c r="Q265" s="2">
        <v>57200</v>
      </c>
      <c r="R265" t="s">
        <v>348</v>
      </c>
      <c r="S265" t="s">
        <v>38</v>
      </c>
      <c r="T265">
        <v>100</v>
      </c>
      <c r="U265" t="s">
        <v>1429</v>
      </c>
      <c r="V265" t="s">
        <v>40</v>
      </c>
      <c r="W265" t="s">
        <v>40</v>
      </c>
      <c r="X265" t="s">
        <v>40</v>
      </c>
      <c r="Y265" t="s">
        <v>40</v>
      </c>
      <c r="Z265" s="5" t="s">
        <v>225</v>
      </c>
    </row>
    <row r="266" spans="1:26" ht="13.8" customHeight="1" x14ac:dyDescent="0.3">
      <c r="A266" t="s">
        <v>1430</v>
      </c>
      <c r="B266" t="s">
        <v>1431</v>
      </c>
      <c r="C266" t="s">
        <v>1432</v>
      </c>
      <c r="D266" t="s">
        <v>1433</v>
      </c>
      <c r="E266" t="s">
        <v>1434</v>
      </c>
      <c r="F266" t="s">
        <v>372</v>
      </c>
      <c r="G266" t="s">
        <v>372</v>
      </c>
      <c r="H266" t="s">
        <v>31</v>
      </c>
      <c r="I266" t="s">
        <v>32</v>
      </c>
      <c r="J266" t="s">
        <v>33</v>
      </c>
      <c r="K266" t="s">
        <v>34</v>
      </c>
      <c r="L266" t="s">
        <v>35</v>
      </c>
      <c r="M266" t="s">
        <v>399</v>
      </c>
      <c r="N266" t="s">
        <v>37</v>
      </c>
      <c r="O266" s="6">
        <v>30800</v>
      </c>
      <c r="P266">
        <v>0</v>
      </c>
      <c r="Q266">
        <v>0</v>
      </c>
      <c r="R266" t="s">
        <v>876</v>
      </c>
      <c r="S266" t="s">
        <v>38</v>
      </c>
      <c r="T266">
        <v>100</v>
      </c>
      <c r="U266" t="s">
        <v>1435</v>
      </c>
      <c r="V266" t="s">
        <v>40</v>
      </c>
      <c r="W266" t="s">
        <v>40</v>
      </c>
      <c r="X266" t="s">
        <v>40</v>
      </c>
      <c r="Y266" s="4" t="s">
        <v>1436</v>
      </c>
      <c r="Z266" s="5" t="s">
        <v>42</v>
      </c>
    </row>
    <row r="267" spans="1:26" ht="13.8" customHeight="1" x14ac:dyDescent="0.3">
      <c r="A267" t="s">
        <v>1437</v>
      </c>
      <c r="B267" t="s">
        <v>1438</v>
      </c>
      <c r="C267" t="s">
        <v>1439</v>
      </c>
      <c r="D267" t="s">
        <v>1440</v>
      </c>
      <c r="E267" t="s">
        <v>1441</v>
      </c>
      <c r="F267" t="s">
        <v>372</v>
      </c>
      <c r="G267" t="s">
        <v>372</v>
      </c>
      <c r="H267" t="s">
        <v>31</v>
      </c>
      <c r="I267" t="s">
        <v>32</v>
      </c>
      <c r="J267" t="s">
        <v>33</v>
      </c>
      <c r="K267" t="s">
        <v>34</v>
      </c>
      <c r="L267" t="s">
        <v>1442</v>
      </c>
      <c r="M267" t="s">
        <v>65</v>
      </c>
      <c r="N267" t="s">
        <v>37</v>
      </c>
      <c r="O267" s="6">
        <v>128200</v>
      </c>
      <c r="P267" s="2">
        <v>10100</v>
      </c>
      <c r="Q267" s="2">
        <v>10100</v>
      </c>
      <c r="R267" t="s">
        <v>632</v>
      </c>
      <c r="S267" t="s">
        <v>38</v>
      </c>
      <c r="T267">
        <v>100</v>
      </c>
      <c r="U267" t="s">
        <v>1443</v>
      </c>
      <c r="V267" t="s">
        <v>40</v>
      </c>
      <c r="W267" t="s">
        <v>40</v>
      </c>
      <c r="X267" t="s">
        <v>40</v>
      </c>
      <c r="Y267" t="s">
        <v>1444</v>
      </c>
      <c r="Z267" s="5" t="s">
        <v>42</v>
      </c>
    </row>
    <row r="268" spans="1:26" ht="13.8" customHeight="1" x14ac:dyDescent="0.3">
      <c r="A268" t="s">
        <v>1445</v>
      </c>
      <c r="B268" t="s">
        <v>1446</v>
      </c>
      <c r="C268" t="s">
        <v>1432</v>
      </c>
      <c r="D268" t="s">
        <v>1433</v>
      </c>
      <c r="E268" t="s">
        <v>1447</v>
      </c>
      <c r="F268" t="s">
        <v>372</v>
      </c>
      <c r="G268" t="s">
        <v>372</v>
      </c>
      <c r="H268" t="s">
        <v>31</v>
      </c>
      <c r="I268" t="s">
        <v>32</v>
      </c>
      <c r="J268" t="s">
        <v>33</v>
      </c>
      <c r="K268" t="s">
        <v>34</v>
      </c>
      <c r="L268" t="s">
        <v>35</v>
      </c>
      <c r="M268" t="s">
        <v>399</v>
      </c>
      <c r="N268" t="s">
        <v>37</v>
      </c>
      <c r="O268" s="6">
        <v>147500</v>
      </c>
      <c r="P268" s="2">
        <v>10000</v>
      </c>
      <c r="Q268" s="2">
        <v>10000</v>
      </c>
      <c r="R268" t="s">
        <v>876</v>
      </c>
      <c r="S268" t="s">
        <v>38</v>
      </c>
      <c r="T268">
        <v>100</v>
      </c>
      <c r="U268" t="s">
        <v>1448</v>
      </c>
      <c r="V268" t="s">
        <v>40</v>
      </c>
      <c r="W268" t="s">
        <v>40</v>
      </c>
      <c r="X268" t="s">
        <v>40</v>
      </c>
      <c r="Y268" t="s">
        <v>1449</v>
      </c>
      <c r="Z268" s="5" t="s">
        <v>42</v>
      </c>
    </row>
    <row r="269" spans="1:26" ht="13.8" customHeight="1" x14ac:dyDescent="0.3">
      <c r="A269" t="s">
        <v>1450</v>
      </c>
      <c r="B269" t="s">
        <v>1451</v>
      </c>
      <c r="C269" t="s">
        <v>1439</v>
      </c>
      <c r="D269" t="s">
        <v>1440</v>
      </c>
      <c r="E269" t="s">
        <v>1452</v>
      </c>
      <c r="F269" t="s">
        <v>372</v>
      </c>
      <c r="G269" t="s">
        <v>372</v>
      </c>
      <c r="H269" t="s">
        <v>31</v>
      </c>
      <c r="I269" t="s">
        <v>32</v>
      </c>
      <c r="J269" t="s">
        <v>33</v>
      </c>
      <c r="K269" t="s">
        <v>34</v>
      </c>
      <c r="L269" t="s">
        <v>1442</v>
      </c>
      <c r="M269" t="s">
        <v>65</v>
      </c>
      <c r="N269" t="s">
        <v>37</v>
      </c>
      <c r="O269" s="6">
        <v>128200</v>
      </c>
      <c r="P269" s="2">
        <v>10100</v>
      </c>
      <c r="Q269" s="2">
        <v>10100</v>
      </c>
      <c r="R269" t="s">
        <v>1042</v>
      </c>
      <c r="S269" t="s">
        <v>38</v>
      </c>
      <c r="T269">
        <v>100</v>
      </c>
      <c r="U269" t="s">
        <v>1453</v>
      </c>
      <c r="V269" t="s">
        <v>40</v>
      </c>
      <c r="W269" t="s">
        <v>40</v>
      </c>
      <c r="X269" t="s">
        <v>40</v>
      </c>
      <c r="Y269" t="s">
        <v>1454</v>
      </c>
      <c r="Z269" s="5" t="s">
        <v>42</v>
      </c>
    </row>
    <row r="270" spans="1:26" ht="13.8" customHeight="1" x14ac:dyDescent="0.3">
      <c r="A270" t="s">
        <v>1455</v>
      </c>
      <c r="B270" t="s">
        <v>1456</v>
      </c>
      <c r="C270" t="s">
        <v>1432</v>
      </c>
      <c r="D270" t="s">
        <v>1433</v>
      </c>
      <c r="E270" t="s">
        <v>1457</v>
      </c>
      <c r="F270" t="s">
        <v>372</v>
      </c>
      <c r="G270" t="s">
        <v>372</v>
      </c>
      <c r="H270" t="s">
        <v>31</v>
      </c>
      <c r="I270" t="s">
        <v>32</v>
      </c>
      <c r="J270" t="s">
        <v>33</v>
      </c>
      <c r="K270" t="s">
        <v>34</v>
      </c>
      <c r="L270" t="s">
        <v>35</v>
      </c>
      <c r="M270" t="s">
        <v>36</v>
      </c>
      <c r="N270" t="s">
        <v>37</v>
      </c>
      <c r="O270" s="6">
        <v>6950</v>
      </c>
      <c r="P270">
        <v>700</v>
      </c>
      <c r="Q270">
        <v>700</v>
      </c>
      <c r="R270" t="s">
        <v>1226</v>
      </c>
      <c r="S270" t="s">
        <v>38</v>
      </c>
      <c r="T270">
        <v>100</v>
      </c>
      <c r="U270" t="s">
        <v>1458</v>
      </c>
      <c r="V270" t="s">
        <v>40</v>
      </c>
      <c r="W270" t="s">
        <v>40</v>
      </c>
      <c r="X270" t="s">
        <v>40</v>
      </c>
      <c r="Y270" t="s">
        <v>1459</v>
      </c>
      <c r="Z270" s="5" t="s">
        <v>42</v>
      </c>
    </row>
    <row r="271" spans="1:26" ht="13.8" customHeight="1" x14ac:dyDescent="0.3">
      <c r="A271" s="1">
        <v>46147.468055555553</v>
      </c>
      <c r="B271" t="s">
        <v>1460</v>
      </c>
      <c r="C271" t="s">
        <v>1461</v>
      </c>
      <c r="D271" t="s">
        <v>1462</v>
      </c>
      <c r="E271" t="s">
        <v>1463</v>
      </c>
      <c r="F271" t="s">
        <v>372</v>
      </c>
      <c r="G271" t="s">
        <v>372</v>
      </c>
      <c r="H271" t="s">
        <v>31</v>
      </c>
      <c r="I271" t="s">
        <v>32</v>
      </c>
      <c r="J271" t="s">
        <v>33</v>
      </c>
      <c r="K271" t="s">
        <v>34</v>
      </c>
      <c r="L271" t="s">
        <v>1442</v>
      </c>
      <c r="M271" t="s">
        <v>399</v>
      </c>
      <c r="N271" t="s">
        <v>37</v>
      </c>
      <c r="O271" s="6">
        <v>1717500</v>
      </c>
      <c r="P271" s="2">
        <v>44375</v>
      </c>
      <c r="Q271" s="2">
        <v>44375</v>
      </c>
      <c r="R271" s="3">
        <v>46178</v>
      </c>
      <c r="S271" t="s">
        <v>38</v>
      </c>
      <c r="T271">
        <v>100</v>
      </c>
      <c r="U271" t="s">
        <v>1464</v>
      </c>
      <c r="V271" t="s">
        <v>40</v>
      </c>
      <c r="W271" t="s">
        <v>40</v>
      </c>
      <c r="X271" t="s">
        <v>40</v>
      </c>
      <c r="Y271" t="s">
        <v>1465</v>
      </c>
      <c r="Z271" s="5" t="s">
        <v>42</v>
      </c>
    </row>
    <row r="272" spans="1:26" ht="13.8" customHeight="1" x14ac:dyDescent="0.3">
      <c r="A272" s="1">
        <v>46147.661111111112</v>
      </c>
      <c r="B272" t="s">
        <v>1466</v>
      </c>
      <c r="C272" t="s">
        <v>1467</v>
      </c>
      <c r="D272" t="s">
        <v>1468</v>
      </c>
      <c r="E272" t="s">
        <v>1463</v>
      </c>
      <c r="F272" t="s">
        <v>372</v>
      </c>
      <c r="G272" t="s">
        <v>372</v>
      </c>
      <c r="H272" t="s">
        <v>31</v>
      </c>
      <c r="I272" t="s">
        <v>32</v>
      </c>
      <c r="J272" t="s">
        <v>33</v>
      </c>
      <c r="K272" t="s">
        <v>34</v>
      </c>
      <c r="L272" t="s">
        <v>1442</v>
      </c>
      <c r="M272" t="s">
        <v>399</v>
      </c>
      <c r="N272" t="s">
        <v>37</v>
      </c>
      <c r="O272" s="6">
        <v>1717500</v>
      </c>
      <c r="P272" s="2">
        <v>44375</v>
      </c>
      <c r="Q272" s="2">
        <v>44375</v>
      </c>
      <c r="R272" s="3">
        <v>46178</v>
      </c>
      <c r="S272" t="s">
        <v>38</v>
      </c>
      <c r="T272">
        <v>100</v>
      </c>
      <c r="U272" t="s">
        <v>1469</v>
      </c>
      <c r="V272" t="s">
        <v>40</v>
      </c>
      <c r="W272" t="s">
        <v>40</v>
      </c>
      <c r="X272" t="s">
        <v>40</v>
      </c>
      <c r="Y272" t="s">
        <v>1470</v>
      </c>
      <c r="Z272" s="5" t="s">
        <v>42</v>
      </c>
    </row>
    <row r="273" spans="1:26" ht="13.8" customHeight="1" x14ac:dyDescent="0.3">
      <c r="A273" s="1">
        <v>46147.756944444445</v>
      </c>
      <c r="B273" t="s">
        <v>1471</v>
      </c>
      <c r="C273" t="s">
        <v>369</v>
      </c>
      <c r="D273" t="s">
        <v>370</v>
      </c>
      <c r="E273" t="s">
        <v>1472</v>
      </c>
      <c r="F273" t="s">
        <v>372</v>
      </c>
      <c r="G273" t="s">
        <v>372</v>
      </c>
      <c r="H273" t="s">
        <v>31</v>
      </c>
      <c r="I273" t="s">
        <v>32</v>
      </c>
      <c r="J273" t="s">
        <v>33</v>
      </c>
      <c r="K273" t="s">
        <v>34</v>
      </c>
      <c r="L273" t="s">
        <v>1473</v>
      </c>
      <c r="M273" t="s">
        <v>36</v>
      </c>
      <c r="N273" t="s">
        <v>37</v>
      </c>
      <c r="O273" s="6">
        <v>70000</v>
      </c>
      <c r="P273" s="2">
        <v>8269.52</v>
      </c>
      <c r="Q273" s="2">
        <v>8400</v>
      </c>
      <c r="R273" s="3">
        <v>46178</v>
      </c>
      <c r="S273" t="s">
        <v>38</v>
      </c>
      <c r="T273">
        <v>100</v>
      </c>
      <c r="U273" t="s">
        <v>1474</v>
      </c>
      <c r="V273" t="s">
        <v>40</v>
      </c>
      <c r="W273" t="s">
        <v>40</v>
      </c>
      <c r="X273" t="s">
        <v>40</v>
      </c>
      <c r="Y273" t="s">
        <v>1475</v>
      </c>
      <c r="Z273" s="5" t="s">
        <v>42</v>
      </c>
    </row>
    <row r="274" spans="1:26" ht="13.8" customHeight="1" x14ac:dyDescent="0.3">
      <c r="A274" s="1">
        <v>46208.526388888888</v>
      </c>
      <c r="B274" t="s">
        <v>1476</v>
      </c>
      <c r="C274" t="s">
        <v>1432</v>
      </c>
      <c r="D274" t="s">
        <v>1433</v>
      </c>
      <c r="E274" t="s">
        <v>1477</v>
      </c>
      <c r="F274" t="s">
        <v>372</v>
      </c>
      <c r="G274" t="s">
        <v>372</v>
      </c>
      <c r="H274" t="s">
        <v>31</v>
      </c>
      <c r="I274" t="s">
        <v>32</v>
      </c>
      <c r="J274" t="s">
        <v>33</v>
      </c>
      <c r="K274" t="s">
        <v>34</v>
      </c>
      <c r="L274" t="s">
        <v>35</v>
      </c>
      <c r="M274" t="s">
        <v>326</v>
      </c>
      <c r="N274" t="s">
        <v>37</v>
      </c>
      <c r="O274" s="6">
        <v>230000</v>
      </c>
      <c r="P274" s="2">
        <v>15400</v>
      </c>
      <c r="Q274" s="2">
        <v>18600</v>
      </c>
      <c r="R274" s="3">
        <v>46361</v>
      </c>
      <c r="S274" t="s">
        <v>38</v>
      </c>
      <c r="T274">
        <v>100</v>
      </c>
      <c r="U274" t="s">
        <v>1478</v>
      </c>
      <c r="V274" t="s">
        <v>40</v>
      </c>
      <c r="W274" t="s">
        <v>40</v>
      </c>
      <c r="X274" t="s">
        <v>40</v>
      </c>
      <c r="Y274" t="s">
        <v>1479</v>
      </c>
      <c r="Z274" s="5" t="s">
        <v>42</v>
      </c>
    </row>
    <row r="275" spans="1:26" ht="13.8" customHeight="1" x14ac:dyDescent="0.3">
      <c r="A275" s="1">
        <v>46208.52847222222</v>
      </c>
      <c r="B275" t="s">
        <v>1480</v>
      </c>
      <c r="C275" t="s">
        <v>1432</v>
      </c>
      <c r="D275" t="s">
        <v>1433</v>
      </c>
      <c r="E275" t="s">
        <v>1481</v>
      </c>
      <c r="F275" t="s">
        <v>372</v>
      </c>
      <c r="G275" t="s">
        <v>372</v>
      </c>
      <c r="H275" t="s">
        <v>31</v>
      </c>
      <c r="I275" t="s">
        <v>32</v>
      </c>
      <c r="J275" t="s">
        <v>33</v>
      </c>
      <c r="K275" t="s">
        <v>34</v>
      </c>
      <c r="L275" t="s">
        <v>466</v>
      </c>
      <c r="M275" t="s">
        <v>1482</v>
      </c>
      <c r="N275" t="s">
        <v>37</v>
      </c>
      <c r="O275" s="6">
        <v>317678</v>
      </c>
      <c r="P275" s="2">
        <v>28000</v>
      </c>
      <c r="Q275" s="2">
        <v>27200.04</v>
      </c>
      <c r="R275" t="s">
        <v>494</v>
      </c>
      <c r="S275" t="s">
        <v>38</v>
      </c>
      <c r="T275">
        <v>100</v>
      </c>
      <c r="U275" t="s">
        <v>1483</v>
      </c>
      <c r="V275" t="s">
        <v>40</v>
      </c>
      <c r="W275" t="s">
        <v>40</v>
      </c>
      <c r="X275" t="s">
        <v>40</v>
      </c>
      <c r="Y275" t="s">
        <v>1484</v>
      </c>
      <c r="Z275" s="5" t="s">
        <v>42</v>
      </c>
    </row>
    <row r="276" spans="1:26" ht="13.8" customHeight="1" x14ac:dyDescent="0.3">
      <c r="A276" s="1">
        <v>46331.429166666669</v>
      </c>
      <c r="B276" t="s">
        <v>1485</v>
      </c>
      <c r="C276" t="s">
        <v>369</v>
      </c>
      <c r="D276" t="s">
        <v>370</v>
      </c>
      <c r="E276" t="s">
        <v>1486</v>
      </c>
      <c r="F276" t="s">
        <v>372</v>
      </c>
      <c r="G276" t="s">
        <v>372</v>
      </c>
      <c r="H276" t="s">
        <v>31</v>
      </c>
      <c r="I276" t="s">
        <v>32</v>
      </c>
      <c r="J276" t="s">
        <v>33</v>
      </c>
      <c r="K276" t="s">
        <v>34</v>
      </c>
      <c r="L276" t="s">
        <v>35</v>
      </c>
      <c r="M276" t="s">
        <v>36</v>
      </c>
      <c r="N276" t="s">
        <v>37</v>
      </c>
      <c r="O276" s="6">
        <v>101350</v>
      </c>
      <c r="P276" s="2">
        <v>3200</v>
      </c>
      <c r="Q276" s="2">
        <v>4300</v>
      </c>
      <c r="R276" t="s">
        <v>494</v>
      </c>
      <c r="S276" t="s">
        <v>38</v>
      </c>
      <c r="T276">
        <v>100</v>
      </c>
      <c r="U276" t="s">
        <v>1487</v>
      </c>
      <c r="V276" t="s">
        <v>40</v>
      </c>
      <c r="W276" t="s">
        <v>40</v>
      </c>
      <c r="X276" t="s">
        <v>40</v>
      </c>
      <c r="Y276" t="s">
        <v>1488</v>
      </c>
      <c r="Z276" s="5" t="s">
        <v>42</v>
      </c>
    </row>
    <row r="277" spans="1:26" ht="13.8" customHeight="1" x14ac:dyDescent="0.3">
      <c r="A277" t="s">
        <v>1489</v>
      </c>
      <c r="B277" t="s">
        <v>1490</v>
      </c>
      <c r="C277" t="s">
        <v>1491</v>
      </c>
      <c r="D277" t="s">
        <v>1492</v>
      </c>
      <c r="E277" t="s">
        <v>1493</v>
      </c>
      <c r="F277" t="s">
        <v>372</v>
      </c>
      <c r="G277" t="s">
        <v>372</v>
      </c>
      <c r="H277" t="s">
        <v>31</v>
      </c>
      <c r="I277" t="s">
        <v>32</v>
      </c>
      <c r="J277" t="s">
        <v>33</v>
      </c>
      <c r="K277" t="s">
        <v>34</v>
      </c>
      <c r="L277" t="s">
        <v>1442</v>
      </c>
      <c r="M277" t="s">
        <v>36</v>
      </c>
      <c r="N277" t="s">
        <v>37</v>
      </c>
      <c r="O277" s="6">
        <v>336000</v>
      </c>
      <c r="P277" s="2">
        <v>13600</v>
      </c>
      <c r="Q277" s="2">
        <v>13600</v>
      </c>
      <c r="R277" t="s">
        <v>736</v>
      </c>
      <c r="S277" t="s">
        <v>38</v>
      </c>
      <c r="T277">
        <v>100</v>
      </c>
      <c r="U277" t="s">
        <v>1494</v>
      </c>
      <c r="V277" t="s">
        <v>40</v>
      </c>
      <c r="W277" t="s">
        <v>40</v>
      </c>
      <c r="X277" t="s">
        <v>40</v>
      </c>
      <c r="Y277" t="s">
        <v>1495</v>
      </c>
      <c r="Z277" s="5" t="s">
        <v>42</v>
      </c>
    </row>
    <row r="278" spans="1:26" ht="13.8" customHeight="1" x14ac:dyDescent="0.3">
      <c r="A278" t="s">
        <v>1496</v>
      </c>
      <c r="B278" t="s">
        <v>1497</v>
      </c>
      <c r="C278" t="s">
        <v>1491</v>
      </c>
      <c r="D278" t="s">
        <v>1492</v>
      </c>
      <c r="E278" t="s">
        <v>1493</v>
      </c>
      <c r="F278" t="s">
        <v>372</v>
      </c>
      <c r="G278" t="s">
        <v>372</v>
      </c>
      <c r="H278" t="s">
        <v>31</v>
      </c>
      <c r="I278" t="s">
        <v>32</v>
      </c>
      <c r="J278" t="s">
        <v>33</v>
      </c>
      <c r="K278" t="s">
        <v>34</v>
      </c>
      <c r="L278" t="s">
        <v>1442</v>
      </c>
      <c r="M278" t="s">
        <v>36</v>
      </c>
      <c r="N278" t="s">
        <v>37</v>
      </c>
      <c r="O278" s="6">
        <v>84000</v>
      </c>
      <c r="P278" s="2">
        <v>3400</v>
      </c>
      <c r="Q278" s="2">
        <v>3400</v>
      </c>
      <c r="R278" t="s">
        <v>736</v>
      </c>
      <c r="S278" t="s">
        <v>38</v>
      </c>
      <c r="T278">
        <v>100</v>
      </c>
      <c r="U278" t="s">
        <v>1498</v>
      </c>
      <c r="V278" t="s">
        <v>40</v>
      </c>
      <c r="W278" t="s">
        <v>40</v>
      </c>
      <c r="X278" t="s">
        <v>40</v>
      </c>
      <c r="Y278" t="s">
        <v>1499</v>
      </c>
      <c r="Z278" s="5" t="s">
        <v>42</v>
      </c>
    </row>
    <row r="279" spans="1:26" ht="13.8" customHeight="1" x14ac:dyDescent="0.3">
      <c r="A279" t="s">
        <v>1500</v>
      </c>
      <c r="B279" t="s">
        <v>1501</v>
      </c>
      <c r="C279" t="s">
        <v>369</v>
      </c>
      <c r="D279" t="s">
        <v>370</v>
      </c>
      <c r="E279" t="s">
        <v>1502</v>
      </c>
      <c r="F279" t="s">
        <v>372</v>
      </c>
      <c r="G279" t="s">
        <v>372</v>
      </c>
      <c r="H279" t="s">
        <v>31</v>
      </c>
      <c r="I279" t="s">
        <v>32</v>
      </c>
      <c r="J279" t="s">
        <v>33</v>
      </c>
      <c r="K279" t="s">
        <v>34</v>
      </c>
      <c r="L279" t="s">
        <v>35</v>
      </c>
      <c r="M279" t="s">
        <v>490</v>
      </c>
      <c r="N279" t="s">
        <v>37</v>
      </c>
      <c r="O279" s="6">
        <v>46000</v>
      </c>
      <c r="P279" s="2">
        <v>16127.15</v>
      </c>
      <c r="Q279" s="2">
        <v>16127.1</v>
      </c>
      <c r="R279" t="s">
        <v>913</v>
      </c>
      <c r="S279" t="s">
        <v>38</v>
      </c>
      <c r="T279">
        <v>100</v>
      </c>
      <c r="U279" t="s">
        <v>1503</v>
      </c>
      <c r="V279" t="s">
        <v>40</v>
      </c>
      <c r="W279" t="s">
        <v>40</v>
      </c>
      <c r="X279" t="s">
        <v>40</v>
      </c>
      <c r="Y279" t="s">
        <v>1504</v>
      </c>
      <c r="Z279" s="5" t="s">
        <v>42</v>
      </c>
    </row>
    <row r="280" spans="1:26" ht="13.8" customHeight="1" x14ac:dyDescent="0.3">
      <c r="A280" t="s">
        <v>1505</v>
      </c>
      <c r="B280" t="s">
        <v>1506</v>
      </c>
      <c r="C280" t="s">
        <v>369</v>
      </c>
      <c r="D280" t="s">
        <v>370</v>
      </c>
      <c r="E280" t="s">
        <v>1507</v>
      </c>
      <c r="F280" t="s">
        <v>372</v>
      </c>
      <c r="G280" t="s">
        <v>372</v>
      </c>
      <c r="H280" t="s">
        <v>31</v>
      </c>
      <c r="I280" t="s">
        <v>32</v>
      </c>
      <c r="J280" t="s">
        <v>33</v>
      </c>
      <c r="K280" t="s">
        <v>34</v>
      </c>
      <c r="L280" t="s">
        <v>1473</v>
      </c>
      <c r="M280" t="s">
        <v>490</v>
      </c>
      <c r="N280" t="s">
        <v>37</v>
      </c>
      <c r="O280" s="6">
        <v>36000</v>
      </c>
      <c r="P280" s="2">
        <v>7000</v>
      </c>
      <c r="Q280" s="2">
        <v>7000</v>
      </c>
      <c r="R280" t="s">
        <v>950</v>
      </c>
      <c r="S280" t="s">
        <v>38</v>
      </c>
      <c r="T280">
        <v>100</v>
      </c>
      <c r="U280" t="s">
        <v>1508</v>
      </c>
      <c r="V280" t="s">
        <v>40</v>
      </c>
      <c r="W280" t="s">
        <v>40</v>
      </c>
      <c r="X280" t="s">
        <v>40</v>
      </c>
      <c r="Y280" t="s">
        <v>1509</v>
      </c>
      <c r="Z280" s="5" t="s">
        <v>42</v>
      </c>
    </row>
    <row r="281" spans="1:26" ht="13.8" customHeight="1" x14ac:dyDescent="0.3">
      <c r="A281" s="1">
        <v>46059.638194444444</v>
      </c>
      <c r="B281" t="s">
        <v>1510</v>
      </c>
      <c r="C281" t="s">
        <v>1291</v>
      </c>
      <c r="D281" t="s">
        <v>1292</v>
      </c>
      <c r="E281" t="s">
        <v>1511</v>
      </c>
      <c r="F281" t="s">
        <v>372</v>
      </c>
      <c r="G281" t="s">
        <v>372</v>
      </c>
      <c r="H281" t="s">
        <v>31</v>
      </c>
      <c r="I281" t="s">
        <v>32</v>
      </c>
      <c r="J281" t="s">
        <v>33</v>
      </c>
      <c r="K281" t="s">
        <v>34</v>
      </c>
      <c r="L281" t="s">
        <v>35</v>
      </c>
      <c r="M281" t="s">
        <v>326</v>
      </c>
      <c r="N281" t="s">
        <v>37</v>
      </c>
      <c r="O281" s="6">
        <v>36000</v>
      </c>
      <c r="P281" s="2">
        <v>3810</v>
      </c>
      <c r="Q281" s="2">
        <v>4290</v>
      </c>
      <c r="R281" s="3">
        <v>46059</v>
      </c>
      <c r="S281" t="s">
        <v>38</v>
      </c>
      <c r="T281">
        <v>100</v>
      </c>
      <c r="U281" t="s">
        <v>1512</v>
      </c>
      <c r="V281" t="s">
        <v>40</v>
      </c>
      <c r="W281" t="s">
        <v>40</v>
      </c>
      <c r="X281" t="s">
        <v>40</v>
      </c>
      <c r="Y281" t="s">
        <v>1513</v>
      </c>
      <c r="Z281" s="5" t="s">
        <v>42</v>
      </c>
    </row>
    <row r="282" spans="1:26" ht="13.8" customHeight="1" x14ac:dyDescent="0.3">
      <c r="A282" s="1">
        <v>46301.695138888892</v>
      </c>
      <c r="B282" t="s">
        <v>1514</v>
      </c>
      <c r="C282" t="s">
        <v>1515</v>
      </c>
      <c r="D282" t="s">
        <v>1516</v>
      </c>
      <c r="E282" t="s">
        <v>1517</v>
      </c>
      <c r="F282" t="s">
        <v>372</v>
      </c>
      <c r="G282" t="s">
        <v>372</v>
      </c>
      <c r="H282" t="s">
        <v>31</v>
      </c>
      <c r="I282" t="s">
        <v>32</v>
      </c>
      <c r="J282" t="s">
        <v>33</v>
      </c>
      <c r="K282" t="s">
        <v>34</v>
      </c>
      <c r="L282" t="s">
        <v>466</v>
      </c>
      <c r="M282" t="s">
        <v>399</v>
      </c>
      <c r="N282" t="s">
        <v>37</v>
      </c>
      <c r="O282" s="6">
        <v>321000</v>
      </c>
      <c r="P282" s="2">
        <v>12000</v>
      </c>
      <c r="Q282" s="2">
        <v>12000</v>
      </c>
      <c r="R282" s="3">
        <v>46301</v>
      </c>
      <c r="S282" t="s">
        <v>38</v>
      </c>
      <c r="T282">
        <v>100</v>
      </c>
      <c r="U282" t="s">
        <v>1518</v>
      </c>
      <c r="V282" t="s">
        <v>40</v>
      </c>
      <c r="W282" t="s">
        <v>40</v>
      </c>
      <c r="X282" t="s">
        <v>40</v>
      </c>
      <c r="Y282" t="s">
        <v>1519</v>
      </c>
      <c r="Z282" s="5" t="s">
        <v>42</v>
      </c>
    </row>
    <row r="283" spans="1:26" ht="13.8" customHeight="1" x14ac:dyDescent="0.3">
      <c r="A283" s="1">
        <v>46332.383333333331</v>
      </c>
      <c r="B283" t="s">
        <v>1520</v>
      </c>
      <c r="C283" t="s">
        <v>1521</v>
      </c>
      <c r="D283" t="s">
        <v>1522</v>
      </c>
      <c r="E283" t="s">
        <v>1523</v>
      </c>
      <c r="F283" t="s">
        <v>372</v>
      </c>
      <c r="G283" t="s">
        <v>372</v>
      </c>
      <c r="H283" t="s">
        <v>31</v>
      </c>
      <c r="I283" t="s">
        <v>32</v>
      </c>
      <c r="J283" t="s">
        <v>33</v>
      </c>
      <c r="K283" t="s">
        <v>34</v>
      </c>
      <c r="L283" t="s">
        <v>35</v>
      </c>
      <c r="M283" t="s">
        <v>399</v>
      </c>
      <c r="N283" t="s">
        <v>37</v>
      </c>
      <c r="O283" s="6">
        <v>2112000</v>
      </c>
      <c r="P283" s="2">
        <v>112000</v>
      </c>
      <c r="Q283" s="2">
        <v>112000</v>
      </c>
      <c r="R283" s="3">
        <v>46332</v>
      </c>
      <c r="S283" t="s">
        <v>38</v>
      </c>
      <c r="T283">
        <v>100</v>
      </c>
      <c r="U283" t="s">
        <v>1524</v>
      </c>
      <c r="V283" t="s">
        <v>40</v>
      </c>
      <c r="W283" t="s">
        <v>40</v>
      </c>
      <c r="X283" t="s">
        <v>40</v>
      </c>
      <c r="Y283" t="s">
        <v>1525</v>
      </c>
      <c r="Z283" s="5" t="s">
        <v>42</v>
      </c>
    </row>
    <row r="284" spans="1:26" ht="13.8" customHeight="1" x14ac:dyDescent="0.3">
      <c r="A284" t="s">
        <v>1526</v>
      </c>
      <c r="B284" t="s">
        <v>1527</v>
      </c>
      <c r="C284" t="s">
        <v>369</v>
      </c>
      <c r="D284" t="s">
        <v>370</v>
      </c>
      <c r="E284" t="s">
        <v>1528</v>
      </c>
      <c r="F284" t="s">
        <v>372</v>
      </c>
      <c r="G284" t="s">
        <v>372</v>
      </c>
      <c r="H284" t="s">
        <v>31</v>
      </c>
      <c r="I284" t="s">
        <v>32</v>
      </c>
      <c r="J284" t="s">
        <v>33</v>
      </c>
      <c r="K284" t="s">
        <v>34</v>
      </c>
      <c r="L284" t="s">
        <v>1442</v>
      </c>
      <c r="M284" t="s">
        <v>54</v>
      </c>
      <c r="N284" t="s">
        <v>37</v>
      </c>
      <c r="O284" s="6">
        <v>111300</v>
      </c>
      <c r="P284" s="2">
        <v>9850</v>
      </c>
      <c r="Q284" s="2">
        <v>10300</v>
      </c>
      <c r="R284" t="s">
        <v>1529</v>
      </c>
      <c r="S284" t="s">
        <v>38</v>
      </c>
      <c r="T284">
        <v>100</v>
      </c>
      <c r="U284" t="s">
        <v>1530</v>
      </c>
      <c r="V284" t="s">
        <v>40</v>
      </c>
      <c r="W284" t="s">
        <v>40</v>
      </c>
      <c r="X284" t="s">
        <v>40</v>
      </c>
      <c r="Y284" t="s">
        <v>1531</v>
      </c>
      <c r="Z284" s="5" t="s">
        <v>42</v>
      </c>
    </row>
    <row r="285" spans="1:26" ht="13.8" customHeight="1" x14ac:dyDescent="0.3">
      <c r="A285" t="s">
        <v>1532</v>
      </c>
      <c r="B285" t="s">
        <v>1533</v>
      </c>
      <c r="C285" t="s">
        <v>369</v>
      </c>
      <c r="D285" t="s">
        <v>370</v>
      </c>
      <c r="E285" t="s">
        <v>1534</v>
      </c>
      <c r="F285" t="s">
        <v>372</v>
      </c>
      <c r="G285" t="s">
        <v>372</v>
      </c>
      <c r="H285" t="s">
        <v>31</v>
      </c>
      <c r="I285" t="s">
        <v>32</v>
      </c>
      <c r="J285" t="s">
        <v>33</v>
      </c>
      <c r="K285" t="s">
        <v>34</v>
      </c>
      <c r="L285" t="s">
        <v>35</v>
      </c>
      <c r="M285" t="s">
        <v>36</v>
      </c>
      <c r="N285" t="s">
        <v>37</v>
      </c>
      <c r="O285" s="6">
        <v>30000</v>
      </c>
      <c r="P285" s="2">
        <v>1000</v>
      </c>
      <c r="Q285" s="2">
        <v>1000</v>
      </c>
      <c r="R285" t="s">
        <v>1529</v>
      </c>
      <c r="S285" t="s">
        <v>38</v>
      </c>
      <c r="T285">
        <v>100</v>
      </c>
      <c r="U285" t="s">
        <v>1535</v>
      </c>
      <c r="V285" t="s">
        <v>40</v>
      </c>
      <c r="W285" t="s">
        <v>40</v>
      </c>
      <c r="X285" t="s">
        <v>40</v>
      </c>
      <c r="Y285" t="s">
        <v>1536</v>
      </c>
      <c r="Z285" s="5" t="s">
        <v>42</v>
      </c>
    </row>
    <row r="286" spans="1:26" ht="13.8" customHeight="1" x14ac:dyDescent="0.3">
      <c r="A286" t="s">
        <v>1537</v>
      </c>
      <c r="B286" t="s">
        <v>1538</v>
      </c>
      <c r="C286" t="s">
        <v>369</v>
      </c>
      <c r="D286" t="s">
        <v>370</v>
      </c>
      <c r="E286" t="s">
        <v>1539</v>
      </c>
      <c r="F286" t="s">
        <v>372</v>
      </c>
      <c r="G286" t="s">
        <v>372</v>
      </c>
      <c r="H286" t="s">
        <v>31</v>
      </c>
      <c r="I286" t="s">
        <v>32</v>
      </c>
      <c r="J286" t="s">
        <v>33</v>
      </c>
      <c r="K286" t="s">
        <v>34</v>
      </c>
      <c r="L286" t="s">
        <v>1442</v>
      </c>
      <c r="M286" t="s">
        <v>399</v>
      </c>
      <c r="N286" t="s">
        <v>37</v>
      </c>
      <c r="O286" s="6">
        <v>118800</v>
      </c>
      <c r="P286" s="2">
        <v>9000</v>
      </c>
      <c r="Q286" s="2">
        <v>9800</v>
      </c>
      <c r="R286" t="s">
        <v>327</v>
      </c>
      <c r="S286" t="s">
        <v>38</v>
      </c>
      <c r="T286">
        <v>100</v>
      </c>
      <c r="U286" t="s">
        <v>1540</v>
      </c>
      <c r="V286" t="s">
        <v>40</v>
      </c>
      <c r="W286" t="s">
        <v>40</v>
      </c>
      <c r="X286" t="s">
        <v>40</v>
      </c>
      <c r="Y286" t="s">
        <v>1541</v>
      </c>
      <c r="Z286" s="5" t="s">
        <v>42</v>
      </c>
    </row>
    <row r="287" spans="1:26" ht="13.8" customHeight="1" x14ac:dyDescent="0.3">
      <c r="A287" t="s">
        <v>1542</v>
      </c>
      <c r="B287" t="s">
        <v>1543</v>
      </c>
      <c r="C287" t="s">
        <v>369</v>
      </c>
      <c r="D287" t="s">
        <v>370</v>
      </c>
      <c r="E287" t="s">
        <v>1539</v>
      </c>
      <c r="F287" t="s">
        <v>372</v>
      </c>
      <c r="G287" t="s">
        <v>372</v>
      </c>
      <c r="H287" t="s">
        <v>31</v>
      </c>
      <c r="I287" t="s">
        <v>32</v>
      </c>
      <c r="J287" t="s">
        <v>33</v>
      </c>
      <c r="K287" t="s">
        <v>34</v>
      </c>
      <c r="L287" t="s">
        <v>1442</v>
      </c>
      <c r="M287" t="s">
        <v>399</v>
      </c>
      <c r="N287" t="s">
        <v>37</v>
      </c>
      <c r="O287" s="6">
        <v>744000</v>
      </c>
      <c r="P287" s="2">
        <v>63000</v>
      </c>
      <c r="Q287" s="2">
        <v>63000</v>
      </c>
      <c r="R287" t="s">
        <v>724</v>
      </c>
      <c r="S287" t="s">
        <v>38</v>
      </c>
      <c r="T287">
        <v>100</v>
      </c>
      <c r="U287" t="s">
        <v>1544</v>
      </c>
      <c r="V287" t="s">
        <v>40</v>
      </c>
      <c r="W287" t="s">
        <v>40</v>
      </c>
      <c r="X287" t="s">
        <v>40</v>
      </c>
      <c r="Y287" t="s">
        <v>1545</v>
      </c>
      <c r="Z287" s="5" t="s">
        <v>42</v>
      </c>
    </row>
    <row r="288" spans="1:26" ht="13.8" customHeight="1" x14ac:dyDescent="0.3">
      <c r="A288" t="s">
        <v>1546</v>
      </c>
      <c r="B288" t="s">
        <v>1547</v>
      </c>
      <c r="C288" t="s">
        <v>369</v>
      </c>
      <c r="D288" t="s">
        <v>370</v>
      </c>
      <c r="E288" t="s">
        <v>1548</v>
      </c>
      <c r="F288" t="s">
        <v>372</v>
      </c>
      <c r="G288" t="s">
        <v>372</v>
      </c>
      <c r="H288" t="s">
        <v>31</v>
      </c>
      <c r="I288" t="s">
        <v>32</v>
      </c>
      <c r="J288" t="s">
        <v>33</v>
      </c>
      <c r="K288" t="s">
        <v>34</v>
      </c>
      <c r="L288" t="s">
        <v>35</v>
      </c>
      <c r="M288" t="s">
        <v>36</v>
      </c>
      <c r="N288" t="s">
        <v>37</v>
      </c>
      <c r="O288" s="6">
        <v>250000</v>
      </c>
      <c r="P288" s="2">
        <v>25000</v>
      </c>
      <c r="Q288" s="2">
        <v>37500</v>
      </c>
      <c r="R288" t="s">
        <v>724</v>
      </c>
      <c r="S288" t="s">
        <v>38</v>
      </c>
      <c r="T288">
        <v>100</v>
      </c>
      <c r="U288" t="s">
        <v>1549</v>
      </c>
      <c r="V288" t="s">
        <v>40</v>
      </c>
      <c r="W288" t="s">
        <v>40</v>
      </c>
      <c r="X288" t="s">
        <v>40</v>
      </c>
      <c r="Y288" t="s">
        <v>1550</v>
      </c>
      <c r="Z288" s="5" t="s">
        <v>42</v>
      </c>
    </row>
    <row r="289" spans="1:26" ht="13.8" customHeight="1" x14ac:dyDescent="0.3">
      <c r="A289" t="s">
        <v>1551</v>
      </c>
      <c r="B289" t="s">
        <v>1552</v>
      </c>
      <c r="C289" t="s">
        <v>369</v>
      </c>
      <c r="D289" t="s">
        <v>370</v>
      </c>
      <c r="E289" t="s">
        <v>1553</v>
      </c>
      <c r="F289" t="s">
        <v>372</v>
      </c>
      <c r="G289" t="s">
        <v>372</v>
      </c>
      <c r="H289" t="s">
        <v>31</v>
      </c>
      <c r="I289" t="s">
        <v>32</v>
      </c>
      <c r="J289" t="s">
        <v>33</v>
      </c>
      <c r="K289" t="s">
        <v>34</v>
      </c>
      <c r="L289" t="s">
        <v>1442</v>
      </c>
      <c r="M289" t="s">
        <v>54</v>
      </c>
      <c r="N289" t="s">
        <v>37</v>
      </c>
      <c r="O289" s="6">
        <v>93250</v>
      </c>
      <c r="P289" s="2">
        <v>3750</v>
      </c>
      <c r="Q289" s="2">
        <v>3750</v>
      </c>
      <c r="R289" t="s">
        <v>1212</v>
      </c>
      <c r="S289" t="s">
        <v>38</v>
      </c>
      <c r="T289">
        <v>100</v>
      </c>
      <c r="U289" t="s">
        <v>1554</v>
      </c>
      <c r="V289" t="s">
        <v>40</v>
      </c>
      <c r="W289" t="s">
        <v>40</v>
      </c>
      <c r="X289" t="s">
        <v>40</v>
      </c>
      <c r="Y289" t="s">
        <v>1555</v>
      </c>
      <c r="Z289" s="5" t="s">
        <v>42</v>
      </c>
    </row>
    <row r="290" spans="1:26" ht="13.8" customHeight="1" x14ac:dyDescent="0.3">
      <c r="A290" t="s">
        <v>1556</v>
      </c>
      <c r="B290" t="s">
        <v>1557</v>
      </c>
      <c r="C290" t="s">
        <v>1558</v>
      </c>
      <c r="D290" t="s">
        <v>1559</v>
      </c>
      <c r="E290" t="s">
        <v>1560</v>
      </c>
      <c r="F290" t="s">
        <v>597</v>
      </c>
      <c r="G290" t="s">
        <v>1561</v>
      </c>
      <c r="H290" t="s">
        <v>31</v>
      </c>
      <c r="I290" t="s">
        <v>32</v>
      </c>
      <c r="J290" t="s">
        <v>597</v>
      </c>
      <c r="K290" t="s">
        <v>556</v>
      </c>
      <c r="L290" t="s">
        <v>1562</v>
      </c>
      <c r="M290" t="s">
        <v>36</v>
      </c>
      <c r="N290" t="s">
        <v>37</v>
      </c>
      <c r="O290" s="6">
        <v>5250</v>
      </c>
      <c r="P290" s="2">
        <v>4000</v>
      </c>
      <c r="Q290" s="2">
        <v>4000</v>
      </c>
      <c r="R290" t="s">
        <v>263</v>
      </c>
      <c r="S290" t="s">
        <v>38</v>
      </c>
      <c r="T290">
        <v>100</v>
      </c>
      <c r="U290" t="s">
        <v>1563</v>
      </c>
      <c r="V290" t="s">
        <v>40</v>
      </c>
      <c r="W290" t="s">
        <v>40</v>
      </c>
      <c r="X290" t="s">
        <v>40</v>
      </c>
      <c r="Y290" t="s">
        <v>40</v>
      </c>
      <c r="Z290" s="5" t="s">
        <v>1564</v>
      </c>
    </row>
    <row r="291" spans="1:26" ht="13.8" customHeight="1" x14ac:dyDescent="0.3">
      <c r="A291" s="1">
        <v>46087.504166666666</v>
      </c>
      <c r="B291" t="s">
        <v>1565</v>
      </c>
      <c r="C291" t="s">
        <v>1558</v>
      </c>
      <c r="D291" t="s">
        <v>1559</v>
      </c>
      <c r="E291" t="s">
        <v>1560</v>
      </c>
      <c r="F291" t="s">
        <v>597</v>
      </c>
      <c r="G291" t="s">
        <v>1561</v>
      </c>
      <c r="H291" t="s">
        <v>31</v>
      </c>
      <c r="I291" t="s">
        <v>32</v>
      </c>
      <c r="J291" t="s">
        <v>597</v>
      </c>
      <c r="K291" t="s">
        <v>556</v>
      </c>
      <c r="L291" t="s">
        <v>1562</v>
      </c>
      <c r="M291" t="s">
        <v>36</v>
      </c>
      <c r="N291" t="s">
        <v>37</v>
      </c>
      <c r="O291" s="6">
        <v>5400</v>
      </c>
      <c r="P291" s="2">
        <v>4500</v>
      </c>
      <c r="Q291">
        <v>0</v>
      </c>
      <c r="R291" s="3">
        <v>46087</v>
      </c>
      <c r="S291" t="s">
        <v>38</v>
      </c>
      <c r="T291">
        <v>100</v>
      </c>
      <c r="U291" t="s">
        <v>40</v>
      </c>
      <c r="V291" t="s">
        <v>40</v>
      </c>
      <c r="W291" t="s">
        <v>40</v>
      </c>
      <c r="X291" t="s">
        <v>40</v>
      </c>
      <c r="Y291" t="s">
        <v>40</v>
      </c>
      <c r="Z291" s="5" t="s">
        <v>1564</v>
      </c>
    </row>
    <row r="292" spans="1:26" ht="13.8" customHeight="1" x14ac:dyDescent="0.3">
      <c r="A292" t="s">
        <v>1566</v>
      </c>
      <c r="B292" t="s">
        <v>1567</v>
      </c>
      <c r="C292" t="s">
        <v>569</v>
      </c>
      <c r="D292" t="s">
        <v>570</v>
      </c>
      <c r="E292" t="s">
        <v>1568</v>
      </c>
      <c r="F292" t="s">
        <v>597</v>
      </c>
      <c r="G292" t="s">
        <v>1561</v>
      </c>
      <c r="H292" t="s">
        <v>31</v>
      </c>
      <c r="I292" t="s">
        <v>32</v>
      </c>
      <c r="J292" t="s">
        <v>661</v>
      </c>
      <c r="K292" t="s">
        <v>556</v>
      </c>
      <c r="L292" t="s">
        <v>1562</v>
      </c>
      <c r="M292" t="s">
        <v>36</v>
      </c>
      <c r="N292" t="s">
        <v>37</v>
      </c>
      <c r="O292" s="6">
        <v>4830</v>
      </c>
      <c r="P292" s="2">
        <v>4830</v>
      </c>
      <c r="Q292" s="2">
        <v>3905</v>
      </c>
      <c r="R292" t="s">
        <v>692</v>
      </c>
      <c r="S292" t="s">
        <v>38</v>
      </c>
      <c r="T292">
        <v>100</v>
      </c>
      <c r="U292" t="s">
        <v>1569</v>
      </c>
      <c r="V292" t="s">
        <v>40</v>
      </c>
      <c r="W292" t="s">
        <v>40</v>
      </c>
      <c r="X292" t="s">
        <v>40</v>
      </c>
      <c r="Y292" t="s">
        <v>40</v>
      </c>
      <c r="Z292" s="5" t="s">
        <v>1564</v>
      </c>
    </row>
    <row r="293" spans="1:26" ht="13.8" customHeight="1" x14ac:dyDescent="0.3">
      <c r="A293" t="s">
        <v>1570</v>
      </c>
      <c r="B293" t="s">
        <v>1571</v>
      </c>
      <c r="C293" t="s">
        <v>1572</v>
      </c>
      <c r="D293" t="s">
        <v>1573</v>
      </c>
      <c r="E293" t="s">
        <v>1574</v>
      </c>
      <c r="F293" t="s">
        <v>1210</v>
      </c>
      <c r="G293" t="s">
        <v>1575</v>
      </c>
      <c r="H293" t="s">
        <v>31</v>
      </c>
      <c r="I293" t="s">
        <v>32</v>
      </c>
      <c r="J293" t="s">
        <v>656</v>
      </c>
      <c r="K293" t="s">
        <v>244</v>
      </c>
      <c r="L293" t="s">
        <v>244</v>
      </c>
      <c r="M293" t="s">
        <v>36</v>
      </c>
      <c r="N293" t="s">
        <v>37</v>
      </c>
      <c r="O293" s="6">
        <v>32000</v>
      </c>
      <c r="P293" s="2">
        <v>7000</v>
      </c>
      <c r="Q293" s="2">
        <v>7000</v>
      </c>
      <c r="R293" t="s">
        <v>913</v>
      </c>
      <c r="S293" t="s">
        <v>38</v>
      </c>
      <c r="T293">
        <v>100</v>
      </c>
      <c r="U293" t="s">
        <v>1576</v>
      </c>
      <c r="V293" t="s">
        <v>40</v>
      </c>
      <c r="W293" t="s">
        <v>40</v>
      </c>
      <c r="X293" t="s">
        <v>40</v>
      </c>
      <c r="Y293" t="s">
        <v>1577</v>
      </c>
      <c r="Z293" s="5" t="s">
        <v>1213</v>
      </c>
    </row>
    <row r="294" spans="1:26" ht="13.8" customHeight="1" x14ac:dyDescent="0.3">
      <c r="A294" s="1">
        <v>46057.652777777781</v>
      </c>
      <c r="B294" t="s">
        <v>1578</v>
      </c>
      <c r="C294" t="s">
        <v>521</v>
      </c>
      <c r="D294" t="s">
        <v>522</v>
      </c>
      <c r="E294" t="s">
        <v>1579</v>
      </c>
      <c r="F294" t="s">
        <v>515</v>
      </c>
      <c r="G294" t="s">
        <v>1580</v>
      </c>
      <c r="H294" t="s">
        <v>31</v>
      </c>
      <c r="I294" t="s">
        <v>32</v>
      </c>
      <c r="J294" t="s">
        <v>1011</v>
      </c>
      <c r="K294" t="s">
        <v>34</v>
      </c>
      <c r="L294" t="s">
        <v>466</v>
      </c>
      <c r="M294" t="s">
        <v>65</v>
      </c>
      <c r="N294" t="s">
        <v>37</v>
      </c>
      <c r="O294" s="6">
        <v>846144</v>
      </c>
      <c r="P294" s="2">
        <v>60144</v>
      </c>
      <c r="Q294" s="2">
        <v>60144</v>
      </c>
      <c r="R294" s="3">
        <v>46057</v>
      </c>
      <c r="S294" t="s">
        <v>38</v>
      </c>
      <c r="T294">
        <v>100</v>
      </c>
      <c r="U294" t="s">
        <v>1581</v>
      </c>
      <c r="V294" t="s">
        <v>40</v>
      </c>
      <c r="W294" t="s">
        <v>40</v>
      </c>
      <c r="X294" t="s">
        <v>40</v>
      </c>
      <c r="Y294" t="s">
        <v>1582</v>
      </c>
      <c r="Z294" s="5" t="s">
        <v>518</v>
      </c>
    </row>
    <row r="295" spans="1:26" ht="13.8" customHeight="1" x14ac:dyDescent="0.3">
      <c r="A295" s="1">
        <v>46057.663194444445</v>
      </c>
      <c r="B295" t="s">
        <v>1583</v>
      </c>
      <c r="C295" t="s">
        <v>521</v>
      </c>
      <c r="D295" t="s">
        <v>522</v>
      </c>
      <c r="E295" t="s">
        <v>1584</v>
      </c>
      <c r="F295" t="s">
        <v>515</v>
      </c>
      <c r="G295" t="s">
        <v>1580</v>
      </c>
      <c r="H295" t="s">
        <v>31</v>
      </c>
      <c r="I295" t="s">
        <v>32</v>
      </c>
      <c r="J295" t="s">
        <v>1011</v>
      </c>
      <c r="K295" t="s">
        <v>34</v>
      </c>
      <c r="L295" t="s">
        <v>466</v>
      </c>
      <c r="M295" t="s">
        <v>65</v>
      </c>
      <c r="N295" t="s">
        <v>37</v>
      </c>
      <c r="O295" s="6">
        <v>846144</v>
      </c>
      <c r="P295" s="2">
        <v>60144</v>
      </c>
      <c r="Q295" s="2">
        <v>60144</v>
      </c>
      <c r="R295" s="3">
        <v>46057</v>
      </c>
      <c r="S295" t="s">
        <v>38</v>
      </c>
      <c r="T295">
        <v>100</v>
      </c>
      <c r="U295" t="s">
        <v>1585</v>
      </c>
      <c r="V295" t="s">
        <v>40</v>
      </c>
      <c r="W295" t="s">
        <v>40</v>
      </c>
      <c r="X295" t="s">
        <v>40</v>
      </c>
      <c r="Y295" t="s">
        <v>1582</v>
      </c>
      <c r="Z295" s="5" t="s">
        <v>518</v>
      </c>
    </row>
    <row r="296" spans="1:26" ht="13.8" customHeight="1" x14ac:dyDescent="0.3">
      <c r="A296" s="1">
        <v>46057.674305555556</v>
      </c>
      <c r="B296" t="s">
        <v>1586</v>
      </c>
      <c r="C296" t="s">
        <v>521</v>
      </c>
      <c r="D296" t="s">
        <v>522</v>
      </c>
      <c r="E296" t="s">
        <v>1587</v>
      </c>
      <c r="F296" t="s">
        <v>515</v>
      </c>
      <c r="G296" t="s">
        <v>1580</v>
      </c>
      <c r="H296" t="s">
        <v>31</v>
      </c>
      <c r="I296" t="s">
        <v>32</v>
      </c>
      <c r="J296" t="s">
        <v>1011</v>
      </c>
      <c r="K296" t="s">
        <v>34</v>
      </c>
      <c r="L296" t="s">
        <v>466</v>
      </c>
      <c r="M296" t="s">
        <v>65</v>
      </c>
      <c r="N296" t="s">
        <v>37</v>
      </c>
      <c r="O296" s="6">
        <v>634608</v>
      </c>
      <c r="P296" s="2">
        <v>45108</v>
      </c>
      <c r="Q296" s="2">
        <v>45108</v>
      </c>
      <c r="R296" s="3">
        <v>46057</v>
      </c>
      <c r="S296" t="s">
        <v>38</v>
      </c>
      <c r="T296">
        <v>100</v>
      </c>
      <c r="U296" t="s">
        <v>1588</v>
      </c>
      <c r="V296" t="s">
        <v>40</v>
      </c>
      <c r="W296" t="s">
        <v>40</v>
      </c>
      <c r="X296" t="s">
        <v>40</v>
      </c>
      <c r="Y296" t="s">
        <v>1582</v>
      </c>
      <c r="Z296" s="5" t="s">
        <v>518</v>
      </c>
    </row>
    <row r="297" spans="1:26" ht="13.8" customHeight="1" x14ac:dyDescent="0.3">
      <c r="A297" s="1">
        <v>46057.680555555555</v>
      </c>
      <c r="B297" t="s">
        <v>1589</v>
      </c>
      <c r="C297" t="s">
        <v>521</v>
      </c>
      <c r="D297" t="s">
        <v>522</v>
      </c>
      <c r="E297" t="s">
        <v>1590</v>
      </c>
      <c r="F297" t="s">
        <v>515</v>
      </c>
      <c r="G297" t="s">
        <v>1580</v>
      </c>
      <c r="H297" t="s">
        <v>31</v>
      </c>
      <c r="I297" t="s">
        <v>32</v>
      </c>
      <c r="J297" t="s">
        <v>1011</v>
      </c>
      <c r="K297" t="s">
        <v>34</v>
      </c>
      <c r="L297" t="s">
        <v>466</v>
      </c>
      <c r="M297" t="s">
        <v>65</v>
      </c>
      <c r="N297" t="s">
        <v>37</v>
      </c>
      <c r="O297" s="6">
        <v>282048</v>
      </c>
      <c r="P297" s="2">
        <v>20048</v>
      </c>
      <c r="Q297" s="2">
        <v>20048</v>
      </c>
      <c r="R297" s="3">
        <v>46057</v>
      </c>
      <c r="S297" t="s">
        <v>38</v>
      </c>
      <c r="T297">
        <v>100</v>
      </c>
      <c r="U297" t="s">
        <v>1591</v>
      </c>
      <c r="V297" t="s">
        <v>40</v>
      </c>
      <c r="W297" t="s">
        <v>40</v>
      </c>
      <c r="X297" t="s">
        <v>40</v>
      </c>
      <c r="Y297" t="s">
        <v>1582</v>
      </c>
      <c r="Z297" s="5" t="s">
        <v>518</v>
      </c>
    </row>
    <row r="298" spans="1:26" ht="13.8" customHeight="1" x14ac:dyDescent="0.3">
      <c r="A298" s="1">
        <v>46057.717361111114</v>
      </c>
      <c r="B298" t="s">
        <v>1592</v>
      </c>
      <c r="C298" t="s">
        <v>521</v>
      </c>
      <c r="D298" t="s">
        <v>522</v>
      </c>
      <c r="E298" t="s">
        <v>1593</v>
      </c>
      <c r="F298" t="s">
        <v>515</v>
      </c>
      <c r="G298" t="s">
        <v>1580</v>
      </c>
      <c r="H298" t="s">
        <v>31</v>
      </c>
      <c r="I298" t="s">
        <v>32</v>
      </c>
      <c r="J298" t="s">
        <v>1011</v>
      </c>
      <c r="K298" t="s">
        <v>34</v>
      </c>
      <c r="L298" t="s">
        <v>466</v>
      </c>
      <c r="M298" t="s">
        <v>65</v>
      </c>
      <c r="N298" t="s">
        <v>37</v>
      </c>
      <c r="O298" s="6">
        <v>211536</v>
      </c>
      <c r="P298" s="2">
        <v>15036</v>
      </c>
      <c r="Q298" s="2">
        <v>15036</v>
      </c>
      <c r="R298" s="3">
        <v>46057</v>
      </c>
      <c r="S298" t="s">
        <v>38</v>
      </c>
      <c r="T298">
        <v>100</v>
      </c>
      <c r="U298" t="s">
        <v>1594</v>
      </c>
      <c r="V298" t="s">
        <v>40</v>
      </c>
      <c r="W298" t="s">
        <v>40</v>
      </c>
      <c r="X298" t="s">
        <v>40</v>
      </c>
      <c r="Y298" t="s">
        <v>1582</v>
      </c>
      <c r="Z298" s="5" t="s">
        <v>518</v>
      </c>
    </row>
    <row r="299" spans="1:26" ht="13.8" customHeight="1" x14ac:dyDescent="0.3">
      <c r="A299" s="1">
        <v>46057.740972222222</v>
      </c>
      <c r="B299" t="s">
        <v>1595</v>
      </c>
      <c r="C299" t="s">
        <v>521</v>
      </c>
      <c r="D299" t="s">
        <v>522</v>
      </c>
      <c r="E299" t="s">
        <v>1596</v>
      </c>
      <c r="F299" t="s">
        <v>515</v>
      </c>
      <c r="G299" t="s">
        <v>1580</v>
      </c>
      <c r="H299" t="s">
        <v>31</v>
      </c>
      <c r="I299" t="s">
        <v>32</v>
      </c>
      <c r="J299" t="s">
        <v>1011</v>
      </c>
      <c r="K299" t="s">
        <v>34</v>
      </c>
      <c r="L299" t="s">
        <v>466</v>
      </c>
      <c r="M299" t="s">
        <v>65</v>
      </c>
      <c r="N299" t="s">
        <v>37</v>
      </c>
      <c r="O299" s="6">
        <v>70512</v>
      </c>
      <c r="P299" s="2">
        <v>5012</v>
      </c>
      <c r="Q299" s="2">
        <v>5012</v>
      </c>
      <c r="R299" s="3">
        <v>46057</v>
      </c>
      <c r="S299" t="s">
        <v>38</v>
      </c>
      <c r="T299">
        <v>100</v>
      </c>
      <c r="U299" t="s">
        <v>1597</v>
      </c>
      <c r="V299" t="s">
        <v>40</v>
      </c>
      <c r="W299" t="s">
        <v>40</v>
      </c>
      <c r="X299" t="s">
        <v>40</v>
      </c>
      <c r="Y299" t="s">
        <v>1582</v>
      </c>
      <c r="Z299" s="5" t="s">
        <v>518</v>
      </c>
    </row>
    <row r="300" spans="1:26" ht="13.8" customHeight="1" x14ac:dyDescent="0.3">
      <c r="A300" s="1">
        <v>46057.750694444447</v>
      </c>
      <c r="B300" t="s">
        <v>1598</v>
      </c>
      <c r="C300" t="s">
        <v>521</v>
      </c>
      <c r="D300" t="s">
        <v>522</v>
      </c>
      <c r="E300" t="s">
        <v>1599</v>
      </c>
      <c r="F300" t="s">
        <v>515</v>
      </c>
      <c r="G300" t="s">
        <v>1580</v>
      </c>
      <c r="H300" t="s">
        <v>31</v>
      </c>
      <c r="I300" t="s">
        <v>32</v>
      </c>
      <c r="J300" t="s">
        <v>1011</v>
      </c>
      <c r="K300" t="s">
        <v>34</v>
      </c>
      <c r="L300" t="s">
        <v>466</v>
      </c>
      <c r="M300" t="s">
        <v>65</v>
      </c>
      <c r="N300" t="s">
        <v>37</v>
      </c>
      <c r="O300" s="6">
        <v>282048</v>
      </c>
      <c r="P300" s="2">
        <v>20048</v>
      </c>
      <c r="Q300" s="2">
        <v>20048</v>
      </c>
      <c r="R300" s="3">
        <v>46057</v>
      </c>
      <c r="S300" t="s">
        <v>38</v>
      </c>
      <c r="T300">
        <v>100</v>
      </c>
      <c r="U300" t="s">
        <v>1600</v>
      </c>
      <c r="V300" t="s">
        <v>40</v>
      </c>
      <c r="W300" t="s">
        <v>40</v>
      </c>
      <c r="X300" t="s">
        <v>40</v>
      </c>
      <c r="Y300" t="s">
        <v>1582</v>
      </c>
      <c r="Z300" s="5" t="s">
        <v>518</v>
      </c>
    </row>
    <row r="301" spans="1:26" ht="13.8" customHeight="1" x14ac:dyDescent="0.3">
      <c r="A301" s="1">
        <v>46057.770833333336</v>
      </c>
      <c r="B301" t="s">
        <v>1601</v>
      </c>
      <c r="C301" t="s">
        <v>521</v>
      </c>
      <c r="D301" t="s">
        <v>522</v>
      </c>
      <c r="E301" t="s">
        <v>1602</v>
      </c>
      <c r="F301" t="s">
        <v>515</v>
      </c>
      <c r="G301" t="s">
        <v>1580</v>
      </c>
      <c r="H301" t="s">
        <v>31</v>
      </c>
      <c r="I301" t="s">
        <v>32</v>
      </c>
      <c r="J301" t="s">
        <v>1011</v>
      </c>
      <c r="K301" t="s">
        <v>34</v>
      </c>
      <c r="L301" t="s">
        <v>466</v>
      </c>
      <c r="M301" t="s">
        <v>65</v>
      </c>
      <c r="N301" t="s">
        <v>37</v>
      </c>
      <c r="O301" s="6">
        <v>141024</v>
      </c>
      <c r="P301" s="2">
        <v>10024</v>
      </c>
      <c r="Q301" s="2">
        <v>10024</v>
      </c>
      <c r="R301" s="3">
        <v>46057</v>
      </c>
      <c r="S301" t="s">
        <v>38</v>
      </c>
      <c r="T301">
        <v>100</v>
      </c>
      <c r="U301" t="s">
        <v>1603</v>
      </c>
      <c r="V301" t="s">
        <v>40</v>
      </c>
      <c r="W301" t="s">
        <v>40</v>
      </c>
      <c r="X301" t="s">
        <v>40</v>
      </c>
      <c r="Y301" t="s">
        <v>1582</v>
      </c>
      <c r="Z301" s="5" t="s">
        <v>518</v>
      </c>
    </row>
    <row r="302" spans="1:26" ht="13.8" customHeight="1" x14ac:dyDescent="0.3">
      <c r="A302" s="1">
        <v>46057.774305555555</v>
      </c>
      <c r="B302" t="s">
        <v>1604</v>
      </c>
      <c r="C302" t="s">
        <v>521</v>
      </c>
      <c r="D302" t="s">
        <v>522</v>
      </c>
      <c r="E302" t="s">
        <v>1605</v>
      </c>
      <c r="F302" t="s">
        <v>515</v>
      </c>
      <c r="G302" t="s">
        <v>1580</v>
      </c>
      <c r="H302" t="s">
        <v>31</v>
      </c>
      <c r="I302" t="s">
        <v>32</v>
      </c>
      <c r="J302" t="s">
        <v>1011</v>
      </c>
      <c r="K302" t="s">
        <v>34</v>
      </c>
      <c r="L302" t="s">
        <v>466</v>
      </c>
      <c r="M302" t="s">
        <v>65</v>
      </c>
      <c r="N302" t="s">
        <v>37</v>
      </c>
      <c r="O302" s="6">
        <v>70512</v>
      </c>
      <c r="P302" s="2">
        <v>5012</v>
      </c>
      <c r="Q302" s="2">
        <v>5012</v>
      </c>
      <c r="R302" s="3">
        <v>46057</v>
      </c>
      <c r="S302" t="s">
        <v>38</v>
      </c>
      <c r="T302">
        <v>100</v>
      </c>
      <c r="U302" t="s">
        <v>1606</v>
      </c>
      <c r="V302" t="s">
        <v>40</v>
      </c>
      <c r="W302" t="s">
        <v>40</v>
      </c>
      <c r="X302" t="s">
        <v>40</v>
      </c>
      <c r="Y302" t="s">
        <v>1582</v>
      </c>
      <c r="Z302" s="5" t="s">
        <v>518</v>
      </c>
    </row>
    <row r="303" spans="1:26" ht="13.8" customHeight="1" x14ac:dyDescent="0.3">
      <c r="A303" s="1">
        <v>46057.8</v>
      </c>
      <c r="B303" t="s">
        <v>1607</v>
      </c>
      <c r="C303" t="s">
        <v>521</v>
      </c>
      <c r="D303" t="s">
        <v>522</v>
      </c>
      <c r="E303" t="s">
        <v>1608</v>
      </c>
      <c r="F303" t="s">
        <v>515</v>
      </c>
      <c r="G303" t="s">
        <v>1580</v>
      </c>
      <c r="H303" t="s">
        <v>31</v>
      </c>
      <c r="I303" t="s">
        <v>32</v>
      </c>
      <c r="J303" t="s">
        <v>1011</v>
      </c>
      <c r="K303" t="s">
        <v>34</v>
      </c>
      <c r="L303" t="s">
        <v>466</v>
      </c>
      <c r="M303" t="s">
        <v>65</v>
      </c>
      <c r="N303" t="s">
        <v>37</v>
      </c>
      <c r="O303" s="6">
        <v>70512</v>
      </c>
      <c r="P303" s="2">
        <v>5012</v>
      </c>
      <c r="Q303" s="2">
        <v>5012</v>
      </c>
      <c r="R303" s="3">
        <v>46057</v>
      </c>
      <c r="S303" t="s">
        <v>38</v>
      </c>
      <c r="T303">
        <v>100</v>
      </c>
      <c r="U303" t="s">
        <v>1609</v>
      </c>
      <c r="V303" t="s">
        <v>40</v>
      </c>
      <c r="W303" t="s">
        <v>40</v>
      </c>
      <c r="X303" t="s">
        <v>40</v>
      </c>
      <c r="Y303" t="s">
        <v>1582</v>
      </c>
      <c r="Z303" s="5" t="s">
        <v>518</v>
      </c>
    </row>
    <row r="304" spans="1:26" ht="13.8" customHeight="1" x14ac:dyDescent="0.3">
      <c r="A304" s="1">
        <v>46057.808333333334</v>
      </c>
      <c r="B304" t="s">
        <v>1610</v>
      </c>
      <c r="C304" t="s">
        <v>521</v>
      </c>
      <c r="D304" t="s">
        <v>522</v>
      </c>
      <c r="E304" t="s">
        <v>1611</v>
      </c>
      <c r="F304" t="s">
        <v>515</v>
      </c>
      <c r="G304" t="s">
        <v>1580</v>
      </c>
      <c r="H304" t="s">
        <v>31</v>
      </c>
      <c r="I304" t="s">
        <v>32</v>
      </c>
      <c r="J304" t="s">
        <v>1011</v>
      </c>
      <c r="K304" t="s">
        <v>34</v>
      </c>
      <c r="L304" t="s">
        <v>466</v>
      </c>
      <c r="M304" t="s">
        <v>65</v>
      </c>
      <c r="N304" t="s">
        <v>37</v>
      </c>
      <c r="O304" s="6">
        <v>141024</v>
      </c>
      <c r="P304" s="2">
        <v>10024</v>
      </c>
      <c r="Q304" s="2">
        <v>10024</v>
      </c>
      <c r="R304" s="3">
        <v>46057</v>
      </c>
      <c r="S304" t="s">
        <v>38</v>
      </c>
      <c r="T304">
        <v>100</v>
      </c>
      <c r="U304" t="s">
        <v>1612</v>
      </c>
      <c r="V304" t="s">
        <v>40</v>
      </c>
      <c r="W304" t="s">
        <v>40</v>
      </c>
      <c r="X304" t="s">
        <v>40</v>
      </c>
      <c r="Y304" t="s">
        <v>1582</v>
      </c>
      <c r="Z304" s="5" t="s">
        <v>518</v>
      </c>
    </row>
    <row r="305" spans="1:26" ht="13.8" customHeight="1" x14ac:dyDescent="0.3">
      <c r="A305" s="1">
        <v>46057.813888888886</v>
      </c>
      <c r="B305" t="s">
        <v>1613</v>
      </c>
      <c r="C305" t="s">
        <v>521</v>
      </c>
      <c r="D305" t="s">
        <v>522</v>
      </c>
      <c r="E305" t="s">
        <v>1614</v>
      </c>
      <c r="F305" t="s">
        <v>515</v>
      </c>
      <c r="G305" t="s">
        <v>1580</v>
      </c>
      <c r="H305" t="s">
        <v>31</v>
      </c>
      <c r="I305" t="s">
        <v>32</v>
      </c>
      <c r="J305" t="s">
        <v>1011</v>
      </c>
      <c r="K305" t="s">
        <v>34</v>
      </c>
      <c r="L305" t="s">
        <v>466</v>
      </c>
      <c r="M305" t="s">
        <v>65</v>
      </c>
      <c r="N305" t="s">
        <v>37</v>
      </c>
      <c r="O305" s="6">
        <v>70512</v>
      </c>
      <c r="P305" s="2">
        <v>10024</v>
      </c>
      <c r="Q305" s="2">
        <v>5012</v>
      </c>
      <c r="R305" s="3">
        <v>46057</v>
      </c>
      <c r="S305" t="s">
        <v>38</v>
      </c>
      <c r="T305">
        <v>100</v>
      </c>
      <c r="U305" t="s">
        <v>1615</v>
      </c>
      <c r="V305" t="s">
        <v>40</v>
      </c>
      <c r="W305" t="s">
        <v>40</v>
      </c>
      <c r="X305" t="s">
        <v>40</v>
      </c>
      <c r="Y305" t="s">
        <v>1582</v>
      </c>
      <c r="Z305" s="5" t="s">
        <v>518</v>
      </c>
    </row>
    <row r="306" spans="1:26" ht="13.8" customHeight="1" x14ac:dyDescent="0.3">
      <c r="A306" s="1">
        <v>46057.818749999999</v>
      </c>
      <c r="B306" t="s">
        <v>1616</v>
      </c>
      <c r="C306" t="s">
        <v>521</v>
      </c>
      <c r="D306" t="s">
        <v>522</v>
      </c>
      <c r="E306" t="s">
        <v>1617</v>
      </c>
      <c r="F306" t="s">
        <v>515</v>
      </c>
      <c r="G306" t="s">
        <v>1580</v>
      </c>
      <c r="H306" t="s">
        <v>31</v>
      </c>
      <c r="I306" t="s">
        <v>32</v>
      </c>
      <c r="J306" t="s">
        <v>1011</v>
      </c>
      <c r="K306" t="s">
        <v>34</v>
      </c>
      <c r="L306" t="s">
        <v>466</v>
      </c>
      <c r="M306" t="s">
        <v>65</v>
      </c>
      <c r="N306" t="s">
        <v>37</v>
      </c>
      <c r="O306" s="6">
        <v>141024</v>
      </c>
      <c r="P306" s="2">
        <v>10024</v>
      </c>
      <c r="Q306" s="2">
        <v>10024</v>
      </c>
      <c r="R306" s="3">
        <v>46057</v>
      </c>
      <c r="S306" t="s">
        <v>38</v>
      </c>
      <c r="T306">
        <v>100</v>
      </c>
      <c r="U306" t="s">
        <v>1618</v>
      </c>
      <c r="V306" t="s">
        <v>40</v>
      </c>
      <c r="W306" t="s">
        <v>40</v>
      </c>
      <c r="X306" t="s">
        <v>40</v>
      </c>
      <c r="Y306" t="s">
        <v>1582</v>
      </c>
      <c r="Z306" s="5" t="s">
        <v>518</v>
      </c>
    </row>
    <row r="307" spans="1:26" ht="13.8" customHeight="1" x14ac:dyDescent="0.3">
      <c r="A307" s="1">
        <v>46146.55972222222</v>
      </c>
      <c r="B307" t="s">
        <v>1619</v>
      </c>
      <c r="C307" t="s">
        <v>1620</v>
      </c>
      <c r="D307" t="s">
        <v>522</v>
      </c>
      <c r="E307" t="s">
        <v>1602</v>
      </c>
      <c r="F307" t="s">
        <v>515</v>
      </c>
      <c r="G307" t="s">
        <v>1580</v>
      </c>
      <c r="H307" t="s">
        <v>31</v>
      </c>
      <c r="I307" t="s">
        <v>32</v>
      </c>
      <c r="J307" t="s">
        <v>1011</v>
      </c>
      <c r="K307" t="s">
        <v>34</v>
      </c>
      <c r="L307" t="s">
        <v>466</v>
      </c>
      <c r="M307" t="s">
        <v>65</v>
      </c>
      <c r="N307" t="s">
        <v>37</v>
      </c>
      <c r="O307" s="6">
        <v>141024</v>
      </c>
      <c r="P307" s="2">
        <v>10024</v>
      </c>
      <c r="Q307" s="2">
        <v>10024</v>
      </c>
      <c r="R307" s="3">
        <v>46146</v>
      </c>
      <c r="S307" t="s">
        <v>38</v>
      </c>
      <c r="T307">
        <v>100</v>
      </c>
      <c r="U307" t="s">
        <v>1621</v>
      </c>
      <c r="V307" t="s">
        <v>40</v>
      </c>
      <c r="W307" t="s">
        <v>40</v>
      </c>
      <c r="X307" t="s">
        <v>40</v>
      </c>
      <c r="Y307" t="s">
        <v>1582</v>
      </c>
      <c r="Z307" s="5" t="s">
        <v>518</v>
      </c>
    </row>
    <row r="308" spans="1:26" ht="13.8" customHeight="1" x14ac:dyDescent="0.3">
      <c r="A308" s="1">
        <v>46146.561805555553</v>
      </c>
      <c r="B308" t="s">
        <v>1622</v>
      </c>
      <c r="C308" t="s">
        <v>1623</v>
      </c>
      <c r="D308" t="s">
        <v>522</v>
      </c>
      <c r="E308" t="s">
        <v>1593</v>
      </c>
      <c r="F308" t="s">
        <v>515</v>
      </c>
      <c r="G308" t="s">
        <v>1580</v>
      </c>
      <c r="H308" t="s">
        <v>31</v>
      </c>
      <c r="I308" t="s">
        <v>32</v>
      </c>
      <c r="J308" t="s">
        <v>1011</v>
      </c>
      <c r="K308" t="s">
        <v>34</v>
      </c>
      <c r="L308" t="s">
        <v>466</v>
      </c>
      <c r="M308" t="s">
        <v>65</v>
      </c>
      <c r="N308" t="s">
        <v>37</v>
      </c>
      <c r="O308" s="6">
        <v>211536</v>
      </c>
      <c r="P308" s="2">
        <v>15036</v>
      </c>
      <c r="Q308" s="2">
        <v>15036</v>
      </c>
      <c r="R308" s="3">
        <v>46146</v>
      </c>
      <c r="S308" t="s">
        <v>38</v>
      </c>
      <c r="T308">
        <v>100</v>
      </c>
      <c r="U308" t="s">
        <v>1624</v>
      </c>
      <c r="V308" t="s">
        <v>40</v>
      </c>
      <c r="W308" t="s">
        <v>40</v>
      </c>
      <c r="X308" t="s">
        <v>40</v>
      </c>
      <c r="Y308" t="s">
        <v>1582</v>
      </c>
      <c r="Z308" s="5" t="s">
        <v>518</v>
      </c>
    </row>
    <row r="309" spans="1:26" ht="13.8" customHeight="1" x14ac:dyDescent="0.3">
      <c r="A309" s="1">
        <v>46146.59652777778</v>
      </c>
      <c r="B309" t="s">
        <v>1625</v>
      </c>
      <c r="C309" t="s">
        <v>1623</v>
      </c>
      <c r="D309" t="s">
        <v>522</v>
      </c>
      <c r="E309" t="s">
        <v>1626</v>
      </c>
      <c r="F309" t="s">
        <v>515</v>
      </c>
      <c r="G309" t="s">
        <v>1580</v>
      </c>
      <c r="H309" t="s">
        <v>31</v>
      </c>
      <c r="I309" t="s">
        <v>32</v>
      </c>
      <c r="J309" t="s">
        <v>1011</v>
      </c>
      <c r="K309" t="s">
        <v>34</v>
      </c>
      <c r="L309" t="s">
        <v>466</v>
      </c>
      <c r="M309" t="s">
        <v>36</v>
      </c>
      <c r="N309" t="s">
        <v>37</v>
      </c>
      <c r="O309" s="6">
        <v>493584</v>
      </c>
      <c r="P309" s="2">
        <v>35084</v>
      </c>
      <c r="Q309" s="2">
        <v>35084</v>
      </c>
      <c r="R309" s="3">
        <v>46146</v>
      </c>
      <c r="S309" t="s">
        <v>38</v>
      </c>
      <c r="T309">
        <v>100</v>
      </c>
      <c r="U309" t="s">
        <v>1627</v>
      </c>
      <c r="V309" t="s">
        <v>40</v>
      </c>
      <c r="W309" t="s">
        <v>40</v>
      </c>
      <c r="X309" t="s">
        <v>40</v>
      </c>
      <c r="Y309" t="s">
        <v>1582</v>
      </c>
      <c r="Z309" s="5" t="s">
        <v>518</v>
      </c>
    </row>
    <row r="310" spans="1:26" ht="13.8" customHeight="1" x14ac:dyDescent="0.3">
      <c r="A310" s="1">
        <v>46146.598611111112</v>
      </c>
      <c r="B310" t="s">
        <v>1628</v>
      </c>
      <c r="C310" t="s">
        <v>1623</v>
      </c>
      <c r="D310" t="s">
        <v>522</v>
      </c>
      <c r="E310" t="s">
        <v>1602</v>
      </c>
      <c r="F310" t="s">
        <v>515</v>
      </c>
      <c r="G310" t="s">
        <v>1580</v>
      </c>
      <c r="H310" t="s">
        <v>31</v>
      </c>
      <c r="I310" t="s">
        <v>32</v>
      </c>
      <c r="J310" t="s">
        <v>1011</v>
      </c>
      <c r="K310" t="s">
        <v>34</v>
      </c>
      <c r="L310" t="s">
        <v>466</v>
      </c>
      <c r="M310" t="s">
        <v>65</v>
      </c>
      <c r="N310" t="s">
        <v>37</v>
      </c>
      <c r="O310" s="6">
        <v>141024</v>
      </c>
      <c r="P310" s="2">
        <v>10024</v>
      </c>
      <c r="Q310" s="2">
        <v>10024</v>
      </c>
      <c r="R310" s="3">
        <v>46146</v>
      </c>
      <c r="S310" t="s">
        <v>38</v>
      </c>
      <c r="T310">
        <v>100</v>
      </c>
      <c r="U310" t="s">
        <v>1629</v>
      </c>
      <c r="V310" t="s">
        <v>40</v>
      </c>
      <c r="W310" t="s">
        <v>40</v>
      </c>
      <c r="X310" t="s">
        <v>40</v>
      </c>
      <c r="Y310" t="s">
        <v>1582</v>
      </c>
      <c r="Z310" s="5" t="s">
        <v>518</v>
      </c>
    </row>
    <row r="311" spans="1:26" ht="13.8" customHeight="1" x14ac:dyDescent="0.3">
      <c r="A311" s="1">
        <v>46146.599305555559</v>
      </c>
      <c r="B311" t="s">
        <v>1630</v>
      </c>
      <c r="C311" t="s">
        <v>1623</v>
      </c>
      <c r="D311" t="s">
        <v>522</v>
      </c>
      <c r="E311" t="s">
        <v>1596</v>
      </c>
      <c r="F311" t="s">
        <v>515</v>
      </c>
      <c r="G311" t="s">
        <v>1580</v>
      </c>
      <c r="H311" t="s">
        <v>31</v>
      </c>
      <c r="I311" t="s">
        <v>32</v>
      </c>
      <c r="J311" t="s">
        <v>1011</v>
      </c>
      <c r="K311" t="s">
        <v>34</v>
      </c>
      <c r="L311" t="s">
        <v>466</v>
      </c>
      <c r="M311" t="s">
        <v>36</v>
      </c>
      <c r="N311" t="s">
        <v>37</v>
      </c>
      <c r="O311" s="6">
        <v>70512</v>
      </c>
      <c r="P311" s="2">
        <v>5012</v>
      </c>
      <c r="Q311" s="2">
        <v>5012</v>
      </c>
      <c r="R311" s="3">
        <v>46146</v>
      </c>
      <c r="S311" t="s">
        <v>38</v>
      </c>
      <c r="T311">
        <v>100</v>
      </c>
      <c r="U311" t="s">
        <v>1631</v>
      </c>
      <c r="V311" t="s">
        <v>40</v>
      </c>
      <c r="W311" t="s">
        <v>40</v>
      </c>
      <c r="X311" t="s">
        <v>40</v>
      </c>
      <c r="Y311" t="s">
        <v>1582</v>
      </c>
      <c r="Z311" s="5" t="s">
        <v>518</v>
      </c>
    </row>
    <row r="312" spans="1:26" ht="13.8" customHeight="1" x14ac:dyDescent="0.3">
      <c r="A312" s="1">
        <v>46146.601388888892</v>
      </c>
      <c r="B312" t="s">
        <v>1632</v>
      </c>
      <c r="C312" t="s">
        <v>1623</v>
      </c>
      <c r="D312" t="s">
        <v>522</v>
      </c>
      <c r="E312" t="s">
        <v>1633</v>
      </c>
      <c r="F312" t="s">
        <v>515</v>
      </c>
      <c r="G312" t="s">
        <v>1580</v>
      </c>
      <c r="H312" t="s">
        <v>31</v>
      </c>
      <c r="I312" t="s">
        <v>32</v>
      </c>
      <c r="J312" t="s">
        <v>1011</v>
      </c>
      <c r="K312" t="s">
        <v>34</v>
      </c>
      <c r="L312" t="s">
        <v>466</v>
      </c>
      <c r="M312" t="s">
        <v>36</v>
      </c>
      <c r="N312" t="s">
        <v>37</v>
      </c>
      <c r="O312" s="6">
        <v>352560</v>
      </c>
      <c r="P312" s="2">
        <v>25060</v>
      </c>
      <c r="Q312" s="2">
        <v>25060</v>
      </c>
      <c r="R312" s="3">
        <v>46146</v>
      </c>
      <c r="S312" t="s">
        <v>38</v>
      </c>
      <c r="T312">
        <v>100</v>
      </c>
      <c r="U312" t="s">
        <v>1634</v>
      </c>
      <c r="V312" t="s">
        <v>40</v>
      </c>
      <c r="W312" t="s">
        <v>40</v>
      </c>
      <c r="X312" t="s">
        <v>40</v>
      </c>
      <c r="Y312" t="s">
        <v>1582</v>
      </c>
      <c r="Z312" s="5" t="s">
        <v>518</v>
      </c>
    </row>
    <row r="313" spans="1:26" ht="13.8" customHeight="1" x14ac:dyDescent="0.3">
      <c r="A313" s="1">
        <v>46146.602777777778</v>
      </c>
      <c r="B313" t="s">
        <v>1635</v>
      </c>
      <c r="C313" t="s">
        <v>1623</v>
      </c>
      <c r="D313" t="s">
        <v>522</v>
      </c>
      <c r="E313" t="s">
        <v>1605</v>
      </c>
      <c r="F313" t="s">
        <v>515</v>
      </c>
      <c r="G313" t="s">
        <v>1580</v>
      </c>
      <c r="H313" t="s">
        <v>31</v>
      </c>
      <c r="I313" t="s">
        <v>32</v>
      </c>
      <c r="J313" t="s">
        <v>1011</v>
      </c>
      <c r="K313" t="s">
        <v>34</v>
      </c>
      <c r="L313" t="s">
        <v>466</v>
      </c>
      <c r="M313" t="s">
        <v>36</v>
      </c>
      <c r="N313" t="s">
        <v>37</v>
      </c>
      <c r="O313" s="6">
        <v>70512</v>
      </c>
      <c r="P313" s="2">
        <v>5012</v>
      </c>
      <c r="Q313" s="2">
        <v>5012</v>
      </c>
      <c r="R313" s="3">
        <v>46146</v>
      </c>
      <c r="S313" t="s">
        <v>38</v>
      </c>
      <c r="T313">
        <v>100</v>
      </c>
      <c r="U313" t="s">
        <v>1636</v>
      </c>
      <c r="V313" t="s">
        <v>40</v>
      </c>
      <c r="W313" t="s">
        <v>40</v>
      </c>
      <c r="X313" t="s">
        <v>40</v>
      </c>
      <c r="Y313" t="s">
        <v>1582</v>
      </c>
      <c r="Z313" s="5" t="s">
        <v>518</v>
      </c>
    </row>
    <row r="314" spans="1:26" ht="13.8" customHeight="1" x14ac:dyDescent="0.3">
      <c r="A314" s="1">
        <v>46146.603472222225</v>
      </c>
      <c r="B314" t="s">
        <v>1637</v>
      </c>
      <c r="C314" t="s">
        <v>1623</v>
      </c>
      <c r="D314" t="s">
        <v>522</v>
      </c>
      <c r="E314" t="s">
        <v>1638</v>
      </c>
      <c r="F314" t="s">
        <v>515</v>
      </c>
      <c r="G314" t="s">
        <v>1580</v>
      </c>
      <c r="H314" t="s">
        <v>31</v>
      </c>
      <c r="I314" t="s">
        <v>32</v>
      </c>
      <c r="J314" t="s">
        <v>1011</v>
      </c>
      <c r="K314" t="s">
        <v>34</v>
      </c>
      <c r="L314" t="s">
        <v>466</v>
      </c>
      <c r="M314" t="s">
        <v>36</v>
      </c>
      <c r="N314" t="s">
        <v>37</v>
      </c>
      <c r="O314" s="6">
        <v>70512</v>
      </c>
      <c r="P314" s="2">
        <v>5012</v>
      </c>
      <c r="Q314" s="2">
        <v>5012</v>
      </c>
      <c r="R314" s="3">
        <v>46146</v>
      </c>
      <c r="S314" t="s">
        <v>38</v>
      </c>
      <c r="T314">
        <v>100</v>
      </c>
      <c r="U314" t="s">
        <v>1639</v>
      </c>
      <c r="V314" t="s">
        <v>40</v>
      </c>
      <c r="W314" t="s">
        <v>40</v>
      </c>
      <c r="X314" t="s">
        <v>40</v>
      </c>
      <c r="Y314" t="s">
        <v>1582</v>
      </c>
      <c r="Z314" s="5" t="s">
        <v>518</v>
      </c>
    </row>
    <row r="315" spans="1:26" ht="13.8" customHeight="1" x14ac:dyDescent="0.3">
      <c r="A315" s="1">
        <v>46146.605555555558</v>
      </c>
      <c r="B315" t="s">
        <v>1640</v>
      </c>
      <c r="C315" t="s">
        <v>1623</v>
      </c>
      <c r="D315" t="s">
        <v>522</v>
      </c>
      <c r="E315" t="s">
        <v>1641</v>
      </c>
      <c r="F315" t="s">
        <v>515</v>
      </c>
      <c r="G315" t="s">
        <v>1580</v>
      </c>
      <c r="H315" t="s">
        <v>31</v>
      </c>
      <c r="I315" t="s">
        <v>32</v>
      </c>
      <c r="J315" t="s">
        <v>1011</v>
      </c>
      <c r="K315" t="s">
        <v>34</v>
      </c>
      <c r="L315" t="s">
        <v>466</v>
      </c>
      <c r="M315" t="s">
        <v>36</v>
      </c>
      <c r="N315" t="s">
        <v>37</v>
      </c>
      <c r="O315" s="6">
        <v>705120</v>
      </c>
      <c r="P315" s="2">
        <v>50120</v>
      </c>
      <c r="Q315" s="2">
        <v>50120</v>
      </c>
      <c r="R315" s="3">
        <v>46146</v>
      </c>
      <c r="S315" t="s">
        <v>38</v>
      </c>
      <c r="T315">
        <v>100</v>
      </c>
      <c r="U315" t="s">
        <v>1642</v>
      </c>
      <c r="V315" t="s">
        <v>40</v>
      </c>
      <c r="W315" t="s">
        <v>40</v>
      </c>
      <c r="X315" t="s">
        <v>40</v>
      </c>
      <c r="Y315" t="s">
        <v>1582</v>
      </c>
      <c r="Z315" s="5" t="s">
        <v>518</v>
      </c>
    </row>
    <row r="316" spans="1:26" ht="13.8" customHeight="1" x14ac:dyDescent="0.3">
      <c r="A316" s="1">
        <v>46146.60833333333</v>
      </c>
      <c r="B316" t="s">
        <v>1643</v>
      </c>
      <c r="C316" t="s">
        <v>1623</v>
      </c>
      <c r="D316" t="s">
        <v>522</v>
      </c>
      <c r="E316" t="s">
        <v>1611</v>
      </c>
      <c r="F316" t="s">
        <v>515</v>
      </c>
      <c r="G316" t="s">
        <v>1580</v>
      </c>
      <c r="H316" t="s">
        <v>31</v>
      </c>
      <c r="I316" t="s">
        <v>32</v>
      </c>
      <c r="J316" t="s">
        <v>1011</v>
      </c>
      <c r="K316" t="s">
        <v>34</v>
      </c>
      <c r="L316" t="s">
        <v>466</v>
      </c>
      <c r="M316" t="s">
        <v>36</v>
      </c>
      <c r="N316" t="s">
        <v>37</v>
      </c>
      <c r="O316" s="6">
        <v>141024</v>
      </c>
      <c r="P316" s="2">
        <v>10024</v>
      </c>
      <c r="Q316" s="2">
        <v>10024</v>
      </c>
      <c r="R316" s="3">
        <v>46146</v>
      </c>
      <c r="S316" t="s">
        <v>38</v>
      </c>
      <c r="T316">
        <v>100</v>
      </c>
      <c r="U316" t="s">
        <v>1644</v>
      </c>
      <c r="V316" t="s">
        <v>40</v>
      </c>
      <c r="W316" t="s">
        <v>40</v>
      </c>
      <c r="X316" t="s">
        <v>40</v>
      </c>
      <c r="Y316" t="s">
        <v>1582</v>
      </c>
      <c r="Z316" s="5" t="s">
        <v>518</v>
      </c>
    </row>
    <row r="317" spans="1:26" ht="13.8" customHeight="1" x14ac:dyDescent="0.3">
      <c r="A317" t="s">
        <v>1645</v>
      </c>
      <c r="B317" t="s">
        <v>1646</v>
      </c>
      <c r="C317" t="s">
        <v>521</v>
      </c>
      <c r="D317" t="s">
        <v>522</v>
      </c>
      <c r="E317" t="s">
        <v>1596</v>
      </c>
      <c r="F317" t="s">
        <v>515</v>
      </c>
      <c r="G317" t="s">
        <v>1580</v>
      </c>
      <c r="H317" t="s">
        <v>31</v>
      </c>
      <c r="I317" t="s">
        <v>32</v>
      </c>
      <c r="J317" t="s">
        <v>1011</v>
      </c>
      <c r="K317" t="s">
        <v>34</v>
      </c>
      <c r="L317" t="s">
        <v>466</v>
      </c>
      <c r="M317" t="s">
        <v>65</v>
      </c>
      <c r="N317" t="s">
        <v>37</v>
      </c>
      <c r="O317" s="6">
        <v>70512</v>
      </c>
      <c r="P317" s="2">
        <v>5012</v>
      </c>
      <c r="Q317" s="2">
        <v>5012</v>
      </c>
      <c r="R317" t="s">
        <v>573</v>
      </c>
      <c r="S317" t="s">
        <v>38</v>
      </c>
      <c r="T317">
        <v>100</v>
      </c>
      <c r="U317" t="s">
        <v>1647</v>
      </c>
      <c r="V317" t="s">
        <v>40</v>
      </c>
      <c r="W317" t="s">
        <v>40</v>
      </c>
      <c r="X317" t="s">
        <v>40</v>
      </c>
      <c r="Y317" t="s">
        <v>1582</v>
      </c>
      <c r="Z317" s="5" t="s">
        <v>518</v>
      </c>
    </row>
    <row r="318" spans="1:26" ht="13.8" customHeight="1" x14ac:dyDescent="0.3">
      <c r="A318" t="s">
        <v>1648</v>
      </c>
      <c r="B318" t="s">
        <v>1649</v>
      </c>
      <c r="C318" t="s">
        <v>521</v>
      </c>
      <c r="D318" t="s">
        <v>522</v>
      </c>
      <c r="E318" t="s">
        <v>1650</v>
      </c>
      <c r="F318" t="s">
        <v>515</v>
      </c>
      <c r="G318" t="s">
        <v>1580</v>
      </c>
      <c r="H318" t="s">
        <v>31</v>
      </c>
      <c r="I318" t="s">
        <v>32</v>
      </c>
      <c r="J318" t="s">
        <v>1011</v>
      </c>
      <c r="K318" t="s">
        <v>34</v>
      </c>
      <c r="L318" t="s">
        <v>466</v>
      </c>
      <c r="M318" t="s">
        <v>65</v>
      </c>
      <c r="N318" t="s">
        <v>37</v>
      </c>
      <c r="O318" s="6">
        <v>217500</v>
      </c>
      <c r="P318" s="2">
        <v>21000</v>
      </c>
      <c r="Q318" s="2">
        <v>21000</v>
      </c>
      <c r="R318" t="s">
        <v>950</v>
      </c>
      <c r="S318" t="s">
        <v>38</v>
      </c>
      <c r="T318">
        <v>100</v>
      </c>
      <c r="U318" t="s">
        <v>1651</v>
      </c>
      <c r="V318" t="s">
        <v>40</v>
      </c>
      <c r="W318" t="s">
        <v>40</v>
      </c>
      <c r="X318" t="s">
        <v>40</v>
      </c>
      <c r="Y318" t="s">
        <v>1652</v>
      </c>
      <c r="Z318" s="5" t="s">
        <v>518</v>
      </c>
    </row>
    <row r="319" spans="1:26" ht="13.8" customHeight="1" x14ac:dyDescent="0.3">
      <c r="A319" t="s">
        <v>1653</v>
      </c>
      <c r="B319" t="s">
        <v>1654</v>
      </c>
      <c r="C319" t="s">
        <v>521</v>
      </c>
      <c r="D319" t="s">
        <v>522</v>
      </c>
      <c r="E319" t="s">
        <v>1655</v>
      </c>
      <c r="F319" t="s">
        <v>515</v>
      </c>
      <c r="G319" t="s">
        <v>1580</v>
      </c>
      <c r="H319" t="s">
        <v>31</v>
      </c>
      <c r="I319" t="s">
        <v>32</v>
      </c>
      <c r="J319" t="s">
        <v>1011</v>
      </c>
      <c r="K319" t="s">
        <v>34</v>
      </c>
      <c r="L319" t="s">
        <v>466</v>
      </c>
      <c r="M319" t="s">
        <v>65</v>
      </c>
      <c r="N319" t="s">
        <v>37</v>
      </c>
      <c r="O319" s="6">
        <v>72500</v>
      </c>
      <c r="P319" s="2">
        <v>7000</v>
      </c>
      <c r="Q319" s="2">
        <v>7000</v>
      </c>
      <c r="R319" t="s">
        <v>950</v>
      </c>
      <c r="S319" t="s">
        <v>38</v>
      </c>
      <c r="T319">
        <v>100</v>
      </c>
      <c r="U319" t="s">
        <v>1656</v>
      </c>
      <c r="V319" t="s">
        <v>40</v>
      </c>
      <c r="W319" t="s">
        <v>40</v>
      </c>
      <c r="X319" t="s">
        <v>40</v>
      </c>
      <c r="Y319" t="s">
        <v>1652</v>
      </c>
      <c r="Z319" s="5" t="s">
        <v>518</v>
      </c>
    </row>
    <row r="320" spans="1:26" ht="13.8" customHeight="1" x14ac:dyDescent="0.3">
      <c r="A320" t="s">
        <v>1657</v>
      </c>
      <c r="B320" t="s">
        <v>1658</v>
      </c>
      <c r="C320" t="s">
        <v>521</v>
      </c>
      <c r="D320" t="s">
        <v>522</v>
      </c>
      <c r="E320" t="s">
        <v>1659</v>
      </c>
      <c r="F320" t="s">
        <v>515</v>
      </c>
      <c r="G320" t="s">
        <v>1580</v>
      </c>
      <c r="H320" t="s">
        <v>31</v>
      </c>
      <c r="I320" t="s">
        <v>32</v>
      </c>
      <c r="J320" t="s">
        <v>1011</v>
      </c>
      <c r="K320" t="s">
        <v>34</v>
      </c>
      <c r="L320" t="s">
        <v>466</v>
      </c>
      <c r="M320" t="s">
        <v>65</v>
      </c>
      <c r="N320" t="s">
        <v>37</v>
      </c>
      <c r="O320" s="6">
        <v>145000</v>
      </c>
      <c r="P320" s="2">
        <v>14000</v>
      </c>
      <c r="Q320" s="2">
        <v>14000</v>
      </c>
      <c r="R320" t="s">
        <v>950</v>
      </c>
      <c r="S320" t="s">
        <v>38</v>
      </c>
      <c r="T320">
        <v>100</v>
      </c>
      <c r="U320" t="s">
        <v>1660</v>
      </c>
      <c r="V320" t="s">
        <v>40</v>
      </c>
      <c r="W320" t="s">
        <v>40</v>
      </c>
      <c r="X320" t="s">
        <v>40</v>
      </c>
      <c r="Y320" t="s">
        <v>1652</v>
      </c>
      <c r="Z320" s="5" t="s">
        <v>518</v>
      </c>
    </row>
    <row r="321" spans="1:26" ht="13.8" customHeight="1" x14ac:dyDescent="0.3">
      <c r="A321" t="s">
        <v>1661</v>
      </c>
      <c r="B321" t="s">
        <v>1662</v>
      </c>
      <c r="C321" t="s">
        <v>1623</v>
      </c>
      <c r="D321" t="s">
        <v>522</v>
      </c>
      <c r="E321" t="s">
        <v>1663</v>
      </c>
      <c r="F321" t="s">
        <v>515</v>
      </c>
      <c r="G321" t="s">
        <v>1580</v>
      </c>
      <c r="H321" t="s">
        <v>31</v>
      </c>
      <c r="I321" t="s">
        <v>32</v>
      </c>
      <c r="J321" t="s">
        <v>1011</v>
      </c>
      <c r="K321" t="s">
        <v>34</v>
      </c>
      <c r="L321" t="s">
        <v>466</v>
      </c>
      <c r="M321" t="s">
        <v>65</v>
      </c>
      <c r="N321" t="s">
        <v>37</v>
      </c>
      <c r="O321" s="6">
        <v>72500</v>
      </c>
      <c r="P321" s="2">
        <v>7000</v>
      </c>
      <c r="Q321" s="2">
        <v>7000</v>
      </c>
      <c r="R321" t="s">
        <v>419</v>
      </c>
      <c r="S321" t="s">
        <v>38</v>
      </c>
      <c r="T321">
        <v>100</v>
      </c>
      <c r="U321" t="s">
        <v>1664</v>
      </c>
      <c r="V321" t="s">
        <v>40</v>
      </c>
      <c r="W321" t="s">
        <v>40</v>
      </c>
      <c r="X321" t="s">
        <v>40</v>
      </c>
      <c r="Y321" t="s">
        <v>1652</v>
      </c>
      <c r="Z321" s="5" t="s">
        <v>518</v>
      </c>
    </row>
    <row r="322" spans="1:26" ht="13.8" customHeight="1" x14ac:dyDescent="0.3">
      <c r="A322" t="s">
        <v>1665</v>
      </c>
      <c r="B322" t="s">
        <v>1666</v>
      </c>
      <c r="C322" t="s">
        <v>1623</v>
      </c>
      <c r="D322" t="s">
        <v>522</v>
      </c>
      <c r="E322" t="s">
        <v>1587</v>
      </c>
      <c r="F322" t="s">
        <v>515</v>
      </c>
      <c r="G322" t="s">
        <v>1580</v>
      </c>
      <c r="H322" t="s">
        <v>31</v>
      </c>
      <c r="I322" t="s">
        <v>32</v>
      </c>
      <c r="J322" t="s">
        <v>1011</v>
      </c>
      <c r="K322" t="s">
        <v>34</v>
      </c>
      <c r="L322" t="s">
        <v>466</v>
      </c>
      <c r="M322" t="s">
        <v>65</v>
      </c>
      <c r="N322" t="s">
        <v>37</v>
      </c>
      <c r="O322" s="6">
        <v>652500</v>
      </c>
      <c r="P322" s="2">
        <v>63000</v>
      </c>
      <c r="Q322" s="2">
        <v>63000</v>
      </c>
      <c r="R322" t="s">
        <v>950</v>
      </c>
      <c r="S322" t="s">
        <v>38</v>
      </c>
      <c r="T322">
        <v>100</v>
      </c>
      <c r="U322" t="s">
        <v>1667</v>
      </c>
      <c r="V322" t="s">
        <v>40</v>
      </c>
      <c r="W322" t="s">
        <v>40</v>
      </c>
      <c r="X322" t="s">
        <v>40</v>
      </c>
      <c r="Y322" t="s">
        <v>1652</v>
      </c>
      <c r="Z322" s="5" t="s">
        <v>518</v>
      </c>
    </row>
    <row r="323" spans="1:26" ht="13.8" customHeight="1" x14ac:dyDescent="0.3">
      <c r="A323" s="1">
        <v>46087.658333333333</v>
      </c>
      <c r="B323" t="s">
        <v>1668</v>
      </c>
      <c r="C323" t="s">
        <v>1623</v>
      </c>
      <c r="D323" t="s">
        <v>522</v>
      </c>
      <c r="E323" t="s">
        <v>1669</v>
      </c>
      <c r="F323" t="s">
        <v>515</v>
      </c>
      <c r="G323" t="s">
        <v>1580</v>
      </c>
      <c r="H323" t="s">
        <v>31</v>
      </c>
      <c r="I323" t="s">
        <v>32</v>
      </c>
      <c r="J323" t="s">
        <v>1011</v>
      </c>
      <c r="K323" t="s">
        <v>34</v>
      </c>
      <c r="L323" t="s">
        <v>466</v>
      </c>
      <c r="M323" t="s">
        <v>65</v>
      </c>
      <c r="N323" t="s">
        <v>37</v>
      </c>
      <c r="O323" s="6">
        <v>580000</v>
      </c>
      <c r="P323" s="2">
        <v>56000</v>
      </c>
      <c r="Q323" s="2">
        <v>56000</v>
      </c>
      <c r="R323" s="3">
        <v>46087</v>
      </c>
      <c r="S323" t="s">
        <v>38</v>
      </c>
      <c r="T323">
        <v>100</v>
      </c>
      <c r="U323" t="s">
        <v>1670</v>
      </c>
      <c r="V323" t="s">
        <v>40</v>
      </c>
      <c r="W323" t="s">
        <v>40</v>
      </c>
      <c r="X323" t="s">
        <v>40</v>
      </c>
      <c r="Y323" t="s">
        <v>1671</v>
      </c>
      <c r="Z323" s="5" t="s">
        <v>518</v>
      </c>
    </row>
    <row r="324" spans="1:26" ht="13.8" customHeight="1" x14ac:dyDescent="0.3">
      <c r="A324" s="1">
        <v>46087.659722222219</v>
      </c>
      <c r="B324" t="s">
        <v>1672</v>
      </c>
      <c r="C324" t="s">
        <v>521</v>
      </c>
      <c r="D324" t="s">
        <v>522</v>
      </c>
      <c r="E324" t="s">
        <v>1596</v>
      </c>
      <c r="F324" t="s">
        <v>515</v>
      </c>
      <c r="G324" t="s">
        <v>1580</v>
      </c>
      <c r="H324" t="s">
        <v>31</v>
      </c>
      <c r="I324" t="s">
        <v>32</v>
      </c>
      <c r="J324" t="s">
        <v>1011</v>
      </c>
      <c r="K324" t="s">
        <v>34</v>
      </c>
      <c r="L324" t="s">
        <v>466</v>
      </c>
      <c r="M324" t="s">
        <v>65</v>
      </c>
      <c r="N324" t="s">
        <v>37</v>
      </c>
      <c r="O324" s="6">
        <v>72500</v>
      </c>
      <c r="P324" s="2">
        <v>7000</v>
      </c>
      <c r="Q324" s="2">
        <v>7000</v>
      </c>
      <c r="R324" s="3">
        <v>46087</v>
      </c>
      <c r="S324" t="s">
        <v>38</v>
      </c>
      <c r="T324">
        <v>100</v>
      </c>
      <c r="U324" t="s">
        <v>1673</v>
      </c>
      <c r="V324" t="s">
        <v>40</v>
      </c>
      <c r="W324" t="s">
        <v>40</v>
      </c>
      <c r="X324" t="s">
        <v>40</v>
      </c>
      <c r="Y324" t="s">
        <v>1674</v>
      </c>
      <c r="Z324" s="5" t="s">
        <v>518</v>
      </c>
    </row>
    <row r="325" spans="1:26" ht="13.8" customHeight="1" x14ac:dyDescent="0.3">
      <c r="A325" s="1">
        <v>46087.84652777778</v>
      </c>
      <c r="B325" t="s">
        <v>1675</v>
      </c>
      <c r="C325" t="s">
        <v>521</v>
      </c>
      <c r="D325" t="s">
        <v>522</v>
      </c>
      <c r="E325" t="s">
        <v>1602</v>
      </c>
      <c r="F325" t="s">
        <v>515</v>
      </c>
      <c r="G325" t="s">
        <v>1580</v>
      </c>
      <c r="H325" t="s">
        <v>31</v>
      </c>
      <c r="I325" t="s">
        <v>32</v>
      </c>
      <c r="J325" t="s">
        <v>1011</v>
      </c>
      <c r="K325" t="s">
        <v>34</v>
      </c>
      <c r="L325" t="s">
        <v>466</v>
      </c>
      <c r="M325" t="s">
        <v>65</v>
      </c>
      <c r="N325" t="s">
        <v>37</v>
      </c>
      <c r="O325" s="6">
        <v>145000</v>
      </c>
      <c r="P325" s="2">
        <v>14000</v>
      </c>
      <c r="Q325" s="2">
        <v>14000</v>
      </c>
      <c r="R325" s="3">
        <v>46087</v>
      </c>
      <c r="S325" t="s">
        <v>38</v>
      </c>
      <c r="T325">
        <v>100</v>
      </c>
      <c r="U325" t="s">
        <v>1676</v>
      </c>
      <c r="V325" t="s">
        <v>40</v>
      </c>
      <c r="W325" t="s">
        <v>40</v>
      </c>
      <c r="X325" t="s">
        <v>40</v>
      </c>
      <c r="Y325" t="s">
        <v>1677</v>
      </c>
      <c r="Z325" s="5" t="s">
        <v>518</v>
      </c>
    </row>
    <row r="326" spans="1:26" ht="13.8" customHeight="1" x14ac:dyDescent="0.3">
      <c r="A326" s="1">
        <v>46332.603472222225</v>
      </c>
      <c r="B326" t="s">
        <v>1678</v>
      </c>
      <c r="C326" t="s">
        <v>1623</v>
      </c>
      <c r="D326" t="s">
        <v>522</v>
      </c>
      <c r="E326" t="s">
        <v>1641</v>
      </c>
      <c r="F326" t="s">
        <v>515</v>
      </c>
      <c r="G326" t="s">
        <v>1580</v>
      </c>
      <c r="H326" t="s">
        <v>31</v>
      </c>
      <c r="I326" t="s">
        <v>32</v>
      </c>
      <c r="J326" t="s">
        <v>1011</v>
      </c>
      <c r="K326" t="s">
        <v>34</v>
      </c>
      <c r="L326" t="s">
        <v>466</v>
      </c>
      <c r="M326" t="s">
        <v>65</v>
      </c>
      <c r="N326" t="s">
        <v>37</v>
      </c>
      <c r="O326" s="6">
        <v>725000</v>
      </c>
      <c r="P326" s="2">
        <v>70000</v>
      </c>
      <c r="Q326" s="2">
        <v>70000</v>
      </c>
      <c r="R326" s="3">
        <v>46332</v>
      </c>
      <c r="S326" t="s">
        <v>38</v>
      </c>
      <c r="T326">
        <v>100</v>
      </c>
      <c r="U326" t="s">
        <v>1679</v>
      </c>
      <c r="V326" t="s">
        <v>40</v>
      </c>
      <c r="W326" t="s">
        <v>40</v>
      </c>
      <c r="X326" t="s">
        <v>40</v>
      </c>
      <c r="Y326" t="s">
        <v>1680</v>
      </c>
      <c r="Z326" s="5" t="s">
        <v>518</v>
      </c>
    </row>
    <row r="327" spans="1:26" ht="13.8" customHeight="1" x14ac:dyDescent="0.3">
      <c r="A327" s="1">
        <v>46332.612500000003</v>
      </c>
      <c r="B327" t="s">
        <v>1681</v>
      </c>
      <c r="C327" t="s">
        <v>521</v>
      </c>
      <c r="D327" t="s">
        <v>522</v>
      </c>
      <c r="E327" t="s">
        <v>1596</v>
      </c>
      <c r="F327" t="s">
        <v>515</v>
      </c>
      <c r="G327" t="s">
        <v>1580</v>
      </c>
      <c r="H327" t="s">
        <v>31</v>
      </c>
      <c r="I327" t="s">
        <v>32</v>
      </c>
      <c r="J327" t="s">
        <v>1011</v>
      </c>
      <c r="K327" t="s">
        <v>34</v>
      </c>
      <c r="L327" t="s">
        <v>466</v>
      </c>
      <c r="M327" t="s">
        <v>65</v>
      </c>
      <c r="N327" t="s">
        <v>37</v>
      </c>
      <c r="O327" s="6">
        <v>72500</v>
      </c>
      <c r="P327" s="2">
        <v>7000</v>
      </c>
      <c r="Q327" s="2">
        <v>7000</v>
      </c>
      <c r="R327" s="3">
        <v>46332</v>
      </c>
      <c r="S327" t="s">
        <v>38</v>
      </c>
      <c r="T327">
        <v>100</v>
      </c>
      <c r="U327" t="s">
        <v>1682</v>
      </c>
      <c r="V327" t="s">
        <v>40</v>
      </c>
      <c r="W327" t="s">
        <v>40</v>
      </c>
      <c r="X327" t="s">
        <v>40</v>
      </c>
      <c r="Y327" t="s">
        <v>1683</v>
      </c>
      <c r="Z327" s="5" t="s">
        <v>518</v>
      </c>
    </row>
    <row r="328" spans="1:26" ht="13.8" customHeight="1" x14ac:dyDescent="0.3">
      <c r="A328" s="1">
        <v>46362.603472222225</v>
      </c>
      <c r="B328" t="s">
        <v>1684</v>
      </c>
      <c r="C328" t="s">
        <v>1623</v>
      </c>
      <c r="D328" t="s">
        <v>522</v>
      </c>
      <c r="E328" t="s">
        <v>1685</v>
      </c>
      <c r="F328" t="s">
        <v>515</v>
      </c>
      <c r="G328" t="s">
        <v>1580</v>
      </c>
      <c r="H328" t="s">
        <v>31</v>
      </c>
      <c r="I328" t="s">
        <v>32</v>
      </c>
      <c r="J328" t="s">
        <v>1011</v>
      </c>
      <c r="K328" t="s">
        <v>34</v>
      </c>
      <c r="L328" t="s">
        <v>466</v>
      </c>
      <c r="M328" t="s">
        <v>65</v>
      </c>
      <c r="N328" t="s">
        <v>37</v>
      </c>
      <c r="O328" s="6">
        <v>72500</v>
      </c>
      <c r="P328" s="2">
        <v>7000</v>
      </c>
      <c r="Q328" s="2">
        <v>7000</v>
      </c>
      <c r="R328" s="3">
        <v>46362</v>
      </c>
      <c r="S328" t="s">
        <v>38</v>
      </c>
      <c r="T328">
        <v>100</v>
      </c>
      <c r="U328" t="s">
        <v>1686</v>
      </c>
      <c r="V328" t="s">
        <v>40</v>
      </c>
      <c r="W328" t="s">
        <v>40</v>
      </c>
      <c r="X328" t="s">
        <v>40</v>
      </c>
      <c r="Y328" t="s">
        <v>1687</v>
      </c>
      <c r="Z328" s="5" t="s">
        <v>518</v>
      </c>
    </row>
    <row r="329" spans="1:26" ht="13.8" customHeight="1" x14ac:dyDescent="0.3">
      <c r="A329" t="s">
        <v>1688</v>
      </c>
      <c r="B329" t="s">
        <v>1689</v>
      </c>
      <c r="C329" t="s">
        <v>521</v>
      </c>
      <c r="D329" t="s">
        <v>533</v>
      </c>
      <c r="E329" t="s">
        <v>1690</v>
      </c>
      <c r="F329" t="s">
        <v>515</v>
      </c>
      <c r="G329" t="s">
        <v>1580</v>
      </c>
      <c r="H329" t="s">
        <v>31</v>
      </c>
      <c r="I329" t="s">
        <v>32</v>
      </c>
      <c r="J329" t="s">
        <v>1011</v>
      </c>
      <c r="K329" t="s">
        <v>34</v>
      </c>
      <c r="L329" t="s">
        <v>466</v>
      </c>
      <c r="M329" t="s">
        <v>65</v>
      </c>
      <c r="N329" t="s">
        <v>37</v>
      </c>
      <c r="O329" s="6">
        <v>217500</v>
      </c>
      <c r="P329" s="2">
        <v>21000</v>
      </c>
      <c r="Q329">
        <v>0</v>
      </c>
      <c r="R329" t="s">
        <v>1212</v>
      </c>
      <c r="S329" t="s">
        <v>38</v>
      </c>
      <c r="T329">
        <v>100</v>
      </c>
      <c r="U329" t="s">
        <v>40</v>
      </c>
      <c r="V329" t="s">
        <v>40</v>
      </c>
      <c r="W329" t="s">
        <v>40</v>
      </c>
      <c r="X329" t="s">
        <v>40</v>
      </c>
      <c r="Y329" t="s">
        <v>1691</v>
      </c>
      <c r="Z329" s="5" t="s">
        <v>518</v>
      </c>
    </row>
    <row r="330" spans="1:26" ht="13.8" customHeight="1" x14ac:dyDescent="0.3">
      <c r="A330" t="s">
        <v>1692</v>
      </c>
      <c r="B330" t="s">
        <v>1693</v>
      </c>
      <c r="C330" t="s">
        <v>521</v>
      </c>
      <c r="D330" t="s">
        <v>522</v>
      </c>
      <c r="E330" t="s">
        <v>1694</v>
      </c>
      <c r="F330" t="s">
        <v>515</v>
      </c>
      <c r="G330" t="s">
        <v>1580</v>
      </c>
      <c r="H330" t="s">
        <v>31</v>
      </c>
      <c r="I330" t="s">
        <v>32</v>
      </c>
      <c r="J330" t="s">
        <v>1011</v>
      </c>
      <c r="K330" t="s">
        <v>34</v>
      </c>
      <c r="L330" t="s">
        <v>466</v>
      </c>
      <c r="M330" t="s">
        <v>65</v>
      </c>
      <c r="N330" t="s">
        <v>37</v>
      </c>
      <c r="O330" s="6">
        <v>72500</v>
      </c>
      <c r="P330" s="2">
        <v>7000</v>
      </c>
      <c r="Q330">
        <v>0</v>
      </c>
      <c r="R330" t="s">
        <v>1212</v>
      </c>
      <c r="S330" t="s">
        <v>38</v>
      </c>
      <c r="T330">
        <v>100</v>
      </c>
      <c r="U330" t="s">
        <v>40</v>
      </c>
      <c r="V330" t="s">
        <v>40</v>
      </c>
      <c r="W330" t="s">
        <v>40</v>
      </c>
      <c r="X330" t="s">
        <v>40</v>
      </c>
      <c r="Y330" t="s">
        <v>1695</v>
      </c>
      <c r="Z330" s="5" t="s">
        <v>518</v>
      </c>
    </row>
    <row r="331" spans="1:26" ht="13.8" customHeight="1" x14ac:dyDescent="0.3">
      <c r="A331" t="s">
        <v>1696</v>
      </c>
      <c r="B331" t="s">
        <v>1697</v>
      </c>
      <c r="C331" t="s">
        <v>651</v>
      </c>
      <c r="D331" t="s">
        <v>659</v>
      </c>
      <c r="E331" t="s">
        <v>466</v>
      </c>
      <c r="F331" t="s">
        <v>654</v>
      </c>
      <c r="G331" t="s">
        <v>1698</v>
      </c>
      <c r="H331" t="s">
        <v>31</v>
      </c>
      <c r="I331" t="s">
        <v>32</v>
      </c>
      <c r="J331" t="s">
        <v>1011</v>
      </c>
      <c r="K331" t="s">
        <v>34</v>
      </c>
      <c r="L331" t="s">
        <v>466</v>
      </c>
      <c r="M331" t="s">
        <v>54</v>
      </c>
      <c r="N331" t="s">
        <v>37</v>
      </c>
      <c r="O331" s="6">
        <v>230000</v>
      </c>
      <c r="P331" s="2">
        <v>10000</v>
      </c>
      <c r="Q331" s="2">
        <v>7000</v>
      </c>
      <c r="R331" s="3">
        <v>46270</v>
      </c>
      <c r="S331" t="s">
        <v>38</v>
      </c>
      <c r="T331">
        <v>80</v>
      </c>
      <c r="U331" t="s">
        <v>1699</v>
      </c>
      <c r="V331" t="s">
        <v>40</v>
      </c>
      <c r="W331" t="s">
        <v>40</v>
      </c>
      <c r="X331" t="s">
        <v>40</v>
      </c>
      <c r="Y331" t="s">
        <v>40</v>
      </c>
      <c r="Z331" s="5" t="s">
        <v>297</v>
      </c>
    </row>
    <row r="332" spans="1:26" ht="13.8" customHeight="1" x14ac:dyDescent="0.3">
      <c r="A332" t="s">
        <v>1700</v>
      </c>
      <c r="B332" t="s">
        <v>1701</v>
      </c>
      <c r="C332" t="s">
        <v>1702</v>
      </c>
      <c r="D332" t="s">
        <v>1703</v>
      </c>
      <c r="E332" t="s">
        <v>1704</v>
      </c>
      <c r="F332" t="s">
        <v>654</v>
      </c>
      <c r="G332" t="s">
        <v>1698</v>
      </c>
      <c r="H332" t="s">
        <v>31</v>
      </c>
      <c r="I332" t="s">
        <v>32</v>
      </c>
      <c r="J332" t="s">
        <v>1011</v>
      </c>
      <c r="K332" t="s">
        <v>34</v>
      </c>
      <c r="L332" t="s">
        <v>1442</v>
      </c>
      <c r="M332" t="s">
        <v>1482</v>
      </c>
      <c r="N332" t="s">
        <v>37</v>
      </c>
      <c r="O332" s="6">
        <v>6000</v>
      </c>
      <c r="P332">
        <v>100</v>
      </c>
      <c r="Q332" s="2">
        <v>1000</v>
      </c>
      <c r="R332" t="s">
        <v>1226</v>
      </c>
      <c r="S332" t="s">
        <v>38</v>
      </c>
      <c r="T332">
        <v>100</v>
      </c>
      <c r="U332" t="s">
        <v>1705</v>
      </c>
      <c r="V332" t="s">
        <v>40</v>
      </c>
      <c r="W332" t="s">
        <v>40</v>
      </c>
      <c r="X332" t="s">
        <v>40</v>
      </c>
      <c r="Y332" t="s">
        <v>40</v>
      </c>
      <c r="Z332" s="5" t="s">
        <v>297</v>
      </c>
    </row>
    <row r="333" spans="1:26" ht="13.8" customHeight="1" x14ac:dyDescent="0.3">
      <c r="A333" t="s">
        <v>1706</v>
      </c>
      <c r="B333" t="s">
        <v>1707</v>
      </c>
      <c r="C333" t="s">
        <v>1708</v>
      </c>
      <c r="D333" t="s">
        <v>1709</v>
      </c>
      <c r="E333" t="s">
        <v>1710</v>
      </c>
      <c r="F333" t="s">
        <v>654</v>
      </c>
      <c r="G333" t="s">
        <v>1698</v>
      </c>
      <c r="H333" t="s">
        <v>31</v>
      </c>
      <c r="I333" t="s">
        <v>32</v>
      </c>
      <c r="J333" t="s">
        <v>1011</v>
      </c>
      <c r="K333" t="s">
        <v>34</v>
      </c>
      <c r="L333" t="s">
        <v>1442</v>
      </c>
      <c r="M333" t="s">
        <v>1711</v>
      </c>
      <c r="N333" t="s">
        <v>37</v>
      </c>
      <c r="O333" s="6">
        <v>847460</v>
      </c>
      <c r="P333" s="2">
        <v>100000</v>
      </c>
      <c r="Q333">
        <v>0</v>
      </c>
      <c r="R333" t="s">
        <v>263</v>
      </c>
      <c r="S333" t="s">
        <v>38</v>
      </c>
      <c r="T333">
        <v>100</v>
      </c>
      <c r="U333" t="s">
        <v>1712</v>
      </c>
      <c r="V333" t="s">
        <v>40</v>
      </c>
      <c r="W333" t="s">
        <v>40</v>
      </c>
      <c r="X333" t="s">
        <v>40</v>
      </c>
      <c r="Y333" t="s">
        <v>40</v>
      </c>
      <c r="Z333" s="5" t="s">
        <v>297</v>
      </c>
    </row>
    <row r="334" spans="1:26" ht="13.8" customHeight="1" x14ac:dyDescent="0.3">
      <c r="A334" t="s">
        <v>1713</v>
      </c>
      <c r="B334" t="s">
        <v>1714</v>
      </c>
      <c r="C334" t="s">
        <v>1715</v>
      </c>
      <c r="D334" t="s">
        <v>1716</v>
      </c>
      <c r="E334" t="s">
        <v>35</v>
      </c>
      <c r="F334" t="s">
        <v>654</v>
      </c>
      <c r="G334" t="s">
        <v>1698</v>
      </c>
      <c r="H334" t="s">
        <v>31</v>
      </c>
      <c r="I334" t="s">
        <v>32</v>
      </c>
      <c r="J334" t="s">
        <v>1011</v>
      </c>
      <c r="K334" t="s">
        <v>34</v>
      </c>
      <c r="L334" t="s">
        <v>1442</v>
      </c>
      <c r="M334" t="s">
        <v>65</v>
      </c>
      <c r="N334" t="s">
        <v>37</v>
      </c>
      <c r="O334" s="6">
        <v>830800</v>
      </c>
      <c r="P334" s="2">
        <v>10000</v>
      </c>
      <c r="Q334" s="2">
        <v>63732.06</v>
      </c>
      <c r="R334" t="s">
        <v>1212</v>
      </c>
      <c r="S334" t="s">
        <v>38</v>
      </c>
      <c r="T334">
        <v>80</v>
      </c>
      <c r="U334" t="s">
        <v>1717</v>
      </c>
      <c r="V334" t="s">
        <v>40</v>
      </c>
      <c r="W334" t="s">
        <v>40</v>
      </c>
      <c r="X334" t="s">
        <v>40</v>
      </c>
      <c r="Y334" t="s">
        <v>40</v>
      </c>
      <c r="Z334" s="5" t="s">
        <v>297</v>
      </c>
    </row>
    <row r="335" spans="1:26" ht="13.8" customHeight="1" x14ac:dyDescent="0.3">
      <c r="A335" t="s">
        <v>1718</v>
      </c>
      <c r="B335" t="s">
        <v>1719</v>
      </c>
      <c r="C335" t="s">
        <v>1720</v>
      </c>
      <c r="D335" t="s">
        <v>1721</v>
      </c>
      <c r="E335" t="s">
        <v>1722</v>
      </c>
      <c r="F335" t="s">
        <v>1723</v>
      </c>
      <c r="G335" t="s">
        <v>1724</v>
      </c>
      <c r="H335" t="s">
        <v>31</v>
      </c>
      <c r="I335" t="s">
        <v>32</v>
      </c>
      <c r="J335" t="s">
        <v>1011</v>
      </c>
      <c r="K335" t="s">
        <v>34</v>
      </c>
      <c r="L335" t="s">
        <v>35</v>
      </c>
      <c r="M335" t="s">
        <v>326</v>
      </c>
      <c r="N335" t="s">
        <v>37</v>
      </c>
      <c r="O335" s="6">
        <v>7600</v>
      </c>
      <c r="P335" s="2">
        <v>1000</v>
      </c>
      <c r="Q335" s="2">
        <v>1244.07</v>
      </c>
      <c r="R335" t="s">
        <v>1042</v>
      </c>
      <c r="S335" t="s">
        <v>38</v>
      </c>
      <c r="T335">
        <v>100</v>
      </c>
      <c r="U335" t="s">
        <v>1725</v>
      </c>
      <c r="V335" t="s">
        <v>40</v>
      </c>
      <c r="W335" t="s">
        <v>40</v>
      </c>
      <c r="X335" t="s">
        <v>40</v>
      </c>
      <c r="Y335" t="s">
        <v>40</v>
      </c>
      <c r="Z335" s="5" t="s">
        <v>297</v>
      </c>
    </row>
    <row r="336" spans="1:26" ht="13.8" customHeight="1" x14ac:dyDescent="0.3">
      <c r="A336" t="s">
        <v>1726</v>
      </c>
      <c r="B336" t="s">
        <v>1727</v>
      </c>
      <c r="C336" t="s">
        <v>1728</v>
      </c>
      <c r="D336" t="s">
        <v>1729</v>
      </c>
      <c r="E336" t="s">
        <v>1730</v>
      </c>
      <c r="F336" t="s">
        <v>1731</v>
      </c>
      <c r="G336" t="s">
        <v>1731</v>
      </c>
      <c r="H336" t="s">
        <v>31</v>
      </c>
      <c r="I336" t="s">
        <v>32</v>
      </c>
      <c r="J336" t="s">
        <v>33</v>
      </c>
      <c r="K336" t="s">
        <v>34</v>
      </c>
      <c r="L336" t="s">
        <v>466</v>
      </c>
      <c r="M336" t="s">
        <v>399</v>
      </c>
      <c r="N336" t="s">
        <v>37</v>
      </c>
      <c r="O336" s="6">
        <v>261350</v>
      </c>
      <c r="P336" s="2">
        <v>13350</v>
      </c>
      <c r="Q336">
        <v>0</v>
      </c>
      <c r="R336" t="s">
        <v>632</v>
      </c>
      <c r="S336" t="s">
        <v>581</v>
      </c>
      <c r="T336">
        <v>50</v>
      </c>
      <c r="U336" t="s">
        <v>1732</v>
      </c>
      <c r="V336" t="s">
        <v>40</v>
      </c>
      <c r="W336" t="s">
        <v>40</v>
      </c>
      <c r="X336" t="s">
        <v>40</v>
      </c>
      <c r="Y336" t="s">
        <v>40</v>
      </c>
      <c r="Z336" s="5" t="s">
        <v>225</v>
      </c>
    </row>
    <row r="337" spans="1:26" ht="13.8" customHeight="1" x14ac:dyDescent="0.3">
      <c r="A337" s="1">
        <v>46059.597222222219</v>
      </c>
      <c r="B337" t="s">
        <v>1733</v>
      </c>
      <c r="C337" t="s">
        <v>1734</v>
      </c>
      <c r="D337" t="s">
        <v>1735</v>
      </c>
      <c r="E337" t="s">
        <v>1736</v>
      </c>
      <c r="F337" t="s">
        <v>1731</v>
      </c>
      <c r="G337" t="s">
        <v>1731</v>
      </c>
      <c r="H337" t="s">
        <v>31</v>
      </c>
      <c r="I337" t="s">
        <v>32</v>
      </c>
      <c r="J337" t="s">
        <v>33</v>
      </c>
      <c r="K337" t="s">
        <v>34</v>
      </c>
      <c r="L337" t="s">
        <v>35</v>
      </c>
      <c r="M337" t="s">
        <v>65</v>
      </c>
      <c r="N337" t="s">
        <v>37</v>
      </c>
      <c r="O337" s="6">
        <v>355850</v>
      </c>
      <c r="P337" s="2">
        <v>22550</v>
      </c>
      <c r="Q337" s="2">
        <v>22550</v>
      </c>
      <c r="R337" s="3">
        <v>46087</v>
      </c>
      <c r="S337" t="s">
        <v>38</v>
      </c>
      <c r="T337">
        <v>100</v>
      </c>
      <c r="U337" t="s">
        <v>1737</v>
      </c>
      <c r="V337" t="s">
        <v>40</v>
      </c>
      <c r="W337" t="s">
        <v>40</v>
      </c>
      <c r="X337" t="s">
        <v>40</v>
      </c>
      <c r="Y337" t="s">
        <v>40</v>
      </c>
      <c r="Z337" s="5" t="s">
        <v>225</v>
      </c>
    </row>
    <row r="338" spans="1:26" ht="13.8" customHeight="1" x14ac:dyDescent="0.3">
      <c r="A338" s="1">
        <v>46271.50277777778</v>
      </c>
      <c r="B338" t="s">
        <v>1738</v>
      </c>
      <c r="C338" t="s">
        <v>1734</v>
      </c>
      <c r="D338" t="s">
        <v>1735</v>
      </c>
      <c r="E338" t="s">
        <v>1739</v>
      </c>
      <c r="F338" t="s">
        <v>1731</v>
      </c>
      <c r="G338" t="s">
        <v>1731</v>
      </c>
      <c r="H338" t="s">
        <v>31</v>
      </c>
      <c r="I338" t="s">
        <v>32</v>
      </c>
      <c r="J338" t="s">
        <v>33</v>
      </c>
      <c r="K338" t="s">
        <v>34</v>
      </c>
      <c r="L338" t="s">
        <v>288</v>
      </c>
      <c r="M338" t="s">
        <v>65</v>
      </c>
      <c r="N338" t="s">
        <v>37</v>
      </c>
      <c r="O338" s="6">
        <v>1548000</v>
      </c>
      <c r="P338" s="2">
        <v>360000</v>
      </c>
      <c r="Q338">
        <v>0</v>
      </c>
      <c r="R338" t="s">
        <v>1146</v>
      </c>
      <c r="S338" t="s">
        <v>38</v>
      </c>
      <c r="T338">
        <v>100</v>
      </c>
      <c r="U338" t="s">
        <v>40</v>
      </c>
      <c r="V338" t="s">
        <v>40</v>
      </c>
      <c r="W338" t="s">
        <v>40</v>
      </c>
      <c r="X338" t="s">
        <v>40</v>
      </c>
      <c r="Y338" t="s">
        <v>40</v>
      </c>
      <c r="Z338" s="5" t="s">
        <v>225</v>
      </c>
    </row>
    <row r="339" spans="1:26" ht="13.8" customHeight="1" x14ac:dyDescent="0.3">
      <c r="A339" s="1">
        <v>46026.671527777777</v>
      </c>
      <c r="B339" t="s">
        <v>1740</v>
      </c>
      <c r="C339" t="s">
        <v>388</v>
      </c>
      <c r="D339" t="s">
        <v>389</v>
      </c>
      <c r="E339" t="s">
        <v>1741</v>
      </c>
      <c r="F339" t="s">
        <v>382</v>
      </c>
      <c r="G339" t="s">
        <v>382</v>
      </c>
      <c r="H339" t="s">
        <v>31</v>
      </c>
      <c r="I339" t="s">
        <v>32</v>
      </c>
      <c r="J339" t="s">
        <v>33</v>
      </c>
      <c r="K339" t="s">
        <v>34</v>
      </c>
      <c r="L339" t="s">
        <v>466</v>
      </c>
      <c r="M339" t="s">
        <v>54</v>
      </c>
      <c r="N339" t="s">
        <v>37</v>
      </c>
      <c r="O339" s="6">
        <v>72542</v>
      </c>
      <c r="P339" s="2">
        <v>1567</v>
      </c>
      <c r="Q339" s="2">
        <v>1567.42</v>
      </c>
      <c r="R339" s="3">
        <v>46026</v>
      </c>
      <c r="S339" t="s">
        <v>38</v>
      </c>
      <c r="T339">
        <v>100</v>
      </c>
      <c r="U339" t="s">
        <v>1742</v>
      </c>
      <c r="V339" t="s">
        <v>40</v>
      </c>
      <c r="W339" t="s">
        <v>40</v>
      </c>
      <c r="X339" t="s">
        <v>40</v>
      </c>
      <c r="Y339" t="s">
        <v>1743</v>
      </c>
      <c r="Z339" s="5" t="s">
        <v>42</v>
      </c>
    </row>
    <row r="340" spans="1:26" ht="13.8" customHeight="1" x14ac:dyDescent="0.3">
      <c r="A340" t="s">
        <v>1744</v>
      </c>
      <c r="B340" t="s">
        <v>1745</v>
      </c>
      <c r="C340" t="s">
        <v>388</v>
      </c>
      <c r="D340" t="s">
        <v>389</v>
      </c>
      <c r="E340" t="s">
        <v>1746</v>
      </c>
      <c r="F340" t="s">
        <v>382</v>
      </c>
      <c r="G340" t="s">
        <v>382</v>
      </c>
      <c r="H340" t="s">
        <v>31</v>
      </c>
      <c r="I340" t="s">
        <v>32</v>
      </c>
      <c r="J340" t="s">
        <v>33</v>
      </c>
      <c r="K340" t="s">
        <v>34</v>
      </c>
      <c r="L340" t="s">
        <v>466</v>
      </c>
      <c r="M340" t="s">
        <v>54</v>
      </c>
      <c r="N340" t="s">
        <v>37</v>
      </c>
      <c r="O340" s="6">
        <v>180250</v>
      </c>
      <c r="P340" s="2">
        <v>5250</v>
      </c>
      <c r="Q340" s="2">
        <v>5250</v>
      </c>
      <c r="R340" t="s">
        <v>565</v>
      </c>
      <c r="S340" t="s">
        <v>38</v>
      </c>
      <c r="T340">
        <v>100</v>
      </c>
      <c r="U340" t="s">
        <v>1747</v>
      </c>
      <c r="V340" t="s">
        <v>40</v>
      </c>
      <c r="W340" t="s">
        <v>40</v>
      </c>
      <c r="X340" t="s">
        <v>40</v>
      </c>
      <c r="Y340" t="s">
        <v>1748</v>
      </c>
      <c r="Z340" s="5" t="s">
        <v>42</v>
      </c>
    </row>
    <row r="341" spans="1:26" ht="13.8" customHeight="1" x14ac:dyDescent="0.3">
      <c r="A341" t="s">
        <v>1749</v>
      </c>
      <c r="B341" t="s">
        <v>1750</v>
      </c>
      <c r="C341" t="s">
        <v>1751</v>
      </c>
      <c r="D341" t="s">
        <v>1752</v>
      </c>
      <c r="E341" t="s">
        <v>35</v>
      </c>
      <c r="F341" t="s">
        <v>382</v>
      </c>
      <c r="G341" t="s">
        <v>382</v>
      </c>
      <c r="H341" t="s">
        <v>31</v>
      </c>
      <c r="I341" t="s">
        <v>32</v>
      </c>
      <c r="J341" t="s">
        <v>33</v>
      </c>
      <c r="K341" t="s">
        <v>34</v>
      </c>
      <c r="L341" t="s">
        <v>35</v>
      </c>
      <c r="M341" t="s">
        <v>36</v>
      </c>
      <c r="N341" t="s">
        <v>37</v>
      </c>
      <c r="O341" s="6">
        <v>5180</v>
      </c>
      <c r="P341" s="2">
        <v>1380</v>
      </c>
      <c r="Q341" s="2">
        <v>1080</v>
      </c>
      <c r="R341" t="s">
        <v>66</v>
      </c>
      <c r="S341" t="s">
        <v>38</v>
      </c>
      <c r="T341">
        <v>100</v>
      </c>
      <c r="U341" t="s">
        <v>1753</v>
      </c>
      <c r="V341" t="s">
        <v>40</v>
      </c>
      <c r="W341" t="s">
        <v>40</v>
      </c>
      <c r="X341" t="s">
        <v>40</v>
      </c>
      <c r="Y341" t="s">
        <v>1754</v>
      </c>
      <c r="Z341" s="5" t="s">
        <v>42</v>
      </c>
    </row>
    <row r="342" spans="1:26" ht="13.8" customHeight="1" x14ac:dyDescent="0.3">
      <c r="A342" t="s">
        <v>1755</v>
      </c>
      <c r="B342" t="s">
        <v>1756</v>
      </c>
      <c r="C342" t="s">
        <v>388</v>
      </c>
      <c r="D342" t="s">
        <v>389</v>
      </c>
      <c r="E342" t="s">
        <v>1757</v>
      </c>
      <c r="F342" t="s">
        <v>382</v>
      </c>
      <c r="G342" t="s">
        <v>382</v>
      </c>
      <c r="H342" t="s">
        <v>31</v>
      </c>
      <c r="I342" t="s">
        <v>32</v>
      </c>
      <c r="J342" t="s">
        <v>33</v>
      </c>
      <c r="K342" t="s">
        <v>34</v>
      </c>
      <c r="L342" t="s">
        <v>53</v>
      </c>
      <c r="M342" t="s">
        <v>65</v>
      </c>
      <c r="N342" t="s">
        <v>37</v>
      </c>
      <c r="O342" s="6">
        <v>163315</v>
      </c>
      <c r="P342" s="2">
        <v>7699.4</v>
      </c>
      <c r="Q342" s="2">
        <v>9093.4699999999993</v>
      </c>
      <c r="R342" t="s">
        <v>747</v>
      </c>
      <c r="S342" t="s">
        <v>38</v>
      </c>
      <c r="T342">
        <v>100</v>
      </c>
      <c r="U342" t="s">
        <v>1758</v>
      </c>
      <c r="V342" t="s">
        <v>40</v>
      </c>
      <c r="W342" t="s">
        <v>40</v>
      </c>
      <c r="X342" t="s">
        <v>40</v>
      </c>
      <c r="Y342" t="s">
        <v>1759</v>
      </c>
      <c r="Z342" s="5" t="s">
        <v>42</v>
      </c>
    </row>
    <row r="343" spans="1:26" ht="13.8" customHeight="1" x14ac:dyDescent="0.3">
      <c r="A343" t="s">
        <v>1760</v>
      </c>
      <c r="B343" t="s">
        <v>1761</v>
      </c>
      <c r="C343" t="s">
        <v>457</v>
      </c>
      <c r="D343" t="s">
        <v>458</v>
      </c>
      <c r="E343" t="s">
        <v>1762</v>
      </c>
      <c r="F343" t="s">
        <v>382</v>
      </c>
      <c r="G343" t="s">
        <v>382</v>
      </c>
      <c r="H343" t="s">
        <v>31</v>
      </c>
      <c r="I343" t="s">
        <v>32</v>
      </c>
      <c r="J343" t="s">
        <v>33</v>
      </c>
      <c r="K343" t="s">
        <v>990</v>
      </c>
      <c r="L343" t="s">
        <v>1410</v>
      </c>
      <c r="M343" t="s">
        <v>356</v>
      </c>
      <c r="N343" t="s">
        <v>37</v>
      </c>
      <c r="O343" s="6">
        <v>961984</v>
      </c>
      <c r="P343" s="2">
        <v>47592</v>
      </c>
      <c r="Q343" s="2">
        <v>23600</v>
      </c>
      <c r="R343" t="s">
        <v>123</v>
      </c>
      <c r="S343" t="s">
        <v>38</v>
      </c>
      <c r="T343">
        <v>100</v>
      </c>
      <c r="U343" t="s">
        <v>1763</v>
      </c>
      <c r="V343" t="s">
        <v>40</v>
      </c>
      <c r="W343" t="s">
        <v>40</v>
      </c>
      <c r="X343" t="s">
        <v>40</v>
      </c>
      <c r="Y343" s="4" t="s">
        <v>1764</v>
      </c>
      <c r="Z343" s="5" t="s">
        <v>42</v>
      </c>
    </row>
    <row r="344" spans="1:26" ht="13.8" customHeight="1" x14ac:dyDescent="0.3">
      <c r="A344" t="s">
        <v>1765</v>
      </c>
      <c r="B344" t="s">
        <v>1766</v>
      </c>
      <c r="C344" t="s">
        <v>457</v>
      </c>
      <c r="D344" t="s">
        <v>458</v>
      </c>
      <c r="E344" t="s">
        <v>1762</v>
      </c>
      <c r="F344" t="s">
        <v>382</v>
      </c>
      <c r="G344" t="s">
        <v>382</v>
      </c>
      <c r="H344" t="s">
        <v>31</v>
      </c>
      <c r="I344" t="s">
        <v>32</v>
      </c>
      <c r="J344" t="s">
        <v>33</v>
      </c>
      <c r="K344" t="s">
        <v>990</v>
      </c>
      <c r="L344" t="s">
        <v>1410</v>
      </c>
      <c r="M344" t="s">
        <v>356</v>
      </c>
      <c r="N344" t="s">
        <v>37</v>
      </c>
      <c r="O344" s="6">
        <v>961984</v>
      </c>
      <c r="P344" s="2">
        <v>47592</v>
      </c>
      <c r="Q344" s="2">
        <v>47592</v>
      </c>
      <c r="R344" t="s">
        <v>123</v>
      </c>
      <c r="S344" t="s">
        <v>38</v>
      </c>
      <c r="T344">
        <v>100</v>
      </c>
      <c r="U344" t="s">
        <v>1767</v>
      </c>
      <c r="V344" t="s">
        <v>40</v>
      </c>
      <c r="W344" t="s">
        <v>40</v>
      </c>
      <c r="X344" t="s">
        <v>40</v>
      </c>
      <c r="Y344" s="4" t="s">
        <v>1768</v>
      </c>
      <c r="Z344" s="5" t="s">
        <v>42</v>
      </c>
    </row>
    <row r="345" spans="1:26" ht="13.8" customHeight="1" x14ac:dyDescent="0.3">
      <c r="A345" t="s">
        <v>1769</v>
      </c>
      <c r="B345" t="s">
        <v>1770</v>
      </c>
      <c r="C345" t="s">
        <v>457</v>
      </c>
      <c r="D345" t="s">
        <v>458</v>
      </c>
      <c r="E345" t="s">
        <v>1762</v>
      </c>
      <c r="F345" t="s">
        <v>382</v>
      </c>
      <c r="G345" t="s">
        <v>382</v>
      </c>
      <c r="H345" t="s">
        <v>31</v>
      </c>
      <c r="I345" t="s">
        <v>32</v>
      </c>
      <c r="J345" t="s">
        <v>33</v>
      </c>
      <c r="K345" t="s">
        <v>990</v>
      </c>
      <c r="L345" t="s">
        <v>1410</v>
      </c>
      <c r="M345" t="s">
        <v>356</v>
      </c>
      <c r="N345" t="s">
        <v>37</v>
      </c>
      <c r="O345" s="6">
        <v>961984</v>
      </c>
      <c r="P345" s="2">
        <v>47592</v>
      </c>
      <c r="Q345" s="2">
        <v>23600</v>
      </c>
      <c r="R345" t="s">
        <v>123</v>
      </c>
      <c r="S345" t="s">
        <v>38</v>
      </c>
      <c r="T345">
        <v>100</v>
      </c>
      <c r="U345" t="s">
        <v>1771</v>
      </c>
      <c r="V345" t="s">
        <v>40</v>
      </c>
      <c r="W345" t="s">
        <v>40</v>
      </c>
      <c r="X345" t="s">
        <v>40</v>
      </c>
      <c r="Y345" s="4" t="s">
        <v>1772</v>
      </c>
      <c r="Z345" s="5" t="s">
        <v>42</v>
      </c>
    </row>
    <row r="346" spans="1:26" ht="13.8" customHeight="1" x14ac:dyDescent="0.3">
      <c r="A346" t="s">
        <v>1773</v>
      </c>
      <c r="B346" t="s">
        <v>1774</v>
      </c>
      <c r="C346" t="s">
        <v>457</v>
      </c>
      <c r="D346" t="s">
        <v>458</v>
      </c>
      <c r="E346" t="s">
        <v>1762</v>
      </c>
      <c r="F346" t="s">
        <v>382</v>
      </c>
      <c r="G346" t="s">
        <v>382</v>
      </c>
      <c r="H346" t="s">
        <v>31</v>
      </c>
      <c r="I346" t="s">
        <v>32</v>
      </c>
      <c r="J346" t="s">
        <v>33</v>
      </c>
      <c r="K346" t="s">
        <v>990</v>
      </c>
      <c r="L346" t="s">
        <v>1410</v>
      </c>
      <c r="M346" t="s">
        <v>356</v>
      </c>
      <c r="N346" t="s">
        <v>37</v>
      </c>
      <c r="O346" s="6">
        <v>961984</v>
      </c>
      <c r="P346" s="2">
        <v>47592</v>
      </c>
      <c r="Q346" s="2">
        <v>47592</v>
      </c>
      <c r="R346" t="s">
        <v>123</v>
      </c>
      <c r="S346" t="s">
        <v>38</v>
      </c>
      <c r="T346">
        <v>100</v>
      </c>
      <c r="U346" t="s">
        <v>1775</v>
      </c>
      <c r="V346" t="s">
        <v>40</v>
      </c>
      <c r="W346" t="s">
        <v>40</v>
      </c>
      <c r="X346" t="s">
        <v>40</v>
      </c>
      <c r="Y346" s="4" t="s">
        <v>1776</v>
      </c>
      <c r="Z346" s="5" t="s">
        <v>42</v>
      </c>
    </row>
    <row r="347" spans="1:26" ht="13.8" customHeight="1" x14ac:dyDescent="0.3">
      <c r="A347" t="s">
        <v>1777</v>
      </c>
      <c r="B347" t="s">
        <v>1778</v>
      </c>
      <c r="C347" t="s">
        <v>1779</v>
      </c>
      <c r="D347" t="s">
        <v>1780</v>
      </c>
      <c r="E347" t="s">
        <v>1781</v>
      </c>
      <c r="F347" t="s">
        <v>397</v>
      </c>
      <c r="G347" t="s">
        <v>397</v>
      </c>
      <c r="H347" t="s">
        <v>31</v>
      </c>
      <c r="I347" t="s">
        <v>32</v>
      </c>
      <c r="J347" t="s">
        <v>33</v>
      </c>
      <c r="K347" t="s">
        <v>34</v>
      </c>
      <c r="L347" t="s">
        <v>53</v>
      </c>
      <c r="M347" t="s">
        <v>399</v>
      </c>
      <c r="N347" t="s">
        <v>37</v>
      </c>
      <c r="O347" s="6">
        <v>30480000</v>
      </c>
      <c r="P347" s="2">
        <v>850000</v>
      </c>
      <c r="Q347">
        <v>0</v>
      </c>
      <c r="R347" s="3">
        <v>46239</v>
      </c>
      <c r="S347" t="s">
        <v>38</v>
      </c>
      <c r="T347">
        <v>50</v>
      </c>
      <c r="U347" t="s">
        <v>40</v>
      </c>
      <c r="V347" t="s">
        <v>40</v>
      </c>
      <c r="W347" t="s">
        <v>40</v>
      </c>
      <c r="X347" t="s">
        <v>40</v>
      </c>
      <c r="Y347" t="s">
        <v>40</v>
      </c>
      <c r="Z347" s="5" t="s">
        <v>42</v>
      </c>
    </row>
    <row r="348" spans="1:26" ht="13.8" customHeight="1" x14ac:dyDescent="0.3">
      <c r="A348" t="s">
        <v>1782</v>
      </c>
      <c r="B348" t="s">
        <v>1783</v>
      </c>
      <c r="C348" t="s">
        <v>651</v>
      </c>
      <c r="D348" t="s">
        <v>659</v>
      </c>
      <c r="E348" t="s">
        <v>466</v>
      </c>
      <c r="F348" t="s">
        <v>654</v>
      </c>
      <c r="G348" t="s">
        <v>654</v>
      </c>
      <c r="H348" t="s">
        <v>31</v>
      </c>
      <c r="I348" t="s">
        <v>32</v>
      </c>
      <c r="J348" t="s">
        <v>33</v>
      </c>
      <c r="K348" t="s">
        <v>34</v>
      </c>
      <c r="L348" t="s">
        <v>466</v>
      </c>
      <c r="M348" t="s">
        <v>54</v>
      </c>
      <c r="N348" t="s">
        <v>37</v>
      </c>
      <c r="O348" s="6">
        <v>230000</v>
      </c>
      <c r="P348" s="2">
        <v>15000</v>
      </c>
      <c r="Q348" s="2">
        <v>15000</v>
      </c>
      <c r="R348" t="s">
        <v>876</v>
      </c>
      <c r="S348" t="s">
        <v>38</v>
      </c>
      <c r="T348">
        <v>90</v>
      </c>
      <c r="U348" t="s">
        <v>1784</v>
      </c>
      <c r="V348" t="s">
        <v>40</v>
      </c>
      <c r="W348" t="s">
        <v>40</v>
      </c>
      <c r="X348" t="s">
        <v>40</v>
      </c>
      <c r="Y348" t="s">
        <v>40</v>
      </c>
      <c r="Z348" s="5" t="s">
        <v>297</v>
      </c>
    </row>
    <row r="349" spans="1:26" ht="13.8" customHeight="1" x14ac:dyDescent="0.3">
      <c r="A349" t="s">
        <v>1785</v>
      </c>
      <c r="B349" t="s">
        <v>1786</v>
      </c>
      <c r="C349" t="s">
        <v>783</v>
      </c>
      <c r="D349" t="s">
        <v>784</v>
      </c>
      <c r="E349" t="s">
        <v>1787</v>
      </c>
      <c r="F349" t="s">
        <v>630</v>
      </c>
      <c r="G349" t="s">
        <v>1788</v>
      </c>
      <c r="H349" t="s">
        <v>31</v>
      </c>
      <c r="I349" t="s">
        <v>32</v>
      </c>
      <c r="J349" t="s">
        <v>407</v>
      </c>
      <c r="K349" t="s">
        <v>34</v>
      </c>
      <c r="L349" t="s">
        <v>489</v>
      </c>
      <c r="M349" t="s">
        <v>36</v>
      </c>
      <c r="N349" t="s">
        <v>37</v>
      </c>
      <c r="O349" s="6">
        <v>674901.69</v>
      </c>
      <c r="P349" s="2">
        <v>39401.69</v>
      </c>
      <c r="Q349" s="2">
        <v>39401.82</v>
      </c>
      <c r="R349" t="s">
        <v>724</v>
      </c>
      <c r="S349" t="s">
        <v>38</v>
      </c>
      <c r="T349">
        <v>100</v>
      </c>
      <c r="U349" t="s">
        <v>1789</v>
      </c>
      <c r="V349" t="s">
        <v>40</v>
      </c>
      <c r="W349" t="s">
        <v>40</v>
      </c>
      <c r="X349" t="s">
        <v>40</v>
      </c>
      <c r="Y349" t="s">
        <v>40</v>
      </c>
      <c r="Z349" s="5" t="s">
        <v>246</v>
      </c>
    </row>
    <row r="350" spans="1:26" ht="13.8" customHeight="1" x14ac:dyDescent="0.3">
      <c r="A350" s="1">
        <v>46238.672222222223</v>
      </c>
      <c r="B350" t="s">
        <v>1790</v>
      </c>
      <c r="C350" t="s">
        <v>1720</v>
      </c>
      <c r="D350" t="s">
        <v>1721</v>
      </c>
      <c r="E350" t="s">
        <v>1791</v>
      </c>
      <c r="F350" t="s">
        <v>1723</v>
      </c>
      <c r="G350" t="s">
        <v>1723</v>
      </c>
      <c r="H350" t="s">
        <v>31</v>
      </c>
      <c r="I350" t="s">
        <v>32</v>
      </c>
      <c r="J350" t="s">
        <v>1792</v>
      </c>
      <c r="K350" t="s">
        <v>34</v>
      </c>
      <c r="L350" t="s">
        <v>35</v>
      </c>
      <c r="M350" t="s">
        <v>36</v>
      </c>
      <c r="N350" t="s">
        <v>37</v>
      </c>
      <c r="O350" s="6">
        <v>22000</v>
      </c>
      <c r="P350" s="2">
        <v>1750</v>
      </c>
      <c r="Q350" s="2">
        <v>1750</v>
      </c>
      <c r="R350" s="3">
        <v>46087</v>
      </c>
      <c r="S350" t="s">
        <v>38</v>
      </c>
      <c r="T350">
        <v>100</v>
      </c>
      <c r="U350" t="s">
        <v>1793</v>
      </c>
      <c r="V350" t="s">
        <v>40</v>
      </c>
      <c r="W350" t="s">
        <v>40</v>
      </c>
      <c r="X350" t="s">
        <v>40</v>
      </c>
      <c r="Y350" t="s">
        <v>40</v>
      </c>
      <c r="Z350" s="5" t="s">
        <v>297</v>
      </c>
    </row>
    <row r="351" spans="1:26" ht="13.8" customHeight="1" x14ac:dyDescent="0.3">
      <c r="A351" s="1">
        <v>46148.45</v>
      </c>
      <c r="B351" t="s">
        <v>1794</v>
      </c>
      <c r="C351" t="s">
        <v>1720</v>
      </c>
      <c r="D351" t="s">
        <v>1721</v>
      </c>
      <c r="E351" t="s">
        <v>1795</v>
      </c>
      <c r="F351" t="s">
        <v>1723</v>
      </c>
      <c r="G351" t="s">
        <v>1723</v>
      </c>
      <c r="H351" t="s">
        <v>31</v>
      </c>
      <c r="I351" t="s">
        <v>32</v>
      </c>
      <c r="J351" t="s">
        <v>1792</v>
      </c>
      <c r="K351" t="s">
        <v>34</v>
      </c>
      <c r="L351" t="s">
        <v>35</v>
      </c>
      <c r="M351" t="s">
        <v>36</v>
      </c>
      <c r="N351" t="s">
        <v>37</v>
      </c>
      <c r="O351" s="6">
        <v>8800</v>
      </c>
      <c r="P351">
        <v>700</v>
      </c>
      <c r="Q351">
        <v>700</v>
      </c>
      <c r="R351" s="3">
        <v>46087</v>
      </c>
      <c r="S351" t="s">
        <v>38</v>
      </c>
      <c r="T351">
        <v>100</v>
      </c>
      <c r="U351" t="s">
        <v>1796</v>
      </c>
      <c r="V351" t="s">
        <v>40</v>
      </c>
      <c r="W351" t="s">
        <v>40</v>
      </c>
      <c r="X351" t="s">
        <v>40</v>
      </c>
      <c r="Y351" t="s">
        <v>40</v>
      </c>
      <c r="Z351" s="5" t="s">
        <v>297</v>
      </c>
    </row>
    <row r="352" spans="1:26" ht="13.8" customHeight="1" x14ac:dyDescent="0.3">
      <c r="A352" t="s">
        <v>1797</v>
      </c>
      <c r="B352" t="s">
        <v>1798</v>
      </c>
      <c r="C352" t="s">
        <v>1799</v>
      </c>
      <c r="D352" t="s">
        <v>1800</v>
      </c>
      <c r="E352" t="s">
        <v>1801</v>
      </c>
      <c r="F352" t="s">
        <v>432</v>
      </c>
      <c r="G352" t="s">
        <v>1802</v>
      </c>
      <c r="H352" t="s">
        <v>31</v>
      </c>
      <c r="I352" t="s">
        <v>32</v>
      </c>
      <c r="J352" t="s">
        <v>434</v>
      </c>
      <c r="K352" t="s">
        <v>34</v>
      </c>
      <c r="L352" t="s">
        <v>466</v>
      </c>
      <c r="M352" t="s">
        <v>65</v>
      </c>
      <c r="N352" t="s">
        <v>37</v>
      </c>
      <c r="O352" s="6">
        <v>25340000</v>
      </c>
      <c r="P352" s="2">
        <v>1778000</v>
      </c>
      <c r="Q352" s="2">
        <v>1884774.65</v>
      </c>
      <c r="R352" s="3">
        <v>46117</v>
      </c>
      <c r="S352" t="s">
        <v>38</v>
      </c>
      <c r="T352">
        <v>100</v>
      </c>
      <c r="U352" t="s">
        <v>1803</v>
      </c>
      <c r="V352" t="s">
        <v>1804</v>
      </c>
      <c r="W352" t="s">
        <v>255</v>
      </c>
      <c r="X352" t="s">
        <v>692</v>
      </c>
      <c r="Y352" t="s">
        <v>1805</v>
      </c>
      <c r="Z352" s="5" t="s">
        <v>436</v>
      </c>
    </row>
    <row r="353" spans="1:26" ht="13.8" customHeight="1" x14ac:dyDescent="0.3">
      <c r="A353" t="s">
        <v>1806</v>
      </c>
      <c r="B353" t="s">
        <v>1807</v>
      </c>
      <c r="C353" t="s">
        <v>429</v>
      </c>
      <c r="D353" t="s">
        <v>430</v>
      </c>
      <c r="E353" t="s">
        <v>1808</v>
      </c>
      <c r="F353" t="s">
        <v>432</v>
      </c>
      <c r="G353" t="s">
        <v>1802</v>
      </c>
      <c r="H353" t="s">
        <v>31</v>
      </c>
      <c r="I353" t="s">
        <v>32</v>
      </c>
      <c r="J353" t="s">
        <v>434</v>
      </c>
      <c r="K353" t="s">
        <v>34</v>
      </c>
      <c r="L353" t="s">
        <v>1442</v>
      </c>
      <c r="M353" t="s">
        <v>399</v>
      </c>
      <c r="N353" t="s">
        <v>37</v>
      </c>
      <c r="O353" s="6">
        <v>2484368</v>
      </c>
      <c r="P353" s="2">
        <v>189000</v>
      </c>
      <c r="Q353" s="2">
        <v>274244</v>
      </c>
      <c r="R353" s="3">
        <v>46299</v>
      </c>
      <c r="S353" t="s">
        <v>38</v>
      </c>
      <c r="T353">
        <v>100</v>
      </c>
      <c r="U353" t="s">
        <v>1809</v>
      </c>
      <c r="V353" t="s">
        <v>40</v>
      </c>
      <c r="W353" t="s">
        <v>40</v>
      </c>
      <c r="X353" t="s">
        <v>40</v>
      </c>
      <c r="Y353" t="s">
        <v>40</v>
      </c>
      <c r="Z353" s="5" t="s">
        <v>436</v>
      </c>
    </row>
    <row r="354" spans="1:26" ht="13.8" customHeight="1" x14ac:dyDescent="0.3">
      <c r="A354" t="s">
        <v>1810</v>
      </c>
      <c r="B354" t="s">
        <v>1811</v>
      </c>
      <c r="C354" t="s">
        <v>1812</v>
      </c>
      <c r="D354" t="s">
        <v>1813</v>
      </c>
      <c r="E354" t="s">
        <v>1814</v>
      </c>
      <c r="F354" t="s">
        <v>432</v>
      </c>
      <c r="G354" t="s">
        <v>1802</v>
      </c>
      <c r="H354" t="s">
        <v>31</v>
      </c>
      <c r="I354" t="s">
        <v>32</v>
      </c>
      <c r="J354" t="s">
        <v>434</v>
      </c>
      <c r="K354" t="s">
        <v>34</v>
      </c>
      <c r="L354" t="s">
        <v>1473</v>
      </c>
      <c r="M354" t="s">
        <v>490</v>
      </c>
      <c r="N354" t="s">
        <v>37</v>
      </c>
      <c r="O354" s="6">
        <v>66529</v>
      </c>
      <c r="P354" s="2">
        <v>1700</v>
      </c>
      <c r="Q354" s="2">
        <v>2206.9699999999998</v>
      </c>
      <c r="R354" t="s">
        <v>99</v>
      </c>
      <c r="S354" t="s">
        <v>38</v>
      </c>
      <c r="T354">
        <v>100</v>
      </c>
      <c r="U354" t="s">
        <v>1815</v>
      </c>
      <c r="V354" t="s">
        <v>40</v>
      </c>
      <c r="W354" t="s">
        <v>40</v>
      </c>
      <c r="X354" t="s">
        <v>40</v>
      </c>
      <c r="Y354" t="s">
        <v>40</v>
      </c>
      <c r="Z354" s="5" t="s">
        <v>436</v>
      </c>
    </row>
    <row r="355" spans="1:26" ht="13.8" customHeight="1" x14ac:dyDescent="0.3">
      <c r="A355" t="s">
        <v>1816</v>
      </c>
      <c r="B355" t="s">
        <v>1817</v>
      </c>
      <c r="C355" t="s">
        <v>1818</v>
      </c>
      <c r="D355" t="s">
        <v>1819</v>
      </c>
      <c r="E355" t="s">
        <v>1820</v>
      </c>
      <c r="F355" t="s">
        <v>432</v>
      </c>
      <c r="G355" t="s">
        <v>1802</v>
      </c>
      <c r="H355" t="s">
        <v>31</v>
      </c>
      <c r="I355" t="s">
        <v>32</v>
      </c>
      <c r="J355" t="s">
        <v>434</v>
      </c>
      <c r="K355" t="s">
        <v>34</v>
      </c>
      <c r="L355" t="s">
        <v>466</v>
      </c>
      <c r="M355" t="s">
        <v>1482</v>
      </c>
      <c r="N355" t="s">
        <v>37</v>
      </c>
      <c r="O355" s="6">
        <v>169500</v>
      </c>
      <c r="P355" s="2">
        <v>5848</v>
      </c>
      <c r="Q355" s="2">
        <v>5846.61</v>
      </c>
      <c r="R355" t="s">
        <v>747</v>
      </c>
      <c r="S355" t="s">
        <v>38</v>
      </c>
      <c r="T355">
        <v>100</v>
      </c>
      <c r="U355" t="s">
        <v>1821</v>
      </c>
      <c r="V355" t="s">
        <v>40</v>
      </c>
      <c r="W355" t="s">
        <v>40</v>
      </c>
      <c r="X355" t="s">
        <v>40</v>
      </c>
      <c r="Y355" t="s">
        <v>40</v>
      </c>
      <c r="Z355" s="5" t="s">
        <v>436</v>
      </c>
    </row>
    <row r="356" spans="1:26" ht="13.8" customHeight="1" x14ac:dyDescent="0.3">
      <c r="A356" t="s">
        <v>1822</v>
      </c>
      <c r="B356" t="s">
        <v>1823</v>
      </c>
      <c r="C356" t="s">
        <v>1799</v>
      </c>
      <c r="D356" t="s">
        <v>1800</v>
      </c>
      <c r="E356" t="s">
        <v>1824</v>
      </c>
      <c r="F356" t="s">
        <v>432</v>
      </c>
      <c r="G356" t="s">
        <v>1802</v>
      </c>
      <c r="H356" t="s">
        <v>31</v>
      </c>
      <c r="I356" t="s">
        <v>32</v>
      </c>
      <c r="J356" t="s">
        <v>434</v>
      </c>
      <c r="K356" t="s">
        <v>34</v>
      </c>
      <c r="L356" t="s">
        <v>466</v>
      </c>
      <c r="M356" t="s">
        <v>65</v>
      </c>
      <c r="N356" t="s">
        <v>37</v>
      </c>
      <c r="O356" s="6">
        <v>225000</v>
      </c>
      <c r="P356" s="2">
        <v>8700</v>
      </c>
      <c r="Q356">
        <v>0</v>
      </c>
      <c r="R356" t="s">
        <v>99</v>
      </c>
      <c r="S356" t="s">
        <v>38</v>
      </c>
      <c r="T356">
        <v>100</v>
      </c>
      <c r="U356" t="s">
        <v>40</v>
      </c>
      <c r="V356" t="s">
        <v>40</v>
      </c>
      <c r="W356" t="s">
        <v>40</v>
      </c>
      <c r="X356" t="s">
        <v>40</v>
      </c>
      <c r="Y356" t="s">
        <v>40</v>
      </c>
      <c r="Z356" s="5" t="s">
        <v>436</v>
      </c>
    </row>
    <row r="357" spans="1:26" ht="13.8" customHeight="1" x14ac:dyDescent="0.3">
      <c r="A357" s="1">
        <v>46117.449305555558</v>
      </c>
      <c r="B357" t="s">
        <v>1825</v>
      </c>
      <c r="C357" t="s">
        <v>1826</v>
      </c>
      <c r="D357" t="s">
        <v>1827</v>
      </c>
      <c r="E357" t="s">
        <v>1828</v>
      </c>
      <c r="F357" t="s">
        <v>432</v>
      </c>
      <c r="G357" t="s">
        <v>1802</v>
      </c>
      <c r="H357" t="s">
        <v>31</v>
      </c>
      <c r="I357" t="s">
        <v>32</v>
      </c>
      <c r="J357" t="s">
        <v>434</v>
      </c>
      <c r="K357" t="s">
        <v>34</v>
      </c>
      <c r="L357" t="s">
        <v>466</v>
      </c>
      <c r="M357" t="s">
        <v>399</v>
      </c>
      <c r="N357" t="s">
        <v>37</v>
      </c>
      <c r="O357" s="6">
        <v>5413000</v>
      </c>
      <c r="P357" s="2">
        <v>465100</v>
      </c>
      <c r="Q357" s="2">
        <v>562599.35</v>
      </c>
      <c r="R357" s="3">
        <v>46117</v>
      </c>
      <c r="S357" t="s">
        <v>38</v>
      </c>
      <c r="T357">
        <v>100</v>
      </c>
      <c r="U357" t="s">
        <v>1829</v>
      </c>
      <c r="V357" t="s">
        <v>40</v>
      </c>
      <c r="W357" t="s">
        <v>40</v>
      </c>
      <c r="X357" t="s">
        <v>40</v>
      </c>
      <c r="Y357" t="s">
        <v>1830</v>
      </c>
      <c r="Z357" s="5" t="s">
        <v>436</v>
      </c>
    </row>
    <row r="358" spans="1:26" ht="13.8" customHeight="1" x14ac:dyDescent="0.3">
      <c r="A358" s="1">
        <v>46117.450694444444</v>
      </c>
      <c r="B358" t="s">
        <v>1831</v>
      </c>
      <c r="C358" t="s">
        <v>1832</v>
      </c>
      <c r="D358" t="s">
        <v>1827</v>
      </c>
      <c r="E358" t="s">
        <v>1833</v>
      </c>
      <c r="F358" t="s">
        <v>432</v>
      </c>
      <c r="G358" t="s">
        <v>1802</v>
      </c>
      <c r="H358" t="s">
        <v>31</v>
      </c>
      <c r="I358" t="s">
        <v>32</v>
      </c>
      <c r="J358" t="s">
        <v>434</v>
      </c>
      <c r="K358" t="s">
        <v>34</v>
      </c>
      <c r="L358" t="s">
        <v>466</v>
      </c>
      <c r="M358" t="s">
        <v>65</v>
      </c>
      <c r="N358" t="s">
        <v>37</v>
      </c>
      <c r="O358" s="6">
        <v>10095000</v>
      </c>
      <c r="P358" s="2">
        <v>1000000</v>
      </c>
      <c r="Q358" s="2">
        <v>974576.49</v>
      </c>
      <c r="R358" s="3">
        <v>46147</v>
      </c>
      <c r="S358" t="s">
        <v>38</v>
      </c>
      <c r="T358">
        <v>100</v>
      </c>
      <c r="U358" t="s">
        <v>1834</v>
      </c>
      <c r="V358" t="s">
        <v>40</v>
      </c>
      <c r="W358" t="s">
        <v>40</v>
      </c>
      <c r="X358" t="s">
        <v>40</v>
      </c>
      <c r="Y358" t="s">
        <v>1835</v>
      </c>
      <c r="Z358" s="5" t="s">
        <v>436</v>
      </c>
    </row>
    <row r="359" spans="1:26" ht="13.8" customHeight="1" x14ac:dyDescent="0.3">
      <c r="A359" s="1">
        <v>46178.648611111108</v>
      </c>
      <c r="B359" t="s">
        <v>1836</v>
      </c>
      <c r="C359" t="s">
        <v>1818</v>
      </c>
      <c r="D359" t="s">
        <v>1819</v>
      </c>
      <c r="E359" t="s">
        <v>1837</v>
      </c>
      <c r="F359" t="s">
        <v>432</v>
      </c>
      <c r="G359" t="s">
        <v>1802</v>
      </c>
      <c r="H359" t="s">
        <v>31</v>
      </c>
      <c r="I359" t="s">
        <v>32</v>
      </c>
      <c r="J359" t="s">
        <v>434</v>
      </c>
      <c r="K359" t="s">
        <v>34</v>
      </c>
      <c r="L359" t="s">
        <v>1473</v>
      </c>
      <c r="M359" t="s">
        <v>490</v>
      </c>
      <c r="N359" t="s">
        <v>37</v>
      </c>
      <c r="O359" s="6">
        <v>87500</v>
      </c>
      <c r="P359" s="2">
        <v>7077</v>
      </c>
      <c r="Q359" s="2">
        <v>7077</v>
      </c>
      <c r="R359" s="3">
        <v>46178</v>
      </c>
      <c r="S359" t="s">
        <v>38</v>
      </c>
      <c r="T359">
        <v>100</v>
      </c>
      <c r="U359" t="s">
        <v>1838</v>
      </c>
      <c r="V359" t="s">
        <v>40</v>
      </c>
      <c r="W359" t="s">
        <v>40</v>
      </c>
      <c r="X359" t="s">
        <v>40</v>
      </c>
      <c r="Y359" t="s">
        <v>40</v>
      </c>
      <c r="Z359" s="5" t="s">
        <v>436</v>
      </c>
    </row>
    <row r="360" spans="1:26" ht="13.8" customHeight="1" x14ac:dyDescent="0.3">
      <c r="A360" s="1">
        <v>46239.490972222222</v>
      </c>
      <c r="B360" t="s">
        <v>1839</v>
      </c>
      <c r="C360" t="s">
        <v>1812</v>
      </c>
      <c r="D360" t="s">
        <v>1813</v>
      </c>
      <c r="E360" t="s">
        <v>1840</v>
      </c>
      <c r="F360" t="s">
        <v>432</v>
      </c>
      <c r="G360" t="s">
        <v>1802</v>
      </c>
      <c r="H360" t="s">
        <v>31</v>
      </c>
      <c r="I360" t="s">
        <v>32</v>
      </c>
      <c r="J360" t="s">
        <v>434</v>
      </c>
      <c r="K360" t="s">
        <v>34</v>
      </c>
      <c r="L360" t="s">
        <v>1473</v>
      </c>
      <c r="M360" t="s">
        <v>490</v>
      </c>
      <c r="N360" t="s">
        <v>37</v>
      </c>
      <c r="O360" s="6">
        <v>60800</v>
      </c>
      <c r="P360" s="2">
        <v>1730</v>
      </c>
      <c r="Q360">
        <v>0</v>
      </c>
      <c r="R360" s="3">
        <v>46270</v>
      </c>
      <c r="S360" t="s">
        <v>38</v>
      </c>
      <c r="T360">
        <v>100</v>
      </c>
      <c r="U360" t="s">
        <v>40</v>
      </c>
      <c r="V360" t="s">
        <v>40</v>
      </c>
      <c r="W360" t="s">
        <v>40</v>
      </c>
      <c r="X360" t="s">
        <v>40</v>
      </c>
      <c r="Y360" t="s">
        <v>40</v>
      </c>
      <c r="Z360" s="5" t="s">
        <v>436</v>
      </c>
    </row>
    <row r="361" spans="1:26" ht="13.8" customHeight="1" x14ac:dyDescent="0.3">
      <c r="A361" t="s">
        <v>1841</v>
      </c>
      <c r="B361" t="s">
        <v>1842</v>
      </c>
      <c r="C361" t="s">
        <v>1832</v>
      </c>
      <c r="D361" t="s">
        <v>1827</v>
      </c>
      <c r="E361" t="s">
        <v>1843</v>
      </c>
      <c r="F361" t="s">
        <v>432</v>
      </c>
      <c r="G361" t="s">
        <v>1802</v>
      </c>
      <c r="H361" t="s">
        <v>31</v>
      </c>
      <c r="I361" t="s">
        <v>32</v>
      </c>
      <c r="J361" t="s">
        <v>434</v>
      </c>
      <c r="K361" t="s">
        <v>34</v>
      </c>
      <c r="L361" t="s">
        <v>466</v>
      </c>
      <c r="M361" t="s">
        <v>399</v>
      </c>
      <c r="N361" t="s">
        <v>37</v>
      </c>
      <c r="O361" s="6">
        <v>18182000</v>
      </c>
      <c r="P361" s="2">
        <v>768136</v>
      </c>
      <c r="Q361" s="2">
        <v>808136</v>
      </c>
      <c r="R361" t="s">
        <v>1844</v>
      </c>
      <c r="S361" t="s">
        <v>38</v>
      </c>
      <c r="T361">
        <v>100</v>
      </c>
      <c r="U361" t="s">
        <v>1845</v>
      </c>
      <c r="V361" t="s">
        <v>40</v>
      </c>
      <c r="W361" t="s">
        <v>40</v>
      </c>
      <c r="X361" t="s">
        <v>40</v>
      </c>
      <c r="Y361" t="s">
        <v>40</v>
      </c>
      <c r="Z361" s="5" t="s">
        <v>436</v>
      </c>
    </row>
    <row r="362" spans="1:26" ht="13.8" customHeight="1" x14ac:dyDescent="0.3">
      <c r="A362" t="s">
        <v>1846</v>
      </c>
      <c r="B362" t="s">
        <v>1847</v>
      </c>
      <c r="C362" t="s">
        <v>1848</v>
      </c>
      <c r="D362" t="s">
        <v>1849</v>
      </c>
      <c r="E362" t="s">
        <v>1058</v>
      </c>
      <c r="F362" t="s">
        <v>1008</v>
      </c>
      <c r="G362" t="s">
        <v>1850</v>
      </c>
      <c r="H362" t="s">
        <v>1010</v>
      </c>
      <c r="I362" t="s">
        <v>1011</v>
      </c>
      <c r="J362" t="s">
        <v>434</v>
      </c>
      <c r="K362" t="s">
        <v>34</v>
      </c>
      <c r="L362" t="s">
        <v>466</v>
      </c>
      <c r="M362" t="s">
        <v>1058</v>
      </c>
      <c r="N362" t="s">
        <v>37</v>
      </c>
      <c r="O362" s="6">
        <v>2206500</v>
      </c>
      <c r="P362" s="2">
        <v>200000</v>
      </c>
      <c r="Q362" s="2">
        <v>79268.039999999994</v>
      </c>
      <c r="R362" s="3">
        <v>46208</v>
      </c>
      <c r="S362" t="s">
        <v>581</v>
      </c>
      <c r="T362">
        <v>50</v>
      </c>
      <c r="U362" t="s">
        <v>1851</v>
      </c>
      <c r="V362" t="s">
        <v>40</v>
      </c>
      <c r="W362" t="s">
        <v>40</v>
      </c>
      <c r="X362" t="s">
        <v>40</v>
      </c>
      <c r="Y362" t="s">
        <v>40</v>
      </c>
      <c r="Z362" s="5" t="s">
        <v>436</v>
      </c>
    </row>
    <row r="363" spans="1:26" ht="13.8" customHeight="1" x14ac:dyDescent="0.3">
      <c r="A363" s="1">
        <v>46207.51666666667</v>
      </c>
      <c r="B363" t="s">
        <v>1852</v>
      </c>
      <c r="C363" t="s">
        <v>1853</v>
      </c>
      <c r="D363" t="s">
        <v>1854</v>
      </c>
      <c r="E363" t="s">
        <v>1855</v>
      </c>
      <c r="F363" t="s">
        <v>441</v>
      </c>
      <c r="G363" t="s">
        <v>1856</v>
      </c>
      <c r="H363" t="s">
        <v>31</v>
      </c>
      <c r="I363" t="s">
        <v>32</v>
      </c>
      <c r="J363" t="s">
        <v>434</v>
      </c>
      <c r="K363" t="s">
        <v>34</v>
      </c>
      <c r="L363" t="s">
        <v>222</v>
      </c>
      <c r="M363" t="s">
        <v>54</v>
      </c>
      <c r="N363" t="s">
        <v>37</v>
      </c>
      <c r="O363" s="6">
        <v>24350</v>
      </c>
      <c r="P363" s="2">
        <v>1400</v>
      </c>
      <c r="Q363" s="2">
        <v>1631</v>
      </c>
      <c r="R363" s="3">
        <v>46207</v>
      </c>
      <c r="S363" t="s">
        <v>38</v>
      </c>
      <c r="T363">
        <v>80</v>
      </c>
      <c r="U363" t="s">
        <v>1857</v>
      </c>
      <c r="V363" t="s">
        <v>40</v>
      </c>
      <c r="W363" t="s">
        <v>40</v>
      </c>
      <c r="X363" t="s">
        <v>40</v>
      </c>
      <c r="Y363" t="s">
        <v>40</v>
      </c>
      <c r="Z363" s="5" t="s">
        <v>436</v>
      </c>
    </row>
    <row r="364" spans="1:26" ht="13.8" customHeight="1" x14ac:dyDescent="0.3">
      <c r="A364" s="1">
        <v>46269.529861111114</v>
      </c>
      <c r="B364" t="s">
        <v>1858</v>
      </c>
      <c r="C364" t="s">
        <v>1394</v>
      </c>
      <c r="D364" t="s">
        <v>1395</v>
      </c>
      <c r="E364" t="s">
        <v>1859</v>
      </c>
      <c r="F364" t="s">
        <v>441</v>
      </c>
      <c r="G364" t="s">
        <v>1856</v>
      </c>
      <c r="H364" t="s">
        <v>31</v>
      </c>
      <c r="I364" t="s">
        <v>32</v>
      </c>
      <c r="J364" t="s">
        <v>434</v>
      </c>
      <c r="K364" t="s">
        <v>34</v>
      </c>
      <c r="L364" t="s">
        <v>1442</v>
      </c>
      <c r="M364" t="s">
        <v>65</v>
      </c>
      <c r="N364" t="s">
        <v>37</v>
      </c>
      <c r="O364" s="6">
        <v>91100</v>
      </c>
      <c r="P364" s="2">
        <v>8600</v>
      </c>
      <c r="Q364" s="2">
        <v>11461.86</v>
      </c>
      <c r="R364" s="3">
        <v>46269</v>
      </c>
      <c r="S364" t="s">
        <v>38</v>
      </c>
      <c r="T364">
        <v>80</v>
      </c>
      <c r="U364" t="s">
        <v>1860</v>
      </c>
      <c r="V364" t="s">
        <v>40</v>
      </c>
      <c r="W364" t="s">
        <v>40</v>
      </c>
      <c r="X364" t="s">
        <v>40</v>
      </c>
      <c r="Y364" t="s">
        <v>40</v>
      </c>
      <c r="Z364" s="5" t="s">
        <v>436</v>
      </c>
    </row>
    <row r="365" spans="1:26" ht="13.8" customHeight="1" x14ac:dyDescent="0.3">
      <c r="A365" t="s">
        <v>1861</v>
      </c>
      <c r="B365" t="s">
        <v>1862</v>
      </c>
      <c r="C365" t="s">
        <v>1394</v>
      </c>
      <c r="D365" t="s">
        <v>1395</v>
      </c>
      <c r="E365" t="s">
        <v>1863</v>
      </c>
      <c r="F365" t="s">
        <v>441</v>
      </c>
      <c r="G365" t="s">
        <v>1856</v>
      </c>
      <c r="H365" t="s">
        <v>31</v>
      </c>
      <c r="I365" t="s">
        <v>32</v>
      </c>
      <c r="J365" t="s">
        <v>434</v>
      </c>
      <c r="K365" t="s">
        <v>34</v>
      </c>
      <c r="L365" t="s">
        <v>466</v>
      </c>
      <c r="M365" t="s">
        <v>399</v>
      </c>
      <c r="N365" t="s">
        <v>37</v>
      </c>
      <c r="O365" s="6">
        <v>3200000</v>
      </c>
      <c r="P365" s="2">
        <v>1000</v>
      </c>
      <c r="Q365" s="2">
        <v>138000</v>
      </c>
      <c r="R365" t="s">
        <v>99</v>
      </c>
      <c r="S365" t="s">
        <v>581</v>
      </c>
      <c r="T365">
        <v>90</v>
      </c>
      <c r="U365" t="s">
        <v>1864</v>
      </c>
      <c r="V365" t="s">
        <v>40</v>
      </c>
      <c r="W365" t="s">
        <v>40</v>
      </c>
      <c r="X365" t="s">
        <v>40</v>
      </c>
      <c r="Y365" t="s">
        <v>40</v>
      </c>
      <c r="Z365" s="5" t="s">
        <v>436</v>
      </c>
    </row>
    <row r="366" spans="1:26" ht="13.8" customHeight="1" x14ac:dyDescent="0.3">
      <c r="A366" t="s">
        <v>1865</v>
      </c>
      <c r="B366" t="s">
        <v>1866</v>
      </c>
      <c r="C366" t="s">
        <v>1394</v>
      </c>
      <c r="D366" t="s">
        <v>1395</v>
      </c>
      <c r="E366" t="s">
        <v>1867</v>
      </c>
      <c r="F366" t="s">
        <v>441</v>
      </c>
      <c r="G366" t="s">
        <v>1856</v>
      </c>
      <c r="H366" t="s">
        <v>31</v>
      </c>
      <c r="I366" t="s">
        <v>32</v>
      </c>
      <c r="J366" t="s">
        <v>434</v>
      </c>
      <c r="K366" t="s">
        <v>34</v>
      </c>
      <c r="L366" t="s">
        <v>1442</v>
      </c>
      <c r="M366" t="s">
        <v>65</v>
      </c>
      <c r="N366" t="s">
        <v>37</v>
      </c>
      <c r="O366" s="6">
        <v>62250</v>
      </c>
      <c r="P366" s="2">
        <v>10400</v>
      </c>
      <c r="Q366" s="2">
        <v>11511.86</v>
      </c>
      <c r="R366" t="s">
        <v>211</v>
      </c>
      <c r="S366" t="s">
        <v>38</v>
      </c>
      <c r="T366">
        <v>90</v>
      </c>
      <c r="U366" t="s">
        <v>1868</v>
      </c>
      <c r="V366" t="s">
        <v>40</v>
      </c>
      <c r="W366" t="s">
        <v>40</v>
      </c>
      <c r="X366" t="s">
        <v>40</v>
      </c>
      <c r="Y366" t="s">
        <v>40</v>
      </c>
      <c r="Z366" s="5" t="s">
        <v>436</v>
      </c>
    </row>
    <row r="367" spans="1:26" ht="13.8" customHeight="1" x14ac:dyDescent="0.3">
      <c r="A367" t="s">
        <v>1869</v>
      </c>
      <c r="B367" t="s">
        <v>1870</v>
      </c>
      <c r="C367" t="s">
        <v>438</v>
      </c>
      <c r="D367" t="s">
        <v>439</v>
      </c>
      <c r="E367" t="s">
        <v>1871</v>
      </c>
      <c r="F367" t="s">
        <v>441</v>
      </c>
      <c r="G367" t="s">
        <v>1856</v>
      </c>
      <c r="H367" t="s">
        <v>31</v>
      </c>
      <c r="I367" t="s">
        <v>32</v>
      </c>
      <c r="J367" t="s">
        <v>434</v>
      </c>
      <c r="K367" t="s">
        <v>34</v>
      </c>
      <c r="L367" t="s">
        <v>1442</v>
      </c>
      <c r="M367" t="s">
        <v>36</v>
      </c>
      <c r="N367" t="s">
        <v>37</v>
      </c>
      <c r="O367" s="6">
        <v>43720</v>
      </c>
      <c r="P367" s="2">
        <v>3820</v>
      </c>
      <c r="Q367" s="2">
        <v>4220</v>
      </c>
      <c r="R367" t="s">
        <v>76</v>
      </c>
      <c r="S367" t="s">
        <v>38</v>
      </c>
      <c r="T367">
        <v>80</v>
      </c>
      <c r="U367" t="s">
        <v>1872</v>
      </c>
      <c r="V367" t="s">
        <v>40</v>
      </c>
      <c r="W367" t="s">
        <v>40</v>
      </c>
      <c r="X367" t="s">
        <v>40</v>
      </c>
      <c r="Y367" t="s">
        <v>40</v>
      </c>
      <c r="Z367" s="5" t="s">
        <v>436</v>
      </c>
    </row>
    <row r="368" spans="1:26" ht="13.8" customHeight="1" x14ac:dyDescent="0.3">
      <c r="A368" s="1">
        <v>46118.513888888891</v>
      </c>
      <c r="B368" t="s">
        <v>1873</v>
      </c>
      <c r="C368" t="s">
        <v>1874</v>
      </c>
      <c r="D368" t="s">
        <v>1875</v>
      </c>
      <c r="E368" t="s">
        <v>1876</v>
      </c>
      <c r="F368" t="s">
        <v>441</v>
      </c>
      <c r="G368" t="s">
        <v>1856</v>
      </c>
      <c r="H368" t="s">
        <v>31</v>
      </c>
      <c r="I368" t="s">
        <v>32</v>
      </c>
      <c r="J368" t="s">
        <v>434</v>
      </c>
      <c r="K368" t="s">
        <v>34</v>
      </c>
      <c r="L368" t="s">
        <v>466</v>
      </c>
      <c r="M368" t="s">
        <v>399</v>
      </c>
      <c r="N368" t="s">
        <v>37</v>
      </c>
      <c r="O368" s="6">
        <v>7800000</v>
      </c>
      <c r="P368" s="2">
        <v>100000</v>
      </c>
      <c r="Q368" s="2">
        <v>38925</v>
      </c>
      <c r="R368" s="3">
        <v>46118</v>
      </c>
      <c r="S368" t="s">
        <v>38</v>
      </c>
      <c r="T368">
        <v>80</v>
      </c>
      <c r="U368" t="s">
        <v>1877</v>
      </c>
      <c r="V368" t="s">
        <v>40</v>
      </c>
      <c r="W368" t="s">
        <v>40</v>
      </c>
      <c r="X368" t="s">
        <v>40</v>
      </c>
      <c r="Y368" t="s">
        <v>40</v>
      </c>
      <c r="Z368" s="5" t="s">
        <v>436</v>
      </c>
    </row>
    <row r="369" spans="1:26" ht="13.8" customHeight="1" x14ac:dyDescent="0.3">
      <c r="A369" s="1">
        <v>46299.674305555556</v>
      </c>
      <c r="B369" t="s">
        <v>1878</v>
      </c>
      <c r="C369" t="s">
        <v>1879</v>
      </c>
      <c r="D369" t="s">
        <v>1880</v>
      </c>
      <c r="E369" t="s">
        <v>1881</v>
      </c>
      <c r="F369" t="s">
        <v>1422</v>
      </c>
      <c r="G369" t="s">
        <v>1422</v>
      </c>
      <c r="H369" t="s">
        <v>31</v>
      </c>
      <c r="I369" t="s">
        <v>32</v>
      </c>
      <c r="J369" t="s">
        <v>33</v>
      </c>
      <c r="K369" t="s">
        <v>34</v>
      </c>
      <c r="L369" t="s">
        <v>35</v>
      </c>
      <c r="M369" t="s">
        <v>490</v>
      </c>
      <c r="N369" t="s">
        <v>37</v>
      </c>
      <c r="O369" s="6">
        <v>549855.07999999996</v>
      </c>
      <c r="P369" s="2">
        <v>23185.59</v>
      </c>
      <c r="Q369" s="2">
        <v>23185.59</v>
      </c>
      <c r="R369" s="3">
        <v>46269</v>
      </c>
      <c r="S369" t="s">
        <v>38</v>
      </c>
      <c r="T369">
        <v>4.22</v>
      </c>
      <c r="U369" t="s">
        <v>1882</v>
      </c>
      <c r="V369" t="s">
        <v>40</v>
      </c>
      <c r="W369" t="s">
        <v>40</v>
      </c>
      <c r="X369" t="s">
        <v>40</v>
      </c>
      <c r="Y369" t="s">
        <v>643</v>
      </c>
      <c r="Z369" s="5" t="s">
        <v>31</v>
      </c>
    </row>
    <row r="370" spans="1:26" ht="13.8" customHeight="1" x14ac:dyDescent="0.3">
      <c r="A370" t="s">
        <v>1883</v>
      </c>
      <c r="B370" t="s">
        <v>1884</v>
      </c>
      <c r="C370" t="s">
        <v>1885</v>
      </c>
      <c r="D370" t="s">
        <v>1886</v>
      </c>
      <c r="E370" t="s">
        <v>1887</v>
      </c>
      <c r="F370" t="s">
        <v>1422</v>
      </c>
      <c r="G370" t="s">
        <v>1422</v>
      </c>
      <c r="H370" t="s">
        <v>31</v>
      </c>
      <c r="I370" t="s">
        <v>32</v>
      </c>
      <c r="J370" t="s">
        <v>33</v>
      </c>
      <c r="K370" t="s">
        <v>34</v>
      </c>
      <c r="L370" t="s">
        <v>35</v>
      </c>
      <c r="M370" t="s">
        <v>54</v>
      </c>
      <c r="N370" t="s">
        <v>37</v>
      </c>
      <c r="O370" s="6">
        <v>7850</v>
      </c>
      <c r="P370">
        <v>0</v>
      </c>
      <c r="Q370">
        <v>0</v>
      </c>
      <c r="R370" t="s">
        <v>357</v>
      </c>
      <c r="S370" t="s">
        <v>38</v>
      </c>
      <c r="T370">
        <v>0</v>
      </c>
      <c r="U370" t="s">
        <v>1888</v>
      </c>
      <c r="V370" t="s">
        <v>40</v>
      </c>
      <c r="W370" t="s">
        <v>40</v>
      </c>
      <c r="X370" t="s">
        <v>40</v>
      </c>
      <c r="Y370" t="s">
        <v>40</v>
      </c>
      <c r="Z370" s="5" t="s">
        <v>31</v>
      </c>
    </row>
    <row r="371" spans="1:26" ht="13.8" customHeight="1" x14ac:dyDescent="0.3">
      <c r="A371" t="s">
        <v>1889</v>
      </c>
      <c r="B371" t="s">
        <v>1890</v>
      </c>
      <c r="C371" t="s">
        <v>1891</v>
      </c>
      <c r="D371" t="s">
        <v>1892</v>
      </c>
      <c r="E371" t="s">
        <v>1893</v>
      </c>
      <c r="F371" t="s">
        <v>1422</v>
      </c>
      <c r="G371" t="s">
        <v>1422</v>
      </c>
      <c r="H371" t="s">
        <v>31</v>
      </c>
      <c r="I371" t="s">
        <v>32</v>
      </c>
      <c r="J371" t="s">
        <v>33</v>
      </c>
      <c r="K371" t="s">
        <v>34</v>
      </c>
      <c r="L371" t="s">
        <v>466</v>
      </c>
      <c r="M371" t="s">
        <v>54</v>
      </c>
      <c r="N371" t="s">
        <v>37</v>
      </c>
      <c r="O371" s="6">
        <v>1826670</v>
      </c>
      <c r="P371" s="2">
        <v>19000</v>
      </c>
      <c r="Q371" s="2">
        <v>19000</v>
      </c>
      <c r="R371" t="s">
        <v>565</v>
      </c>
      <c r="S371" t="s">
        <v>38</v>
      </c>
      <c r="T371">
        <v>1</v>
      </c>
      <c r="U371" t="s">
        <v>1894</v>
      </c>
      <c r="V371" t="s">
        <v>40</v>
      </c>
      <c r="W371" t="s">
        <v>40</v>
      </c>
      <c r="X371" t="s">
        <v>40</v>
      </c>
      <c r="Y371" t="s">
        <v>40</v>
      </c>
      <c r="Z371" s="5" t="s">
        <v>31</v>
      </c>
    </row>
    <row r="372" spans="1:26" ht="13.8" customHeight="1" x14ac:dyDescent="0.3">
      <c r="A372" s="1">
        <v>46117.696527777778</v>
      </c>
      <c r="B372" t="s">
        <v>1895</v>
      </c>
      <c r="C372" t="s">
        <v>1896</v>
      </c>
      <c r="D372" t="s">
        <v>1897</v>
      </c>
      <c r="E372" t="s">
        <v>1898</v>
      </c>
      <c r="F372" t="s">
        <v>1422</v>
      </c>
      <c r="G372" t="s">
        <v>1422</v>
      </c>
      <c r="H372" t="s">
        <v>31</v>
      </c>
      <c r="I372" t="s">
        <v>32</v>
      </c>
      <c r="J372" t="s">
        <v>33</v>
      </c>
      <c r="K372" t="s">
        <v>34</v>
      </c>
      <c r="L372" t="s">
        <v>35</v>
      </c>
      <c r="M372" t="s">
        <v>490</v>
      </c>
      <c r="N372" t="s">
        <v>37</v>
      </c>
      <c r="O372" s="6">
        <v>19000</v>
      </c>
      <c r="P372" s="2">
        <v>4000</v>
      </c>
      <c r="Q372" s="2">
        <v>4000</v>
      </c>
      <c r="R372" s="3">
        <v>46117</v>
      </c>
      <c r="S372" t="s">
        <v>38</v>
      </c>
      <c r="T372">
        <v>21</v>
      </c>
      <c r="U372" t="s">
        <v>1899</v>
      </c>
      <c r="V372" t="s">
        <v>40</v>
      </c>
      <c r="W372" t="s">
        <v>40</v>
      </c>
      <c r="X372" t="s">
        <v>40</v>
      </c>
      <c r="Y372" t="s">
        <v>40</v>
      </c>
      <c r="Z372" s="5" t="s">
        <v>31</v>
      </c>
    </row>
    <row r="373" spans="1:26" ht="13.8" customHeight="1" x14ac:dyDescent="0.3">
      <c r="A373" t="s">
        <v>1900</v>
      </c>
      <c r="B373" t="s">
        <v>1901</v>
      </c>
      <c r="C373" t="s">
        <v>1902</v>
      </c>
      <c r="D373" t="s">
        <v>1903</v>
      </c>
      <c r="E373" t="s">
        <v>1904</v>
      </c>
      <c r="F373" t="s">
        <v>1422</v>
      </c>
      <c r="G373" t="s">
        <v>1422</v>
      </c>
      <c r="H373" t="s">
        <v>31</v>
      </c>
      <c r="I373" t="s">
        <v>32</v>
      </c>
      <c r="J373" t="s">
        <v>33</v>
      </c>
      <c r="K373" t="s">
        <v>34</v>
      </c>
      <c r="L373" t="s">
        <v>35</v>
      </c>
      <c r="M373" t="s">
        <v>36</v>
      </c>
      <c r="N373" t="s">
        <v>37</v>
      </c>
      <c r="O373" s="6">
        <v>124500</v>
      </c>
      <c r="P373" s="2">
        <v>17000</v>
      </c>
      <c r="Q373" s="2">
        <v>17000</v>
      </c>
      <c r="R373" t="s">
        <v>736</v>
      </c>
      <c r="S373" t="s">
        <v>38</v>
      </c>
      <c r="T373">
        <v>13.65</v>
      </c>
      <c r="U373" t="s">
        <v>1905</v>
      </c>
      <c r="V373" t="s">
        <v>40</v>
      </c>
      <c r="W373" t="s">
        <v>40</v>
      </c>
      <c r="X373" t="s">
        <v>40</v>
      </c>
      <c r="Y373" t="s">
        <v>40</v>
      </c>
      <c r="Z373" s="5" t="s">
        <v>31</v>
      </c>
    </row>
    <row r="374" spans="1:26" ht="13.8" customHeight="1" x14ac:dyDescent="0.3">
      <c r="A374" t="s">
        <v>1906</v>
      </c>
      <c r="B374" t="s">
        <v>1907</v>
      </c>
      <c r="C374" t="s">
        <v>1896</v>
      </c>
      <c r="D374" t="s">
        <v>1897</v>
      </c>
      <c r="E374" t="s">
        <v>1908</v>
      </c>
      <c r="F374" t="s">
        <v>1422</v>
      </c>
      <c r="G374" t="s">
        <v>1422</v>
      </c>
      <c r="H374" t="s">
        <v>31</v>
      </c>
      <c r="I374" t="s">
        <v>32</v>
      </c>
      <c r="J374" t="s">
        <v>33</v>
      </c>
      <c r="K374" t="s">
        <v>34</v>
      </c>
      <c r="L374" t="s">
        <v>466</v>
      </c>
      <c r="M374" t="s">
        <v>65</v>
      </c>
      <c r="N374" t="s">
        <v>37</v>
      </c>
      <c r="O374" s="6">
        <v>100000</v>
      </c>
      <c r="P374" s="2">
        <v>3100</v>
      </c>
      <c r="Q374" s="2">
        <v>3100</v>
      </c>
      <c r="R374" t="s">
        <v>736</v>
      </c>
      <c r="S374" t="s">
        <v>38</v>
      </c>
      <c r="T374">
        <v>3.1</v>
      </c>
      <c r="U374" t="s">
        <v>1909</v>
      </c>
      <c r="V374" t="s">
        <v>40</v>
      </c>
      <c r="W374" t="s">
        <v>40</v>
      </c>
      <c r="X374" t="s">
        <v>40</v>
      </c>
      <c r="Y374" t="s">
        <v>40</v>
      </c>
      <c r="Z374" s="5" t="s">
        <v>31</v>
      </c>
    </row>
    <row r="375" spans="1:26" ht="13.8" customHeight="1" x14ac:dyDescent="0.3">
      <c r="A375" t="s">
        <v>1910</v>
      </c>
      <c r="B375" t="s">
        <v>1911</v>
      </c>
      <c r="C375" t="s">
        <v>1912</v>
      </c>
      <c r="D375" t="s">
        <v>1913</v>
      </c>
      <c r="E375" t="s">
        <v>1914</v>
      </c>
      <c r="F375" t="s">
        <v>1422</v>
      </c>
      <c r="G375" t="s">
        <v>1422</v>
      </c>
      <c r="H375" t="s">
        <v>31</v>
      </c>
      <c r="I375" t="s">
        <v>32</v>
      </c>
      <c r="J375" t="s">
        <v>33</v>
      </c>
      <c r="K375" t="s">
        <v>34</v>
      </c>
      <c r="L375" t="s">
        <v>489</v>
      </c>
      <c r="M375" t="s">
        <v>54</v>
      </c>
      <c r="N375" t="s">
        <v>37</v>
      </c>
      <c r="O375" s="6">
        <v>316800</v>
      </c>
      <c r="P375" s="2">
        <v>6768</v>
      </c>
      <c r="Q375" s="2">
        <v>6768</v>
      </c>
      <c r="R375" t="s">
        <v>1915</v>
      </c>
      <c r="S375" t="s">
        <v>38</v>
      </c>
      <c r="T375">
        <v>2.13</v>
      </c>
      <c r="U375" t="s">
        <v>1916</v>
      </c>
      <c r="V375" t="s">
        <v>40</v>
      </c>
      <c r="W375" t="s">
        <v>40</v>
      </c>
      <c r="X375" t="s">
        <v>40</v>
      </c>
      <c r="Y375" t="s">
        <v>40</v>
      </c>
      <c r="Z375" s="5" t="s">
        <v>31</v>
      </c>
    </row>
    <row r="376" spans="1:26" ht="13.8" customHeight="1" x14ac:dyDescent="0.3">
      <c r="A376" s="1">
        <v>46332.734027777777</v>
      </c>
      <c r="B376" t="s">
        <v>1917</v>
      </c>
      <c r="C376" t="s">
        <v>1912</v>
      </c>
      <c r="D376" t="s">
        <v>1913</v>
      </c>
      <c r="E376" t="s">
        <v>1918</v>
      </c>
      <c r="F376" t="s">
        <v>1422</v>
      </c>
      <c r="G376" t="s">
        <v>1422</v>
      </c>
      <c r="H376" t="s">
        <v>31</v>
      </c>
      <c r="I376" t="s">
        <v>32</v>
      </c>
      <c r="J376" t="s">
        <v>33</v>
      </c>
      <c r="K376" t="s">
        <v>34</v>
      </c>
      <c r="L376" t="s">
        <v>489</v>
      </c>
      <c r="M376" t="s">
        <v>54</v>
      </c>
      <c r="N376" t="s">
        <v>37</v>
      </c>
      <c r="O376" s="6">
        <v>220000</v>
      </c>
      <c r="P376" s="2">
        <v>4700</v>
      </c>
      <c r="Q376" s="2">
        <v>4700</v>
      </c>
      <c r="R376" s="3">
        <v>46332</v>
      </c>
      <c r="S376" t="s">
        <v>38</v>
      </c>
      <c r="T376">
        <v>2.13</v>
      </c>
      <c r="U376" t="s">
        <v>1919</v>
      </c>
      <c r="V376" t="s">
        <v>40</v>
      </c>
      <c r="W376" t="s">
        <v>40</v>
      </c>
      <c r="X376" t="s">
        <v>40</v>
      </c>
      <c r="Y376" t="s">
        <v>40</v>
      </c>
      <c r="Z376" s="5" t="s">
        <v>31</v>
      </c>
    </row>
    <row r="377" spans="1:26" ht="13.8" customHeight="1" x14ac:dyDescent="0.3">
      <c r="A377" t="s">
        <v>1920</v>
      </c>
      <c r="B377" t="s">
        <v>1921</v>
      </c>
      <c r="C377" t="s">
        <v>1912</v>
      </c>
      <c r="D377" t="s">
        <v>1913</v>
      </c>
      <c r="E377" t="s">
        <v>1918</v>
      </c>
      <c r="F377" t="s">
        <v>1422</v>
      </c>
      <c r="G377" t="s">
        <v>1422</v>
      </c>
      <c r="H377" t="s">
        <v>31</v>
      </c>
      <c r="I377" t="s">
        <v>32</v>
      </c>
      <c r="J377" t="s">
        <v>33</v>
      </c>
      <c r="K377" t="s">
        <v>34</v>
      </c>
      <c r="L377" t="s">
        <v>489</v>
      </c>
      <c r="M377" t="s">
        <v>54</v>
      </c>
      <c r="N377" t="s">
        <v>37</v>
      </c>
      <c r="O377" s="6">
        <v>1504800</v>
      </c>
      <c r="P377" s="2">
        <v>32148</v>
      </c>
      <c r="Q377" s="2">
        <v>32148</v>
      </c>
      <c r="R377" t="s">
        <v>1327</v>
      </c>
      <c r="S377" t="s">
        <v>38</v>
      </c>
      <c r="T377">
        <v>2.14</v>
      </c>
      <c r="U377" t="s">
        <v>1922</v>
      </c>
      <c r="V377" t="s">
        <v>40</v>
      </c>
      <c r="W377" t="s">
        <v>40</v>
      </c>
      <c r="X377" t="s">
        <v>40</v>
      </c>
      <c r="Y377" t="s">
        <v>40</v>
      </c>
      <c r="Z377" s="5" t="s">
        <v>31</v>
      </c>
    </row>
    <row r="378" spans="1:26" ht="13.8" customHeight="1" x14ac:dyDescent="0.3">
      <c r="A378" t="s">
        <v>1923</v>
      </c>
      <c r="B378" t="s">
        <v>1924</v>
      </c>
      <c r="C378" t="s">
        <v>1912</v>
      </c>
      <c r="D378" t="s">
        <v>1913</v>
      </c>
      <c r="E378" t="s">
        <v>1918</v>
      </c>
      <c r="F378" t="s">
        <v>1422</v>
      </c>
      <c r="G378" t="s">
        <v>1422</v>
      </c>
      <c r="H378" t="s">
        <v>31</v>
      </c>
      <c r="I378" t="s">
        <v>32</v>
      </c>
      <c r="J378" t="s">
        <v>33</v>
      </c>
      <c r="K378" t="s">
        <v>34</v>
      </c>
      <c r="L378" t="s">
        <v>489</v>
      </c>
      <c r="M378" t="s">
        <v>54</v>
      </c>
      <c r="N378" t="s">
        <v>37</v>
      </c>
      <c r="O378" s="6">
        <v>211200</v>
      </c>
      <c r="P378" s="2">
        <v>4512</v>
      </c>
      <c r="Q378" s="2">
        <v>4512</v>
      </c>
      <c r="R378" t="s">
        <v>1327</v>
      </c>
      <c r="S378" t="s">
        <v>38</v>
      </c>
      <c r="T378">
        <v>2.14</v>
      </c>
      <c r="U378" t="s">
        <v>1925</v>
      </c>
      <c r="V378" t="s">
        <v>40</v>
      </c>
      <c r="W378" t="s">
        <v>40</v>
      </c>
      <c r="X378" t="s">
        <v>40</v>
      </c>
      <c r="Y378" t="s">
        <v>40</v>
      </c>
      <c r="Z378" s="5" t="s">
        <v>31</v>
      </c>
    </row>
    <row r="379" spans="1:26" ht="13.8" customHeight="1" x14ac:dyDescent="0.3">
      <c r="A379" t="s">
        <v>1926</v>
      </c>
      <c r="B379" t="s">
        <v>1927</v>
      </c>
      <c r="C379" t="s">
        <v>1928</v>
      </c>
      <c r="D379" t="s">
        <v>1929</v>
      </c>
      <c r="E379" t="s">
        <v>1930</v>
      </c>
      <c r="F379" t="s">
        <v>1422</v>
      </c>
      <c r="G379" t="s">
        <v>1422</v>
      </c>
      <c r="H379" t="s">
        <v>31</v>
      </c>
      <c r="I379" t="s">
        <v>32</v>
      </c>
      <c r="J379" t="s">
        <v>33</v>
      </c>
      <c r="K379" t="s">
        <v>34</v>
      </c>
      <c r="L379" t="s">
        <v>35</v>
      </c>
      <c r="M379" t="s">
        <v>36</v>
      </c>
      <c r="N379" t="s">
        <v>37</v>
      </c>
      <c r="O379" s="6">
        <v>2800</v>
      </c>
      <c r="P379" s="2">
        <v>1400</v>
      </c>
      <c r="Q379" s="2">
        <v>1400</v>
      </c>
      <c r="R379" t="s">
        <v>296</v>
      </c>
      <c r="S379" t="s">
        <v>38</v>
      </c>
      <c r="T379">
        <v>50</v>
      </c>
      <c r="U379" t="s">
        <v>1931</v>
      </c>
      <c r="V379" t="s">
        <v>40</v>
      </c>
      <c r="W379" t="s">
        <v>40</v>
      </c>
      <c r="X379" t="s">
        <v>40</v>
      </c>
      <c r="Y379" t="s">
        <v>40</v>
      </c>
      <c r="Z379" s="5" t="s">
        <v>31</v>
      </c>
    </row>
    <row r="380" spans="1:26" ht="13.8" customHeight="1" x14ac:dyDescent="0.3">
      <c r="A380" t="s">
        <v>1932</v>
      </c>
      <c r="B380" t="s">
        <v>1933</v>
      </c>
      <c r="C380" t="s">
        <v>1934</v>
      </c>
      <c r="D380" t="s">
        <v>1935</v>
      </c>
      <c r="E380" t="s">
        <v>1936</v>
      </c>
      <c r="F380" t="s">
        <v>1422</v>
      </c>
      <c r="G380" t="s">
        <v>1422</v>
      </c>
      <c r="H380" t="s">
        <v>31</v>
      </c>
      <c r="I380" t="s">
        <v>32</v>
      </c>
      <c r="J380" t="s">
        <v>33</v>
      </c>
      <c r="K380" t="s">
        <v>34</v>
      </c>
      <c r="L380" t="s">
        <v>53</v>
      </c>
      <c r="M380" t="s">
        <v>65</v>
      </c>
      <c r="N380" t="s">
        <v>37</v>
      </c>
      <c r="O380" s="6">
        <v>877000</v>
      </c>
      <c r="P380" s="2">
        <v>33431.89</v>
      </c>
      <c r="Q380" s="2">
        <v>33431.89</v>
      </c>
      <c r="R380" t="s">
        <v>296</v>
      </c>
      <c r="S380" t="s">
        <v>38</v>
      </c>
      <c r="T380">
        <v>3.81</v>
      </c>
      <c r="U380" t="s">
        <v>1937</v>
      </c>
      <c r="V380" t="s">
        <v>40</v>
      </c>
      <c r="W380" t="s">
        <v>40</v>
      </c>
      <c r="X380" t="s">
        <v>40</v>
      </c>
      <c r="Y380" t="s">
        <v>40</v>
      </c>
      <c r="Z380" s="5" t="s">
        <v>31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Opportunity Pipeline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Dharshini Balasankar</cp:lastModifiedBy>
  <cp:revision/>
  <dcterms:created xsi:type="dcterms:W3CDTF">2026-07-07T07:01:30Z</dcterms:created>
  <dcterms:modified xsi:type="dcterms:W3CDTF">2026-07-23T10:59:57Z</dcterms:modified>
  <cp:category/>
  <cp:contentStatus/>
</cp:coreProperties>
</file>