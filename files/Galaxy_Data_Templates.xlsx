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1 · IC Quota Roster" sheetId="2" state="visible" r:id="rId4"/>
    <sheet name="T2 · Quota Rules" sheetId="3" state="visible" r:id="rId5"/>
    <sheet name="T3 · Team Hierarchy" sheetId="4" state="visible" r:id="rId6"/>
    <sheet name="T4 · Pipeline Alias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<sst xmlns="http://schemas.openxmlformats.org/spreadsheetml/2006/main" count="794" uniqueCount="377">
  <si>
    <t xml:space="preserve">Galaxy Performance Tracker — Data Templates for Dev Team  |  FY 2026-27</t>
  </si>
  <si>
    <t xml:space="preserve">These 4 templates replace the Excel files that the dev team cannot get from Vtiger CRM</t>
  </si>
  <si>
    <t xml:space="preserve">#</t>
  </si>
  <si>
    <t xml:space="preserve">Template</t>
  </si>
  <si>
    <t xml:space="preserve">Replaces</t>
  </si>
  <si>
    <t xml:space="preserve">Who edits</t>
  </si>
  <si>
    <t xml:space="preserve">How often</t>
  </si>
  <si>
    <t xml:space="preserve">Dev reads it as</t>
  </si>
  <si>
    <t xml:space="preserve">Purpose</t>
  </si>
  <si>
    <t xml:space="preserve">T1</t>
  </si>
  <si>
    <t xml:space="preserve">T1 · IC Quota Roster</t>
  </si>
  <si>
    <t xml:space="preserve">config/ic_quotas.json + Employee Quota Summary + Target Letters</t>
  </si>
  <si>
    <t xml:space="preserve">Admin (Dharashini / Asif)</t>
  </si>
  <si>
    <t xml:space="preserve">Twice a year (H1 + H2)</t>
  </si>
  <si>
    <t xml:space="preserve">API: GET/PUT /api/admin/quotas</t>
  </si>
  <si>
    <t xml:space="preserve">IC Q1/Q2/H1/H2/Annual quotas + BL quotas + division + alias flag. This is the ONLY place quota numbers live in the platform.</t>
  </si>
  <si>
    <t xml:space="preserve">T2</t>
  </si>
  <si>
    <t xml:space="preserve">T2 · Quota Rules</t>
  </si>
  <si>
    <t xml:space="preserve">config/quota_rules.json</t>
  </si>
  <si>
    <t xml:space="preserve">Admin</t>
  </si>
  <si>
    <t xml:space="preserve">Rarely (only if thresholds or multipliers change)</t>
  </si>
  <si>
    <t xml:space="preserve">API or direct JSON edit</t>
  </si>
  <si>
    <t xml:space="preserve">BU annual quotas, revenue multipliers (PS 2X, CSN 1.3X, DCG 1.2X), payout slabs, status thresholds (50/30%), GP exclusion rules.</t>
  </si>
  <si>
    <t xml:space="preserve">T3</t>
  </si>
  <si>
    <t xml:space="preserve">T3 · Team Hierarchy</t>
  </si>
  <si>
    <t xml:space="preserve">config/leader_roster.json + Sales Team excel</t>
  </si>
  <si>
    <t xml:space="preserve">Rarely (when org chart changes)</t>
  </si>
  <si>
    <t xml:space="preserve">Who reports to whom. Which divisions/depts a BU Head or AVP rolls up. Used for Leaders page and role-based access scoping.</t>
  </si>
  <si>
    <t xml:space="preserve">T4</t>
  </si>
  <si>
    <t xml:space="preserve">T4 · Pipeline Aliases</t>
  </si>
  <si>
    <t xml:space="preserve">config/pipeline_aliases.json</t>
  </si>
  <si>
    <t xml:space="preserve">Add a row when a new rep joins or name spelling is wrong</t>
  </si>
  <si>
    <t xml:space="preserve">Direct JSON edit</t>
  </si>
  <si>
    <t xml:space="preserve">Maps every variant of a rep name in Vtiger cf_825 to the single canonical_name used in T1. Wrong alias = rep actuals show 0.</t>
  </si>
  <si>
    <t xml:space="preserve">KEY FACTS THE DEV TEAM MUST KNOW</t>
  </si>
  <si>
    <t xml:space="preserve">Vtiger CRM provides</t>
  </si>
  <si>
    <t xml:space="preserve">Closed Won deals — Amount, Category, Sub Category, Brand, Led By (cf_825), Close Date, BL (cf_731/cf_781)</t>
  </si>
  <si>
    <t xml:space="preserve">Vtiger does NOT provide</t>
  </si>
  <si>
    <t xml:space="preserve">Q1/Q2/H1/H2 quotas, team hierarchy, rep division, name canonical form — these come from T1–T4</t>
  </si>
  <si>
    <t xml:space="preserve">GeoX exception</t>
  </si>
  <si>
    <t xml:space="preserve">Hrushikesh Bagade: IC actuals = cf_781 (Actual BL) not Amount. Excluded from header IC topline. BU donut includes his CSG Amount.</t>
  </si>
  <si>
    <t xml:space="preserve">Three revenue numbers on dashboard (do NOT flatten)</t>
  </si>
  <si>
    <t xml:space="preserve">Header IC Actuals = RTM IC topline (GeoX = BL) | Header "Including Others" = all Amount excl. Hrushikesh | BU donut = all Amount by category</t>
  </si>
  <si>
    <t xml:space="preserve">Q3/Q4 data</t>
  </si>
  <si>
    <t xml:space="preserve">Not yet available — period objects flagged estimated:true until H2 sync runs</t>
  </si>
  <si>
    <t xml:space="preserve">Name matching is case-sensitive</t>
  </si>
  <si>
    <t xml:space="preserve">SUMIF in SQL equivalent: WHERE led_by = canonical_name. All variants must be in T4.</t>
  </si>
  <si>
    <t xml:space="preserve">H1 quota ≠ Q1+Q2 for several reps</t>
  </si>
  <si>
    <t xml:space="preserve">Tracker explicit H1 sometimes differs from Q1+Q2 sum — see T1 col I notes. Admin Save will overwrite H1 with Q1+Q2.</t>
  </si>
  <si>
    <t xml:space="preserve">Company annual quota</t>
  </si>
  <si>
    <t xml:space="preserve">₹1,250 Cr (BP T&amp;C §6 company incentive trigger). IC quota sum = ₹1,168 Cr approx after roster. Gap is intentional buffer.</t>
  </si>
  <si>
    <t xml:space="preserve">TEMPLATE 1 — IC Quota Roster  |  Replaces: config/ic_quotas.json  |  Admin edits twice a year</t>
  </si>
  <si>
    <t xml:space="preserve">FY 2026-27 · All values in ₹ Crore · One row per active rep · GeoX rep uses Bottomline quota (flag in col P)</t>
  </si>
  <si>
    <t xml:space="preserve">LEGEND:  🟡 Yellow = Admin must fill  |  🟢 Light green = Platform auto-calculates from CRM  |  White = Pre-filled reference data (do not edit)</t>
  </si>
  <si>
    <t xml:space="preserve">canonical name</t>
  </si>
  <si>
    <t xml:space="preserve">employee initial</t>
  </si>
  <si>
    <t xml:space="preserve">division</t>
  </si>
  <si>
    <t xml:space="preserve">reporting manager</t>
  </si>
  <si>
    <t xml:space="preserve">role type</t>
  </si>
  <si>
    <t xml:space="preserve">quota type</t>
  </si>
  <si>
    <t xml:space="preserve">Q1 quota cr</t>
  </si>
  <si>
    <t xml:space="preserve">Q2 quota cr</t>
  </si>
  <si>
    <t xml:space="preserve">H1 quota cr</t>
  </si>
  <si>
    <t xml:space="preserve">Q3 quota cr</t>
  </si>
  <si>
    <t xml:space="preserve">Q4 quota cr</t>
  </si>
  <si>
    <t xml:space="preserve">H2 quota cr</t>
  </si>
  <si>
    <t xml:space="preserve">annual quota cr</t>
  </si>
  <si>
    <t xml:space="preserve">bl h1 quota cr</t>
  </si>
  <si>
    <t xml:space="preserve">bl annual quota cr</t>
  </si>
  <si>
    <t xml:space="preserve">notes</t>
  </si>
  <si>
    <t xml:space="preserve">Tasneem K</t>
  </si>
  <si>
    <t xml:space="preserve">TK</t>
  </si>
  <si>
    <t xml:space="preserve">S1</t>
  </si>
  <si>
    <t xml:space="preserve">Ishwari Santosh Kadam</t>
  </si>
  <si>
    <t xml:space="preserve">IC</t>
  </si>
  <si>
    <t xml:space="preserve">Revenue</t>
  </si>
  <si>
    <t xml:space="preserve">Alias: Tasneem Khatri / Tasneem Mohammed Atif Ansari in HR</t>
  </si>
  <si>
    <t xml:space="preserve">Riya Bhatt</t>
  </si>
  <si>
    <t xml:space="preserve">RB</t>
  </si>
  <si>
    <t xml:space="preserve">Alias: Riya Roshyara / Riya Khemraj Roshyara</t>
  </si>
  <si>
    <t xml:space="preserve">Chirag Palande</t>
  </si>
  <si>
    <t xml:space="preserve">CP</t>
  </si>
  <si>
    <t xml:space="preserve">Prashant Ddugu</t>
  </si>
  <si>
    <t xml:space="preserve">Richa Tiwari</t>
  </si>
  <si>
    <t xml:space="preserve">RT</t>
  </si>
  <si>
    <t xml:space="preserve">Pratik Kadam</t>
  </si>
  <si>
    <t xml:space="preserve">PM</t>
  </si>
  <si>
    <t xml:space="preserve">GEM focus</t>
  </si>
  <si>
    <t xml:space="preserve">PD</t>
  </si>
  <si>
    <t xml:space="preserve">TL</t>
  </si>
  <si>
    <t xml:space="preserve">TL — covers Chirag+Richa+TBH. Do NOT add to IC subtotal.</t>
  </si>
  <si>
    <t xml:space="preserve">RAJ Matondakar</t>
  </si>
  <si>
    <t xml:space="preserve">RN</t>
  </si>
  <si>
    <t xml:space="preserve">No quota assigned yet — add when target letter issued</t>
  </si>
  <si>
    <t xml:space="preserve">Rohit Deshmukh</t>
  </si>
  <si>
    <t xml:space="preserve">RD</t>
  </si>
  <si>
    <t xml:space="preserve">S2</t>
  </si>
  <si>
    <t xml:space="preserve">Dipti Karpe</t>
  </si>
  <si>
    <t xml:space="preserve">Alias: Rohit</t>
  </si>
  <si>
    <t xml:space="preserve">Chetna Sharma</t>
  </si>
  <si>
    <t xml:space="preserve">CH</t>
  </si>
  <si>
    <t xml:space="preserve">Alias: Chetna</t>
  </si>
  <si>
    <t xml:space="preserve">Ketan Dalmia</t>
  </si>
  <si>
    <t xml:space="preserve">VY</t>
  </si>
  <si>
    <t xml:space="preserve">Was Varsha in BP — confirm canonical name</t>
  </si>
  <si>
    <t xml:space="preserve">Arpit</t>
  </si>
  <si>
    <t xml:space="preserve">AR</t>
  </si>
  <si>
    <t xml:space="preserve">TBH placeholder</t>
  </si>
  <si>
    <t xml:space="preserve">Dennis</t>
  </si>
  <si>
    <t xml:space="preserve">DN</t>
  </si>
  <si>
    <t xml:space="preserve">Sankeerth</t>
  </si>
  <si>
    <t xml:space="preserve">SE</t>
  </si>
  <si>
    <t xml:space="preserve">Alias: Sankeerth Srinivasa Bhargav</t>
  </si>
  <si>
    <t xml:space="preserve">Darshana Patil</t>
  </si>
  <si>
    <t xml:space="preserve">SL</t>
  </si>
  <si>
    <t xml:space="preserve">CB</t>
  </si>
  <si>
    <t xml:space="preserve">Vineet Gadia</t>
  </si>
  <si>
    <t xml:space="preserve">Prachi Mayekar</t>
  </si>
  <si>
    <t xml:space="preserve">PC</t>
  </si>
  <si>
    <t xml:space="preserve">Shilpa Kavde</t>
  </si>
  <si>
    <t xml:space="preserve">SL2</t>
  </si>
  <si>
    <t xml:space="preserve">Vidula Chawan</t>
  </si>
  <si>
    <t xml:space="preserve">VC</t>
  </si>
  <si>
    <t xml:space="preserve">Jimesh Shah</t>
  </si>
  <si>
    <t xml:space="preserve">JS</t>
  </si>
  <si>
    <t xml:space="preserve">TL — covers own + Vidula. Do NOT add to IC subtotal.</t>
  </si>
  <si>
    <t xml:space="preserve">Atharva Kapre</t>
  </si>
  <si>
    <t xml:space="preserve">AC</t>
  </si>
  <si>
    <t xml:space="preserve">GB</t>
  </si>
  <si>
    <t xml:space="preserve">Yogesh Bhatia</t>
  </si>
  <si>
    <t xml:space="preserve">Generalist. Alias: Atharva Karpe</t>
  </si>
  <si>
    <t xml:space="preserve">Jay Rushi</t>
  </si>
  <si>
    <t xml:space="preserve">JU</t>
  </si>
  <si>
    <t xml:space="preserve">Generalist</t>
  </si>
  <si>
    <t xml:space="preserve">Ayushaman</t>
  </si>
  <si>
    <t xml:space="preserve">AY</t>
  </si>
  <si>
    <t xml:space="preserve">Cyber Security Specialist. Alias: Ayushman Singh</t>
  </si>
  <si>
    <t xml:space="preserve">Shubhangi</t>
  </si>
  <si>
    <t xml:space="preserve">SU2</t>
  </si>
  <si>
    <t xml:space="preserve">Cyber Security Specialist. Alias: Shubhangi Srinivasan</t>
  </si>
  <si>
    <t xml:space="preserve">Bhumi</t>
  </si>
  <si>
    <t xml:space="preserve">BH</t>
  </si>
  <si>
    <t xml:space="preserve">Sana Rashid Bhatkar</t>
  </si>
  <si>
    <t xml:space="preserve">PS ISR/OSR. Alias: Bhumi Karelia</t>
  </si>
  <si>
    <t xml:space="preserve">Suyesh</t>
  </si>
  <si>
    <t xml:space="preserve">SV</t>
  </si>
  <si>
    <t xml:space="preserve">PS ISR/OSR. Alias: Suvesh Malakar</t>
  </si>
  <si>
    <t xml:space="preserve">Ashish</t>
  </si>
  <si>
    <t xml:space="preserve">AH</t>
  </si>
  <si>
    <t xml:space="preserve">Cloud/PS. Alias: Ashish Shivakumar Singh</t>
  </si>
  <si>
    <t xml:space="preserve">Rizwana</t>
  </si>
  <si>
    <t xml:space="preserve">RZ</t>
  </si>
  <si>
    <t xml:space="preserve">Cloud/PS ISR/OSR. Alias: Rizwana Khan</t>
  </si>
  <si>
    <t xml:space="preserve">Rima Ingle</t>
  </si>
  <si>
    <t xml:space="preserve">RM</t>
  </si>
  <si>
    <t xml:space="preserve">Cloud Specialist. Currently unmapped in pipeline — add alias.</t>
  </si>
  <si>
    <t xml:space="preserve">SB</t>
  </si>
  <si>
    <t xml:space="preserve">TL GB team. Do NOT add to IC subtotal.</t>
  </si>
  <si>
    <t xml:space="preserve">Abrar Memon</t>
  </si>
  <si>
    <t xml:space="preserve">AE</t>
  </si>
  <si>
    <t xml:space="preserve">South</t>
  </si>
  <si>
    <t xml:space="preserve">Ramakrishna Koparapu</t>
  </si>
  <si>
    <t xml:space="preserve">Alias: Abrar Altaf Menon / Abrar Altaf Memon</t>
  </si>
  <si>
    <t xml:space="preserve">Sagar TR</t>
  </si>
  <si>
    <t xml:space="preserve">SC</t>
  </si>
  <si>
    <t xml:space="preserve">Alias: Sagar T R</t>
  </si>
  <si>
    <t xml:space="preserve">Shaik Khadhar</t>
  </si>
  <si>
    <t xml:space="preserve">HS</t>
  </si>
  <si>
    <t xml:space="preserve">Alias: Shaikh Kadar / Shek Khader</t>
  </si>
  <si>
    <t xml:space="preserve">Shahbaz Khan</t>
  </si>
  <si>
    <t xml:space="preserve">SZ</t>
  </si>
  <si>
    <t xml:space="preserve">Hrushikesh Bagade</t>
  </si>
  <si>
    <t xml:space="preserve">HB</t>
  </si>
  <si>
    <t xml:space="preserve">GeoX</t>
  </si>
  <si>
    <t xml:space="preserve">Sanjeev Kohli</t>
  </si>
  <si>
    <t xml:space="preserve">Bottomline</t>
  </si>
  <si>
    <t xml:space="preserve">⚠ BOTTOMLINE quota. Uses cf_781 (Actual BL) not Amount. Topline excluded from RTM grand total.</t>
  </si>
  <si>
    <t xml:space="preserve">SK</t>
  </si>
  <si>
    <t xml:space="preserve">Sanjay Patodia</t>
  </si>
  <si>
    <t xml:space="preserve">TL GeoX. Revenue quota. Do NOT add to IC subtotal.</t>
  </si>
  <si>
    <t xml:space="preserve">  GRAND TOTAL — Revenue ICs only (GeoX BL excluded from rev sum)</t>
  </si>
  <si>
    <t xml:space="preserve">TOTAL (Revenue ICs)</t>
  </si>
  <si>
    <t xml:space="preserve">TEMPLATE 2 — Quota Rules  |  Replaces: config/quota_rules.json  |  Edit in Admin → BU Quotas</t>
  </si>
  <si>
    <t xml:space="preserve">BU annual quotas, multipliers, GP exclusions, payout thresholds — read by build_quota_data.py</t>
  </si>
  <si>
    <t xml:space="preserve">  A. BU Annual Revenue Quotas (₹ Crore)  |  Source: Business Plan Summary tab</t>
  </si>
  <si>
    <t xml:space="preserve">BU / Category</t>
  </si>
  <si>
    <t xml:space="preserve">Vtiger Category string
(exact match, case-sensitive)</t>
  </si>
  <si>
    <t xml:space="preserve">Annual Quota (₹ Cr)</t>
  </si>
  <si>
    <t xml:space="preserve">H1 Quota (₹ Cr)</t>
  </si>
  <si>
    <t xml:space="preserve">H2 Quota (₹ Cr)</t>
  </si>
  <si>
    <t xml:space="preserve">Annual BL%
(GP Target)</t>
  </si>
  <si>
    <t xml:space="preserve">Source</t>
  </si>
  <si>
    <t xml:space="preserve">Notes</t>
  </si>
  <si>
    <t xml:space="preserve">DCG (Data Centre)</t>
  </si>
  <si>
    <t xml:space="preserve">Data Centre</t>
  </si>
  <si>
    <t xml:space="preserve">BP Summary row 53 + DCG tab</t>
  </si>
  <si>
    <t xml:space="preserve">CSN (Cyber Security &amp; Networking)</t>
  </si>
  <si>
    <t xml:space="preserve">Cyber Security &amp; Networking</t>
  </si>
  <si>
    <t xml:space="preserve">BP Summary row 54 + CS tab</t>
  </si>
  <si>
    <t xml:space="preserve">PS (Professional Services)</t>
  </si>
  <si>
    <t xml:space="preserve">Professional Services</t>
  </si>
  <si>
    <t xml:space="preserve">BP PS tab — H1 explicit ₹9.74 Cr. No BL quota defined.</t>
  </si>
  <si>
    <t xml:space="preserve">CSG (EndPoint)</t>
  </si>
  <si>
    <t xml:space="preserve">BP Summary row 50. ⚠ Vtiger must use exact casing "CSG (EndPoint)"</t>
  </si>
  <si>
    <t xml:space="preserve">Cloud</t>
  </si>
  <si>
    <t xml:space="preserve">BP Summary GeoX row — confirm with finance; identical to CSG in current admin</t>
  </si>
  <si>
    <t xml:space="preserve">AI</t>
  </si>
  <si>
    <t xml:space="preserve">BP Summary AI column — minor; no Vtiger category yet</t>
  </si>
  <si>
    <t xml:space="preserve">  B. Revenue Multipliers (quota_credit = amount × multiplier)  |  Source: BP Sales Plan T&amp;C §4</t>
  </si>
  <si>
    <t xml:space="preserve">Rule / Category</t>
  </si>
  <si>
    <t xml:space="preserve">Vtiger Category</t>
  </si>
  <si>
    <t xml:space="preserve">Vtiger Sub Category match</t>
  </si>
  <si>
    <t xml:space="preserve">Multiplier</t>
  </si>
  <si>
    <t xml:space="preserve">Applied to</t>
  </si>
  <si>
    <t xml:space="preserve">PS — Primary (included)</t>
  </si>
  <si>
    <t xml:space="preserve">Managed Services / SOC / Cloud Services / Automation / Deployment</t>
  </si>
  <si>
    <t xml:space="preserve">2.0×</t>
  </si>
  <si>
    <t xml:space="preserve">quota_credit per deal</t>
  </si>
  <si>
    <t xml:space="preserve">BP T&amp;C §5 Primary focus areas</t>
  </si>
  <si>
    <t xml:space="preserve">PS — Secondary (excluded)</t>
  </si>
  <si>
    <t xml:space="preserve">Residency / 3rd party AMC / Day-2 / T&amp;M</t>
  </si>
  <si>
    <t xml:space="preserve">1.0×</t>
  </si>
  <si>
    <t xml:space="preserve">BP T&amp;C §5 Secondary — NOT included</t>
  </si>
  <si>
    <t xml:space="preserve">CSN (all)</t>
  </si>
  <si>
    <t xml:space="preserve">(all sub-categories)</t>
  </si>
  <si>
    <t xml:space="preserve">1.3×</t>
  </si>
  <si>
    <t xml:space="preserve">BP T&amp;C §4</t>
  </si>
  <si>
    <t xml:space="preserve">DCG Backup &amp; Storage</t>
  </si>
  <si>
    <t xml:space="preserve">Backup &amp; Recovery / Storage</t>
  </si>
  <si>
    <t xml:space="preserve">1.2×</t>
  </si>
  <si>
    <t xml:space="preserve">Everything else</t>
  </si>
  <si>
    <t xml:space="preserve">(all others)</t>
  </si>
  <si>
    <t xml:space="preserve">(all)</t>
  </si>
  <si>
    <t xml:space="preserve">Default — no multiplier</t>
  </si>
  <si>
    <t xml:space="preserve">  C. Attainment Status Thresholds  |  Source: config/quota_rules.json</t>
  </si>
  <si>
    <t xml:space="preserve">Status label</t>
  </si>
  <si>
    <t xml:space="preserve">Min attainment %</t>
  </si>
  <si>
    <t xml:space="preserve">Max attainment %</t>
  </si>
  <si>
    <t xml:space="preserve">Display colour</t>
  </si>
  <si>
    <t xml:space="preserve">On Track</t>
  </si>
  <si>
    <t xml:space="preserve">—</t>
  </si>
  <si>
    <t xml:space="preserve">Green (#1E7E34)</t>
  </si>
  <si>
    <t xml:space="preserve">≥ 50% attainment</t>
  </si>
  <si>
    <t xml:space="preserve">At Risk</t>
  </si>
  <si>
    <t xml:space="preserve">Amber (#B8860B)</t>
  </si>
  <si>
    <t xml:space="preserve">≥ 30% and &lt; 50%</t>
  </si>
  <si>
    <t xml:space="preserve">Critical</t>
  </si>
  <si>
    <t xml:space="preserve">Red (#C0392B)</t>
  </si>
  <si>
    <t xml:space="preserve">&lt; 30% attainment</t>
  </si>
  <si>
    <t xml:space="preserve">  D. Special Exceptions</t>
  </si>
  <si>
    <t xml:space="preserve">IC actuals use cf_781 (Actual Bottomline), fallback cf_731 (Est BL), NOT amount. Excluded from header pipeline topline. BU donut includes his CSG Amount.</t>
  </si>
  <si>
    <t xml:space="preserve">TEMPLATE 3 — Team Hierarchy  |  Replaces: config/leader_roster.json  |  Used for Leaders page and division grouping</t>
  </si>
  <si>
    <t xml:space="preserve">FY 2026-27 · Defines org chart — who reports to whom, which divisions a leader owns</t>
  </si>
  <si>
    <t xml:space="preserve">level</t>
  </si>
  <si>
    <t xml:space="preserve">dept label</t>
  </si>
  <si>
    <t xml:space="preserve">reporting to</t>
  </si>
  <si>
    <t xml:space="preserve">rollup divisions</t>
  </si>
  <si>
    <t xml:space="preserve">scope depts</t>
  </si>
  <si>
    <t xml:space="preserve">status</t>
  </si>
  <si>
    <t xml:space="preserve">SP</t>
  </si>
  <si>
    <t xml:space="preserve">CEO</t>
  </si>
  <si>
    <t xml:space="preserve">All</t>
  </si>
  <si>
    <t xml:space="preserve">S1,S2,CB,GB,South,GeoX</t>
  </si>
  <si>
    <t xml:space="preserve">Active</t>
  </si>
  <si>
    <t xml:space="preserve">Top of hierarchy — sees everything</t>
  </si>
  <si>
    <t xml:space="preserve">IK</t>
  </si>
  <si>
    <t xml:space="preserve">AVP</t>
  </si>
  <si>
    <t xml:space="preserve">AVP - Strategic 1</t>
  </si>
  <si>
    <t xml:space="preserve">Stratgic 1</t>
  </si>
  <si>
    <t xml:space="preserve">Manages S1 team. Alias: Ishwari Kadam</t>
  </si>
  <si>
    <t xml:space="preserve">DK</t>
  </si>
  <si>
    <t xml:space="preserve">AVP - Strategic 2</t>
  </si>
  <si>
    <t xml:space="preserve">Stratgic 2</t>
  </si>
  <si>
    <t xml:space="preserve">Manages S2 team. Alias: Dipti  Karpe (double space in system)</t>
  </si>
  <si>
    <t xml:space="preserve">VG</t>
  </si>
  <si>
    <t xml:space="preserve">BU Head</t>
  </si>
  <si>
    <t xml:space="preserve">BU - Commercial Business</t>
  </si>
  <si>
    <t xml:space="preserve">Commercial Business</t>
  </si>
  <si>
    <t xml:space="preserve">YB</t>
  </si>
  <si>
    <t xml:space="preserve">BU - Growth Business</t>
  </si>
  <si>
    <t xml:space="preserve">Growth Busniss</t>
  </si>
  <si>
    <t xml:space="preserve">Ajay Patodia</t>
  </si>
  <si>
    <t xml:space="preserve">AP</t>
  </si>
  <si>
    <t xml:space="preserve">DCG</t>
  </si>
  <si>
    <t xml:space="preserve">DCG BU Head</t>
  </si>
  <si>
    <t xml:space="preserve">S1,S2,CB,GB,South</t>
  </si>
  <si>
    <t xml:space="preserve">Bottomline+Revenue</t>
  </si>
  <si>
    <t xml:space="preserve">DCG actuals = all BL. Leaders page hero uses topline.</t>
  </si>
  <si>
    <t xml:space="preserve">Rocky Braganza</t>
  </si>
  <si>
    <t xml:space="preserve">RY</t>
  </si>
  <si>
    <t xml:space="preserve">CSN</t>
  </si>
  <si>
    <t xml:space="preserve">CSN BU Head</t>
  </si>
  <si>
    <t xml:space="preserve">CSN covers all divisions</t>
  </si>
  <si>
    <t xml:space="preserve">Jitesh Rajput</t>
  </si>
  <si>
    <t xml:space="preserve">JI</t>
  </si>
  <si>
    <t xml:space="preserve">BU - Cloud</t>
  </si>
  <si>
    <t xml:space="preserve">BU Head / TL</t>
  </si>
  <si>
    <t xml:space="preserve">BU - Geo Expansion</t>
  </si>
  <si>
    <t xml:space="preserve">Geo Expansion</t>
  </si>
  <si>
    <t xml:space="preserve">Also TL for GeoX ICs</t>
  </si>
  <si>
    <t xml:space="preserve">Team Lead - Strategic 1</t>
  </si>
  <si>
    <t xml:space="preserve">Stratgic 1 TL</t>
  </si>
  <si>
    <t xml:space="preserve">Covers Chirag+Richa+TBH. Alias: Prashant Ramchandra Dudugu</t>
  </si>
  <si>
    <t xml:space="preserve">Team Lead - Commercial Business</t>
  </si>
  <si>
    <t xml:space="preserve">Commercial Business TL</t>
  </si>
  <si>
    <t xml:space="preserve">Covers own + Vidula</t>
  </si>
  <si>
    <t xml:space="preserve">Team Lead - Growth Business</t>
  </si>
  <si>
    <t xml:space="preserve">Growth Busniss TL</t>
  </si>
  <si>
    <t xml:space="preserve">Covers Bhumi, Rizwana, Suyesh</t>
  </si>
  <si>
    <t xml:space="preserve">RK</t>
  </si>
  <si>
    <t xml:space="preserve">Team Lead - South</t>
  </si>
  <si>
    <t xml:space="preserve">South Sales TL</t>
  </si>
  <si>
    <t xml:space="preserve">Manages South team</t>
  </si>
  <si>
    <t xml:space="preserve">TEMPLATE 4 — Name Aliases  |  Replaces: config/pipeline_aliases.json  |  Maps Vtiger cf_825 → canonical_name</t>
  </si>
  <si>
    <t xml:space="preserve">Every variant of a rep name that appears in Vtiger "Opportunity Led By" field must map to one canonical_name from T1</t>
  </si>
  <si>
    <t xml:space="preserve">vtiger_led_by_string (exact)</t>
  </si>
  <si>
    <t xml:space="preserve">canonical_name (from T1)</t>
  </si>
  <si>
    <t xml:space="preserve">Primary — use this string in T1</t>
  </si>
  <si>
    <t xml:space="preserve">Tasneem Khatri</t>
  </si>
  <si>
    <t xml:space="preserve">BP / EQS variant</t>
  </si>
  <si>
    <t xml:space="preserve">Tasneem khatri</t>
  </si>
  <si>
    <t xml:space="preserve">Lowercase variant in Vtiger</t>
  </si>
  <si>
    <t xml:space="preserve">Tasneem Mohammed Atif Ansari</t>
  </si>
  <si>
    <t xml:space="preserve">HR full name</t>
  </si>
  <si>
    <t xml:space="preserve">Primary canonical</t>
  </si>
  <si>
    <t xml:space="preserve">Riya Roshyara</t>
  </si>
  <si>
    <t xml:space="preserve">Old surname</t>
  </si>
  <si>
    <t xml:space="preserve">Riya Khemraj Roshyara</t>
  </si>
  <si>
    <t xml:space="preserve">Primary — note double "d"</t>
  </si>
  <si>
    <t xml:space="preserve">Prashant Dudugu</t>
  </si>
  <si>
    <t xml:space="preserve">Single "d" variant</t>
  </si>
  <si>
    <t xml:space="preserve">Prashant Ramchandra Dudugu</t>
  </si>
  <si>
    <t xml:space="preserve">Primary</t>
  </si>
  <si>
    <t xml:space="preserve">Chirag Sudhir Palande</t>
  </si>
  <si>
    <t xml:space="preserve">Pratik Vilas Kadam</t>
  </si>
  <si>
    <t xml:space="preserve">Rohit</t>
  </si>
  <si>
    <t xml:space="preserve">Short name in Vtiger</t>
  </si>
  <si>
    <t xml:space="preserve">Chetna</t>
  </si>
  <si>
    <t xml:space="preserve">Primary short name</t>
  </si>
  <si>
    <t xml:space="preserve">Sankeerth Srinivasa Bhargav</t>
  </si>
  <si>
    <t xml:space="preserve">Varsha</t>
  </si>
  <si>
    <t xml:space="preserve">Old rep — confirm if Ketan replaced Varsha or is separate</t>
  </si>
  <si>
    <t xml:space="preserve">Current rep name per Sales Team file</t>
  </si>
  <si>
    <t xml:space="preserve">Primary — note spelling (not Ayushman)</t>
  </si>
  <si>
    <t xml:space="preserve">Ayushman Singh</t>
  </si>
  <si>
    <t xml:space="preserve">Vtiger / HR variant</t>
  </si>
  <si>
    <t xml:space="preserve">Atharva Karpe</t>
  </si>
  <si>
    <t xml:space="preserve">HR / Sales Team spelling</t>
  </si>
  <si>
    <t xml:space="preserve">Shubhangi Srinivasan</t>
  </si>
  <si>
    <t xml:space="preserve">Full name variant</t>
  </si>
  <si>
    <t xml:space="preserve">Bhumi Karelia</t>
  </si>
  <si>
    <t xml:space="preserve">Full name</t>
  </si>
  <si>
    <t xml:space="preserve">Suvesh Malakar</t>
  </si>
  <si>
    <t xml:space="preserve">HR variant — note Suyesh vs Suvesh</t>
  </si>
  <si>
    <t xml:space="preserve">Ashish Shivakumar Singh</t>
  </si>
  <si>
    <t xml:space="preserve">Rizwana Khan</t>
  </si>
  <si>
    <t xml:space="preserve">⚠ Currently unmapped — add quota row in T1 when ready</t>
  </si>
  <si>
    <t xml:space="preserve">Rima Kamalakar Ingle</t>
  </si>
  <si>
    <t xml:space="preserve">Abrar Altaf Menon</t>
  </si>
  <si>
    <t xml:space="preserve">BP spelling</t>
  </si>
  <si>
    <t xml:space="preserve">Abrar Altaf Memon</t>
  </si>
  <si>
    <t xml:space="preserve">Sales Team spelling</t>
  </si>
  <si>
    <t xml:space="preserve">Sagar T R</t>
  </si>
  <si>
    <t xml:space="preserve">Space variant</t>
  </si>
  <si>
    <t xml:space="preserve">Shaikh Kadar</t>
  </si>
  <si>
    <t xml:space="preserve">Tracker variant</t>
  </si>
  <si>
    <t xml:space="preserve">Shek Khader</t>
  </si>
  <si>
    <t xml:space="preserve">Sales Team variant</t>
  </si>
  <si>
    <t xml:space="preserve">Hrushikesh  Bagade</t>
  </si>
  <si>
    <t xml:space="preserve">Double-space variant in Sales Team file</t>
  </si>
  <si>
    <t xml:space="preserve">Jimesh  Shah</t>
  </si>
  <si>
    <t xml:space="preserve">Double-space variant</t>
  </si>
  <si>
    <t xml:space="preserve">Vidula Chavan</t>
  </si>
  <si>
    <t xml:space="preserve">Chavan vs Chawan — confirm with HR</t>
  </si>
  <si>
    <t xml:space="preserve">Primary — TL</t>
  </si>
  <si>
    <t xml:space="preserve">Dipti  Karpe</t>
  </si>
  <si>
    <t xml:space="preserve">Double-space variant in system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</si>
</sst>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2E5FA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5A6272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2E5FA3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5A6272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color rgb="FFC0392B"/>
      <name val="Arial"/>
      <family val="0"/>
      <charset val="1"/>
    </font>
    <font>
      <i val="true"/>
      <sz val="10"/>
      <color rgb="FF2E5FA3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003366"/>
      <name val="Arial"/>
      <family val="0"/>
      <charset val="1"/>
    </font>
    <font>
      <sz val="10"/>
      <color rgb="FF1E7E34"/>
      <name val="Arial"/>
      <family val="0"/>
      <charset val="1"/>
    </font>
    <font>
      <sz val="10"/>
      <color rgb="FF5A6272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003366"/>
      </patternFill>
    </fill>
    <fill>
      <patternFill patternType="solid">
        <fgColor rgb="FF2E5FA3"/>
        <bgColor rgb="FF1D7874"/>
      </patternFill>
    </fill>
    <fill>
      <patternFill patternType="solid">
        <fgColor rgb="FF1D7874"/>
        <bgColor rgb="FF008080"/>
      </patternFill>
    </fill>
    <fill>
      <patternFill patternType="solid">
        <fgColor rgb="FFFFFFFF"/>
        <bgColor rgb="FFF2F4F7"/>
      </patternFill>
    </fill>
    <fill>
      <patternFill patternType="solid">
        <fgColor rgb="FFF2F4F7"/>
        <bgColor rgb="FFE8F5E9"/>
      </patternFill>
    </fill>
    <fill>
      <patternFill patternType="solid">
        <fgColor rgb="FFC0392B"/>
        <bgColor rgb="FF993366"/>
      </patternFill>
    </fill>
    <fill>
      <patternFill patternType="solid">
        <fgColor rgb="FFD6E4F7"/>
        <bgColor rgb="FFE8F5E9"/>
      </patternFill>
    </fill>
    <fill>
      <patternFill patternType="solid">
        <fgColor rgb="FFCBD0D8"/>
        <bgColor rgb="FFCCCCCC"/>
      </patternFill>
    </fill>
    <fill>
      <patternFill patternType="solid">
        <fgColor rgb="FFFFF9C4"/>
        <bgColor rgb="FFFFFF99"/>
      </patternFill>
    </fill>
    <fill>
      <patternFill patternType="solid">
        <fgColor rgb="FFE8F5E9"/>
        <bgColor rgb="FFF2F4F7"/>
      </patternFill>
    </fill>
    <fill>
      <patternFill patternType="solid">
        <fgColor rgb="FFFADBD8"/>
        <bgColor rgb="FFF2F4F7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1D7874"/>
      </left>
      <right style="thin">
        <color rgb="FF1D7874"/>
      </right>
      <top style="thin">
        <color rgb="FF1D7874"/>
      </top>
      <bottom style="thin">
        <color rgb="FF1D7874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2E5FA3"/>
      </left>
      <right style="thin">
        <color rgb="FF2E5FA3"/>
      </right>
      <top style="thin">
        <color rgb="FF2E5FA3"/>
      </top>
      <bottom style="thin">
        <color rgb="FF2E5FA3"/>
      </bottom>
      <diagonal/>
    </border>
    <border diagonalUp="false" diagonalDown="false"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  <border diagonalUp="false" diagonalDown="false">
      <left style="thin">
        <color rgb="FFCBD0D8"/>
      </left>
      <right style="thin">
        <color rgb="FFCBD0D8"/>
      </right>
      <top style="thin">
        <color rgb="FFCBD0D8"/>
      </top>
      <bottom style="thin">
        <color rgb="FFCBD0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08000"/>
      <rgbColor rgb="FF800080"/>
      <rgbColor rgb="FF1D7874"/>
      <rgbColor rgb="FFCCCCCC"/>
      <rgbColor rgb="FF808080"/>
      <rgbColor rgb="FF9999FF"/>
      <rgbColor rgb="FF993366"/>
      <rgbColor rgb="FFFFF9C4"/>
      <rgbColor rgb="FFE8F5E9"/>
      <rgbColor rgb="FF660066"/>
      <rgbColor rgb="FFFF8080"/>
      <rgbColor rgb="FF2E5FA3"/>
      <rgbColor rgb="FFCBD0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F2F4F7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A6272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36"/>
    <col collapsed="false" customWidth="true" hidden="false" outlineLevel="0" max="8" min="8" style="0" width="2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3.5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</row>
    <row r="5" customFormat="false" ht="21.75" hidden="false" customHeight="true" outlineLevel="0" collapsed="false">
      <c r="A5" s="4" t="s">
        <v>9</v>
      </c>
      <c r="B5" s="5" t="s">
        <v>10</v>
      </c>
      <c r="C5" s="6" t="s">
        <v>11</v>
      </c>
      <c r="D5" s="7" t="s">
        <v>12</v>
      </c>
      <c r="E5" s="8" t="s">
        <v>13</v>
      </c>
      <c r="F5" s="9" t="s">
        <v>14</v>
      </c>
      <c r="G5" s="10" t="s">
        <v>15</v>
      </c>
      <c r="H5" s="10"/>
    </row>
    <row r="6" customFormat="false" ht="21.75" hidden="false" customHeight="true" outlineLevel="0" collapsed="false">
      <c r="A6" s="11" t="s">
        <v>16</v>
      </c>
      <c r="B6" s="12" t="s">
        <v>17</v>
      </c>
      <c r="C6" s="13" t="s">
        <v>18</v>
      </c>
      <c r="D6" s="14" t="s">
        <v>19</v>
      </c>
      <c r="E6" s="15" t="s">
        <v>20</v>
      </c>
      <c r="F6" s="16" t="s">
        <v>21</v>
      </c>
      <c r="G6" s="17" t="s">
        <v>22</v>
      </c>
      <c r="H6" s="17"/>
    </row>
    <row r="7" customFormat="false" ht="21.75" hidden="false" customHeight="true" outlineLevel="0" collapsed="false">
      <c r="A7" s="4" t="s">
        <v>23</v>
      </c>
      <c r="B7" s="5" t="s">
        <v>24</v>
      </c>
      <c r="C7" s="6" t="s">
        <v>25</v>
      </c>
      <c r="D7" s="7" t="s">
        <v>19</v>
      </c>
      <c r="E7" s="8" t="s">
        <v>26</v>
      </c>
      <c r="F7" s="9" t="s">
        <v>21</v>
      </c>
      <c r="G7" s="10" t="s">
        <v>27</v>
      </c>
      <c r="H7" s="10"/>
    </row>
    <row r="8" customFormat="false" ht="21.75" hidden="false" customHeight="true" outlineLevel="0" collapsed="false">
      <c r="A8" s="11" t="s">
        <v>28</v>
      </c>
      <c r="B8" s="12" t="s">
        <v>29</v>
      </c>
      <c r="C8" s="13" t="s">
        <v>30</v>
      </c>
      <c r="D8" s="14" t="s">
        <v>19</v>
      </c>
      <c r="E8" s="15" t="s">
        <v>31</v>
      </c>
      <c r="F8" s="16" t="s">
        <v>32</v>
      </c>
      <c r="G8" s="17" t="s">
        <v>33</v>
      </c>
      <c r="H8" s="17"/>
    </row>
    <row r="10" customFormat="false" ht="13.5" hidden="false" customHeight="true" outlineLevel="0" collapsed="false"/>
    <row r="11" customFormat="false" ht="15" hidden="false" customHeight="false" outlineLevel="0" collapsed="false">
      <c r="A11" s="18" t="s">
        <v>34</v>
      </c>
      <c r="B11" s="18"/>
      <c r="C11" s="18"/>
      <c r="D11" s="18"/>
      <c r="E11" s="18"/>
      <c r="F11" s="18"/>
      <c r="G11" s="18"/>
      <c r="H11" s="18"/>
    </row>
    <row r="12" customFormat="false" ht="19.5" hidden="false" customHeight="true" outlineLevel="0" collapsed="false">
      <c r="A12" s="19" t="s">
        <v>35</v>
      </c>
      <c r="B12" s="17" t="s">
        <v>36</v>
      </c>
      <c r="C12" s="17"/>
      <c r="D12" s="17"/>
      <c r="E12" s="17"/>
      <c r="F12" s="17"/>
      <c r="G12" s="17"/>
      <c r="H12" s="17"/>
    </row>
    <row r="13" customFormat="false" ht="19.5" hidden="false" customHeight="true" outlineLevel="0" collapsed="false">
      <c r="A13" s="19" t="s">
        <v>37</v>
      </c>
      <c r="B13" s="10" t="s">
        <v>38</v>
      </c>
      <c r="C13" s="10"/>
      <c r="D13" s="10"/>
      <c r="E13" s="10"/>
      <c r="F13" s="10"/>
      <c r="G13" s="10"/>
      <c r="H13" s="10"/>
    </row>
    <row r="14" customFormat="false" ht="19.5" hidden="false" customHeight="true" outlineLevel="0" collapsed="false">
      <c r="A14" s="19" t="s">
        <v>39</v>
      </c>
      <c r="B14" s="17" t="s">
        <v>40</v>
      </c>
      <c r="C14" s="17"/>
      <c r="D14" s="17"/>
      <c r="E14" s="17"/>
      <c r="F14" s="17"/>
      <c r="G14" s="17"/>
      <c r="H14" s="17"/>
    </row>
    <row r="15" customFormat="false" ht="19.5" hidden="false" customHeight="true" outlineLevel="0" collapsed="false">
      <c r="A15" s="19" t="s">
        <v>41</v>
      </c>
      <c r="B15" s="10" t="s">
        <v>42</v>
      </c>
      <c r="C15" s="10"/>
      <c r="D15" s="10"/>
      <c r="E15" s="10"/>
      <c r="F15" s="10"/>
      <c r="G15" s="10"/>
      <c r="H15" s="10"/>
    </row>
    <row r="16" customFormat="false" ht="19.5" hidden="false" customHeight="true" outlineLevel="0" collapsed="false">
      <c r="A16" s="19" t="s">
        <v>43</v>
      </c>
      <c r="B16" s="17" t="s">
        <v>44</v>
      </c>
      <c r="C16" s="17"/>
      <c r="D16" s="17"/>
      <c r="E16" s="17"/>
      <c r="F16" s="17"/>
      <c r="G16" s="17"/>
      <c r="H16" s="17"/>
    </row>
    <row r="17" customFormat="false" ht="19.5" hidden="false" customHeight="true" outlineLevel="0" collapsed="false">
      <c r="A17" s="19" t="s">
        <v>45</v>
      </c>
      <c r="B17" s="10" t="s">
        <v>46</v>
      </c>
      <c r="C17" s="10"/>
      <c r="D17" s="10"/>
      <c r="E17" s="10"/>
      <c r="F17" s="10"/>
      <c r="G17" s="10"/>
      <c r="H17" s="10"/>
    </row>
    <row r="18" customFormat="false" ht="19.5" hidden="false" customHeight="true" outlineLevel="0" collapsed="false">
      <c r="A18" s="19" t="s">
        <v>47</v>
      </c>
      <c r="B18" s="17" t="s">
        <v>48</v>
      </c>
      <c r="C18" s="17"/>
      <c r="D18" s="17"/>
      <c r="E18" s="17"/>
      <c r="F18" s="17"/>
      <c r="G18" s="17"/>
      <c r="H18" s="17"/>
    </row>
    <row r="19" customFormat="false" ht="19.5" hidden="false" customHeight="true" outlineLevel="0" collapsed="false">
      <c r="A19" s="19" t="s">
        <v>49</v>
      </c>
      <c r="B19" s="10" t="s">
        <v>50</v>
      </c>
      <c r="C19" s="10"/>
      <c r="D19" s="10"/>
      <c r="E19" s="10"/>
      <c r="F19" s="10"/>
      <c r="G19" s="10"/>
      <c r="H19" s="10"/>
    </row>
  </sheetData>
  <mergeCells count="16">
    <mergeCell ref="A1:H1"/>
    <mergeCell ref="A2:H2"/>
    <mergeCell ref="G4:H4"/>
    <mergeCell ref="G5:H5"/>
    <mergeCell ref="G6:H6"/>
    <mergeCell ref="G7:H7"/>
    <mergeCell ref="G8:H8"/>
    <mergeCell ref="A11:H11"/>
    <mergeCell ref="B12:H12"/>
    <mergeCell ref="B13:H13"/>
    <mergeCell ref="B14:H14"/>
    <mergeCell ref="B15:H15"/>
    <mergeCell ref="B16:H16"/>
    <mergeCell ref="B17:H17"/>
    <mergeCell ref="B18:H18"/>
    <mergeCell ref="B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24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15" min="7" style="0" width="9"/>
    <col collapsed="false" customWidth="true" hidden="false" outlineLevel="0" max="16" min="16" style="0" width="40"/>
  </cols>
  <sheetData>
    <row r="1" customFormat="false" ht="24" hidden="false" customHeight="true" outlineLevel="0" collapsed="false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3.5" hidden="false" customHeight="true" outlineLevel="0" collapsed="false">
      <c r="A3" s="20" t="s">
        <v>53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customFormat="false" ht="36" hidden="false" customHeight="true" outlineLevel="0" collapsed="false">
      <c r="A4" s="21" t="s">
        <v>54</v>
      </c>
      <c r="B4" s="21" t="s">
        <v>55</v>
      </c>
      <c r="C4" s="21" t="s">
        <v>56</v>
      </c>
      <c r="D4" s="21" t="s">
        <v>57</v>
      </c>
      <c r="E4" s="21" t="s">
        <v>58</v>
      </c>
      <c r="F4" s="21" t="s">
        <v>59</v>
      </c>
      <c r="G4" s="22" t="s">
        <v>60</v>
      </c>
      <c r="H4" s="22" t="s">
        <v>61</v>
      </c>
      <c r="I4" s="22" t="s">
        <v>62</v>
      </c>
      <c r="J4" s="23" t="s">
        <v>63</v>
      </c>
      <c r="K4" s="23" t="s">
        <v>64</v>
      </c>
      <c r="L4" s="23" t="s">
        <v>65</v>
      </c>
      <c r="M4" s="21" t="s">
        <v>66</v>
      </c>
      <c r="N4" s="24" t="s">
        <v>67</v>
      </c>
      <c r="O4" s="24" t="s">
        <v>68</v>
      </c>
      <c r="P4" s="25" t="s">
        <v>69</v>
      </c>
    </row>
    <row r="5" customFormat="false" ht="15" hidden="false" customHeight="false" outlineLevel="0" collapsed="false">
      <c r="A5" s="14" t="s">
        <v>70</v>
      </c>
      <c r="B5" s="26" t="s">
        <v>71</v>
      </c>
      <c r="C5" s="27" t="s">
        <v>72</v>
      </c>
      <c r="D5" s="14" t="s">
        <v>73</v>
      </c>
      <c r="E5" s="26" t="s">
        <v>74</v>
      </c>
      <c r="F5" s="26" t="s">
        <v>75</v>
      </c>
      <c r="G5" s="28" t="n">
        <v>25</v>
      </c>
      <c r="H5" s="28" t="n">
        <v>64.5</v>
      </c>
      <c r="I5" s="28" t="n">
        <v>100</v>
      </c>
      <c r="J5" s="28" t="n">
        <v>44.75</v>
      </c>
      <c r="K5" s="28" t="n">
        <v>44.75</v>
      </c>
      <c r="L5" s="29" t="n">
        <f aca="false">J5+K5</f>
        <v>89.5</v>
      </c>
      <c r="M5" s="29" t="n">
        <v>260</v>
      </c>
      <c r="N5" s="28"/>
      <c r="O5" s="28"/>
      <c r="P5" s="13" t="s">
        <v>76</v>
      </c>
    </row>
    <row r="6" customFormat="false" ht="15" hidden="false" customHeight="false" outlineLevel="0" collapsed="false">
      <c r="A6" s="7" t="s">
        <v>77</v>
      </c>
      <c r="B6" s="30" t="s">
        <v>78</v>
      </c>
      <c r="C6" s="31" t="s">
        <v>72</v>
      </c>
      <c r="D6" s="7" t="s">
        <v>73</v>
      </c>
      <c r="E6" s="30" t="s">
        <v>74</v>
      </c>
      <c r="F6" s="30" t="s">
        <v>75</v>
      </c>
      <c r="G6" s="28"/>
      <c r="H6" s="28"/>
      <c r="I6" s="28" t="n">
        <v>58</v>
      </c>
      <c r="J6" s="28"/>
      <c r="K6" s="28"/>
      <c r="L6" s="28"/>
      <c r="M6" s="29" t="n">
        <v>120</v>
      </c>
      <c r="N6" s="28"/>
      <c r="O6" s="28"/>
      <c r="P6" s="6" t="s">
        <v>79</v>
      </c>
    </row>
    <row r="7" customFormat="false" ht="15" hidden="false" customHeight="false" outlineLevel="0" collapsed="false">
      <c r="A7" s="14" t="s">
        <v>80</v>
      </c>
      <c r="B7" s="26" t="s">
        <v>81</v>
      </c>
      <c r="C7" s="27" t="s">
        <v>72</v>
      </c>
      <c r="D7" s="14" t="s">
        <v>82</v>
      </c>
      <c r="E7" s="26" t="s">
        <v>74</v>
      </c>
      <c r="F7" s="26" t="s">
        <v>75</v>
      </c>
      <c r="G7" s="28" t="n">
        <v>1.5</v>
      </c>
      <c r="H7" s="28" t="n">
        <v>3.5</v>
      </c>
      <c r="I7" s="29" t="n">
        <f aca="false">G7+H7</f>
        <v>5</v>
      </c>
      <c r="J7" s="28" t="n">
        <v>7.5</v>
      </c>
      <c r="K7" s="28" t="n">
        <v>12.5</v>
      </c>
      <c r="L7" s="29" t="n">
        <f aca="false">J7+K7</f>
        <v>20</v>
      </c>
      <c r="M7" s="29" t="n">
        <v>60</v>
      </c>
      <c r="N7" s="28"/>
      <c r="O7" s="28"/>
      <c r="P7" s="13"/>
    </row>
    <row r="8" customFormat="false" ht="15" hidden="false" customHeight="false" outlineLevel="0" collapsed="false">
      <c r="A8" s="7" t="s">
        <v>83</v>
      </c>
      <c r="B8" s="30" t="s">
        <v>84</v>
      </c>
      <c r="C8" s="31" t="s">
        <v>72</v>
      </c>
      <c r="D8" s="7" t="s">
        <v>82</v>
      </c>
      <c r="E8" s="30" t="s">
        <v>74</v>
      </c>
      <c r="F8" s="30" t="s">
        <v>75</v>
      </c>
      <c r="G8" s="28"/>
      <c r="H8" s="28"/>
      <c r="I8" s="28" t="n">
        <v>25</v>
      </c>
      <c r="J8" s="28"/>
      <c r="K8" s="28"/>
      <c r="L8" s="28"/>
      <c r="M8" s="29" t="n">
        <v>60</v>
      </c>
      <c r="N8" s="28"/>
      <c r="O8" s="28"/>
      <c r="P8" s="6"/>
    </row>
    <row r="9" customFormat="false" ht="15" hidden="false" customHeight="false" outlineLevel="0" collapsed="false">
      <c r="A9" s="14" t="s">
        <v>85</v>
      </c>
      <c r="B9" s="26" t="s">
        <v>86</v>
      </c>
      <c r="C9" s="27" t="s">
        <v>72</v>
      </c>
      <c r="D9" s="14" t="s">
        <v>73</v>
      </c>
      <c r="E9" s="26" t="s">
        <v>74</v>
      </c>
      <c r="F9" s="26" t="s">
        <v>75</v>
      </c>
      <c r="G9" s="28" t="n">
        <v>3</v>
      </c>
      <c r="H9" s="28" t="n">
        <v>2</v>
      </c>
      <c r="I9" s="29" t="n">
        <f aca="false">G9+H9</f>
        <v>5</v>
      </c>
      <c r="J9" s="28" t="n">
        <v>2.5</v>
      </c>
      <c r="K9" s="28" t="n">
        <v>2.5</v>
      </c>
      <c r="L9" s="29" t="n">
        <f aca="false">J9+K9</f>
        <v>5</v>
      </c>
      <c r="M9" s="29" t="n">
        <v>10</v>
      </c>
      <c r="N9" s="28"/>
      <c r="O9" s="28"/>
      <c r="P9" s="13" t="s">
        <v>87</v>
      </c>
    </row>
    <row r="10" customFormat="false" ht="15" hidden="false" customHeight="false" outlineLevel="0" collapsed="false">
      <c r="A10" s="5" t="s">
        <v>82</v>
      </c>
      <c r="B10" s="30" t="s">
        <v>88</v>
      </c>
      <c r="C10" s="31" t="s">
        <v>72</v>
      </c>
      <c r="D10" s="7" t="s">
        <v>73</v>
      </c>
      <c r="E10" s="30" t="s">
        <v>89</v>
      </c>
      <c r="F10" s="30" t="s">
        <v>75</v>
      </c>
      <c r="G10" s="28"/>
      <c r="H10" s="28"/>
      <c r="I10" s="28" t="n">
        <v>60</v>
      </c>
      <c r="J10" s="28"/>
      <c r="K10" s="28"/>
      <c r="L10" s="28"/>
      <c r="M10" s="29" t="n">
        <v>120</v>
      </c>
      <c r="N10" s="28"/>
      <c r="O10" s="28"/>
      <c r="P10" s="6" t="s">
        <v>90</v>
      </c>
    </row>
    <row r="11" customFormat="false" ht="15" hidden="false" customHeight="false" outlineLevel="0" collapsed="false">
      <c r="A11" s="14" t="s">
        <v>91</v>
      </c>
      <c r="B11" s="26" t="s">
        <v>92</v>
      </c>
      <c r="C11" s="27" t="s">
        <v>72</v>
      </c>
      <c r="D11" s="14" t="s">
        <v>82</v>
      </c>
      <c r="E11" s="26" t="s">
        <v>74</v>
      </c>
      <c r="F11" s="26" t="s">
        <v>75</v>
      </c>
      <c r="G11" s="28"/>
      <c r="H11" s="28"/>
      <c r="I11" s="28"/>
      <c r="J11" s="28"/>
      <c r="K11" s="28"/>
      <c r="L11" s="28"/>
      <c r="M11" s="29" t="n">
        <f aca="false">I11+L11</f>
        <v>0</v>
      </c>
      <c r="N11" s="28"/>
      <c r="O11" s="28"/>
      <c r="P11" s="13" t="s">
        <v>93</v>
      </c>
    </row>
    <row r="12" customFormat="false" ht="15" hidden="false" customHeight="false" outlineLevel="0" collapsed="false">
      <c r="A12" s="7" t="s">
        <v>94</v>
      </c>
      <c r="B12" s="30" t="s">
        <v>95</v>
      </c>
      <c r="C12" s="31" t="s">
        <v>96</v>
      </c>
      <c r="D12" s="7" t="s">
        <v>97</v>
      </c>
      <c r="E12" s="30" t="s">
        <v>74</v>
      </c>
      <c r="F12" s="30" t="s">
        <v>75</v>
      </c>
      <c r="G12" s="28" t="n">
        <v>25</v>
      </c>
      <c r="H12" s="28" t="n">
        <v>50</v>
      </c>
      <c r="I12" s="29" t="n">
        <f aca="false">G12+H12</f>
        <v>75</v>
      </c>
      <c r="J12" s="28" t="n">
        <v>20</v>
      </c>
      <c r="K12" s="28" t="n">
        <v>25</v>
      </c>
      <c r="L12" s="29" t="n">
        <f aca="false">J12+K12</f>
        <v>45</v>
      </c>
      <c r="M12" s="29" t="n">
        <v>135</v>
      </c>
      <c r="N12" s="28"/>
      <c r="O12" s="28"/>
      <c r="P12" s="6" t="s">
        <v>98</v>
      </c>
    </row>
    <row r="13" customFormat="false" ht="15" hidden="false" customHeight="false" outlineLevel="0" collapsed="false">
      <c r="A13" s="14" t="s">
        <v>99</v>
      </c>
      <c r="B13" s="26" t="s">
        <v>100</v>
      </c>
      <c r="C13" s="27" t="s">
        <v>96</v>
      </c>
      <c r="D13" s="14" t="s">
        <v>97</v>
      </c>
      <c r="E13" s="26" t="s">
        <v>74</v>
      </c>
      <c r="F13" s="26" t="s">
        <v>75</v>
      </c>
      <c r="G13" s="28" t="n">
        <v>3</v>
      </c>
      <c r="H13" s="28" t="n">
        <v>2</v>
      </c>
      <c r="I13" s="29" t="n">
        <f aca="false">G13+H13</f>
        <v>5</v>
      </c>
      <c r="J13" s="28" t="n">
        <v>10</v>
      </c>
      <c r="K13" s="28" t="n">
        <v>10</v>
      </c>
      <c r="L13" s="29" t="n">
        <f aca="false">J13+K13</f>
        <v>20</v>
      </c>
      <c r="M13" s="29" t="n">
        <v>69</v>
      </c>
      <c r="N13" s="28"/>
      <c r="O13" s="28"/>
      <c r="P13" s="13" t="s">
        <v>101</v>
      </c>
    </row>
    <row r="14" customFormat="false" ht="15" hidden="false" customHeight="false" outlineLevel="0" collapsed="false">
      <c r="A14" s="7" t="s">
        <v>102</v>
      </c>
      <c r="B14" s="30" t="s">
        <v>103</v>
      </c>
      <c r="C14" s="31" t="s">
        <v>96</v>
      </c>
      <c r="D14" s="7" t="s">
        <v>97</v>
      </c>
      <c r="E14" s="30" t="s">
        <v>74</v>
      </c>
      <c r="F14" s="30" t="s">
        <v>75</v>
      </c>
      <c r="G14" s="28" t="n">
        <v>5</v>
      </c>
      <c r="H14" s="28" t="n">
        <v>5</v>
      </c>
      <c r="I14" s="29" t="n">
        <f aca="false">G14+H14</f>
        <v>10</v>
      </c>
      <c r="J14" s="28" t="n">
        <v>5</v>
      </c>
      <c r="K14" s="28" t="n">
        <v>5</v>
      </c>
      <c r="L14" s="29" t="n">
        <f aca="false">J14+K14</f>
        <v>10</v>
      </c>
      <c r="M14" s="29" t="n">
        <v>40.5</v>
      </c>
      <c r="N14" s="28"/>
      <c r="O14" s="28"/>
      <c r="P14" s="6" t="s">
        <v>104</v>
      </c>
    </row>
    <row r="15" customFormat="false" ht="15" hidden="false" customHeight="false" outlineLevel="0" collapsed="false">
      <c r="A15" s="14" t="s">
        <v>105</v>
      </c>
      <c r="B15" s="26" t="s">
        <v>106</v>
      </c>
      <c r="C15" s="27" t="s">
        <v>96</v>
      </c>
      <c r="D15" s="14" t="s">
        <v>97</v>
      </c>
      <c r="E15" s="26" t="s">
        <v>74</v>
      </c>
      <c r="F15" s="26" t="s">
        <v>75</v>
      </c>
      <c r="G15" s="28" t="n">
        <v>5</v>
      </c>
      <c r="H15" s="28" t="n">
        <v>5</v>
      </c>
      <c r="I15" s="29" t="n">
        <f aca="false">G15+H15</f>
        <v>10</v>
      </c>
      <c r="J15" s="28" t="n">
        <v>7.5</v>
      </c>
      <c r="K15" s="28" t="n">
        <v>7.5</v>
      </c>
      <c r="L15" s="29" t="n">
        <f aca="false">J15+K15</f>
        <v>15</v>
      </c>
      <c r="M15" s="29" t="n">
        <v>32.5</v>
      </c>
      <c r="N15" s="28"/>
      <c r="O15" s="28"/>
      <c r="P15" s="13" t="s">
        <v>107</v>
      </c>
    </row>
    <row r="16" customFormat="false" ht="15" hidden="false" customHeight="false" outlineLevel="0" collapsed="false">
      <c r="A16" s="7" t="s">
        <v>108</v>
      </c>
      <c r="B16" s="30" t="s">
        <v>109</v>
      </c>
      <c r="C16" s="31" t="s">
        <v>96</v>
      </c>
      <c r="D16" s="7" t="s">
        <v>97</v>
      </c>
      <c r="E16" s="30" t="s">
        <v>74</v>
      </c>
      <c r="F16" s="30" t="s">
        <v>75</v>
      </c>
      <c r="G16" s="28" t="n">
        <v>0.3</v>
      </c>
      <c r="H16" s="28" t="n">
        <v>0.7</v>
      </c>
      <c r="I16" s="29" t="n">
        <f aca="false">G16+H16</f>
        <v>1</v>
      </c>
      <c r="J16" s="28" t="n">
        <v>0.4</v>
      </c>
      <c r="K16" s="28" t="n">
        <v>0.6</v>
      </c>
      <c r="L16" s="29" t="n">
        <f aca="false">J16+K16</f>
        <v>1</v>
      </c>
      <c r="M16" s="29" t="n">
        <v>6</v>
      </c>
      <c r="N16" s="28"/>
      <c r="O16" s="28"/>
      <c r="P16" s="6" t="s">
        <v>107</v>
      </c>
    </row>
    <row r="17" customFormat="false" ht="15" hidden="false" customHeight="false" outlineLevel="0" collapsed="false">
      <c r="A17" s="14" t="s">
        <v>110</v>
      </c>
      <c r="B17" s="26" t="s">
        <v>111</v>
      </c>
      <c r="C17" s="27" t="s">
        <v>96</v>
      </c>
      <c r="D17" s="14" t="s">
        <v>97</v>
      </c>
      <c r="E17" s="26" t="s">
        <v>74</v>
      </c>
      <c r="F17" s="26" t="s">
        <v>75</v>
      </c>
      <c r="G17" s="28" t="n">
        <v>0.75</v>
      </c>
      <c r="H17" s="28" t="n">
        <v>0.75</v>
      </c>
      <c r="I17" s="29" t="n">
        <f aca="false">G17+H17</f>
        <v>1.5</v>
      </c>
      <c r="J17" s="28" t="n">
        <v>1.75</v>
      </c>
      <c r="K17" s="28" t="n">
        <v>1.75</v>
      </c>
      <c r="L17" s="29" t="n">
        <f aca="false">J17+K17</f>
        <v>3.5</v>
      </c>
      <c r="M17" s="29" t="n">
        <v>17</v>
      </c>
      <c r="N17" s="28"/>
      <c r="O17" s="28"/>
      <c r="P17" s="13" t="s">
        <v>112</v>
      </c>
    </row>
    <row r="18" customFormat="false" ht="15" hidden="false" customHeight="false" outlineLevel="0" collapsed="false">
      <c r="A18" s="7" t="s">
        <v>113</v>
      </c>
      <c r="B18" s="30" t="s">
        <v>114</v>
      </c>
      <c r="C18" s="31" t="s">
        <v>115</v>
      </c>
      <c r="D18" s="7" t="s">
        <v>116</v>
      </c>
      <c r="E18" s="30" t="s">
        <v>74</v>
      </c>
      <c r="F18" s="30" t="s">
        <v>75</v>
      </c>
      <c r="G18" s="28" t="n">
        <v>3</v>
      </c>
      <c r="H18" s="28" t="n">
        <v>4</v>
      </c>
      <c r="I18" s="29" t="n">
        <f aca="false">G18+H18</f>
        <v>7</v>
      </c>
      <c r="J18" s="28" t="n">
        <v>3</v>
      </c>
      <c r="K18" s="28" t="n">
        <v>6</v>
      </c>
      <c r="L18" s="29" t="n">
        <f aca="false">J18+K18</f>
        <v>9</v>
      </c>
      <c r="M18" s="29" t="n">
        <v>16</v>
      </c>
      <c r="N18" s="28"/>
      <c r="O18" s="28"/>
      <c r="P18" s="6"/>
    </row>
    <row r="19" customFormat="false" ht="15" hidden="false" customHeight="false" outlineLevel="0" collapsed="false">
      <c r="A19" s="14" t="s">
        <v>117</v>
      </c>
      <c r="B19" s="26" t="s">
        <v>118</v>
      </c>
      <c r="C19" s="27" t="s">
        <v>115</v>
      </c>
      <c r="D19" s="14" t="s">
        <v>116</v>
      </c>
      <c r="E19" s="26" t="s">
        <v>74</v>
      </c>
      <c r="F19" s="26" t="s">
        <v>75</v>
      </c>
      <c r="G19" s="28" t="n">
        <v>7.5</v>
      </c>
      <c r="H19" s="28" t="n">
        <v>7.5</v>
      </c>
      <c r="I19" s="29" t="n">
        <f aca="false">G19+H19</f>
        <v>15</v>
      </c>
      <c r="J19" s="28" t="n">
        <v>8</v>
      </c>
      <c r="K19" s="28" t="n">
        <v>10</v>
      </c>
      <c r="L19" s="29" t="n">
        <f aca="false">J19+K19</f>
        <v>18</v>
      </c>
      <c r="M19" s="29" t="n">
        <v>33</v>
      </c>
      <c r="N19" s="28"/>
      <c r="O19" s="28"/>
      <c r="P19" s="13"/>
    </row>
    <row r="20" customFormat="false" ht="15" hidden="false" customHeight="false" outlineLevel="0" collapsed="false">
      <c r="A20" s="7" t="s">
        <v>119</v>
      </c>
      <c r="B20" s="30" t="s">
        <v>120</v>
      </c>
      <c r="C20" s="31" t="s">
        <v>115</v>
      </c>
      <c r="D20" s="7" t="s">
        <v>116</v>
      </c>
      <c r="E20" s="30" t="s">
        <v>74</v>
      </c>
      <c r="F20" s="30" t="s">
        <v>75</v>
      </c>
      <c r="G20" s="28" t="n">
        <v>5</v>
      </c>
      <c r="H20" s="28" t="n">
        <v>10</v>
      </c>
      <c r="I20" s="29" t="n">
        <f aca="false">G20+H20</f>
        <v>15</v>
      </c>
      <c r="J20" s="28" t="n">
        <v>10</v>
      </c>
      <c r="K20" s="28" t="n">
        <v>15</v>
      </c>
      <c r="L20" s="29" t="n">
        <f aca="false">J20+K20</f>
        <v>25</v>
      </c>
      <c r="M20" s="29" t="n">
        <v>40</v>
      </c>
      <c r="N20" s="28"/>
      <c r="O20" s="28"/>
      <c r="P20" s="6"/>
    </row>
    <row r="21" customFormat="false" ht="15" hidden="false" customHeight="false" outlineLevel="0" collapsed="false">
      <c r="A21" s="14" t="s">
        <v>121</v>
      </c>
      <c r="B21" s="26" t="s">
        <v>122</v>
      </c>
      <c r="C21" s="27" t="s">
        <v>115</v>
      </c>
      <c r="D21" s="14" t="s">
        <v>123</v>
      </c>
      <c r="E21" s="26" t="s">
        <v>74</v>
      </c>
      <c r="F21" s="26" t="s">
        <v>75</v>
      </c>
      <c r="G21" s="28" t="n">
        <v>1</v>
      </c>
      <c r="H21" s="28" t="n">
        <v>2</v>
      </c>
      <c r="I21" s="29" t="n">
        <f aca="false">G21+H21</f>
        <v>3</v>
      </c>
      <c r="J21" s="28" t="n">
        <v>3</v>
      </c>
      <c r="K21" s="28" t="n">
        <v>3.5</v>
      </c>
      <c r="L21" s="29" t="n">
        <f aca="false">J21+K21</f>
        <v>6.5</v>
      </c>
      <c r="M21" s="29" t="n">
        <v>9.5</v>
      </c>
      <c r="N21" s="28"/>
      <c r="O21" s="28"/>
      <c r="P21" s="13"/>
    </row>
    <row r="22" customFormat="false" ht="15" hidden="false" customHeight="false" outlineLevel="0" collapsed="false">
      <c r="A22" s="5" t="s">
        <v>123</v>
      </c>
      <c r="B22" s="30" t="s">
        <v>124</v>
      </c>
      <c r="C22" s="31" t="s">
        <v>115</v>
      </c>
      <c r="D22" s="7" t="s">
        <v>116</v>
      </c>
      <c r="E22" s="30" t="s">
        <v>89</v>
      </c>
      <c r="F22" s="30" t="s">
        <v>75</v>
      </c>
      <c r="G22" s="28" t="n">
        <v>5</v>
      </c>
      <c r="H22" s="28" t="n">
        <v>10</v>
      </c>
      <c r="I22" s="29" t="n">
        <f aca="false">G22+H22</f>
        <v>15</v>
      </c>
      <c r="J22" s="28" t="n">
        <v>10</v>
      </c>
      <c r="K22" s="28" t="n">
        <v>20</v>
      </c>
      <c r="L22" s="29" t="n">
        <f aca="false">J22+K22</f>
        <v>30</v>
      </c>
      <c r="M22" s="29" t="n">
        <v>50</v>
      </c>
      <c r="N22" s="28"/>
      <c r="O22" s="28"/>
      <c r="P22" s="6" t="s">
        <v>125</v>
      </c>
    </row>
    <row r="23" customFormat="false" ht="15" hidden="false" customHeight="false" outlineLevel="0" collapsed="false">
      <c r="A23" s="14" t="s">
        <v>126</v>
      </c>
      <c r="B23" s="26" t="s">
        <v>127</v>
      </c>
      <c r="C23" s="27" t="s">
        <v>128</v>
      </c>
      <c r="D23" s="14" t="s">
        <v>129</v>
      </c>
      <c r="E23" s="26" t="s">
        <v>74</v>
      </c>
      <c r="F23" s="26" t="s">
        <v>75</v>
      </c>
      <c r="G23" s="28" t="n">
        <v>3</v>
      </c>
      <c r="H23" s="28" t="n">
        <v>1</v>
      </c>
      <c r="I23" s="29" t="n">
        <f aca="false">G23+H23</f>
        <v>4</v>
      </c>
      <c r="J23" s="28" t="n">
        <v>1</v>
      </c>
      <c r="K23" s="28" t="n">
        <v>3</v>
      </c>
      <c r="L23" s="29" t="n">
        <f aca="false">J23+K23</f>
        <v>4</v>
      </c>
      <c r="M23" s="29" t="n">
        <v>8</v>
      </c>
      <c r="N23" s="28"/>
      <c r="O23" s="28"/>
      <c r="P23" s="13" t="s">
        <v>130</v>
      </c>
    </row>
    <row r="24" customFormat="false" ht="15" hidden="false" customHeight="false" outlineLevel="0" collapsed="false">
      <c r="A24" s="7" t="s">
        <v>131</v>
      </c>
      <c r="B24" s="30" t="s">
        <v>132</v>
      </c>
      <c r="C24" s="31" t="s">
        <v>128</v>
      </c>
      <c r="D24" s="7" t="s">
        <v>129</v>
      </c>
      <c r="E24" s="30" t="s">
        <v>74</v>
      </c>
      <c r="F24" s="30" t="s">
        <v>75</v>
      </c>
      <c r="G24" s="28" t="n">
        <v>1</v>
      </c>
      <c r="H24" s="28" t="n">
        <v>2</v>
      </c>
      <c r="I24" s="29" t="n">
        <f aca="false">G24+H24</f>
        <v>3</v>
      </c>
      <c r="J24" s="28" t="n">
        <v>2</v>
      </c>
      <c r="K24" s="28" t="n">
        <v>3</v>
      </c>
      <c r="L24" s="29" t="n">
        <f aca="false">J24+K24</f>
        <v>5</v>
      </c>
      <c r="M24" s="29" t="n">
        <v>8</v>
      </c>
      <c r="N24" s="28"/>
      <c r="O24" s="28"/>
      <c r="P24" s="6" t="s">
        <v>133</v>
      </c>
    </row>
    <row r="25" customFormat="false" ht="15" hidden="false" customHeight="false" outlineLevel="0" collapsed="false">
      <c r="A25" s="14" t="s">
        <v>134</v>
      </c>
      <c r="B25" s="26" t="s">
        <v>135</v>
      </c>
      <c r="C25" s="27" t="s">
        <v>128</v>
      </c>
      <c r="D25" s="14" t="s">
        <v>129</v>
      </c>
      <c r="E25" s="26" t="s">
        <v>74</v>
      </c>
      <c r="F25" s="26" t="s">
        <v>75</v>
      </c>
      <c r="G25" s="28" t="n">
        <v>1</v>
      </c>
      <c r="H25" s="28" t="n">
        <v>2</v>
      </c>
      <c r="I25" s="29" t="n">
        <f aca="false">G25+H25</f>
        <v>3</v>
      </c>
      <c r="J25" s="28" t="n">
        <v>4</v>
      </c>
      <c r="K25" s="28" t="n">
        <v>5</v>
      </c>
      <c r="L25" s="29" t="n">
        <f aca="false">J25+K25</f>
        <v>9</v>
      </c>
      <c r="M25" s="29" t="n">
        <v>12</v>
      </c>
      <c r="N25" s="28"/>
      <c r="O25" s="28"/>
      <c r="P25" s="13" t="s">
        <v>136</v>
      </c>
    </row>
    <row r="26" customFormat="false" ht="15" hidden="false" customHeight="false" outlineLevel="0" collapsed="false">
      <c r="A26" s="7" t="s">
        <v>137</v>
      </c>
      <c r="B26" s="30" t="s">
        <v>138</v>
      </c>
      <c r="C26" s="31" t="s">
        <v>128</v>
      </c>
      <c r="D26" s="7" t="s">
        <v>129</v>
      </c>
      <c r="E26" s="30" t="s">
        <v>74</v>
      </c>
      <c r="F26" s="30" t="s">
        <v>75</v>
      </c>
      <c r="G26" s="28" t="n">
        <v>2</v>
      </c>
      <c r="H26" s="28" t="n">
        <v>3</v>
      </c>
      <c r="I26" s="29" t="n">
        <f aca="false">G26+H26</f>
        <v>5</v>
      </c>
      <c r="J26" s="28" t="n">
        <v>5</v>
      </c>
      <c r="K26" s="28" t="n">
        <v>6</v>
      </c>
      <c r="L26" s="29" t="n">
        <f aca="false">J26+K26</f>
        <v>11</v>
      </c>
      <c r="M26" s="29" t="n">
        <v>15</v>
      </c>
      <c r="N26" s="28"/>
      <c r="O26" s="28"/>
      <c r="P26" s="6" t="s">
        <v>139</v>
      </c>
    </row>
    <row r="27" customFormat="false" ht="15" hidden="false" customHeight="false" outlineLevel="0" collapsed="false">
      <c r="A27" s="14" t="s">
        <v>140</v>
      </c>
      <c r="B27" s="26" t="s">
        <v>141</v>
      </c>
      <c r="C27" s="27" t="s">
        <v>128</v>
      </c>
      <c r="D27" s="14" t="s">
        <v>142</v>
      </c>
      <c r="E27" s="26" t="s">
        <v>74</v>
      </c>
      <c r="F27" s="26" t="s">
        <v>75</v>
      </c>
      <c r="G27" s="28" t="n">
        <v>0.1</v>
      </c>
      <c r="H27" s="28" t="n">
        <v>0.5</v>
      </c>
      <c r="I27" s="29" t="n">
        <f aca="false">G27+H27</f>
        <v>0.6</v>
      </c>
      <c r="J27" s="28" t="n">
        <v>0.5</v>
      </c>
      <c r="K27" s="28" t="n">
        <v>0.9</v>
      </c>
      <c r="L27" s="29" t="n">
        <f aca="false">J27+K27</f>
        <v>1.4</v>
      </c>
      <c r="M27" s="29" t="n">
        <v>2</v>
      </c>
      <c r="N27" s="28"/>
      <c r="O27" s="28"/>
      <c r="P27" s="13" t="s">
        <v>143</v>
      </c>
    </row>
    <row r="28" customFormat="false" ht="15" hidden="false" customHeight="false" outlineLevel="0" collapsed="false">
      <c r="A28" s="7" t="s">
        <v>144</v>
      </c>
      <c r="B28" s="30" t="s">
        <v>145</v>
      </c>
      <c r="C28" s="31" t="s">
        <v>128</v>
      </c>
      <c r="D28" s="7" t="s">
        <v>142</v>
      </c>
      <c r="E28" s="30" t="s">
        <v>74</v>
      </c>
      <c r="F28" s="30" t="s">
        <v>75</v>
      </c>
      <c r="G28" s="28" t="n">
        <v>0.1</v>
      </c>
      <c r="H28" s="28" t="n">
        <v>0.5</v>
      </c>
      <c r="I28" s="29" t="n">
        <f aca="false">G28+H28</f>
        <v>0.6</v>
      </c>
      <c r="J28" s="28" t="n">
        <v>0.5</v>
      </c>
      <c r="K28" s="28" t="n">
        <v>0.9</v>
      </c>
      <c r="L28" s="29" t="n">
        <f aca="false">J28+K28</f>
        <v>1.4</v>
      </c>
      <c r="M28" s="29" t="n">
        <v>2</v>
      </c>
      <c r="N28" s="28"/>
      <c r="O28" s="28"/>
      <c r="P28" s="6" t="s">
        <v>146</v>
      </c>
    </row>
    <row r="29" customFormat="false" ht="15" hidden="false" customHeight="false" outlineLevel="0" collapsed="false">
      <c r="A29" s="14" t="s">
        <v>147</v>
      </c>
      <c r="B29" s="26" t="s">
        <v>148</v>
      </c>
      <c r="C29" s="27" t="s">
        <v>128</v>
      </c>
      <c r="D29" s="14" t="s">
        <v>129</v>
      </c>
      <c r="E29" s="26" t="s">
        <v>74</v>
      </c>
      <c r="F29" s="26" t="s">
        <v>75</v>
      </c>
      <c r="G29" s="28" t="n">
        <v>2</v>
      </c>
      <c r="H29" s="28" t="n">
        <v>3</v>
      </c>
      <c r="I29" s="29" t="n">
        <f aca="false">G29+H29</f>
        <v>5</v>
      </c>
      <c r="J29" s="28" t="n">
        <v>5</v>
      </c>
      <c r="K29" s="28" t="n">
        <v>5</v>
      </c>
      <c r="L29" s="29" t="n">
        <f aca="false">J29+K29</f>
        <v>10</v>
      </c>
      <c r="M29" s="29" t="n">
        <v>15</v>
      </c>
      <c r="N29" s="28"/>
      <c r="O29" s="28"/>
      <c r="P29" s="13" t="s">
        <v>149</v>
      </c>
    </row>
    <row r="30" customFormat="false" ht="15" hidden="false" customHeight="false" outlineLevel="0" collapsed="false">
      <c r="A30" s="7" t="s">
        <v>150</v>
      </c>
      <c r="B30" s="30" t="s">
        <v>151</v>
      </c>
      <c r="C30" s="31" t="s">
        <v>128</v>
      </c>
      <c r="D30" s="7" t="s">
        <v>142</v>
      </c>
      <c r="E30" s="30" t="s">
        <v>74</v>
      </c>
      <c r="F30" s="30" t="s">
        <v>75</v>
      </c>
      <c r="G30" s="28" t="n">
        <v>0.5</v>
      </c>
      <c r="H30" s="28" t="n">
        <v>1</v>
      </c>
      <c r="I30" s="29" t="n">
        <f aca="false">G30+H30</f>
        <v>1.5</v>
      </c>
      <c r="J30" s="28" t="n">
        <v>1.5</v>
      </c>
      <c r="K30" s="28" t="n">
        <v>2</v>
      </c>
      <c r="L30" s="29" t="n">
        <f aca="false">J30+K30</f>
        <v>3.5</v>
      </c>
      <c r="M30" s="29" t="n">
        <v>5</v>
      </c>
      <c r="N30" s="28"/>
      <c r="O30" s="28"/>
      <c r="P30" s="6" t="s">
        <v>152</v>
      </c>
    </row>
    <row r="31" customFormat="false" ht="15" hidden="false" customHeight="false" outlineLevel="0" collapsed="false">
      <c r="A31" s="14" t="s">
        <v>153</v>
      </c>
      <c r="B31" s="26" t="s">
        <v>154</v>
      </c>
      <c r="C31" s="27" t="s">
        <v>128</v>
      </c>
      <c r="D31" s="14" t="s">
        <v>129</v>
      </c>
      <c r="E31" s="26" t="s">
        <v>74</v>
      </c>
      <c r="F31" s="26" t="s">
        <v>75</v>
      </c>
      <c r="G31" s="28"/>
      <c r="H31" s="28"/>
      <c r="I31" s="28"/>
      <c r="J31" s="28"/>
      <c r="K31" s="28"/>
      <c r="L31" s="28"/>
      <c r="M31" s="29" t="n">
        <f aca="false">I31+L31</f>
        <v>0</v>
      </c>
      <c r="N31" s="28"/>
      <c r="O31" s="28"/>
      <c r="P31" s="13" t="s">
        <v>155</v>
      </c>
    </row>
    <row r="32" customFormat="false" ht="15" hidden="false" customHeight="false" outlineLevel="0" collapsed="false">
      <c r="A32" s="5" t="s">
        <v>142</v>
      </c>
      <c r="B32" s="30" t="s">
        <v>156</v>
      </c>
      <c r="C32" s="31" t="s">
        <v>128</v>
      </c>
      <c r="D32" s="7" t="s">
        <v>129</v>
      </c>
      <c r="E32" s="30" t="s">
        <v>89</v>
      </c>
      <c r="F32" s="30" t="s">
        <v>75</v>
      </c>
      <c r="G32" s="28"/>
      <c r="H32" s="28"/>
      <c r="I32" s="28"/>
      <c r="J32" s="28"/>
      <c r="K32" s="28"/>
      <c r="L32" s="28"/>
      <c r="M32" s="29" t="n">
        <f aca="false">I32+L32</f>
        <v>0</v>
      </c>
      <c r="N32" s="28"/>
      <c r="O32" s="28"/>
      <c r="P32" s="6" t="s">
        <v>157</v>
      </c>
    </row>
    <row r="33" customFormat="false" ht="15" hidden="false" customHeight="false" outlineLevel="0" collapsed="false">
      <c r="A33" s="14" t="s">
        <v>158</v>
      </c>
      <c r="B33" s="26" t="s">
        <v>159</v>
      </c>
      <c r="C33" s="27" t="s">
        <v>160</v>
      </c>
      <c r="D33" s="14" t="s">
        <v>161</v>
      </c>
      <c r="E33" s="26" t="s">
        <v>74</v>
      </c>
      <c r="F33" s="26" t="s">
        <v>75</v>
      </c>
      <c r="G33" s="28" t="n">
        <v>2</v>
      </c>
      <c r="H33" s="28" t="n">
        <v>2</v>
      </c>
      <c r="I33" s="29" t="n">
        <f aca="false">G33+H33</f>
        <v>4</v>
      </c>
      <c r="J33" s="28" t="n">
        <v>2</v>
      </c>
      <c r="K33" s="28" t="n">
        <v>2</v>
      </c>
      <c r="L33" s="29" t="n">
        <f aca="false">J33+K33</f>
        <v>4</v>
      </c>
      <c r="M33" s="29" t="n">
        <v>8</v>
      </c>
      <c r="N33" s="28"/>
      <c r="O33" s="28"/>
      <c r="P33" s="13" t="s">
        <v>162</v>
      </c>
    </row>
    <row r="34" customFormat="false" ht="15" hidden="false" customHeight="false" outlineLevel="0" collapsed="false">
      <c r="A34" s="7" t="s">
        <v>163</v>
      </c>
      <c r="B34" s="30" t="s">
        <v>164</v>
      </c>
      <c r="C34" s="31" t="s">
        <v>160</v>
      </c>
      <c r="D34" s="7" t="s">
        <v>161</v>
      </c>
      <c r="E34" s="30" t="s">
        <v>74</v>
      </c>
      <c r="F34" s="30" t="s">
        <v>75</v>
      </c>
      <c r="G34" s="28" t="n">
        <v>2.5</v>
      </c>
      <c r="H34" s="28" t="n">
        <v>2.5</v>
      </c>
      <c r="I34" s="29" t="n">
        <f aca="false">G34+H34</f>
        <v>5</v>
      </c>
      <c r="J34" s="28" t="n">
        <v>2.5</v>
      </c>
      <c r="K34" s="28" t="n">
        <v>2.5</v>
      </c>
      <c r="L34" s="29" t="n">
        <f aca="false">J34+K34</f>
        <v>5</v>
      </c>
      <c r="M34" s="29" t="n">
        <v>10</v>
      </c>
      <c r="N34" s="28"/>
      <c r="O34" s="28"/>
      <c r="P34" s="6" t="s">
        <v>165</v>
      </c>
    </row>
    <row r="35" customFormat="false" ht="15" hidden="false" customHeight="false" outlineLevel="0" collapsed="false">
      <c r="A35" s="14" t="s">
        <v>166</v>
      </c>
      <c r="B35" s="26" t="s">
        <v>167</v>
      </c>
      <c r="C35" s="27" t="s">
        <v>160</v>
      </c>
      <c r="D35" s="14" t="s">
        <v>161</v>
      </c>
      <c r="E35" s="26" t="s">
        <v>74</v>
      </c>
      <c r="F35" s="26" t="s">
        <v>75</v>
      </c>
      <c r="G35" s="28" t="n">
        <v>3</v>
      </c>
      <c r="H35" s="28" t="n">
        <v>3</v>
      </c>
      <c r="I35" s="29" t="n">
        <f aca="false">G35+H35</f>
        <v>6</v>
      </c>
      <c r="J35" s="28" t="n">
        <v>3</v>
      </c>
      <c r="K35" s="28" t="n">
        <v>3</v>
      </c>
      <c r="L35" s="29" t="n">
        <f aca="false">J35+K35</f>
        <v>6</v>
      </c>
      <c r="M35" s="29" t="n">
        <v>12</v>
      </c>
      <c r="N35" s="28"/>
      <c r="O35" s="28"/>
      <c r="P35" s="13" t="s">
        <v>168</v>
      </c>
    </row>
    <row r="36" customFormat="false" ht="15" hidden="false" customHeight="false" outlineLevel="0" collapsed="false">
      <c r="A36" s="7" t="s">
        <v>169</v>
      </c>
      <c r="B36" s="30" t="s">
        <v>170</v>
      </c>
      <c r="C36" s="31" t="s">
        <v>160</v>
      </c>
      <c r="D36" s="7" t="s">
        <v>161</v>
      </c>
      <c r="E36" s="30" t="s">
        <v>74</v>
      </c>
      <c r="F36" s="30" t="s">
        <v>75</v>
      </c>
      <c r="G36" s="28" t="n">
        <v>3</v>
      </c>
      <c r="H36" s="28" t="n">
        <v>3</v>
      </c>
      <c r="I36" s="29" t="n">
        <f aca="false">G36+H36</f>
        <v>6</v>
      </c>
      <c r="J36" s="28" t="n">
        <v>3</v>
      </c>
      <c r="K36" s="28" t="n">
        <v>3</v>
      </c>
      <c r="L36" s="29" t="n">
        <f aca="false">J36+K36</f>
        <v>6</v>
      </c>
      <c r="M36" s="29" t="n">
        <v>12</v>
      </c>
      <c r="N36" s="28"/>
      <c r="O36" s="28"/>
      <c r="P36" s="6"/>
    </row>
    <row r="37" customFormat="false" ht="15" hidden="false" customHeight="false" outlineLevel="0" collapsed="false">
      <c r="A37" s="14" t="s">
        <v>171</v>
      </c>
      <c r="B37" s="26" t="s">
        <v>172</v>
      </c>
      <c r="C37" s="27" t="s">
        <v>173</v>
      </c>
      <c r="D37" s="14" t="s">
        <v>174</v>
      </c>
      <c r="E37" s="26" t="s">
        <v>74</v>
      </c>
      <c r="F37" s="32" t="s">
        <v>175</v>
      </c>
      <c r="G37" s="28" t="n">
        <v>0.4</v>
      </c>
      <c r="H37" s="28" t="n">
        <v>0.65</v>
      </c>
      <c r="I37" s="29" t="n">
        <f aca="false">G37+H37</f>
        <v>1.05</v>
      </c>
      <c r="J37" s="28" t="n">
        <v>0.65</v>
      </c>
      <c r="K37" s="28" t="n">
        <v>0.7</v>
      </c>
      <c r="L37" s="29" t="n">
        <f aca="false">J37+K37</f>
        <v>1.35</v>
      </c>
      <c r="M37" s="29" t="n">
        <v>2.4</v>
      </c>
      <c r="N37" s="33"/>
      <c r="O37" s="28"/>
      <c r="P37" s="13" t="s">
        <v>176</v>
      </c>
    </row>
    <row r="38" customFormat="false" ht="15" hidden="false" customHeight="false" outlineLevel="0" collapsed="false">
      <c r="A38" s="5" t="s">
        <v>174</v>
      </c>
      <c r="B38" s="30" t="s">
        <v>177</v>
      </c>
      <c r="C38" s="31" t="s">
        <v>173</v>
      </c>
      <c r="D38" s="7" t="s">
        <v>178</v>
      </c>
      <c r="E38" s="30" t="s">
        <v>89</v>
      </c>
      <c r="F38" s="30" t="s">
        <v>75</v>
      </c>
      <c r="G38" s="28" t="n">
        <v>2.5</v>
      </c>
      <c r="H38" s="28" t="n">
        <v>5</v>
      </c>
      <c r="I38" s="29" t="n">
        <f aca="false">G38+H38</f>
        <v>7.5</v>
      </c>
      <c r="J38" s="28" t="n">
        <v>9</v>
      </c>
      <c r="K38" s="28" t="n">
        <v>9</v>
      </c>
      <c r="L38" s="29" t="n">
        <f aca="false">J38+K38</f>
        <v>18</v>
      </c>
      <c r="M38" s="29" t="n">
        <v>25.5</v>
      </c>
      <c r="N38" s="28"/>
      <c r="O38" s="28"/>
      <c r="P38" s="6" t="s">
        <v>179</v>
      </c>
    </row>
    <row r="39" customFormat="false" ht="15.75" hidden="false" customHeight="true" outlineLevel="0" collapsed="false">
      <c r="A39" s="34" t="s">
        <v>180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</row>
    <row r="40" customFormat="false" ht="15" hidden="false" customHeight="false" outlineLevel="0" collapsed="false">
      <c r="A40" s="35" t="s">
        <v>181</v>
      </c>
      <c r="B40" s="35"/>
      <c r="C40" s="35"/>
      <c r="D40" s="35"/>
      <c r="E40" s="35"/>
      <c r="F40" s="35"/>
      <c r="G40" s="36" t="n">
        <f aca="false">SUMIF($F$5:$F$38,"Revenue",G$5:G$38)</f>
        <v>112.75</v>
      </c>
      <c r="H40" s="36" t="n">
        <f aca="false">SUMIF($F$5:$F$38,"Revenue",H$5:H$38)</f>
        <v>195.45</v>
      </c>
      <c r="I40" s="36" t="n">
        <f aca="false">SUMIF($F$5:$F$38,"Revenue",I$5:I$38)</f>
        <v>461.7</v>
      </c>
      <c r="J40" s="36" t="n">
        <f aca="false">SUMIF($F$5:$F$38,"Revenue",J$5:J$38)</f>
        <v>172.4</v>
      </c>
      <c r="K40" s="36" t="n">
        <f aca="false">SUMIF($F$5:$F$38,"Revenue",K$5:K$38)</f>
        <v>209.4</v>
      </c>
      <c r="L40" s="36" t="n">
        <f aca="false">SUMIF($F$5:$F$38,"Revenue",L$5:L$38)</f>
        <v>381.8</v>
      </c>
      <c r="M40" s="36" t="n">
        <f aca="false">SUMIF($F$5:$F$38,"Revenue",M$5:M$38)</f>
        <v>1213</v>
      </c>
      <c r="N40" s="35"/>
      <c r="O40" s="35"/>
      <c r="P40" s="35"/>
    </row>
  </sheetData>
  <mergeCells count="4">
    <mergeCell ref="A1:P1"/>
    <mergeCell ref="A2:P2"/>
    <mergeCell ref="A3:P3"/>
    <mergeCell ref="A39:P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36"/>
    <col collapsed="false" customWidth="true" hidden="false" outlineLevel="0" max="12" min="7" style="0" width="8"/>
  </cols>
  <sheetData>
    <row r="1" customFormat="false" ht="24" hidden="false" customHeight="true" outlineLevel="0" collapsed="false">
      <c r="A1" s="1" t="s">
        <v>182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183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5" hidden="false" customHeight="true" outlineLevel="0" collapsed="false">
      <c r="A3" s="20" t="s">
        <v>53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customFormat="false" ht="15.75" hidden="false" customHeight="true" outlineLevel="0" collapsed="false">
      <c r="A4" s="37" t="s">
        <v>184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customFormat="false" ht="30" hidden="false" customHeight="true" outlineLevel="0" collapsed="false">
      <c r="A5" s="38" t="s">
        <v>185</v>
      </c>
      <c r="B5" s="39" t="s">
        <v>186</v>
      </c>
      <c r="C5" s="39" t="s">
        <v>187</v>
      </c>
      <c r="D5" s="39" t="s">
        <v>188</v>
      </c>
      <c r="E5" s="39" t="s">
        <v>189</v>
      </c>
      <c r="F5" s="39" t="s">
        <v>190</v>
      </c>
      <c r="G5" s="39" t="s">
        <v>191</v>
      </c>
      <c r="H5" s="39" t="s">
        <v>192</v>
      </c>
      <c r="I5" s="39"/>
      <c r="J5" s="39"/>
      <c r="K5" s="39"/>
      <c r="L5" s="39"/>
    </row>
    <row r="6" customFormat="false" ht="15" hidden="false" customHeight="false" outlineLevel="0" collapsed="false">
      <c r="A6" s="12" t="s">
        <v>193</v>
      </c>
      <c r="B6" s="40" t="s">
        <v>194</v>
      </c>
      <c r="C6" s="28" t="n">
        <v>1005</v>
      </c>
      <c r="D6" s="28" t="n">
        <v>412</v>
      </c>
      <c r="E6" s="28" t="n">
        <v>593</v>
      </c>
      <c r="F6" s="41" t="n">
        <v>0.05</v>
      </c>
      <c r="G6" s="13" t="s">
        <v>195</v>
      </c>
      <c r="H6" s="14"/>
      <c r="I6" s="14"/>
      <c r="J6" s="14"/>
      <c r="K6" s="14"/>
      <c r="L6" s="14"/>
    </row>
    <row r="7" customFormat="false" ht="15" hidden="false" customHeight="false" outlineLevel="0" collapsed="false">
      <c r="A7" s="5" t="s">
        <v>196</v>
      </c>
      <c r="B7" s="42" t="s">
        <v>197</v>
      </c>
      <c r="C7" s="28" t="n">
        <v>310</v>
      </c>
      <c r="D7" s="28" t="n">
        <v>127</v>
      </c>
      <c r="E7" s="28" t="n">
        <v>183</v>
      </c>
      <c r="F7" s="41" t="n">
        <v>0.248</v>
      </c>
      <c r="G7" s="6" t="s">
        <v>198</v>
      </c>
      <c r="H7" s="7"/>
      <c r="I7" s="7"/>
      <c r="J7" s="7"/>
      <c r="K7" s="7"/>
      <c r="L7" s="7"/>
    </row>
    <row r="8" customFormat="false" ht="15" hidden="false" customHeight="false" outlineLevel="0" collapsed="false">
      <c r="A8" s="12" t="s">
        <v>199</v>
      </c>
      <c r="B8" s="40" t="s">
        <v>200</v>
      </c>
      <c r="C8" s="28" t="n">
        <v>22</v>
      </c>
      <c r="D8" s="28" t="n">
        <v>9.74</v>
      </c>
      <c r="E8" s="28" t="n">
        <v>12.26</v>
      </c>
      <c r="F8" s="41" t="n">
        <v>0</v>
      </c>
      <c r="G8" s="13" t="s">
        <v>201</v>
      </c>
      <c r="H8" s="14"/>
      <c r="I8" s="14"/>
      <c r="J8" s="14"/>
      <c r="K8" s="14"/>
      <c r="L8" s="14"/>
    </row>
    <row r="9" customFormat="false" ht="15" hidden="false" customHeight="false" outlineLevel="0" collapsed="false">
      <c r="A9" s="5" t="s">
        <v>202</v>
      </c>
      <c r="B9" s="42" t="s">
        <v>202</v>
      </c>
      <c r="C9" s="28" t="n">
        <v>155</v>
      </c>
      <c r="D9" s="28" t="n">
        <v>64</v>
      </c>
      <c r="E9" s="28" t="n">
        <v>91</v>
      </c>
      <c r="F9" s="41" t="n">
        <v>0.05</v>
      </c>
      <c r="G9" s="6" t="s">
        <v>203</v>
      </c>
      <c r="H9" s="7"/>
      <c r="I9" s="7"/>
      <c r="J9" s="7"/>
      <c r="K9" s="7"/>
      <c r="L9" s="7"/>
    </row>
    <row r="10" customFormat="false" ht="15" hidden="false" customHeight="false" outlineLevel="0" collapsed="false">
      <c r="A10" s="12" t="s">
        <v>204</v>
      </c>
      <c r="B10" s="40" t="s">
        <v>204</v>
      </c>
      <c r="C10" s="28" t="n">
        <v>45.5</v>
      </c>
      <c r="D10" s="28" t="n">
        <v>18.7</v>
      </c>
      <c r="E10" s="28" t="n">
        <v>26.8</v>
      </c>
      <c r="F10" s="41" t="n">
        <v>0</v>
      </c>
      <c r="G10" s="13" t="s">
        <v>205</v>
      </c>
      <c r="H10" s="14"/>
      <c r="I10" s="14"/>
      <c r="J10" s="14"/>
      <c r="K10" s="14"/>
      <c r="L10" s="14"/>
    </row>
    <row r="11" customFormat="false" ht="15" hidden="false" customHeight="false" outlineLevel="0" collapsed="false">
      <c r="A11" s="5" t="s">
        <v>206</v>
      </c>
      <c r="B11" s="42"/>
      <c r="C11" s="28" t="n">
        <v>1.5</v>
      </c>
      <c r="D11" s="28" t="n">
        <v>0.6</v>
      </c>
      <c r="E11" s="28" t="n">
        <v>0.9</v>
      </c>
      <c r="F11" s="41" t="n">
        <v>0</v>
      </c>
      <c r="G11" s="6" t="s">
        <v>207</v>
      </c>
      <c r="H11" s="7"/>
      <c r="I11" s="7"/>
      <c r="J11" s="7"/>
      <c r="K11" s="7"/>
      <c r="L11" s="7"/>
    </row>
    <row r="13" customFormat="false" ht="15.75" hidden="false" customHeight="true" outlineLevel="0" collapsed="false">
      <c r="A13" s="37" t="s">
        <v>208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</row>
    <row r="14" customFormat="false" ht="30" hidden="false" customHeight="true" outlineLevel="0" collapsed="false">
      <c r="A14" s="39" t="s">
        <v>209</v>
      </c>
      <c r="B14" s="39" t="s">
        <v>210</v>
      </c>
      <c r="C14" s="39" t="s">
        <v>211</v>
      </c>
      <c r="D14" s="39" t="s">
        <v>212</v>
      </c>
      <c r="E14" s="39" t="s">
        <v>213</v>
      </c>
      <c r="F14" s="39" t="s">
        <v>191</v>
      </c>
      <c r="G14" s="39"/>
      <c r="H14" s="39"/>
      <c r="I14" s="39"/>
      <c r="J14" s="39"/>
      <c r="K14" s="39"/>
      <c r="L14" s="39"/>
    </row>
    <row r="15" customFormat="false" ht="15" hidden="false" customHeight="false" outlineLevel="0" collapsed="false">
      <c r="A15" s="5" t="s">
        <v>214</v>
      </c>
      <c r="B15" s="9" t="s">
        <v>200</v>
      </c>
      <c r="C15" s="6" t="s">
        <v>215</v>
      </c>
      <c r="D15" s="43" t="s">
        <v>216</v>
      </c>
      <c r="E15" s="7" t="s">
        <v>217</v>
      </c>
      <c r="F15" s="6" t="s">
        <v>218</v>
      </c>
      <c r="G15" s="7"/>
      <c r="H15" s="7"/>
      <c r="I15" s="7"/>
      <c r="J15" s="7"/>
      <c r="K15" s="7"/>
      <c r="L15" s="7"/>
    </row>
    <row r="16" customFormat="false" ht="15" hidden="false" customHeight="false" outlineLevel="0" collapsed="false">
      <c r="A16" s="12" t="s">
        <v>219</v>
      </c>
      <c r="B16" s="16" t="s">
        <v>200</v>
      </c>
      <c r="C16" s="13" t="s">
        <v>220</v>
      </c>
      <c r="D16" s="43" t="s">
        <v>221</v>
      </c>
      <c r="E16" s="14" t="s">
        <v>217</v>
      </c>
      <c r="F16" s="13" t="s">
        <v>222</v>
      </c>
      <c r="G16" s="14"/>
      <c r="H16" s="14"/>
      <c r="I16" s="14"/>
      <c r="J16" s="14"/>
      <c r="K16" s="14"/>
      <c r="L16" s="14"/>
    </row>
    <row r="17" customFormat="false" ht="15" hidden="false" customHeight="false" outlineLevel="0" collapsed="false">
      <c r="A17" s="5" t="s">
        <v>223</v>
      </c>
      <c r="B17" s="9" t="s">
        <v>197</v>
      </c>
      <c r="C17" s="6" t="s">
        <v>224</v>
      </c>
      <c r="D17" s="43" t="s">
        <v>225</v>
      </c>
      <c r="E17" s="7" t="s">
        <v>217</v>
      </c>
      <c r="F17" s="6" t="s">
        <v>226</v>
      </c>
      <c r="G17" s="7"/>
      <c r="H17" s="7"/>
      <c r="I17" s="7"/>
      <c r="J17" s="7"/>
      <c r="K17" s="7"/>
      <c r="L17" s="7"/>
    </row>
    <row r="18" customFormat="false" ht="15" hidden="false" customHeight="false" outlineLevel="0" collapsed="false">
      <c r="A18" s="12" t="s">
        <v>227</v>
      </c>
      <c r="B18" s="16" t="s">
        <v>194</v>
      </c>
      <c r="C18" s="13" t="s">
        <v>228</v>
      </c>
      <c r="D18" s="43" t="s">
        <v>229</v>
      </c>
      <c r="E18" s="14" t="s">
        <v>217</v>
      </c>
      <c r="F18" s="13" t="s">
        <v>226</v>
      </c>
      <c r="G18" s="14"/>
      <c r="H18" s="14"/>
      <c r="I18" s="14"/>
      <c r="J18" s="14"/>
      <c r="K18" s="14"/>
      <c r="L18" s="14"/>
    </row>
    <row r="19" customFormat="false" ht="15" hidden="false" customHeight="false" outlineLevel="0" collapsed="false">
      <c r="A19" s="5" t="s">
        <v>230</v>
      </c>
      <c r="B19" s="9" t="s">
        <v>231</v>
      </c>
      <c r="C19" s="6" t="s">
        <v>232</v>
      </c>
      <c r="D19" s="43" t="s">
        <v>221</v>
      </c>
      <c r="E19" s="7" t="s">
        <v>217</v>
      </c>
      <c r="F19" s="6" t="s">
        <v>233</v>
      </c>
      <c r="G19" s="7"/>
      <c r="H19" s="7"/>
      <c r="I19" s="7"/>
      <c r="J19" s="7"/>
      <c r="K19" s="7"/>
      <c r="L19" s="7"/>
    </row>
    <row r="21" customFormat="false" ht="15.75" hidden="false" customHeight="true" outlineLevel="0" collapsed="false">
      <c r="A21" s="37" t="s">
        <v>234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customFormat="false" ht="25.5" hidden="false" customHeight="true" outlineLevel="0" collapsed="false">
      <c r="A22" s="39" t="s">
        <v>235</v>
      </c>
      <c r="B22" s="39" t="s">
        <v>236</v>
      </c>
      <c r="C22" s="39" t="s">
        <v>237</v>
      </c>
      <c r="D22" s="39" t="s">
        <v>238</v>
      </c>
      <c r="E22" s="39" t="s">
        <v>192</v>
      </c>
      <c r="F22" s="39"/>
      <c r="G22" s="39"/>
      <c r="H22" s="39"/>
      <c r="I22" s="39"/>
      <c r="J22" s="39"/>
      <c r="K22" s="39"/>
      <c r="L22" s="39"/>
    </row>
    <row r="23" customFormat="false" ht="15" hidden="false" customHeight="false" outlineLevel="0" collapsed="false">
      <c r="A23" s="5" t="s">
        <v>239</v>
      </c>
      <c r="B23" s="41" t="n">
        <v>0.5</v>
      </c>
      <c r="C23" s="44" t="s">
        <v>240</v>
      </c>
      <c r="D23" s="7" t="s">
        <v>241</v>
      </c>
      <c r="E23" s="7" t="s">
        <v>242</v>
      </c>
      <c r="F23" s="7"/>
      <c r="G23" s="7"/>
      <c r="H23" s="7"/>
      <c r="I23" s="7"/>
      <c r="J23" s="7"/>
      <c r="K23" s="7"/>
      <c r="L23" s="7"/>
    </row>
    <row r="24" customFormat="false" ht="15" hidden="false" customHeight="false" outlineLevel="0" collapsed="false">
      <c r="A24" s="12" t="s">
        <v>243</v>
      </c>
      <c r="B24" s="41" t="n">
        <v>0.3</v>
      </c>
      <c r="C24" s="45" t="n">
        <v>0.5</v>
      </c>
      <c r="D24" s="14" t="s">
        <v>244</v>
      </c>
      <c r="E24" s="14" t="s">
        <v>245</v>
      </c>
      <c r="F24" s="14"/>
      <c r="G24" s="14"/>
      <c r="H24" s="14"/>
      <c r="I24" s="14"/>
      <c r="J24" s="14"/>
      <c r="K24" s="14"/>
      <c r="L24" s="14"/>
    </row>
    <row r="25" customFormat="false" ht="15" hidden="false" customHeight="false" outlineLevel="0" collapsed="false">
      <c r="A25" s="5" t="s">
        <v>246</v>
      </c>
      <c r="B25" s="41" t="n">
        <v>0</v>
      </c>
      <c r="C25" s="45" t="n">
        <v>0.3</v>
      </c>
      <c r="D25" s="7" t="s">
        <v>247</v>
      </c>
      <c r="E25" s="7" t="s">
        <v>248</v>
      </c>
      <c r="F25" s="7"/>
      <c r="G25" s="7"/>
      <c r="H25" s="7"/>
      <c r="I25" s="7"/>
      <c r="J25" s="7"/>
      <c r="K25" s="7"/>
      <c r="L25" s="7"/>
    </row>
    <row r="27" customFormat="false" ht="15.75" hidden="false" customHeight="true" outlineLevel="0" collapsed="false">
      <c r="A27" s="46" t="s">
        <v>249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</row>
    <row r="28" customFormat="false" ht="15" hidden="false" customHeight="false" outlineLevel="0" collapsed="false">
      <c r="A28" s="47" t="s">
        <v>171</v>
      </c>
      <c r="B28" s="48" t="s">
        <v>173</v>
      </c>
      <c r="C28" s="49" t="s">
        <v>175</v>
      </c>
      <c r="D28" s="50" t="s">
        <v>250</v>
      </c>
      <c r="E28" s="50"/>
      <c r="F28" s="50"/>
      <c r="G28" s="50"/>
      <c r="H28" s="50"/>
      <c r="I28" s="50"/>
      <c r="J28" s="50"/>
      <c r="K28" s="50"/>
      <c r="L28" s="50"/>
    </row>
  </sheetData>
  <mergeCells count="9">
    <mergeCell ref="A1:L1"/>
    <mergeCell ref="A2:L2"/>
    <mergeCell ref="A3:L3"/>
    <mergeCell ref="A4:L4"/>
    <mergeCell ref="H5:L5"/>
    <mergeCell ref="A13:L13"/>
    <mergeCell ref="A21:L21"/>
    <mergeCell ref="A27:L27"/>
    <mergeCell ref="D28:L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8"/>
    <col collapsed="false" customWidth="true" hidden="false" outlineLevel="0" max="11" min="11" style="0" width="44"/>
    <col collapsed="false" customWidth="true" hidden="false" outlineLevel="0" max="12" min="12" style="0" width="4"/>
  </cols>
  <sheetData>
    <row r="1" customFormat="false" ht="24" hidden="false" customHeight="true" outlineLevel="0" collapsed="false">
      <c r="A1" s="1" t="s">
        <v>251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252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5" hidden="false" customHeight="true" outlineLevel="0" collapsed="false">
      <c r="A3" s="20" t="s">
        <v>53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customFormat="false" ht="36" hidden="false" customHeight="true" outlineLevel="0" collapsed="false">
      <c r="A4" s="39" t="s">
        <v>54</v>
      </c>
      <c r="B4" s="39" t="s">
        <v>55</v>
      </c>
      <c r="C4" s="39" t="s">
        <v>253</v>
      </c>
      <c r="D4" s="39" t="s">
        <v>56</v>
      </c>
      <c r="E4" s="39" t="s">
        <v>254</v>
      </c>
      <c r="F4" s="39" t="s">
        <v>255</v>
      </c>
      <c r="G4" s="39" t="s">
        <v>256</v>
      </c>
      <c r="H4" s="39" t="s">
        <v>257</v>
      </c>
      <c r="I4" s="39" t="s">
        <v>59</v>
      </c>
      <c r="J4" s="39" t="s">
        <v>258</v>
      </c>
      <c r="K4" s="39" t="s">
        <v>69</v>
      </c>
      <c r="L4" s="39"/>
    </row>
    <row r="5" customFormat="false" ht="15" hidden="false" customHeight="false" outlineLevel="0" collapsed="false">
      <c r="A5" s="5" t="s">
        <v>178</v>
      </c>
      <c r="B5" s="30" t="s">
        <v>259</v>
      </c>
      <c r="C5" s="31" t="s">
        <v>260</v>
      </c>
      <c r="D5" s="30" t="s">
        <v>261</v>
      </c>
      <c r="E5" s="6" t="s">
        <v>260</v>
      </c>
      <c r="F5" s="7" t="s">
        <v>240</v>
      </c>
      <c r="G5" s="51" t="s">
        <v>262</v>
      </c>
      <c r="H5" s="52" t="s">
        <v>261</v>
      </c>
      <c r="I5" s="30" t="s">
        <v>240</v>
      </c>
      <c r="J5" s="53" t="s">
        <v>263</v>
      </c>
      <c r="K5" s="6" t="s">
        <v>264</v>
      </c>
      <c r="L5" s="7"/>
    </row>
    <row r="6" customFormat="false" ht="15" hidden="false" customHeight="false" outlineLevel="0" collapsed="false">
      <c r="A6" s="12" t="s">
        <v>73</v>
      </c>
      <c r="B6" s="26" t="s">
        <v>265</v>
      </c>
      <c r="C6" s="27" t="s">
        <v>266</v>
      </c>
      <c r="D6" s="26" t="s">
        <v>72</v>
      </c>
      <c r="E6" s="13" t="s">
        <v>267</v>
      </c>
      <c r="F6" s="14" t="s">
        <v>178</v>
      </c>
      <c r="G6" s="51" t="s">
        <v>72</v>
      </c>
      <c r="H6" s="52" t="s">
        <v>268</v>
      </c>
      <c r="I6" s="26" t="s">
        <v>75</v>
      </c>
      <c r="J6" s="54" t="s">
        <v>263</v>
      </c>
      <c r="K6" s="13" t="s">
        <v>269</v>
      </c>
      <c r="L6" s="14"/>
    </row>
    <row r="7" customFormat="false" ht="15" hidden="false" customHeight="false" outlineLevel="0" collapsed="false">
      <c r="A7" s="5" t="s">
        <v>97</v>
      </c>
      <c r="B7" s="30" t="s">
        <v>270</v>
      </c>
      <c r="C7" s="31" t="s">
        <v>266</v>
      </c>
      <c r="D7" s="30" t="s">
        <v>96</v>
      </c>
      <c r="E7" s="6" t="s">
        <v>271</v>
      </c>
      <c r="F7" s="7" t="s">
        <v>178</v>
      </c>
      <c r="G7" s="51" t="s">
        <v>96</v>
      </c>
      <c r="H7" s="52" t="s">
        <v>272</v>
      </c>
      <c r="I7" s="30" t="s">
        <v>75</v>
      </c>
      <c r="J7" s="53" t="s">
        <v>263</v>
      </c>
      <c r="K7" s="6" t="s">
        <v>273</v>
      </c>
      <c r="L7" s="7"/>
    </row>
    <row r="8" customFormat="false" ht="15" hidden="false" customHeight="false" outlineLevel="0" collapsed="false">
      <c r="A8" s="12" t="s">
        <v>116</v>
      </c>
      <c r="B8" s="26" t="s">
        <v>274</v>
      </c>
      <c r="C8" s="27" t="s">
        <v>275</v>
      </c>
      <c r="D8" s="26" t="s">
        <v>115</v>
      </c>
      <c r="E8" s="13" t="s">
        <v>276</v>
      </c>
      <c r="F8" s="14" t="s">
        <v>178</v>
      </c>
      <c r="G8" s="51" t="s">
        <v>115</v>
      </c>
      <c r="H8" s="52" t="s">
        <v>277</v>
      </c>
      <c r="I8" s="26" t="s">
        <v>75</v>
      </c>
      <c r="J8" s="54" t="s">
        <v>263</v>
      </c>
      <c r="K8" s="13"/>
      <c r="L8" s="14"/>
    </row>
    <row r="9" customFormat="false" ht="15" hidden="false" customHeight="false" outlineLevel="0" collapsed="false">
      <c r="A9" s="5" t="s">
        <v>129</v>
      </c>
      <c r="B9" s="30" t="s">
        <v>278</v>
      </c>
      <c r="C9" s="31" t="s">
        <v>275</v>
      </c>
      <c r="D9" s="30" t="s">
        <v>128</v>
      </c>
      <c r="E9" s="6" t="s">
        <v>279</v>
      </c>
      <c r="F9" s="7" t="s">
        <v>178</v>
      </c>
      <c r="G9" s="51" t="s">
        <v>128</v>
      </c>
      <c r="H9" s="52" t="s">
        <v>280</v>
      </c>
      <c r="I9" s="30" t="s">
        <v>75</v>
      </c>
      <c r="J9" s="53" t="s">
        <v>263</v>
      </c>
      <c r="K9" s="6"/>
      <c r="L9" s="7"/>
    </row>
    <row r="10" customFormat="false" ht="15" hidden="false" customHeight="false" outlineLevel="0" collapsed="false">
      <c r="A10" s="12" t="s">
        <v>281</v>
      </c>
      <c r="B10" s="26" t="s">
        <v>282</v>
      </c>
      <c r="C10" s="27" t="s">
        <v>275</v>
      </c>
      <c r="D10" s="26" t="s">
        <v>283</v>
      </c>
      <c r="E10" s="13" t="s">
        <v>284</v>
      </c>
      <c r="F10" s="14" t="s">
        <v>178</v>
      </c>
      <c r="G10" s="51" t="s">
        <v>285</v>
      </c>
      <c r="H10" s="52" t="s">
        <v>283</v>
      </c>
      <c r="I10" s="26" t="s">
        <v>286</v>
      </c>
      <c r="J10" s="54" t="s">
        <v>263</v>
      </c>
      <c r="K10" s="13" t="s">
        <v>287</v>
      </c>
      <c r="L10" s="14"/>
    </row>
    <row r="11" customFormat="false" ht="15" hidden="false" customHeight="false" outlineLevel="0" collapsed="false">
      <c r="A11" s="5" t="s">
        <v>288</v>
      </c>
      <c r="B11" s="30" t="s">
        <v>289</v>
      </c>
      <c r="C11" s="31" t="s">
        <v>275</v>
      </c>
      <c r="D11" s="30" t="s">
        <v>290</v>
      </c>
      <c r="E11" s="6" t="s">
        <v>291</v>
      </c>
      <c r="F11" s="7" t="s">
        <v>178</v>
      </c>
      <c r="G11" s="51" t="s">
        <v>262</v>
      </c>
      <c r="H11" s="52" t="s">
        <v>290</v>
      </c>
      <c r="I11" s="30" t="s">
        <v>75</v>
      </c>
      <c r="J11" s="53" t="s">
        <v>263</v>
      </c>
      <c r="K11" s="6" t="s">
        <v>292</v>
      </c>
      <c r="L11" s="7"/>
    </row>
    <row r="12" customFormat="false" ht="15" hidden="false" customHeight="false" outlineLevel="0" collapsed="false">
      <c r="A12" s="12" t="s">
        <v>293</v>
      </c>
      <c r="B12" s="26" t="s">
        <v>294</v>
      </c>
      <c r="C12" s="27" t="s">
        <v>275</v>
      </c>
      <c r="D12" s="26" t="s">
        <v>204</v>
      </c>
      <c r="E12" s="13" t="s">
        <v>295</v>
      </c>
      <c r="F12" s="14" t="s">
        <v>178</v>
      </c>
      <c r="G12" s="51" t="s">
        <v>262</v>
      </c>
      <c r="H12" s="52" t="s">
        <v>204</v>
      </c>
      <c r="I12" s="26" t="s">
        <v>75</v>
      </c>
      <c r="J12" s="54" t="s">
        <v>263</v>
      </c>
      <c r="K12" s="13"/>
      <c r="L12" s="14"/>
    </row>
    <row r="13" customFormat="false" ht="15" hidden="false" customHeight="false" outlineLevel="0" collapsed="false">
      <c r="A13" s="5" t="s">
        <v>174</v>
      </c>
      <c r="B13" s="30" t="s">
        <v>177</v>
      </c>
      <c r="C13" s="31" t="s">
        <v>296</v>
      </c>
      <c r="D13" s="30" t="s">
        <v>173</v>
      </c>
      <c r="E13" s="6" t="s">
        <v>297</v>
      </c>
      <c r="F13" s="7" t="s">
        <v>178</v>
      </c>
      <c r="G13" s="51" t="s">
        <v>173</v>
      </c>
      <c r="H13" s="52" t="s">
        <v>298</v>
      </c>
      <c r="I13" s="30" t="s">
        <v>75</v>
      </c>
      <c r="J13" s="53" t="s">
        <v>263</v>
      </c>
      <c r="K13" s="6" t="s">
        <v>299</v>
      </c>
      <c r="L13" s="7"/>
    </row>
    <row r="14" customFormat="false" ht="15" hidden="false" customHeight="false" outlineLevel="0" collapsed="false">
      <c r="A14" s="14" t="s">
        <v>82</v>
      </c>
      <c r="B14" s="26" t="s">
        <v>88</v>
      </c>
      <c r="C14" s="55" t="s">
        <v>89</v>
      </c>
      <c r="D14" s="26" t="s">
        <v>72</v>
      </c>
      <c r="E14" s="13" t="s">
        <v>300</v>
      </c>
      <c r="F14" s="14" t="s">
        <v>73</v>
      </c>
      <c r="G14" s="51" t="s">
        <v>72</v>
      </c>
      <c r="H14" s="52" t="s">
        <v>301</v>
      </c>
      <c r="I14" s="26" t="s">
        <v>75</v>
      </c>
      <c r="J14" s="54" t="s">
        <v>263</v>
      </c>
      <c r="K14" s="13" t="s">
        <v>302</v>
      </c>
      <c r="L14" s="14"/>
    </row>
    <row r="15" customFormat="false" ht="15" hidden="false" customHeight="false" outlineLevel="0" collapsed="false">
      <c r="A15" s="7" t="s">
        <v>123</v>
      </c>
      <c r="B15" s="30" t="s">
        <v>124</v>
      </c>
      <c r="C15" s="56" t="s">
        <v>89</v>
      </c>
      <c r="D15" s="30" t="s">
        <v>115</v>
      </c>
      <c r="E15" s="6" t="s">
        <v>303</v>
      </c>
      <c r="F15" s="7" t="s">
        <v>116</v>
      </c>
      <c r="G15" s="51" t="s">
        <v>115</v>
      </c>
      <c r="H15" s="52" t="s">
        <v>304</v>
      </c>
      <c r="I15" s="30" t="s">
        <v>75</v>
      </c>
      <c r="J15" s="53" t="s">
        <v>263</v>
      </c>
      <c r="K15" s="6" t="s">
        <v>305</v>
      </c>
      <c r="L15" s="7"/>
    </row>
    <row r="16" customFormat="false" ht="15" hidden="false" customHeight="false" outlineLevel="0" collapsed="false">
      <c r="A16" s="14" t="s">
        <v>142</v>
      </c>
      <c r="B16" s="26" t="s">
        <v>156</v>
      </c>
      <c r="C16" s="55" t="s">
        <v>89</v>
      </c>
      <c r="D16" s="26" t="s">
        <v>128</v>
      </c>
      <c r="E16" s="13" t="s">
        <v>306</v>
      </c>
      <c r="F16" s="14" t="s">
        <v>129</v>
      </c>
      <c r="G16" s="51" t="s">
        <v>128</v>
      </c>
      <c r="H16" s="52" t="s">
        <v>307</v>
      </c>
      <c r="I16" s="26" t="s">
        <v>75</v>
      </c>
      <c r="J16" s="54" t="s">
        <v>263</v>
      </c>
      <c r="K16" s="13" t="s">
        <v>308</v>
      </c>
      <c r="L16" s="14"/>
    </row>
    <row r="17" customFormat="false" ht="15" hidden="false" customHeight="false" outlineLevel="0" collapsed="false">
      <c r="A17" s="7" t="s">
        <v>161</v>
      </c>
      <c r="B17" s="30" t="s">
        <v>309</v>
      </c>
      <c r="C17" s="56" t="s">
        <v>89</v>
      </c>
      <c r="D17" s="30" t="s">
        <v>160</v>
      </c>
      <c r="E17" s="6" t="s">
        <v>310</v>
      </c>
      <c r="F17" s="7" t="s">
        <v>281</v>
      </c>
      <c r="G17" s="51" t="s">
        <v>160</v>
      </c>
      <c r="H17" s="52" t="s">
        <v>311</v>
      </c>
      <c r="I17" s="30" t="s">
        <v>75</v>
      </c>
      <c r="J17" s="53" t="s">
        <v>263</v>
      </c>
      <c r="K17" s="6" t="s">
        <v>312</v>
      </c>
      <c r="L17" s="7"/>
    </row>
  </sheetData>
  <mergeCells count="3">
    <mergeCell ref="A1:L1"/>
    <mergeCell ref="A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56"/>
    <col collapsed="false" customWidth="true" hidden="false" outlineLevel="0" max="10" min="5" style="0" width="4"/>
  </cols>
  <sheetData>
    <row r="1" customFormat="false" ht="24" hidden="false" customHeight="true" outlineLevel="0" collapsed="false">
      <c r="A1" s="1" t="s">
        <v>313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314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3.5" hidden="false" customHeight="true" outlineLevel="0" collapsed="false">
      <c r="A3" s="20" t="s">
        <v>53</v>
      </c>
      <c r="B3" s="20"/>
      <c r="C3" s="20"/>
      <c r="D3" s="20"/>
      <c r="E3" s="20"/>
      <c r="F3" s="20"/>
      <c r="G3" s="20"/>
      <c r="H3" s="20"/>
      <c r="I3" s="20"/>
      <c r="J3" s="20"/>
    </row>
    <row r="4" customFormat="false" ht="15" hidden="false" customHeight="false" outlineLevel="0" collapsed="false">
      <c r="A4" s="39" t="s">
        <v>315</v>
      </c>
      <c r="B4" s="39" t="s">
        <v>316</v>
      </c>
      <c r="C4" s="39" t="s">
        <v>56</v>
      </c>
      <c r="D4" s="39" t="s">
        <v>69</v>
      </c>
      <c r="E4" s="39"/>
      <c r="F4" s="39"/>
      <c r="G4" s="39"/>
      <c r="H4" s="39"/>
      <c r="I4" s="39"/>
      <c r="J4" s="39"/>
    </row>
    <row r="5" customFormat="false" ht="15" hidden="false" customHeight="false" outlineLevel="0" collapsed="false">
      <c r="A5" s="52" t="s">
        <v>70</v>
      </c>
      <c r="B5" s="57" t="s">
        <v>70</v>
      </c>
      <c r="C5" s="58" t="s">
        <v>72</v>
      </c>
      <c r="D5" s="59" t="s">
        <v>317</v>
      </c>
      <c r="E5" s="52"/>
      <c r="F5" s="52"/>
      <c r="G5" s="52"/>
      <c r="H5" s="52"/>
      <c r="I5" s="52"/>
      <c r="J5" s="52"/>
    </row>
    <row r="6" customFormat="false" ht="15" hidden="false" customHeight="false" outlineLevel="0" collapsed="false">
      <c r="A6" s="15" t="s">
        <v>318</v>
      </c>
      <c r="B6" s="14" t="s">
        <v>70</v>
      </c>
      <c r="C6" s="26" t="s">
        <v>72</v>
      </c>
      <c r="D6" s="13" t="s">
        <v>319</v>
      </c>
      <c r="E6" s="14"/>
      <c r="F6" s="14"/>
      <c r="G6" s="14"/>
      <c r="H6" s="14"/>
      <c r="I6" s="14"/>
      <c r="J6" s="14"/>
    </row>
    <row r="7" customFormat="false" ht="15" hidden="false" customHeight="false" outlineLevel="0" collapsed="false">
      <c r="A7" s="8" t="s">
        <v>320</v>
      </c>
      <c r="B7" s="7" t="s">
        <v>70</v>
      </c>
      <c r="C7" s="30" t="s">
        <v>72</v>
      </c>
      <c r="D7" s="6" t="s">
        <v>321</v>
      </c>
      <c r="E7" s="7"/>
      <c r="F7" s="7"/>
      <c r="G7" s="7"/>
      <c r="H7" s="7"/>
      <c r="I7" s="7"/>
      <c r="J7" s="7"/>
    </row>
    <row r="8" customFormat="false" ht="15" hidden="false" customHeight="false" outlineLevel="0" collapsed="false">
      <c r="A8" s="15" t="s">
        <v>322</v>
      </c>
      <c r="B8" s="14" t="s">
        <v>70</v>
      </c>
      <c r="C8" s="26" t="s">
        <v>72</v>
      </c>
      <c r="D8" s="13" t="s">
        <v>323</v>
      </c>
      <c r="E8" s="14"/>
      <c r="F8" s="14"/>
      <c r="G8" s="14"/>
      <c r="H8" s="14"/>
      <c r="I8" s="14"/>
      <c r="J8" s="14"/>
    </row>
    <row r="9" customFormat="false" ht="15" hidden="false" customHeight="false" outlineLevel="0" collapsed="false">
      <c r="A9" s="52" t="s">
        <v>77</v>
      </c>
      <c r="B9" s="57" t="s">
        <v>77</v>
      </c>
      <c r="C9" s="58" t="s">
        <v>72</v>
      </c>
      <c r="D9" s="59" t="s">
        <v>324</v>
      </c>
      <c r="E9" s="52"/>
      <c r="F9" s="52"/>
      <c r="G9" s="52"/>
      <c r="H9" s="52"/>
      <c r="I9" s="52"/>
      <c r="J9" s="52"/>
    </row>
    <row r="10" customFormat="false" ht="15" hidden="false" customHeight="false" outlineLevel="0" collapsed="false">
      <c r="A10" s="15" t="s">
        <v>325</v>
      </c>
      <c r="B10" s="14" t="s">
        <v>77</v>
      </c>
      <c r="C10" s="26" t="s">
        <v>72</v>
      </c>
      <c r="D10" s="13" t="s">
        <v>326</v>
      </c>
      <c r="E10" s="14"/>
      <c r="F10" s="14"/>
      <c r="G10" s="14"/>
      <c r="H10" s="14"/>
      <c r="I10" s="14"/>
      <c r="J10" s="14"/>
    </row>
    <row r="11" customFormat="false" ht="15" hidden="false" customHeight="false" outlineLevel="0" collapsed="false">
      <c r="A11" s="8" t="s">
        <v>327</v>
      </c>
      <c r="B11" s="7" t="s">
        <v>77</v>
      </c>
      <c r="C11" s="30" t="s">
        <v>72</v>
      </c>
      <c r="D11" s="6" t="s">
        <v>323</v>
      </c>
      <c r="E11" s="7"/>
      <c r="F11" s="7"/>
      <c r="G11" s="7"/>
      <c r="H11" s="7"/>
      <c r="I11" s="7"/>
      <c r="J11" s="7"/>
    </row>
    <row r="12" customFormat="false" ht="15" hidden="false" customHeight="false" outlineLevel="0" collapsed="false">
      <c r="A12" s="52" t="s">
        <v>82</v>
      </c>
      <c r="B12" s="57" t="s">
        <v>82</v>
      </c>
      <c r="C12" s="58" t="s">
        <v>72</v>
      </c>
      <c r="D12" s="59" t="s">
        <v>328</v>
      </c>
      <c r="E12" s="52"/>
      <c r="F12" s="52"/>
      <c r="G12" s="52"/>
      <c r="H12" s="52"/>
      <c r="I12" s="52"/>
      <c r="J12" s="52"/>
    </row>
    <row r="13" customFormat="false" ht="15" hidden="false" customHeight="false" outlineLevel="0" collapsed="false">
      <c r="A13" s="8" t="s">
        <v>329</v>
      </c>
      <c r="B13" s="7" t="s">
        <v>82</v>
      </c>
      <c r="C13" s="30" t="s">
        <v>72</v>
      </c>
      <c r="D13" s="6" t="s">
        <v>330</v>
      </c>
      <c r="E13" s="7"/>
      <c r="F13" s="7"/>
      <c r="G13" s="7"/>
      <c r="H13" s="7"/>
      <c r="I13" s="7"/>
      <c r="J13" s="7"/>
    </row>
    <row r="14" customFormat="false" ht="15" hidden="false" customHeight="false" outlineLevel="0" collapsed="false">
      <c r="A14" s="15" t="s">
        <v>331</v>
      </c>
      <c r="B14" s="14" t="s">
        <v>82</v>
      </c>
      <c r="C14" s="26" t="s">
        <v>72</v>
      </c>
      <c r="D14" s="13" t="s">
        <v>323</v>
      </c>
      <c r="E14" s="14"/>
      <c r="F14" s="14"/>
      <c r="G14" s="14"/>
      <c r="H14" s="14"/>
      <c r="I14" s="14"/>
      <c r="J14" s="14"/>
    </row>
    <row r="15" customFormat="false" ht="15" hidden="false" customHeight="false" outlineLevel="0" collapsed="false">
      <c r="A15" s="52" t="s">
        <v>80</v>
      </c>
      <c r="B15" s="57" t="s">
        <v>80</v>
      </c>
      <c r="C15" s="58" t="s">
        <v>72</v>
      </c>
      <c r="D15" s="59" t="s">
        <v>332</v>
      </c>
      <c r="E15" s="52"/>
      <c r="F15" s="52"/>
      <c r="G15" s="52"/>
      <c r="H15" s="52"/>
      <c r="I15" s="52"/>
      <c r="J15" s="52"/>
    </row>
    <row r="16" customFormat="false" ht="15" hidden="false" customHeight="false" outlineLevel="0" collapsed="false">
      <c r="A16" s="15" t="s">
        <v>333</v>
      </c>
      <c r="B16" s="14" t="s">
        <v>80</v>
      </c>
      <c r="C16" s="26" t="s">
        <v>72</v>
      </c>
      <c r="D16" s="13" t="s">
        <v>323</v>
      </c>
      <c r="E16" s="14"/>
      <c r="F16" s="14"/>
      <c r="G16" s="14"/>
      <c r="H16" s="14"/>
      <c r="I16" s="14"/>
      <c r="J16" s="14"/>
    </row>
    <row r="17" customFormat="false" ht="15" hidden="false" customHeight="false" outlineLevel="0" collapsed="false">
      <c r="A17" s="52" t="s">
        <v>83</v>
      </c>
      <c r="B17" s="57" t="s">
        <v>83</v>
      </c>
      <c r="C17" s="58" t="s">
        <v>72</v>
      </c>
      <c r="D17" s="59" t="s">
        <v>332</v>
      </c>
      <c r="E17" s="52"/>
      <c r="F17" s="52"/>
      <c r="G17" s="52"/>
      <c r="H17" s="52"/>
      <c r="I17" s="52"/>
      <c r="J17" s="52"/>
    </row>
    <row r="18" customFormat="false" ht="15" hidden="false" customHeight="false" outlineLevel="0" collapsed="false">
      <c r="A18" s="52" t="s">
        <v>85</v>
      </c>
      <c r="B18" s="57" t="s">
        <v>85</v>
      </c>
      <c r="C18" s="58" t="s">
        <v>72</v>
      </c>
      <c r="D18" s="59" t="s">
        <v>332</v>
      </c>
      <c r="E18" s="52"/>
      <c r="F18" s="52"/>
      <c r="G18" s="52"/>
      <c r="H18" s="52"/>
      <c r="I18" s="52"/>
      <c r="J18" s="52"/>
    </row>
    <row r="19" customFormat="false" ht="15" hidden="false" customHeight="false" outlineLevel="0" collapsed="false">
      <c r="A19" s="8" t="s">
        <v>334</v>
      </c>
      <c r="B19" s="7" t="s">
        <v>85</v>
      </c>
      <c r="C19" s="30" t="s">
        <v>72</v>
      </c>
      <c r="D19" s="6" t="s">
        <v>323</v>
      </c>
      <c r="E19" s="7"/>
      <c r="F19" s="7"/>
      <c r="G19" s="7"/>
      <c r="H19" s="7"/>
      <c r="I19" s="7"/>
      <c r="J19" s="7"/>
    </row>
    <row r="20" customFormat="false" ht="15" hidden="false" customHeight="false" outlineLevel="0" collapsed="false">
      <c r="A20" s="15" t="s">
        <v>335</v>
      </c>
      <c r="B20" s="14" t="s">
        <v>94</v>
      </c>
      <c r="C20" s="26" t="s">
        <v>96</v>
      </c>
      <c r="D20" s="13" t="s">
        <v>336</v>
      </c>
      <c r="E20" s="14"/>
      <c r="F20" s="14"/>
      <c r="G20" s="14"/>
      <c r="H20" s="14"/>
      <c r="I20" s="14"/>
      <c r="J20" s="14"/>
    </row>
    <row r="21" customFormat="false" ht="15" hidden="false" customHeight="false" outlineLevel="0" collapsed="false">
      <c r="A21" s="52" t="s">
        <v>94</v>
      </c>
      <c r="B21" s="57" t="s">
        <v>94</v>
      </c>
      <c r="C21" s="58" t="s">
        <v>96</v>
      </c>
      <c r="D21" s="59" t="s">
        <v>332</v>
      </c>
      <c r="E21" s="52"/>
      <c r="F21" s="52"/>
      <c r="G21" s="52"/>
      <c r="H21" s="52"/>
      <c r="I21" s="52"/>
      <c r="J21" s="52"/>
    </row>
    <row r="22" customFormat="false" ht="15" hidden="false" customHeight="false" outlineLevel="0" collapsed="false">
      <c r="A22" s="15" t="s">
        <v>337</v>
      </c>
      <c r="B22" s="14" t="s">
        <v>99</v>
      </c>
      <c r="C22" s="26" t="s">
        <v>96</v>
      </c>
      <c r="D22" s="13" t="s">
        <v>336</v>
      </c>
      <c r="E22" s="14"/>
      <c r="F22" s="14"/>
      <c r="G22" s="14"/>
      <c r="H22" s="14"/>
      <c r="I22" s="14"/>
      <c r="J22" s="14"/>
    </row>
    <row r="23" customFormat="false" ht="15" hidden="false" customHeight="false" outlineLevel="0" collapsed="false">
      <c r="A23" s="52" t="s">
        <v>99</v>
      </c>
      <c r="B23" s="57" t="s">
        <v>99</v>
      </c>
      <c r="C23" s="58" t="s">
        <v>96</v>
      </c>
      <c r="D23" s="59" t="s">
        <v>332</v>
      </c>
      <c r="E23" s="52"/>
      <c r="F23" s="52"/>
      <c r="G23" s="52"/>
      <c r="H23" s="52"/>
      <c r="I23" s="52"/>
      <c r="J23" s="52"/>
    </row>
    <row r="24" customFormat="false" ht="15" hidden="false" customHeight="false" outlineLevel="0" collapsed="false">
      <c r="A24" s="52" t="s">
        <v>110</v>
      </c>
      <c r="B24" s="57" t="s">
        <v>110</v>
      </c>
      <c r="C24" s="58" t="s">
        <v>96</v>
      </c>
      <c r="D24" s="59" t="s">
        <v>338</v>
      </c>
      <c r="E24" s="52"/>
      <c r="F24" s="52"/>
      <c r="G24" s="52"/>
      <c r="H24" s="52"/>
      <c r="I24" s="52"/>
      <c r="J24" s="52"/>
    </row>
    <row r="25" customFormat="false" ht="15" hidden="false" customHeight="false" outlineLevel="0" collapsed="false">
      <c r="A25" s="8" t="s">
        <v>339</v>
      </c>
      <c r="B25" s="7" t="s">
        <v>110</v>
      </c>
      <c r="C25" s="30" t="s">
        <v>96</v>
      </c>
      <c r="D25" s="6" t="s">
        <v>323</v>
      </c>
      <c r="E25" s="7"/>
      <c r="F25" s="7"/>
      <c r="G25" s="7"/>
      <c r="H25" s="7"/>
      <c r="I25" s="7"/>
      <c r="J25" s="7"/>
    </row>
    <row r="26" customFormat="false" ht="15" hidden="false" customHeight="false" outlineLevel="0" collapsed="false">
      <c r="A26" s="15" t="s">
        <v>340</v>
      </c>
      <c r="B26" s="14" t="s">
        <v>102</v>
      </c>
      <c r="C26" s="26" t="s">
        <v>96</v>
      </c>
      <c r="D26" s="13" t="s">
        <v>341</v>
      </c>
      <c r="E26" s="14"/>
      <c r="F26" s="14"/>
      <c r="G26" s="14"/>
      <c r="H26" s="14"/>
      <c r="I26" s="14"/>
      <c r="J26" s="14"/>
    </row>
    <row r="27" customFormat="false" ht="15" hidden="false" customHeight="false" outlineLevel="0" collapsed="false">
      <c r="A27" s="52" t="s">
        <v>102</v>
      </c>
      <c r="B27" s="57" t="s">
        <v>102</v>
      </c>
      <c r="C27" s="58" t="s">
        <v>96</v>
      </c>
      <c r="D27" s="59" t="s">
        <v>342</v>
      </c>
      <c r="E27" s="52"/>
      <c r="F27" s="52"/>
      <c r="G27" s="52"/>
      <c r="H27" s="52"/>
      <c r="I27" s="52"/>
      <c r="J27" s="52"/>
    </row>
    <row r="28" customFormat="false" ht="15" hidden="false" customHeight="false" outlineLevel="0" collapsed="false">
      <c r="A28" s="52" t="s">
        <v>134</v>
      </c>
      <c r="B28" s="57" t="s">
        <v>134</v>
      </c>
      <c r="C28" s="58" t="s">
        <v>128</v>
      </c>
      <c r="D28" s="59" t="s">
        <v>343</v>
      </c>
      <c r="E28" s="52"/>
      <c r="F28" s="52"/>
      <c r="G28" s="52"/>
      <c r="H28" s="52"/>
      <c r="I28" s="52"/>
      <c r="J28" s="52"/>
    </row>
    <row r="29" customFormat="false" ht="15" hidden="false" customHeight="false" outlineLevel="0" collapsed="false">
      <c r="A29" s="8" t="s">
        <v>344</v>
      </c>
      <c r="B29" s="7" t="s">
        <v>134</v>
      </c>
      <c r="C29" s="30" t="s">
        <v>128</v>
      </c>
      <c r="D29" s="6" t="s">
        <v>345</v>
      </c>
      <c r="E29" s="7"/>
      <c r="F29" s="7"/>
      <c r="G29" s="7"/>
      <c r="H29" s="7"/>
      <c r="I29" s="7"/>
      <c r="J29" s="7"/>
    </row>
    <row r="30" customFormat="false" ht="15" hidden="false" customHeight="false" outlineLevel="0" collapsed="false">
      <c r="A30" s="52" t="s">
        <v>126</v>
      </c>
      <c r="B30" s="57" t="s">
        <v>126</v>
      </c>
      <c r="C30" s="58" t="s">
        <v>128</v>
      </c>
      <c r="D30" s="59" t="s">
        <v>332</v>
      </c>
      <c r="E30" s="52"/>
      <c r="F30" s="52"/>
      <c r="G30" s="52"/>
      <c r="H30" s="52"/>
      <c r="I30" s="52"/>
      <c r="J30" s="52"/>
    </row>
    <row r="31" customFormat="false" ht="15" hidden="false" customHeight="false" outlineLevel="0" collapsed="false">
      <c r="A31" s="8" t="s">
        <v>346</v>
      </c>
      <c r="B31" s="7" t="s">
        <v>126</v>
      </c>
      <c r="C31" s="30" t="s">
        <v>128</v>
      </c>
      <c r="D31" s="6" t="s">
        <v>347</v>
      </c>
      <c r="E31" s="7"/>
      <c r="F31" s="7"/>
      <c r="G31" s="7"/>
      <c r="H31" s="7"/>
      <c r="I31" s="7"/>
      <c r="J31" s="7"/>
    </row>
    <row r="32" customFormat="false" ht="15" hidden="false" customHeight="false" outlineLevel="0" collapsed="false">
      <c r="A32" s="52" t="s">
        <v>137</v>
      </c>
      <c r="B32" s="57" t="s">
        <v>137</v>
      </c>
      <c r="C32" s="58" t="s">
        <v>128</v>
      </c>
      <c r="D32" s="59" t="s">
        <v>338</v>
      </c>
      <c r="E32" s="52"/>
      <c r="F32" s="52"/>
      <c r="G32" s="52"/>
      <c r="H32" s="52"/>
      <c r="I32" s="52"/>
      <c r="J32" s="52"/>
    </row>
    <row r="33" customFormat="false" ht="15" hidden="false" customHeight="false" outlineLevel="0" collapsed="false">
      <c r="A33" s="8" t="s">
        <v>348</v>
      </c>
      <c r="B33" s="7" t="s">
        <v>137</v>
      </c>
      <c r="C33" s="30" t="s">
        <v>128</v>
      </c>
      <c r="D33" s="6" t="s">
        <v>349</v>
      </c>
      <c r="E33" s="7"/>
      <c r="F33" s="7"/>
      <c r="G33" s="7"/>
      <c r="H33" s="7"/>
      <c r="I33" s="7"/>
      <c r="J33" s="7"/>
    </row>
    <row r="34" customFormat="false" ht="15" hidden="false" customHeight="false" outlineLevel="0" collapsed="false">
      <c r="A34" s="52" t="s">
        <v>140</v>
      </c>
      <c r="B34" s="57" t="s">
        <v>140</v>
      </c>
      <c r="C34" s="58" t="s">
        <v>128</v>
      </c>
      <c r="D34" s="59" t="s">
        <v>338</v>
      </c>
      <c r="E34" s="52"/>
      <c r="F34" s="52"/>
      <c r="G34" s="52"/>
      <c r="H34" s="52"/>
      <c r="I34" s="52"/>
      <c r="J34" s="52"/>
    </row>
    <row r="35" customFormat="false" ht="15" hidden="false" customHeight="false" outlineLevel="0" collapsed="false">
      <c r="A35" s="8" t="s">
        <v>350</v>
      </c>
      <c r="B35" s="7" t="s">
        <v>140</v>
      </c>
      <c r="C35" s="30" t="s">
        <v>128</v>
      </c>
      <c r="D35" s="6" t="s">
        <v>351</v>
      </c>
      <c r="E35" s="7"/>
      <c r="F35" s="7"/>
      <c r="G35" s="7"/>
      <c r="H35" s="7"/>
      <c r="I35" s="7"/>
      <c r="J35" s="7"/>
    </row>
    <row r="36" customFormat="false" ht="15" hidden="false" customHeight="false" outlineLevel="0" collapsed="false">
      <c r="A36" s="52" t="s">
        <v>144</v>
      </c>
      <c r="B36" s="57" t="s">
        <v>144</v>
      </c>
      <c r="C36" s="58" t="s">
        <v>128</v>
      </c>
      <c r="D36" s="59" t="s">
        <v>332</v>
      </c>
      <c r="E36" s="52"/>
      <c r="F36" s="52"/>
      <c r="G36" s="52"/>
      <c r="H36" s="52"/>
      <c r="I36" s="52"/>
      <c r="J36" s="52"/>
    </row>
    <row r="37" customFormat="false" ht="15" hidden="false" customHeight="false" outlineLevel="0" collapsed="false">
      <c r="A37" s="8" t="s">
        <v>352</v>
      </c>
      <c r="B37" s="7" t="s">
        <v>144</v>
      </c>
      <c r="C37" s="30" t="s">
        <v>128</v>
      </c>
      <c r="D37" s="6" t="s">
        <v>353</v>
      </c>
      <c r="E37" s="7"/>
      <c r="F37" s="7"/>
      <c r="G37" s="7"/>
      <c r="H37" s="7"/>
      <c r="I37" s="7"/>
      <c r="J37" s="7"/>
    </row>
    <row r="38" customFormat="false" ht="15" hidden="false" customHeight="false" outlineLevel="0" collapsed="false">
      <c r="A38" s="52" t="s">
        <v>147</v>
      </c>
      <c r="B38" s="57" t="s">
        <v>147</v>
      </c>
      <c r="C38" s="58" t="s">
        <v>128</v>
      </c>
      <c r="D38" s="59" t="s">
        <v>338</v>
      </c>
      <c r="E38" s="52"/>
      <c r="F38" s="52"/>
      <c r="G38" s="52"/>
      <c r="H38" s="52"/>
      <c r="I38" s="52"/>
      <c r="J38" s="52"/>
    </row>
    <row r="39" customFormat="false" ht="15" hidden="false" customHeight="false" outlineLevel="0" collapsed="false">
      <c r="A39" s="8" t="s">
        <v>354</v>
      </c>
      <c r="B39" s="7" t="s">
        <v>147</v>
      </c>
      <c r="C39" s="30" t="s">
        <v>128</v>
      </c>
      <c r="D39" s="6" t="s">
        <v>351</v>
      </c>
      <c r="E39" s="7"/>
      <c r="F39" s="7"/>
      <c r="G39" s="7"/>
      <c r="H39" s="7"/>
      <c r="I39" s="7"/>
      <c r="J39" s="7"/>
    </row>
    <row r="40" customFormat="false" ht="15" hidden="false" customHeight="false" outlineLevel="0" collapsed="false">
      <c r="A40" s="52" t="s">
        <v>150</v>
      </c>
      <c r="B40" s="57" t="s">
        <v>150</v>
      </c>
      <c r="C40" s="58" t="s">
        <v>128</v>
      </c>
      <c r="D40" s="59" t="s">
        <v>332</v>
      </c>
      <c r="E40" s="52"/>
      <c r="F40" s="52"/>
      <c r="G40" s="52"/>
      <c r="H40" s="52"/>
      <c r="I40" s="52"/>
      <c r="J40" s="52"/>
    </row>
    <row r="41" customFormat="false" ht="15" hidden="false" customHeight="false" outlineLevel="0" collapsed="false">
      <c r="A41" s="8" t="s">
        <v>355</v>
      </c>
      <c r="B41" s="7" t="s">
        <v>150</v>
      </c>
      <c r="C41" s="30" t="s">
        <v>128</v>
      </c>
      <c r="D41" s="6" t="s">
        <v>351</v>
      </c>
      <c r="E41" s="7"/>
      <c r="F41" s="7"/>
      <c r="G41" s="7"/>
      <c r="H41" s="7"/>
      <c r="I41" s="7"/>
      <c r="J41" s="7"/>
    </row>
    <row r="42" customFormat="false" ht="15" hidden="false" customHeight="false" outlineLevel="0" collapsed="false">
      <c r="A42" s="52" t="s">
        <v>153</v>
      </c>
      <c r="B42" s="57" t="s">
        <v>153</v>
      </c>
      <c r="C42" s="58" t="s">
        <v>128</v>
      </c>
      <c r="D42" s="59" t="s">
        <v>356</v>
      </c>
      <c r="E42" s="52"/>
      <c r="F42" s="52"/>
      <c r="G42" s="52"/>
      <c r="H42" s="52"/>
      <c r="I42" s="52"/>
      <c r="J42" s="52"/>
    </row>
    <row r="43" customFormat="false" ht="15" hidden="false" customHeight="false" outlineLevel="0" collapsed="false">
      <c r="A43" s="8" t="s">
        <v>357</v>
      </c>
      <c r="B43" s="7" t="s">
        <v>153</v>
      </c>
      <c r="C43" s="30" t="s">
        <v>128</v>
      </c>
      <c r="D43" s="6" t="s">
        <v>323</v>
      </c>
      <c r="E43" s="7"/>
      <c r="F43" s="7"/>
      <c r="G43" s="7"/>
      <c r="H43" s="7"/>
      <c r="I43" s="7"/>
      <c r="J43" s="7"/>
    </row>
    <row r="44" customFormat="false" ht="15" hidden="false" customHeight="false" outlineLevel="0" collapsed="false">
      <c r="A44" s="52" t="s">
        <v>158</v>
      </c>
      <c r="B44" s="57" t="s">
        <v>158</v>
      </c>
      <c r="C44" s="58" t="s">
        <v>160</v>
      </c>
      <c r="D44" s="59" t="s">
        <v>332</v>
      </c>
      <c r="E44" s="52"/>
      <c r="F44" s="52"/>
      <c r="G44" s="52"/>
      <c r="H44" s="52"/>
      <c r="I44" s="52"/>
      <c r="J44" s="52"/>
    </row>
    <row r="45" customFormat="false" ht="15" hidden="false" customHeight="false" outlineLevel="0" collapsed="false">
      <c r="A45" s="8" t="s">
        <v>358</v>
      </c>
      <c r="B45" s="7" t="s">
        <v>158</v>
      </c>
      <c r="C45" s="30" t="s">
        <v>160</v>
      </c>
      <c r="D45" s="6" t="s">
        <v>359</v>
      </c>
      <c r="E45" s="7"/>
      <c r="F45" s="7"/>
      <c r="G45" s="7"/>
      <c r="H45" s="7"/>
      <c r="I45" s="7"/>
      <c r="J45" s="7"/>
    </row>
    <row r="46" customFormat="false" ht="15" hidden="false" customHeight="false" outlineLevel="0" collapsed="false">
      <c r="A46" s="15" t="s">
        <v>360</v>
      </c>
      <c r="B46" s="14" t="s">
        <v>158</v>
      </c>
      <c r="C46" s="26" t="s">
        <v>160</v>
      </c>
      <c r="D46" s="13" t="s">
        <v>361</v>
      </c>
      <c r="E46" s="14"/>
      <c r="F46" s="14"/>
      <c r="G46" s="14"/>
      <c r="H46" s="14"/>
      <c r="I46" s="14"/>
      <c r="J46" s="14"/>
    </row>
    <row r="47" customFormat="false" ht="15" hidden="false" customHeight="false" outlineLevel="0" collapsed="false">
      <c r="A47" s="52" t="s">
        <v>163</v>
      </c>
      <c r="B47" s="57" t="s">
        <v>163</v>
      </c>
      <c r="C47" s="58" t="s">
        <v>160</v>
      </c>
      <c r="D47" s="59" t="s">
        <v>332</v>
      </c>
      <c r="E47" s="52"/>
      <c r="F47" s="52"/>
      <c r="G47" s="52"/>
      <c r="H47" s="52"/>
      <c r="I47" s="52"/>
      <c r="J47" s="52"/>
    </row>
    <row r="48" customFormat="false" ht="15" hidden="false" customHeight="false" outlineLevel="0" collapsed="false">
      <c r="A48" s="15" t="s">
        <v>362</v>
      </c>
      <c r="B48" s="14" t="s">
        <v>163</v>
      </c>
      <c r="C48" s="26" t="s">
        <v>160</v>
      </c>
      <c r="D48" s="13" t="s">
        <v>363</v>
      </c>
      <c r="E48" s="14"/>
      <c r="F48" s="14"/>
      <c r="G48" s="14"/>
      <c r="H48" s="14"/>
      <c r="I48" s="14"/>
      <c r="J48" s="14"/>
    </row>
    <row r="49" customFormat="false" ht="15" hidden="false" customHeight="false" outlineLevel="0" collapsed="false">
      <c r="A49" s="52" t="s">
        <v>166</v>
      </c>
      <c r="B49" s="57" t="s">
        <v>166</v>
      </c>
      <c r="C49" s="58" t="s">
        <v>160</v>
      </c>
      <c r="D49" s="59" t="s">
        <v>332</v>
      </c>
      <c r="E49" s="52"/>
      <c r="F49" s="52"/>
      <c r="G49" s="52"/>
      <c r="H49" s="52"/>
      <c r="I49" s="52"/>
      <c r="J49" s="52"/>
    </row>
    <row r="50" customFormat="false" ht="15" hidden="false" customHeight="false" outlineLevel="0" collapsed="false">
      <c r="A50" s="15" t="s">
        <v>364</v>
      </c>
      <c r="B50" s="14" t="s">
        <v>166</v>
      </c>
      <c r="C50" s="26" t="s">
        <v>160</v>
      </c>
      <c r="D50" s="13" t="s">
        <v>365</v>
      </c>
      <c r="E50" s="14"/>
      <c r="F50" s="14"/>
      <c r="G50" s="14"/>
      <c r="H50" s="14"/>
      <c r="I50" s="14"/>
      <c r="J50" s="14"/>
    </row>
    <row r="51" customFormat="false" ht="15" hidden="false" customHeight="false" outlineLevel="0" collapsed="false">
      <c r="A51" s="8" t="s">
        <v>366</v>
      </c>
      <c r="B51" s="7" t="s">
        <v>166</v>
      </c>
      <c r="C51" s="30" t="s">
        <v>160</v>
      </c>
      <c r="D51" s="6" t="s">
        <v>367</v>
      </c>
      <c r="E51" s="7"/>
      <c r="F51" s="7"/>
      <c r="G51" s="7"/>
      <c r="H51" s="7"/>
      <c r="I51" s="7"/>
      <c r="J51" s="7"/>
    </row>
    <row r="52" customFormat="false" ht="15" hidden="false" customHeight="false" outlineLevel="0" collapsed="false">
      <c r="A52" s="52" t="s">
        <v>169</v>
      </c>
      <c r="B52" s="57" t="s">
        <v>169</v>
      </c>
      <c r="C52" s="58" t="s">
        <v>160</v>
      </c>
      <c r="D52" s="59" t="s">
        <v>332</v>
      </c>
      <c r="E52" s="52"/>
      <c r="F52" s="52"/>
      <c r="G52" s="52"/>
      <c r="H52" s="52"/>
      <c r="I52" s="52"/>
      <c r="J52" s="52"/>
    </row>
    <row r="53" customFormat="false" ht="15" hidden="false" customHeight="false" outlineLevel="0" collapsed="false">
      <c r="A53" s="52" t="s">
        <v>171</v>
      </c>
      <c r="B53" s="57" t="s">
        <v>171</v>
      </c>
      <c r="C53" s="58" t="s">
        <v>173</v>
      </c>
      <c r="D53" s="59" t="s">
        <v>332</v>
      </c>
      <c r="E53" s="52"/>
      <c r="F53" s="52"/>
      <c r="G53" s="52"/>
      <c r="H53" s="52"/>
      <c r="I53" s="52"/>
      <c r="J53" s="52"/>
    </row>
    <row r="54" customFormat="false" ht="15" hidden="false" customHeight="false" outlineLevel="0" collapsed="false">
      <c r="A54" s="15" t="s">
        <v>368</v>
      </c>
      <c r="B54" s="14" t="s">
        <v>171</v>
      </c>
      <c r="C54" s="26" t="s">
        <v>173</v>
      </c>
      <c r="D54" s="13" t="s">
        <v>369</v>
      </c>
      <c r="E54" s="14"/>
      <c r="F54" s="14"/>
      <c r="G54" s="14"/>
      <c r="H54" s="14"/>
      <c r="I54" s="14"/>
      <c r="J54" s="14"/>
    </row>
    <row r="55" customFormat="false" ht="15" hidden="false" customHeight="false" outlineLevel="0" collapsed="false">
      <c r="A55" s="52" t="s">
        <v>123</v>
      </c>
      <c r="B55" s="57" t="s">
        <v>123</v>
      </c>
      <c r="C55" s="58" t="s">
        <v>115</v>
      </c>
      <c r="D55" s="59" t="s">
        <v>332</v>
      </c>
      <c r="E55" s="52"/>
      <c r="F55" s="52"/>
      <c r="G55" s="52"/>
      <c r="H55" s="52"/>
      <c r="I55" s="52"/>
      <c r="J55" s="52"/>
    </row>
    <row r="56" customFormat="false" ht="15" hidden="false" customHeight="false" outlineLevel="0" collapsed="false">
      <c r="A56" s="15" t="s">
        <v>370</v>
      </c>
      <c r="B56" s="14" t="s">
        <v>123</v>
      </c>
      <c r="C56" s="26" t="s">
        <v>115</v>
      </c>
      <c r="D56" s="13" t="s">
        <v>371</v>
      </c>
      <c r="E56" s="14"/>
      <c r="F56" s="14"/>
      <c r="G56" s="14"/>
      <c r="H56" s="14"/>
      <c r="I56" s="14"/>
      <c r="J56" s="14"/>
    </row>
    <row r="57" customFormat="false" ht="15" hidden="false" customHeight="false" outlineLevel="0" collapsed="false">
      <c r="A57" s="8" t="s">
        <v>372</v>
      </c>
      <c r="B57" s="7" t="s">
        <v>121</v>
      </c>
      <c r="C57" s="30" t="s">
        <v>115</v>
      </c>
      <c r="D57" s="6" t="s">
        <v>373</v>
      </c>
      <c r="E57" s="7"/>
      <c r="F57" s="7"/>
      <c r="G57" s="7"/>
      <c r="H57" s="7"/>
      <c r="I57" s="7"/>
      <c r="J57" s="7"/>
    </row>
    <row r="58" customFormat="false" ht="15" hidden="false" customHeight="false" outlineLevel="0" collapsed="false">
      <c r="A58" s="52" t="s">
        <v>113</v>
      </c>
      <c r="B58" s="57" t="s">
        <v>113</v>
      </c>
      <c r="C58" s="58" t="s">
        <v>115</v>
      </c>
      <c r="D58" s="59" t="s">
        <v>332</v>
      </c>
      <c r="E58" s="52"/>
      <c r="F58" s="52"/>
      <c r="G58" s="52"/>
      <c r="H58" s="52"/>
      <c r="I58" s="52"/>
      <c r="J58" s="52"/>
    </row>
    <row r="59" customFormat="false" ht="15" hidden="false" customHeight="false" outlineLevel="0" collapsed="false">
      <c r="A59" s="52" t="s">
        <v>117</v>
      </c>
      <c r="B59" s="57" t="s">
        <v>117</v>
      </c>
      <c r="C59" s="58" t="s">
        <v>115</v>
      </c>
      <c r="D59" s="59" t="s">
        <v>332</v>
      </c>
      <c r="E59" s="52"/>
      <c r="F59" s="52"/>
      <c r="G59" s="52"/>
      <c r="H59" s="52"/>
      <c r="I59" s="52"/>
      <c r="J59" s="52"/>
    </row>
    <row r="60" customFormat="false" ht="15" hidden="false" customHeight="false" outlineLevel="0" collapsed="false">
      <c r="A60" s="52" t="s">
        <v>119</v>
      </c>
      <c r="B60" s="57" t="s">
        <v>119</v>
      </c>
      <c r="C60" s="58" t="s">
        <v>115</v>
      </c>
      <c r="D60" s="59" t="s">
        <v>332</v>
      </c>
      <c r="E60" s="52"/>
      <c r="F60" s="52"/>
      <c r="G60" s="52"/>
      <c r="H60" s="52"/>
      <c r="I60" s="52"/>
      <c r="J60" s="52"/>
    </row>
    <row r="61" customFormat="false" ht="15" hidden="false" customHeight="false" outlineLevel="0" collapsed="false">
      <c r="A61" s="52" t="s">
        <v>131</v>
      </c>
      <c r="B61" s="57" t="s">
        <v>131</v>
      </c>
      <c r="C61" s="58" t="s">
        <v>128</v>
      </c>
      <c r="D61" s="59" t="s">
        <v>332</v>
      </c>
      <c r="E61" s="52"/>
      <c r="F61" s="52"/>
      <c r="G61" s="52"/>
      <c r="H61" s="52"/>
      <c r="I61" s="52"/>
      <c r="J61" s="52"/>
    </row>
    <row r="62" customFormat="false" ht="15" hidden="false" customHeight="false" outlineLevel="0" collapsed="false">
      <c r="A62" s="52" t="s">
        <v>142</v>
      </c>
      <c r="B62" s="57" t="s">
        <v>142</v>
      </c>
      <c r="C62" s="58" t="s">
        <v>128</v>
      </c>
      <c r="D62" s="59" t="s">
        <v>374</v>
      </c>
      <c r="E62" s="52"/>
      <c r="F62" s="52"/>
      <c r="G62" s="52"/>
      <c r="H62" s="52"/>
      <c r="I62" s="52"/>
      <c r="J62" s="52"/>
    </row>
    <row r="63" customFormat="false" ht="15" hidden="false" customHeight="false" outlineLevel="0" collapsed="false">
      <c r="A63" s="52" t="s">
        <v>97</v>
      </c>
      <c r="B63" s="57" t="s">
        <v>97</v>
      </c>
      <c r="C63" s="58" t="s">
        <v>96</v>
      </c>
      <c r="D63" s="59" t="s">
        <v>332</v>
      </c>
      <c r="E63" s="52"/>
      <c r="F63" s="52"/>
      <c r="G63" s="52"/>
      <c r="H63" s="52"/>
      <c r="I63" s="52"/>
      <c r="J63" s="52"/>
    </row>
    <row r="64" customFormat="false" ht="15" hidden="false" customHeight="false" outlineLevel="0" collapsed="false">
      <c r="A64" s="15" t="s">
        <v>375</v>
      </c>
      <c r="B64" s="14" t="s">
        <v>97</v>
      </c>
      <c r="C64" s="26" t="s">
        <v>96</v>
      </c>
      <c r="D64" s="13" t="s">
        <v>376</v>
      </c>
      <c r="E64" s="14"/>
      <c r="F64" s="14"/>
      <c r="G64" s="14"/>
      <c r="H64" s="14"/>
      <c r="I64" s="14"/>
      <c r="J64" s="14"/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2026-08-19T04:53:51Z</dcterms:created>
  <dc:creator>openpyxl</dc:creator>
  <dc:description/>
  <dc:language>en-US</dc:language>
  <cp:lastModifiedBy/>
  <dcterms:modified xsi:type="dcterms:W3CDTF">2026-08-19T04:53:52Z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